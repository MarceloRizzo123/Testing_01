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.rizzo\Desktop\noevo\"/>
    </mc:Choice>
  </mc:AlternateContent>
  <xr:revisionPtr revIDLastSave="0" documentId="13_ncr:1_{9AE3DFD0-71F0-47CE-9C30-58F3941E724C}" xr6:coauthVersionLast="47" xr6:coauthVersionMax="47" xr10:uidLastSave="{00000000-0000-0000-0000-000000000000}"/>
  <bookViews>
    <workbookView xWindow="-108" yWindow="-108" windowWidth="23256" windowHeight="12456" activeTab="5" xr2:uid="{97EBF5FE-56D7-4AB0-B8BB-4F2D770829B7}"/>
  </bookViews>
  <sheets>
    <sheet name="Base" sheetId="1" r:id="rId1"/>
    <sheet name="X Canal" sheetId="2" r:id="rId2"/>
    <sheet name="CRECIMIENTO" sheetId="8" r:id="rId3"/>
    <sheet name="OK" sheetId="9" r:id="rId4"/>
    <sheet name="FAIR PLAY" sheetId="10" r:id="rId5"/>
    <sheet name="OUTLET" sheetId="11" r:id="rId6"/>
    <sheet name="JUSTIFICACION" sheetId="12" r:id="rId7"/>
    <sheet name="PROPUESTA DE AJUSTA" sheetId="13" r:id="rId8"/>
    <sheet name="X Mes" sheetId="3" state="hidden" r:id="rId9"/>
    <sheet name="AYUDA" sheetId="6" state="hidden" r:id="rId10"/>
    <sheet name="Base crecimiento" sheetId="7" state="hidden" r:id="rId11"/>
    <sheet name="Hoja5" sheetId="5" state="hidden" r:id="rId12"/>
  </sheets>
  <definedNames>
    <definedName name="_xlnm._FilterDatabase" localSheetId="0" hidden="1">Base!$C$3:$AQ$875</definedName>
    <definedName name="_xlnm._FilterDatabase" localSheetId="10" hidden="1">'Base crecimiento'!$A$1:$K$873</definedName>
    <definedName name="_xlnm._FilterDatabase" localSheetId="4" hidden="1">'FAIR PLAY'!$A$1:$I$43</definedName>
  </definedNames>
  <calcPr calcId="191029"/>
  <pivotCaches>
    <pivotCache cacheId="200" r:id="rId13"/>
    <pivotCache cacheId="201" r:id="rId14"/>
    <pivotCache cacheId="202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576" i="1" l="1"/>
  <c r="AA114" i="1"/>
  <c r="AA629" i="1" l="1"/>
  <c r="AO875" i="1"/>
  <c r="AO874" i="1"/>
  <c r="AO873" i="1"/>
  <c r="AO872" i="1"/>
  <c r="AO871" i="1"/>
  <c r="AO870" i="1"/>
  <c r="AO869" i="1"/>
  <c r="AO868" i="1"/>
  <c r="AO867" i="1"/>
  <c r="AO866" i="1"/>
  <c r="AO865" i="1"/>
  <c r="AO864" i="1"/>
  <c r="AO863" i="1"/>
  <c r="AO862" i="1"/>
  <c r="AO861" i="1"/>
  <c r="AO860" i="1"/>
  <c r="AO859" i="1"/>
  <c r="AO858" i="1"/>
  <c r="AO857" i="1"/>
  <c r="AO856" i="1"/>
  <c r="AO855" i="1"/>
  <c r="AO854" i="1"/>
  <c r="AO853" i="1"/>
  <c r="AO852" i="1"/>
  <c r="AO851" i="1"/>
  <c r="AO850" i="1"/>
  <c r="AO849" i="1"/>
  <c r="AO848" i="1"/>
  <c r="AO847" i="1"/>
  <c r="AO846" i="1"/>
  <c r="AO845" i="1"/>
  <c r="AO844" i="1"/>
  <c r="AO843" i="1"/>
  <c r="AO842" i="1"/>
  <c r="AO841" i="1"/>
  <c r="AO840" i="1"/>
  <c r="AO839" i="1"/>
  <c r="AO838" i="1"/>
  <c r="AO837" i="1"/>
  <c r="AO836" i="1"/>
  <c r="AO835" i="1"/>
  <c r="AO834" i="1"/>
  <c r="AO833" i="1"/>
  <c r="AO832" i="1"/>
  <c r="AO831" i="1"/>
  <c r="AO830" i="1"/>
  <c r="AO829" i="1"/>
  <c r="AO828" i="1"/>
  <c r="AO827" i="1"/>
  <c r="AO826" i="1"/>
  <c r="AO825" i="1"/>
  <c r="AO824" i="1"/>
  <c r="AO823" i="1"/>
  <c r="AO822" i="1"/>
  <c r="AO821" i="1"/>
  <c r="AO820" i="1"/>
  <c r="AO819" i="1"/>
  <c r="AO818" i="1"/>
  <c r="AO817" i="1"/>
  <c r="AO816" i="1"/>
  <c r="AO815" i="1"/>
  <c r="AO814" i="1"/>
  <c r="AO813" i="1"/>
  <c r="AO812" i="1"/>
  <c r="AO811" i="1"/>
  <c r="AO810" i="1"/>
  <c r="AO809" i="1"/>
  <c r="AO808" i="1"/>
  <c r="AO807" i="1"/>
  <c r="AO806" i="1"/>
  <c r="AO805" i="1"/>
  <c r="AO804" i="1"/>
  <c r="AO803" i="1"/>
  <c r="AO802" i="1"/>
  <c r="AO801" i="1"/>
  <c r="AO800" i="1"/>
  <c r="AO799" i="1"/>
  <c r="AO798" i="1"/>
  <c r="AO797" i="1"/>
  <c r="AO796" i="1"/>
  <c r="AO795" i="1"/>
  <c r="AO794" i="1"/>
  <c r="AO793" i="1"/>
  <c r="AO792" i="1"/>
  <c r="AO791" i="1"/>
  <c r="AO790" i="1"/>
  <c r="AO789" i="1"/>
  <c r="AO788" i="1"/>
  <c r="AO787" i="1"/>
  <c r="AO786" i="1"/>
  <c r="AO785" i="1"/>
  <c r="AO784" i="1"/>
  <c r="AO783" i="1"/>
  <c r="AO782" i="1"/>
  <c r="AO781" i="1"/>
  <c r="AO780" i="1"/>
  <c r="AO779" i="1"/>
  <c r="AO778" i="1"/>
  <c r="AO777" i="1"/>
  <c r="AO776" i="1"/>
  <c r="AO775" i="1"/>
  <c r="AO774" i="1"/>
  <c r="AO773" i="1"/>
  <c r="AO772" i="1"/>
  <c r="AO771" i="1"/>
  <c r="AO770" i="1"/>
  <c r="AO769" i="1"/>
  <c r="AO768" i="1"/>
  <c r="AO767" i="1"/>
  <c r="AO766" i="1"/>
  <c r="AO765" i="1"/>
  <c r="AO764" i="1"/>
  <c r="AO763" i="1"/>
  <c r="AO762" i="1"/>
  <c r="AO761" i="1"/>
  <c r="AO760" i="1"/>
  <c r="AO759" i="1"/>
  <c r="AO758" i="1"/>
  <c r="AO757" i="1"/>
  <c r="AO756" i="1"/>
  <c r="AO755" i="1"/>
  <c r="AO754" i="1"/>
  <c r="AO753" i="1"/>
  <c r="AO752" i="1"/>
  <c r="AO751" i="1"/>
  <c r="AO750" i="1"/>
  <c r="AO749" i="1"/>
  <c r="AO748" i="1"/>
  <c r="AO747" i="1"/>
  <c r="AO746" i="1"/>
  <c r="AO745" i="1"/>
  <c r="AO744" i="1"/>
  <c r="AO743" i="1"/>
  <c r="AO742" i="1"/>
  <c r="AO741" i="1"/>
  <c r="AO740" i="1"/>
  <c r="AO739" i="1"/>
  <c r="AO738" i="1"/>
  <c r="AO737" i="1"/>
  <c r="AO736" i="1"/>
  <c r="AO735" i="1"/>
  <c r="AO734" i="1"/>
  <c r="AO733" i="1"/>
  <c r="AO732" i="1"/>
  <c r="AO731" i="1"/>
  <c r="AO730" i="1"/>
  <c r="AO729" i="1"/>
  <c r="AO728" i="1"/>
  <c r="AO727" i="1"/>
  <c r="AO726" i="1"/>
  <c r="AO725" i="1"/>
  <c r="AO724" i="1"/>
  <c r="AO723" i="1"/>
  <c r="AO722" i="1"/>
  <c r="AO721" i="1"/>
  <c r="AO720" i="1"/>
  <c r="AO719" i="1"/>
  <c r="AO718" i="1"/>
  <c r="AO717" i="1"/>
  <c r="AO716" i="1"/>
  <c r="AO715" i="1"/>
  <c r="AO714" i="1"/>
  <c r="AO713" i="1"/>
  <c r="AO712" i="1"/>
  <c r="AO711" i="1"/>
  <c r="AO710" i="1"/>
  <c r="AO709" i="1"/>
  <c r="AO708" i="1"/>
  <c r="AO707" i="1"/>
  <c r="AO706" i="1"/>
  <c r="AO705" i="1"/>
  <c r="AO704" i="1"/>
  <c r="AO703" i="1"/>
  <c r="AO702" i="1"/>
  <c r="AO701" i="1"/>
  <c r="AO700" i="1"/>
  <c r="AO699" i="1"/>
  <c r="AO698" i="1"/>
  <c r="AO697" i="1"/>
  <c r="AO696" i="1"/>
  <c r="AO695" i="1"/>
  <c r="AO694" i="1"/>
  <c r="AO693" i="1"/>
  <c r="AO692" i="1"/>
  <c r="AO691" i="1"/>
  <c r="AO690" i="1"/>
  <c r="AO689" i="1"/>
  <c r="AO688" i="1"/>
  <c r="AO687" i="1"/>
  <c r="AO686" i="1"/>
  <c r="AO685" i="1"/>
  <c r="AO684" i="1"/>
  <c r="AO683" i="1"/>
  <c r="AO682" i="1"/>
  <c r="AO681" i="1"/>
  <c r="AO680" i="1"/>
  <c r="AO679" i="1"/>
  <c r="AO678" i="1"/>
  <c r="AO677" i="1"/>
  <c r="AO676" i="1"/>
  <c r="AO675" i="1"/>
  <c r="AO674" i="1"/>
  <c r="AO673" i="1"/>
  <c r="AO672" i="1"/>
  <c r="AO671" i="1"/>
  <c r="AO670" i="1"/>
  <c r="AO669" i="1"/>
  <c r="AO668" i="1"/>
  <c r="AO667" i="1"/>
  <c r="AO666" i="1"/>
  <c r="AO665" i="1"/>
  <c r="AO664" i="1"/>
  <c r="AO663" i="1"/>
  <c r="AO662" i="1"/>
  <c r="AO661" i="1"/>
  <c r="AO660" i="1"/>
  <c r="AO659" i="1"/>
  <c r="AO658" i="1"/>
  <c r="AO657" i="1"/>
  <c r="AO656" i="1"/>
  <c r="AO655" i="1"/>
  <c r="AO654" i="1"/>
  <c r="AO653" i="1"/>
  <c r="AO652" i="1"/>
  <c r="AO651" i="1"/>
  <c r="AO650" i="1"/>
  <c r="AO649" i="1"/>
  <c r="AO648" i="1"/>
  <c r="AO647" i="1"/>
  <c r="AO646" i="1"/>
  <c r="AO645" i="1"/>
  <c r="AO644" i="1"/>
  <c r="AO643" i="1"/>
  <c r="AO642" i="1"/>
  <c r="AO641" i="1"/>
  <c r="AO640" i="1"/>
  <c r="AO639" i="1"/>
  <c r="AO638" i="1"/>
  <c r="AO637" i="1"/>
  <c r="AO636" i="1"/>
  <c r="AO635" i="1"/>
  <c r="AO634" i="1"/>
  <c r="AO633" i="1"/>
  <c r="AO632" i="1"/>
  <c r="AO631" i="1"/>
  <c r="AO630" i="1"/>
  <c r="AO629" i="1"/>
  <c r="AO628" i="1"/>
  <c r="AO627" i="1"/>
  <c r="AO626" i="1"/>
  <c r="AO625" i="1"/>
  <c r="AO624" i="1"/>
  <c r="AO623" i="1"/>
  <c r="AO622" i="1"/>
  <c r="AO621" i="1"/>
  <c r="AO620" i="1"/>
  <c r="AO619" i="1"/>
  <c r="AO618" i="1"/>
  <c r="AO617" i="1"/>
  <c r="AO616" i="1"/>
  <c r="AO615" i="1"/>
  <c r="AO614" i="1"/>
  <c r="AO613" i="1"/>
  <c r="AO612" i="1"/>
  <c r="AO611" i="1"/>
  <c r="AO610" i="1"/>
  <c r="AO609" i="1"/>
  <c r="AO608" i="1"/>
  <c r="AO607" i="1"/>
  <c r="AO606" i="1"/>
  <c r="AO605" i="1"/>
  <c r="AO604" i="1"/>
  <c r="AO603" i="1"/>
  <c r="AO602" i="1"/>
  <c r="AO601" i="1"/>
  <c r="AO600" i="1"/>
  <c r="AO599" i="1"/>
  <c r="AO598" i="1"/>
  <c r="AO597" i="1"/>
  <c r="AO596" i="1"/>
  <c r="AO595" i="1"/>
  <c r="AO594" i="1"/>
  <c r="AO593" i="1"/>
  <c r="AO592" i="1"/>
  <c r="AO591" i="1"/>
  <c r="AO590" i="1"/>
  <c r="AO589" i="1"/>
  <c r="AO588" i="1"/>
  <c r="AO587" i="1"/>
  <c r="AO586" i="1"/>
  <c r="AO585" i="1"/>
  <c r="AO584" i="1"/>
  <c r="AO583" i="1"/>
  <c r="AO582" i="1"/>
  <c r="AO581" i="1"/>
  <c r="AO580" i="1"/>
  <c r="AO579" i="1"/>
  <c r="AO578" i="1"/>
  <c r="AO577" i="1"/>
  <c r="AO576" i="1"/>
  <c r="AO575" i="1"/>
  <c r="AO574" i="1"/>
  <c r="AO573" i="1"/>
  <c r="AO572" i="1"/>
  <c r="AO571" i="1"/>
  <c r="AO570" i="1"/>
  <c r="AO569" i="1"/>
  <c r="AO568" i="1"/>
  <c r="AO567" i="1"/>
  <c r="AO566" i="1"/>
  <c r="AO565" i="1"/>
  <c r="AO564" i="1"/>
  <c r="AO563" i="1"/>
  <c r="AO562" i="1"/>
  <c r="AO561" i="1"/>
  <c r="AO560" i="1"/>
  <c r="AO559" i="1"/>
  <c r="AO558" i="1"/>
  <c r="AO557" i="1"/>
  <c r="AO556" i="1"/>
  <c r="AO555" i="1"/>
  <c r="AO554" i="1"/>
  <c r="AO553" i="1"/>
  <c r="AO552" i="1"/>
  <c r="AO551" i="1"/>
  <c r="AO550" i="1"/>
  <c r="AO549" i="1"/>
  <c r="AO548" i="1"/>
  <c r="AO547" i="1"/>
  <c r="AO546" i="1"/>
  <c r="AO545" i="1"/>
  <c r="AO544" i="1"/>
  <c r="AO543" i="1"/>
  <c r="AO542" i="1"/>
  <c r="AO541" i="1"/>
  <c r="AO540" i="1"/>
  <c r="AO539" i="1"/>
  <c r="AO538" i="1"/>
  <c r="AO537" i="1"/>
  <c r="AO536" i="1"/>
  <c r="AO535" i="1"/>
  <c r="AO534" i="1"/>
  <c r="AO533" i="1"/>
  <c r="AO532" i="1"/>
  <c r="AO531" i="1"/>
  <c r="AO530" i="1"/>
  <c r="AO529" i="1"/>
  <c r="AO528" i="1"/>
  <c r="AO527" i="1"/>
  <c r="AO526" i="1"/>
  <c r="AO525" i="1"/>
  <c r="AO524" i="1"/>
  <c r="AO523" i="1"/>
  <c r="AO522" i="1"/>
  <c r="AO521" i="1"/>
  <c r="AO520" i="1"/>
  <c r="AO519" i="1"/>
  <c r="AO518" i="1"/>
  <c r="AO517" i="1"/>
  <c r="AO516" i="1"/>
  <c r="AO515" i="1"/>
  <c r="AO514" i="1"/>
  <c r="AO513" i="1"/>
  <c r="AO512" i="1"/>
  <c r="AO511" i="1"/>
  <c r="AO510" i="1"/>
  <c r="AO509" i="1"/>
  <c r="AO508" i="1"/>
  <c r="AO507" i="1"/>
  <c r="AO506" i="1"/>
  <c r="AO505" i="1"/>
  <c r="AO504" i="1"/>
  <c r="AO503" i="1"/>
  <c r="AO502" i="1"/>
  <c r="AO501" i="1"/>
  <c r="AO500" i="1"/>
  <c r="AO499" i="1"/>
  <c r="AO498" i="1"/>
  <c r="AO497" i="1"/>
  <c r="AO496" i="1"/>
  <c r="AO495" i="1"/>
  <c r="AO494" i="1"/>
  <c r="AO493" i="1"/>
  <c r="AO492" i="1"/>
  <c r="AO491" i="1"/>
  <c r="AO490" i="1"/>
  <c r="AO489" i="1"/>
  <c r="AO488" i="1"/>
  <c r="AO487" i="1"/>
  <c r="AO486" i="1"/>
  <c r="AO485" i="1"/>
  <c r="AO484" i="1"/>
  <c r="AO483" i="1"/>
  <c r="AO482" i="1"/>
  <c r="AO481" i="1"/>
  <c r="AO480" i="1"/>
  <c r="AO479" i="1"/>
  <c r="AO478" i="1"/>
  <c r="AO477" i="1"/>
  <c r="AO476" i="1"/>
  <c r="AO475" i="1"/>
  <c r="AO474" i="1"/>
  <c r="AO473" i="1"/>
  <c r="AO472" i="1"/>
  <c r="AO471" i="1"/>
  <c r="AO470" i="1"/>
  <c r="AO469" i="1"/>
  <c r="AO468" i="1"/>
  <c r="AO467" i="1"/>
  <c r="AO466" i="1"/>
  <c r="AO465" i="1"/>
  <c r="AO464" i="1"/>
  <c r="AO463" i="1"/>
  <c r="AO462" i="1"/>
  <c r="AO461" i="1"/>
  <c r="AO460" i="1"/>
  <c r="AO459" i="1"/>
  <c r="AO458" i="1"/>
  <c r="AO457" i="1"/>
  <c r="AO456" i="1"/>
  <c r="AO455" i="1"/>
  <c r="AO454" i="1"/>
  <c r="AO453" i="1"/>
  <c r="AO452" i="1"/>
  <c r="AO451" i="1"/>
  <c r="AO450" i="1"/>
  <c r="AO449" i="1"/>
  <c r="AO448" i="1"/>
  <c r="AO447" i="1"/>
  <c r="AO446" i="1"/>
  <c r="AO445" i="1"/>
  <c r="AO444" i="1"/>
  <c r="AO443" i="1"/>
  <c r="AO442" i="1"/>
  <c r="AO441" i="1"/>
  <c r="AO440" i="1"/>
  <c r="AO439" i="1"/>
  <c r="AO438" i="1"/>
  <c r="AO437" i="1"/>
  <c r="AO436" i="1"/>
  <c r="AO435" i="1"/>
  <c r="AO434" i="1"/>
  <c r="AO433" i="1"/>
  <c r="AO432" i="1"/>
  <c r="AO431" i="1"/>
  <c r="AO430" i="1"/>
  <c r="AO429" i="1"/>
  <c r="AO428" i="1"/>
  <c r="AO427" i="1"/>
  <c r="AO426" i="1"/>
  <c r="AO425" i="1"/>
  <c r="AO424" i="1"/>
  <c r="AO423" i="1"/>
  <c r="AO422" i="1"/>
  <c r="AO421" i="1"/>
  <c r="AO420" i="1"/>
  <c r="AO419" i="1"/>
  <c r="AO418" i="1"/>
  <c r="AO417" i="1"/>
  <c r="AO416" i="1"/>
  <c r="AO415" i="1"/>
  <c r="AO414" i="1"/>
  <c r="AO413" i="1"/>
  <c r="AO412" i="1"/>
  <c r="AO411" i="1"/>
  <c r="AO410" i="1"/>
  <c r="AO409" i="1"/>
  <c r="AO408" i="1"/>
  <c r="AO407" i="1"/>
  <c r="AO406" i="1"/>
  <c r="AO405" i="1"/>
  <c r="AO404" i="1"/>
  <c r="AO403" i="1"/>
  <c r="AO402" i="1"/>
  <c r="AO401" i="1"/>
  <c r="AO400" i="1"/>
  <c r="AO399" i="1"/>
  <c r="AO398" i="1"/>
  <c r="AO397" i="1"/>
  <c r="AO396" i="1"/>
  <c r="AO395" i="1"/>
  <c r="AO394" i="1"/>
  <c r="AO393" i="1"/>
  <c r="AO392" i="1"/>
  <c r="AO391" i="1"/>
  <c r="AO390" i="1"/>
  <c r="AO389" i="1"/>
  <c r="AO388" i="1"/>
  <c r="AO387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O374" i="1"/>
  <c r="AO373" i="1"/>
  <c r="AO372" i="1"/>
  <c r="AO371" i="1"/>
  <c r="AO370" i="1"/>
  <c r="AO369" i="1"/>
  <c r="AO368" i="1"/>
  <c r="AO367" i="1"/>
  <c r="AO366" i="1"/>
  <c r="AO365" i="1"/>
  <c r="AO364" i="1"/>
  <c r="AO363" i="1"/>
  <c r="AO362" i="1"/>
  <c r="AO361" i="1"/>
  <c r="AO360" i="1"/>
  <c r="AO359" i="1"/>
  <c r="AO358" i="1"/>
  <c r="AO357" i="1"/>
  <c r="AO356" i="1"/>
  <c r="AO355" i="1"/>
  <c r="AO354" i="1"/>
  <c r="AO353" i="1"/>
  <c r="AO352" i="1"/>
  <c r="AO351" i="1"/>
  <c r="AO350" i="1"/>
  <c r="AO349" i="1"/>
  <c r="AO348" i="1"/>
  <c r="AO347" i="1"/>
  <c r="AO346" i="1"/>
  <c r="AO345" i="1"/>
  <c r="AO344" i="1"/>
  <c r="AO343" i="1"/>
  <c r="AO342" i="1"/>
  <c r="AO341" i="1"/>
  <c r="AO340" i="1"/>
  <c r="AO339" i="1"/>
  <c r="AO338" i="1"/>
  <c r="AO337" i="1"/>
  <c r="AO336" i="1"/>
  <c r="AO335" i="1"/>
  <c r="AO334" i="1"/>
  <c r="AO333" i="1"/>
  <c r="AO332" i="1"/>
  <c r="AO331" i="1"/>
  <c r="AO330" i="1"/>
  <c r="AO329" i="1"/>
  <c r="AO328" i="1"/>
  <c r="AO327" i="1"/>
  <c r="AO326" i="1"/>
  <c r="AO325" i="1"/>
  <c r="AO324" i="1"/>
  <c r="AO323" i="1"/>
  <c r="AO322" i="1"/>
  <c r="AO321" i="1"/>
  <c r="AO320" i="1"/>
  <c r="AO319" i="1"/>
  <c r="AO318" i="1"/>
  <c r="AO317" i="1"/>
  <c r="AO316" i="1"/>
  <c r="AO315" i="1"/>
  <c r="AO314" i="1"/>
  <c r="AO313" i="1"/>
  <c r="AO312" i="1"/>
  <c r="AO311" i="1"/>
  <c r="AO310" i="1"/>
  <c r="AO309" i="1"/>
  <c r="AO308" i="1"/>
  <c r="AO307" i="1"/>
  <c r="AO306" i="1"/>
  <c r="AO305" i="1"/>
  <c r="AO304" i="1"/>
  <c r="AO303" i="1"/>
  <c r="AO302" i="1"/>
  <c r="AO301" i="1"/>
  <c r="AO300" i="1"/>
  <c r="AO299" i="1"/>
  <c r="AO298" i="1"/>
  <c r="AO297" i="1"/>
  <c r="AO296" i="1"/>
  <c r="AO295" i="1"/>
  <c r="AO294" i="1"/>
  <c r="AO293" i="1"/>
  <c r="AO292" i="1"/>
  <c r="AO291" i="1"/>
  <c r="AO290" i="1"/>
  <c r="AO289" i="1"/>
  <c r="AO288" i="1"/>
  <c r="AO287" i="1"/>
  <c r="AO286" i="1"/>
  <c r="AO285" i="1"/>
  <c r="AO284" i="1"/>
  <c r="AO283" i="1"/>
  <c r="AO282" i="1"/>
  <c r="AO281" i="1"/>
  <c r="AO280" i="1"/>
  <c r="AO279" i="1"/>
  <c r="AO278" i="1"/>
  <c r="AO277" i="1"/>
  <c r="AO276" i="1"/>
  <c r="AO275" i="1"/>
  <c r="AO274" i="1"/>
  <c r="AO273" i="1"/>
  <c r="AO272" i="1"/>
  <c r="AO271" i="1"/>
  <c r="AO270" i="1"/>
  <c r="AO269" i="1"/>
  <c r="AO268" i="1"/>
  <c r="AO267" i="1"/>
  <c r="AO266" i="1"/>
  <c r="AO265" i="1"/>
  <c r="AO264" i="1"/>
  <c r="AO263" i="1"/>
  <c r="AO262" i="1"/>
  <c r="AO261" i="1"/>
  <c r="AO260" i="1"/>
  <c r="AO259" i="1"/>
  <c r="AO258" i="1"/>
  <c r="AO257" i="1"/>
  <c r="AO256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AO239" i="1"/>
  <c r="AO238" i="1"/>
  <c r="AO237" i="1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K144" i="12" l="1"/>
  <c r="L144" i="12" s="1"/>
  <c r="K141" i="12"/>
  <c r="C66" i="12"/>
  <c r="E96" i="12"/>
  <c r="E97" i="12" s="1"/>
  <c r="C93" i="12"/>
  <c r="D96" i="12"/>
  <c r="D97" i="12" s="1"/>
  <c r="D98" i="12" s="1"/>
  <c r="C96" i="12"/>
  <c r="C97" i="12" s="1"/>
  <c r="B96" i="12"/>
  <c r="B97" i="12" s="1"/>
  <c r="L89" i="12"/>
  <c r="L88" i="12"/>
  <c r="L86" i="12"/>
  <c r="L84" i="12"/>
  <c r="L83" i="12"/>
  <c r="L82" i="12"/>
  <c r="F15" i="12"/>
  <c r="C15" i="12"/>
  <c r="B15" i="12"/>
  <c r="L6" i="12"/>
  <c r="L2" i="12"/>
  <c r="E15" i="12"/>
  <c r="E16" i="12" s="1"/>
  <c r="C16" i="12"/>
  <c r="B16" i="12"/>
  <c r="D15" i="12"/>
  <c r="D14" i="12"/>
  <c r="M35" i="12"/>
  <c r="AA2" i="1" l="1"/>
  <c r="Z2" i="1"/>
  <c r="G15" i="12"/>
  <c r="M86" i="12"/>
  <c r="C98" i="12"/>
  <c r="E98" i="12"/>
  <c r="M58" i="12" l="1"/>
  <c r="M57" i="12"/>
  <c r="B69" i="12" s="1"/>
  <c r="B70" i="12" s="1"/>
  <c r="M59" i="12"/>
  <c r="M60" i="12"/>
  <c r="M61" i="12"/>
  <c r="M62" i="12"/>
  <c r="M63" i="12"/>
  <c r="N63" i="12" s="1"/>
  <c r="M56" i="12"/>
  <c r="M34" i="12"/>
  <c r="M33" i="12"/>
  <c r="L8" i="12"/>
  <c r="L9" i="12"/>
  <c r="N62" i="12" l="1"/>
  <c r="D69" i="12"/>
  <c r="N60" i="12"/>
  <c r="C69" i="12"/>
  <c r="C70" i="12" l="1"/>
  <c r="C71" i="12" s="1"/>
  <c r="C73" i="12"/>
  <c r="D73" i="12"/>
  <c r="D70" i="12"/>
  <c r="D71" i="12" s="1"/>
  <c r="B817" i="1" l="1"/>
  <c r="A817" i="1"/>
  <c r="AI817" i="1" l="1"/>
  <c r="AJ817" i="1"/>
  <c r="AL817" i="1"/>
  <c r="AM817" i="1" l="1"/>
  <c r="AK817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4" i="1"/>
  <c r="AJ875" i="1" l="1"/>
  <c r="AL875" i="1"/>
  <c r="AI875" i="1"/>
  <c r="AJ867" i="1"/>
  <c r="AL867" i="1"/>
  <c r="AI867" i="1"/>
  <c r="AJ859" i="1"/>
  <c r="AL859" i="1"/>
  <c r="AI859" i="1"/>
  <c r="AJ851" i="1"/>
  <c r="AI851" i="1"/>
  <c r="AL851" i="1"/>
  <c r="AJ843" i="1"/>
  <c r="AL843" i="1"/>
  <c r="AI843" i="1"/>
  <c r="AJ835" i="1"/>
  <c r="AI835" i="1"/>
  <c r="AL835" i="1"/>
  <c r="AJ827" i="1"/>
  <c r="AI827" i="1"/>
  <c r="AL827" i="1"/>
  <c r="AJ819" i="1"/>
  <c r="AL819" i="1"/>
  <c r="AI819" i="1"/>
  <c r="AJ810" i="1"/>
  <c r="AI810" i="1"/>
  <c r="AL810" i="1"/>
  <c r="AJ802" i="1"/>
  <c r="AI802" i="1"/>
  <c r="AL802" i="1"/>
  <c r="AJ794" i="1"/>
  <c r="AI794" i="1"/>
  <c r="AL794" i="1"/>
  <c r="AJ786" i="1"/>
  <c r="AI786" i="1"/>
  <c r="AL786" i="1"/>
  <c r="AI778" i="1"/>
  <c r="AJ778" i="1"/>
  <c r="AL778" i="1"/>
  <c r="AJ770" i="1"/>
  <c r="AI770" i="1"/>
  <c r="AL770" i="1"/>
  <c r="AJ762" i="1"/>
  <c r="AI762" i="1"/>
  <c r="AL762" i="1"/>
  <c r="AJ754" i="1"/>
  <c r="AI754" i="1"/>
  <c r="AL754" i="1"/>
  <c r="AJ746" i="1"/>
  <c r="AI746" i="1"/>
  <c r="AL746" i="1"/>
  <c r="AJ738" i="1"/>
  <c r="AI738" i="1"/>
  <c r="AL738" i="1"/>
  <c r="AJ730" i="1"/>
  <c r="AI730" i="1"/>
  <c r="AL730" i="1"/>
  <c r="AJ722" i="1"/>
  <c r="AI722" i="1"/>
  <c r="AL722" i="1"/>
  <c r="AI714" i="1"/>
  <c r="AJ714" i="1"/>
  <c r="AL714" i="1"/>
  <c r="AJ706" i="1"/>
  <c r="AI706" i="1"/>
  <c r="AL706" i="1"/>
  <c r="AJ698" i="1"/>
  <c r="AI698" i="1"/>
  <c r="AL698" i="1"/>
  <c r="AJ690" i="1"/>
  <c r="AI690" i="1"/>
  <c r="AL690" i="1"/>
  <c r="AJ682" i="1"/>
  <c r="AI682" i="1"/>
  <c r="AL682" i="1"/>
  <c r="AI674" i="1"/>
  <c r="AJ674" i="1"/>
  <c r="AL674" i="1"/>
  <c r="AJ666" i="1"/>
  <c r="AI666" i="1"/>
  <c r="AL666" i="1"/>
  <c r="AJ658" i="1"/>
  <c r="AI658" i="1"/>
  <c r="AL658" i="1"/>
  <c r="AJ650" i="1"/>
  <c r="AI650" i="1"/>
  <c r="AL650" i="1"/>
  <c r="AJ642" i="1"/>
  <c r="AI642" i="1"/>
  <c r="AL642" i="1"/>
  <c r="AJ634" i="1"/>
  <c r="AI634" i="1"/>
  <c r="AL634" i="1"/>
  <c r="AJ626" i="1"/>
  <c r="AI626" i="1"/>
  <c r="AL626" i="1"/>
  <c r="AJ618" i="1"/>
  <c r="AI618" i="1"/>
  <c r="AL618" i="1"/>
  <c r="AI610" i="1"/>
  <c r="AJ610" i="1"/>
  <c r="AL610" i="1"/>
  <c r="AJ602" i="1"/>
  <c r="AI602" i="1"/>
  <c r="AL602" i="1"/>
  <c r="AJ594" i="1"/>
  <c r="AI594" i="1"/>
  <c r="AL594" i="1"/>
  <c r="AJ586" i="1"/>
  <c r="AI586" i="1"/>
  <c r="AL586" i="1"/>
  <c r="AJ578" i="1"/>
  <c r="AI578" i="1"/>
  <c r="AL578" i="1"/>
  <c r="AJ570" i="1"/>
  <c r="AI570" i="1"/>
  <c r="AL570" i="1"/>
  <c r="AJ562" i="1"/>
  <c r="AI562" i="1"/>
  <c r="AL562" i="1"/>
  <c r="AJ554" i="1"/>
  <c r="AI554" i="1"/>
  <c r="AL554" i="1"/>
  <c r="AI546" i="1"/>
  <c r="AJ546" i="1"/>
  <c r="AL546" i="1"/>
  <c r="AJ538" i="1"/>
  <c r="AI538" i="1"/>
  <c r="AL538" i="1"/>
  <c r="AJ530" i="1"/>
  <c r="AI530" i="1"/>
  <c r="AL530" i="1"/>
  <c r="AJ522" i="1"/>
  <c r="AI522" i="1"/>
  <c r="AL522" i="1"/>
  <c r="AJ514" i="1"/>
  <c r="AI514" i="1"/>
  <c r="AL514" i="1"/>
  <c r="AI506" i="1"/>
  <c r="AJ506" i="1"/>
  <c r="AL506" i="1"/>
  <c r="AJ498" i="1"/>
  <c r="AI498" i="1"/>
  <c r="AL498" i="1"/>
  <c r="AJ490" i="1"/>
  <c r="AI490" i="1"/>
  <c r="AL490" i="1"/>
  <c r="AJ482" i="1"/>
  <c r="AI482" i="1"/>
  <c r="AL482" i="1"/>
  <c r="AJ474" i="1"/>
  <c r="AI474" i="1"/>
  <c r="AL474" i="1"/>
  <c r="AJ466" i="1"/>
  <c r="AI466" i="1"/>
  <c r="AL466" i="1"/>
  <c r="AJ458" i="1"/>
  <c r="AI458" i="1"/>
  <c r="AL458" i="1"/>
  <c r="AJ450" i="1"/>
  <c r="AI450" i="1"/>
  <c r="AL450" i="1"/>
  <c r="AJ442" i="1"/>
  <c r="AL442" i="1"/>
  <c r="AI442" i="1"/>
  <c r="AJ434" i="1"/>
  <c r="AL434" i="1"/>
  <c r="AI434" i="1"/>
  <c r="AJ426" i="1"/>
  <c r="AL426" i="1"/>
  <c r="AI426" i="1"/>
  <c r="AJ418" i="1"/>
  <c r="AL418" i="1"/>
  <c r="AI418" i="1"/>
  <c r="AJ410" i="1"/>
  <c r="AL410" i="1"/>
  <c r="AI410" i="1"/>
  <c r="AJ402" i="1"/>
  <c r="AL402" i="1"/>
  <c r="AI402" i="1"/>
  <c r="AJ394" i="1"/>
  <c r="AL394" i="1"/>
  <c r="AI394" i="1"/>
  <c r="AJ386" i="1"/>
  <c r="AL386" i="1"/>
  <c r="AI386" i="1"/>
  <c r="AJ378" i="1"/>
  <c r="AL378" i="1"/>
  <c r="AI378" i="1"/>
  <c r="AJ370" i="1"/>
  <c r="AL370" i="1"/>
  <c r="AI370" i="1"/>
  <c r="AJ362" i="1"/>
  <c r="AL362" i="1"/>
  <c r="AI362" i="1"/>
  <c r="AJ354" i="1"/>
  <c r="AL354" i="1"/>
  <c r="AI354" i="1"/>
  <c r="AJ346" i="1"/>
  <c r="AL346" i="1"/>
  <c r="AI346" i="1"/>
  <c r="AJ338" i="1"/>
  <c r="AL338" i="1"/>
  <c r="AI338" i="1"/>
  <c r="AJ330" i="1"/>
  <c r="AL330" i="1"/>
  <c r="AI330" i="1"/>
  <c r="AJ322" i="1"/>
  <c r="AL322" i="1"/>
  <c r="AI322" i="1"/>
  <c r="AJ314" i="1"/>
  <c r="AL314" i="1"/>
  <c r="AI314" i="1"/>
  <c r="AJ306" i="1"/>
  <c r="AL306" i="1"/>
  <c r="AI306" i="1"/>
  <c r="AJ298" i="1"/>
  <c r="AL298" i="1"/>
  <c r="AI298" i="1"/>
  <c r="AJ290" i="1"/>
  <c r="AL290" i="1"/>
  <c r="AI290" i="1"/>
  <c r="AJ282" i="1"/>
  <c r="AL282" i="1"/>
  <c r="AI282" i="1"/>
  <c r="AJ274" i="1"/>
  <c r="AL274" i="1"/>
  <c r="AI274" i="1"/>
  <c r="AJ266" i="1"/>
  <c r="AL266" i="1"/>
  <c r="AI266" i="1"/>
  <c r="AJ258" i="1"/>
  <c r="AL258" i="1"/>
  <c r="AI258" i="1"/>
  <c r="AJ250" i="1"/>
  <c r="AL250" i="1"/>
  <c r="AI250" i="1"/>
  <c r="AJ242" i="1"/>
  <c r="AL242" i="1"/>
  <c r="AI242" i="1"/>
  <c r="AJ234" i="1"/>
  <c r="AL234" i="1"/>
  <c r="AI234" i="1"/>
  <c r="AJ226" i="1"/>
  <c r="AL226" i="1"/>
  <c r="AI226" i="1"/>
  <c r="AJ218" i="1"/>
  <c r="AL218" i="1"/>
  <c r="AI218" i="1"/>
  <c r="AJ210" i="1"/>
  <c r="AL210" i="1"/>
  <c r="AI210" i="1"/>
  <c r="AJ202" i="1"/>
  <c r="AL202" i="1"/>
  <c r="AI202" i="1"/>
  <c r="AJ194" i="1"/>
  <c r="AL194" i="1"/>
  <c r="AI194" i="1"/>
  <c r="AJ186" i="1"/>
  <c r="AL186" i="1"/>
  <c r="AI186" i="1"/>
  <c r="AJ178" i="1"/>
  <c r="AL178" i="1"/>
  <c r="AI178" i="1"/>
  <c r="AJ170" i="1"/>
  <c r="AL170" i="1"/>
  <c r="AI170" i="1"/>
  <c r="AJ162" i="1"/>
  <c r="AL162" i="1"/>
  <c r="AI162" i="1"/>
  <c r="AJ154" i="1"/>
  <c r="AL154" i="1"/>
  <c r="AI154" i="1"/>
  <c r="AJ146" i="1"/>
  <c r="AL146" i="1"/>
  <c r="AI146" i="1"/>
  <c r="AJ138" i="1"/>
  <c r="AL138" i="1"/>
  <c r="AI138" i="1"/>
  <c r="AJ130" i="1"/>
  <c r="AL130" i="1"/>
  <c r="AI130" i="1"/>
  <c r="AJ122" i="1"/>
  <c r="AL122" i="1"/>
  <c r="AI122" i="1"/>
  <c r="AJ114" i="1"/>
  <c r="AL114" i="1"/>
  <c r="AI114" i="1"/>
  <c r="AJ106" i="1"/>
  <c r="AL106" i="1"/>
  <c r="AI106" i="1"/>
  <c r="AJ98" i="1"/>
  <c r="AL98" i="1"/>
  <c r="AI98" i="1"/>
  <c r="AJ90" i="1"/>
  <c r="AL90" i="1"/>
  <c r="AI90" i="1"/>
  <c r="AJ82" i="1"/>
  <c r="AL82" i="1"/>
  <c r="AI82" i="1"/>
  <c r="AJ74" i="1"/>
  <c r="AL74" i="1"/>
  <c r="AI74" i="1"/>
  <c r="AJ66" i="1"/>
  <c r="AL66" i="1"/>
  <c r="AI66" i="1"/>
  <c r="AJ58" i="1"/>
  <c r="AL58" i="1"/>
  <c r="AI58" i="1"/>
  <c r="AJ50" i="1"/>
  <c r="AL50" i="1"/>
  <c r="AI50" i="1"/>
  <c r="AJ42" i="1"/>
  <c r="AL42" i="1"/>
  <c r="AI42" i="1"/>
  <c r="AJ34" i="1"/>
  <c r="AL34" i="1"/>
  <c r="AI34" i="1"/>
  <c r="AJ26" i="1"/>
  <c r="AL26" i="1"/>
  <c r="AI26" i="1"/>
  <c r="AJ18" i="1"/>
  <c r="AL18" i="1"/>
  <c r="AI18" i="1"/>
  <c r="AJ10" i="1"/>
  <c r="AL10" i="1"/>
  <c r="AI10" i="1"/>
  <c r="AJ874" i="1"/>
  <c r="AI874" i="1"/>
  <c r="AL874" i="1"/>
  <c r="AJ866" i="1"/>
  <c r="AI866" i="1"/>
  <c r="AL866" i="1"/>
  <c r="AJ858" i="1"/>
  <c r="AI858" i="1"/>
  <c r="AL858" i="1"/>
  <c r="AJ850" i="1"/>
  <c r="AI850" i="1"/>
  <c r="AL850" i="1"/>
  <c r="AI842" i="1"/>
  <c r="AJ842" i="1"/>
  <c r="AL842" i="1"/>
  <c r="AJ834" i="1"/>
  <c r="AI834" i="1"/>
  <c r="AL834" i="1"/>
  <c r="AJ826" i="1"/>
  <c r="AI826" i="1"/>
  <c r="AL826" i="1"/>
  <c r="AJ818" i="1"/>
  <c r="AI818" i="1"/>
  <c r="AL818" i="1"/>
  <c r="AJ809" i="1"/>
  <c r="AI809" i="1"/>
  <c r="AL809" i="1"/>
  <c r="AI801" i="1"/>
  <c r="AJ801" i="1"/>
  <c r="AL801" i="1"/>
  <c r="AJ793" i="1"/>
  <c r="AI793" i="1"/>
  <c r="AL793" i="1"/>
  <c r="AJ785" i="1"/>
  <c r="AI785" i="1"/>
  <c r="AL785" i="1"/>
  <c r="AI777" i="1"/>
  <c r="AJ777" i="1"/>
  <c r="AL777" i="1"/>
  <c r="AJ769" i="1"/>
  <c r="AI769" i="1"/>
  <c r="AL769" i="1"/>
  <c r="AJ761" i="1"/>
  <c r="AI761" i="1"/>
  <c r="AL761" i="1"/>
  <c r="AI753" i="1"/>
  <c r="AJ753" i="1"/>
  <c r="AL753" i="1"/>
  <c r="AJ745" i="1"/>
  <c r="AI745" i="1"/>
  <c r="AL745" i="1"/>
  <c r="AJ737" i="1"/>
  <c r="AI737" i="1"/>
  <c r="AL737" i="1"/>
  <c r="AJ729" i="1"/>
  <c r="AI729" i="1"/>
  <c r="AL729" i="1"/>
  <c r="AJ721" i="1"/>
  <c r="AI721" i="1"/>
  <c r="AL721" i="1"/>
  <c r="AI713" i="1"/>
  <c r="AJ713" i="1"/>
  <c r="AL713" i="1"/>
  <c r="AJ705" i="1"/>
  <c r="AI705" i="1"/>
  <c r="AL705" i="1"/>
  <c r="AJ697" i="1"/>
  <c r="AI697" i="1"/>
  <c r="AL697" i="1"/>
  <c r="AI689" i="1"/>
  <c r="AJ689" i="1"/>
  <c r="AL689" i="1"/>
  <c r="AJ681" i="1"/>
  <c r="AI681" i="1"/>
  <c r="AL681" i="1"/>
  <c r="AJ673" i="1"/>
  <c r="AI673" i="1"/>
  <c r="AL673" i="1"/>
  <c r="AJ665" i="1"/>
  <c r="AI665" i="1"/>
  <c r="AL665" i="1"/>
  <c r="AJ657" i="1"/>
  <c r="AI657" i="1"/>
  <c r="AL657" i="1"/>
  <c r="AI649" i="1"/>
  <c r="AJ649" i="1"/>
  <c r="AL649" i="1"/>
  <c r="AJ641" i="1"/>
  <c r="AI641" i="1"/>
  <c r="AL641" i="1"/>
  <c r="AJ633" i="1"/>
  <c r="AI633" i="1"/>
  <c r="AL633" i="1"/>
  <c r="AI625" i="1"/>
  <c r="AJ625" i="1"/>
  <c r="AL625" i="1"/>
  <c r="AJ617" i="1"/>
  <c r="AI617" i="1"/>
  <c r="AL617" i="1"/>
  <c r="AI609" i="1"/>
  <c r="AJ609" i="1"/>
  <c r="AL609" i="1"/>
  <c r="AJ601" i="1"/>
  <c r="AI601" i="1"/>
  <c r="AL601" i="1"/>
  <c r="AJ593" i="1"/>
  <c r="AI593" i="1"/>
  <c r="AL593" i="1"/>
  <c r="AI585" i="1"/>
  <c r="AJ585" i="1"/>
  <c r="AL585" i="1"/>
  <c r="AJ577" i="1"/>
  <c r="AI577" i="1"/>
  <c r="AL577" i="1"/>
  <c r="AJ569" i="1"/>
  <c r="AI569" i="1"/>
  <c r="AL569" i="1"/>
  <c r="AJ561" i="1"/>
  <c r="AI561" i="1"/>
  <c r="AL561" i="1"/>
  <c r="AJ553" i="1"/>
  <c r="AI553" i="1"/>
  <c r="AL553" i="1"/>
  <c r="AI545" i="1"/>
  <c r="AJ545" i="1"/>
  <c r="AL545" i="1"/>
  <c r="AJ537" i="1"/>
  <c r="AI537" i="1"/>
  <c r="AL537" i="1"/>
  <c r="AJ529" i="1"/>
  <c r="AI529" i="1"/>
  <c r="AL529" i="1"/>
  <c r="AI521" i="1"/>
  <c r="AJ521" i="1"/>
  <c r="AL521" i="1"/>
  <c r="AJ513" i="1"/>
  <c r="AI513" i="1"/>
  <c r="AL513" i="1"/>
  <c r="AJ505" i="1"/>
  <c r="AI505" i="1"/>
  <c r="AL505" i="1"/>
  <c r="AJ497" i="1"/>
  <c r="AI497" i="1"/>
  <c r="AL497" i="1"/>
  <c r="AJ489" i="1"/>
  <c r="AI489" i="1"/>
  <c r="AL489" i="1"/>
  <c r="AI481" i="1"/>
  <c r="AJ481" i="1"/>
  <c r="AL481" i="1"/>
  <c r="AJ473" i="1"/>
  <c r="AI473" i="1"/>
  <c r="AL473" i="1"/>
  <c r="AJ465" i="1"/>
  <c r="AI465" i="1"/>
  <c r="AL465" i="1"/>
  <c r="AI457" i="1"/>
  <c r="AJ457" i="1"/>
  <c r="AL457" i="1"/>
  <c r="AJ449" i="1"/>
  <c r="AL449" i="1"/>
  <c r="AI449" i="1"/>
  <c r="AJ441" i="1"/>
  <c r="AL441" i="1"/>
  <c r="AI441" i="1"/>
  <c r="AJ433" i="1"/>
  <c r="AL433" i="1"/>
  <c r="AI433" i="1"/>
  <c r="AJ425" i="1"/>
  <c r="AL425" i="1"/>
  <c r="AI425" i="1"/>
  <c r="AJ417" i="1"/>
  <c r="AL417" i="1"/>
  <c r="AI417" i="1"/>
  <c r="AJ409" i="1"/>
  <c r="AL409" i="1"/>
  <c r="AI409" i="1"/>
  <c r="AJ401" i="1"/>
  <c r="AL401" i="1"/>
  <c r="AI401" i="1"/>
  <c r="AJ393" i="1"/>
  <c r="AL393" i="1"/>
  <c r="AI393" i="1"/>
  <c r="AJ385" i="1"/>
  <c r="AL385" i="1"/>
  <c r="AI385" i="1"/>
  <c r="AJ377" i="1"/>
  <c r="AL377" i="1"/>
  <c r="AI377" i="1"/>
  <c r="AJ369" i="1"/>
  <c r="AL369" i="1"/>
  <c r="AI369" i="1"/>
  <c r="AJ361" i="1"/>
  <c r="AL361" i="1"/>
  <c r="AI361" i="1"/>
  <c r="AJ353" i="1"/>
  <c r="AL353" i="1"/>
  <c r="AI353" i="1"/>
  <c r="AJ345" i="1"/>
  <c r="AL345" i="1"/>
  <c r="AI345" i="1"/>
  <c r="AJ337" i="1"/>
  <c r="AL337" i="1"/>
  <c r="AI337" i="1"/>
  <c r="AJ329" i="1"/>
  <c r="AL329" i="1"/>
  <c r="AI329" i="1"/>
  <c r="AJ321" i="1"/>
  <c r="AL321" i="1"/>
  <c r="AI321" i="1"/>
  <c r="AJ313" i="1"/>
  <c r="AL313" i="1"/>
  <c r="AI313" i="1"/>
  <c r="AJ305" i="1"/>
  <c r="AL305" i="1"/>
  <c r="AI305" i="1"/>
  <c r="AJ297" i="1"/>
  <c r="AL297" i="1"/>
  <c r="AI297" i="1"/>
  <c r="AJ289" i="1"/>
  <c r="AL289" i="1"/>
  <c r="AI289" i="1"/>
  <c r="AJ281" i="1"/>
  <c r="AL281" i="1"/>
  <c r="AI281" i="1"/>
  <c r="AJ273" i="1"/>
  <c r="AL273" i="1"/>
  <c r="AI273" i="1"/>
  <c r="AJ265" i="1"/>
  <c r="AI265" i="1"/>
  <c r="AL265" i="1"/>
  <c r="AJ257" i="1"/>
  <c r="AI257" i="1"/>
  <c r="AL257" i="1"/>
  <c r="AJ249" i="1"/>
  <c r="AI249" i="1"/>
  <c r="AL249" i="1"/>
  <c r="AJ241" i="1"/>
  <c r="AI241" i="1"/>
  <c r="AL241" i="1"/>
  <c r="AJ233" i="1"/>
  <c r="AI233" i="1"/>
  <c r="AL233" i="1"/>
  <c r="AJ225" i="1"/>
  <c r="AI225" i="1"/>
  <c r="AL225" i="1"/>
  <c r="AJ217" i="1"/>
  <c r="AI217" i="1"/>
  <c r="AL217" i="1"/>
  <c r="AJ209" i="1"/>
  <c r="AI209" i="1"/>
  <c r="AL209" i="1"/>
  <c r="AJ201" i="1"/>
  <c r="AI201" i="1"/>
  <c r="AL201" i="1"/>
  <c r="AJ193" i="1"/>
  <c r="AI193" i="1"/>
  <c r="AL193" i="1"/>
  <c r="AJ185" i="1"/>
  <c r="AI185" i="1"/>
  <c r="AL185" i="1"/>
  <c r="AJ177" i="1"/>
  <c r="AI177" i="1"/>
  <c r="AL177" i="1"/>
  <c r="AJ169" i="1"/>
  <c r="AI169" i="1"/>
  <c r="AL169" i="1"/>
  <c r="AJ161" i="1"/>
  <c r="AI161" i="1"/>
  <c r="AL161" i="1"/>
  <c r="AJ153" i="1"/>
  <c r="AI153" i="1"/>
  <c r="AL153" i="1"/>
  <c r="AJ145" i="1"/>
  <c r="AI145" i="1"/>
  <c r="AL145" i="1"/>
  <c r="AJ137" i="1"/>
  <c r="AI137" i="1"/>
  <c r="AL137" i="1"/>
  <c r="AJ129" i="1"/>
  <c r="AI129" i="1"/>
  <c r="AL129" i="1"/>
  <c r="AJ121" i="1"/>
  <c r="AI121" i="1"/>
  <c r="AL121" i="1"/>
  <c r="AJ113" i="1"/>
  <c r="AI113" i="1"/>
  <c r="AL113" i="1"/>
  <c r="AJ105" i="1"/>
  <c r="AI105" i="1"/>
  <c r="AL105" i="1"/>
  <c r="AJ97" i="1"/>
  <c r="AI97" i="1"/>
  <c r="AL97" i="1"/>
  <c r="AJ89" i="1"/>
  <c r="AI89" i="1"/>
  <c r="AL89" i="1"/>
  <c r="AJ81" i="1"/>
  <c r="AI81" i="1"/>
  <c r="AL81" i="1"/>
  <c r="AJ73" i="1"/>
  <c r="AI73" i="1"/>
  <c r="AL73" i="1"/>
  <c r="AJ65" i="1"/>
  <c r="AI65" i="1"/>
  <c r="AL65" i="1"/>
  <c r="AJ57" i="1"/>
  <c r="AI57" i="1"/>
  <c r="AL57" i="1"/>
  <c r="AJ49" i="1"/>
  <c r="AI49" i="1"/>
  <c r="AL49" i="1"/>
  <c r="AJ41" i="1"/>
  <c r="AI41" i="1"/>
  <c r="AL41" i="1"/>
  <c r="AJ33" i="1"/>
  <c r="AI33" i="1"/>
  <c r="AL33" i="1"/>
  <c r="AJ25" i="1"/>
  <c r="AL25" i="1"/>
  <c r="AI25" i="1"/>
  <c r="AJ17" i="1"/>
  <c r="AL17" i="1"/>
  <c r="AI17" i="1"/>
  <c r="AJ9" i="1"/>
  <c r="AI9" i="1"/>
  <c r="AL9" i="1"/>
  <c r="AJ873" i="1"/>
  <c r="AI873" i="1"/>
  <c r="AL873" i="1"/>
  <c r="AI865" i="1"/>
  <c r="AJ865" i="1"/>
  <c r="AL865" i="1"/>
  <c r="AJ857" i="1"/>
  <c r="AI857" i="1"/>
  <c r="AL857" i="1"/>
  <c r="AJ849" i="1"/>
  <c r="AI849" i="1"/>
  <c r="AL849" i="1"/>
  <c r="AJ841" i="1"/>
  <c r="AI841" i="1"/>
  <c r="AL841" i="1"/>
  <c r="AJ833" i="1"/>
  <c r="AI833" i="1"/>
  <c r="AL833" i="1"/>
  <c r="AJ825" i="1"/>
  <c r="AI825" i="1"/>
  <c r="AL825" i="1"/>
  <c r="AL816" i="1"/>
  <c r="AJ816" i="1"/>
  <c r="AI816" i="1"/>
  <c r="AJ808" i="1"/>
  <c r="AL808" i="1"/>
  <c r="AI808" i="1"/>
  <c r="AJ800" i="1"/>
  <c r="AL800" i="1"/>
  <c r="AI800" i="1"/>
  <c r="AJ792" i="1"/>
  <c r="AL792" i="1"/>
  <c r="AI792" i="1"/>
  <c r="AJ784" i="1"/>
  <c r="AL784" i="1"/>
  <c r="AI784" i="1"/>
  <c r="AJ776" i="1"/>
  <c r="AL776" i="1"/>
  <c r="AI776" i="1"/>
  <c r="AJ768" i="1"/>
  <c r="AL768" i="1"/>
  <c r="AI768" i="1"/>
  <c r="AJ760" i="1"/>
  <c r="AL760" i="1"/>
  <c r="AI760" i="1"/>
  <c r="AL752" i="1"/>
  <c r="AJ752" i="1"/>
  <c r="AI752" i="1"/>
  <c r="AJ744" i="1"/>
  <c r="AL744" i="1"/>
  <c r="AI744" i="1"/>
  <c r="AJ736" i="1"/>
  <c r="AL736" i="1"/>
  <c r="AI736" i="1"/>
  <c r="AJ728" i="1"/>
  <c r="AL728" i="1"/>
  <c r="AI728" i="1"/>
  <c r="AJ720" i="1"/>
  <c r="AL720" i="1"/>
  <c r="AI720" i="1"/>
  <c r="AL712" i="1"/>
  <c r="AJ712" i="1"/>
  <c r="AI712" i="1"/>
  <c r="AJ704" i="1"/>
  <c r="AL704" i="1"/>
  <c r="AI704" i="1"/>
  <c r="AJ696" i="1"/>
  <c r="AL696" i="1"/>
  <c r="AI696" i="1"/>
  <c r="AJ688" i="1"/>
  <c r="AL688" i="1"/>
  <c r="AI688" i="1"/>
  <c r="AJ680" i="1"/>
  <c r="AL680" i="1"/>
  <c r="AI680" i="1"/>
  <c r="AJ672" i="1"/>
  <c r="AL672" i="1"/>
  <c r="AI672" i="1"/>
  <c r="AJ664" i="1"/>
  <c r="AL664" i="1"/>
  <c r="AI664" i="1"/>
  <c r="AJ656" i="1"/>
  <c r="AL656" i="1"/>
  <c r="AI656" i="1"/>
  <c r="AL648" i="1"/>
  <c r="AJ648" i="1"/>
  <c r="AI648" i="1"/>
  <c r="AJ640" i="1"/>
  <c r="AL640" i="1"/>
  <c r="AI640" i="1"/>
  <c r="AJ632" i="1"/>
  <c r="AL632" i="1"/>
  <c r="AI632" i="1"/>
  <c r="AJ624" i="1"/>
  <c r="AL624" i="1"/>
  <c r="AI624" i="1"/>
  <c r="AJ616" i="1"/>
  <c r="AL616" i="1"/>
  <c r="AI616" i="1"/>
  <c r="AJ608" i="1"/>
  <c r="AL608" i="1"/>
  <c r="AI608" i="1"/>
  <c r="AJ600" i="1"/>
  <c r="AL600" i="1"/>
  <c r="AI600" i="1"/>
  <c r="AJ592" i="1"/>
  <c r="AL592" i="1"/>
  <c r="AI592" i="1"/>
  <c r="AL584" i="1"/>
  <c r="AJ584" i="1"/>
  <c r="AI584" i="1"/>
  <c r="AJ576" i="1"/>
  <c r="AL576" i="1"/>
  <c r="AI576" i="1"/>
  <c r="AJ568" i="1"/>
  <c r="AL568" i="1"/>
  <c r="AI568" i="1"/>
  <c r="AJ560" i="1"/>
  <c r="AL560" i="1"/>
  <c r="AI560" i="1"/>
  <c r="AJ552" i="1"/>
  <c r="AL552" i="1"/>
  <c r="AI552" i="1"/>
  <c r="AJ544" i="1"/>
  <c r="AL544" i="1"/>
  <c r="AI544" i="1"/>
  <c r="AL536" i="1"/>
  <c r="AJ536" i="1"/>
  <c r="AI536" i="1"/>
  <c r="AJ528" i="1"/>
  <c r="AL528" i="1"/>
  <c r="AI528" i="1"/>
  <c r="AJ520" i="1"/>
  <c r="AL520" i="1"/>
  <c r="AI520" i="1"/>
  <c r="AJ512" i="1"/>
  <c r="AL512" i="1"/>
  <c r="AI512" i="1"/>
  <c r="AJ504" i="1"/>
  <c r="AL504" i="1"/>
  <c r="AI504" i="1"/>
  <c r="AJ496" i="1"/>
  <c r="AL496" i="1"/>
  <c r="AI496" i="1"/>
  <c r="AJ488" i="1"/>
  <c r="AL488" i="1"/>
  <c r="AI488" i="1"/>
  <c r="AJ480" i="1"/>
  <c r="AL480" i="1"/>
  <c r="AI480" i="1"/>
  <c r="AL472" i="1"/>
  <c r="AJ472" i="1"/>
  <c r="AI472" i="1"/>
  <c r="AJ464" i="1"/>
  <c r="AL464" i="1"/>
  <c r="AI464" i="1"/>
  <c r="AJ456" i="1"/>
  <c r="AL456" i="1"/>
  <c r="AI456" i="1"/>
  <c r="AJ448" i="1"/>
  <c r="AL448" i="1"/>
  <c r="AI448" i="1"/>
  <c r="AJ440" i="1"/>
  <c r="AI440" i="1"/>
  <c r="AL440" i="1"/>
  <c r="AJ432" i="1"/>
  <c r="AI432" i="1"/>
  <c r="AL432" i="1"/>
  <c r="AJ424" i="1"/>
  <c r="AL424" i="1"/>
  <c r="AI424" i="1"/>
  <c r="AJ416" i="1"/>
  <c r="AL416" i="1"/>
  <c r="AI416" i="1"/>
  <c r="AJ408" i="1"/>
  <c r="AI408" i="1"/>
  <c r="AL408" i="1"/>
  <c r="AJ400" i="1"/>
  <c r="AI400" i="1"/>
  <c r="AL400" i="1"/>
  <c r="AJ392" i="1"/>
  <c r="AL392" i="1"/>
  <c r="AI392" i="1"/>
  <c r="AJ384" i="1"/>
  <c r="AL384" i="1"/>
  <c r="AI384" i="1"/>
  <c r="AJ376" i="1"/>
  <c r="AI376" i="1"/>
  <c r="AL376" i="1"/>
  <c r="AJ368" i="1"/>
  <c r="AI368" i="1"/>
  <c r="AL368" i="1"/>
  <c r="AJ360" i="1"/>
  <c r="AL360" i="1"/>
  <c r="AI360" i="1"/>
  <c r="AJ352" i="1"/>
  <c r="AL352" i="1"/>
  <c r="AI352" i="1"/>
  <c r="AJ344" i="1"/>
  <c r="AI344" i="1"/>
  <c r="AL344" i="1"/>
  <c r="AJ336" i="1"/>
  <c r="AL336" i="1"/>
  <c r="AI336" i="1"/>
  <c r="AJ328" i="1"/>
  <c r="AL328" i="1"/>
  <c r="AI328" i="1"/>
  <c r="AJ320" i="1"/>
  <c r="AL320" i="1"/>
  <c r="AI320" i="1"/>
  <c r="AJ312" i="1"/>
  <c r="AL312" i="1"/>
  <c r="AI312" i="1"/>
  <c r="AJ304" i="1"/>
  <c r="AL304" i="1"/>
  <c r="AI304" i="1"/>
  <c r="AJ296" i="1"/>
  <c r="AL296" i="1"/>
  <c r="AI296" i="1"/>
  <c r="AJ288" i="1"/>
  <c r="AL288" i="1"/>
  <c r="AI288" i="1"/>
  <c r="AJ280" i="1"/>
  <c r="AL280" i="1"/>
  <c r="AI280" i="1"/>
  <c r="AJ272" i="1"/>
  <c r="AL272" i="1"/>
  <c r="AI272" i="1"/>
  <c r="AJ264" i="1"/>
  <c r="AI264" i="1"/>
  <c r="AL264" i="1"/>
  <c r="AJ256" i="1"/>
  <c r="AI256" i="1"/>
  <c r="AL256" i="1"/>
  <c r="AJ248" i="1"/>
  <c r="AI248" i="1"/>
  <c r="AL248" i="1"/>
  <c r="AJ240" i="1"/>
  <c r="AI240" i="1"/>
  <c r="AL240" i="1"/>
  <c r="AJ232" i="1"/>
  <c r="AI232" i="1"/>
  <c r="AL232" i="1"/>
  <c r="AJ224" i="1"/>
  <c r="AI224" i="1"/>
  <c r="AL224" i="1"/>
  <c r="AJ216" i="1"/>
  <c r="AI216" i="1"/>
  <c r="AL216" i="1"/>
  <c r="AJ208" i="1"/>
  <c r="AI208" i="1"/>
  <c r="AL208" i="1"/>
  <c r="AJ200" i="1"/>
  <c r="AI200" i="1"/>
  <c r="AL200" i="1"/>
  <c r="AJ192" i="1"/>
  <c r="AI192" i="1"/>
  <c r="AL192" i="1"/>
  <c r="AJ184" i="1"/>
  <c r="AI184" i="1"/>
  <c r="AL184" i="1"/>
  <c r="AJ176" i="1"/>
  <c r="AI176" i="1"/>
  <c r="AL176" i="1"/>
  <c r="AJ168" i="1"/>
  <c r="AI168" i="1"/>
  <c r="AL168" i="1"/>
  <c r="AJ160" i="1"/>
  <c r="AI160" i="1"/>
  <c r="AL160" i="1"/>
  <c r="AJ152" i="1"/>
  <c r="AI152" i="1"/>
  <c r="AL152" i="1"/>
  <c r="AJ144" i="1"/>
  <c r="AI144" i="1"/>
  <c r="AL144" i="1"/>
  <c r="AJ136" i="1"/>
  <c r="AI136" i="1"/>
  <c r="AL136" i="1"/>
  <c r="AJ128" i="1"/>
  <c r="AI128" i="1"/>
  <c r="AL128" i="1"/>
  <c r="AJ120" i="1"/>
  <c r="AI120" i="1"/>
  <c r="AL120" i="1"/>
  <c r="AJ112" i="1"/>
  <c r="AI112" i="1"/>
  <c r="AL112" i="1"/>
  <c r="AJ104" i="1"/>
  <c r="AI104" i="1"/>
  <c r="AL104" i="1"/>
  <c r="AJ96" i="1"/>
  <c r="AI96" i="1"/>
  <c r="AL96" i="1"/>
  <c r="AJ88" i="1"/>
  <c r="AI88" i="1"/>
  <c r="AL88" i="1"/>
  <c r="AJ80" i="1"/>
  <c r="AI80" i="1"/>
  <c r="AL80" i="1"/>
  <c r="AJ72" i="1"/>
  <c r="AI72" i="1"/>
  <c r="AL72" i="1"/>
  <c r="AJ64" i="1"/>
  <c r="AI64" i="1"/>
  <c r="AL64" i="1"/>
  <c r="AJ56" i="1"/>
  <c r="AI56" i="1"/>
  <c r="AL56" i="1"/>
  <c r="AJ48" i="1"/>
  <c r="AI48" i="1"/>
  <c r="AL48" i="1"/>
  <c r="AJ40" i="1"/>
  <c r="AI40" i="1"/>
  <c r="AL40" i="1"/>
  <c r="AJ32" i="1"/>
  <c r="AL32" i="1"/>
  <c r="AI32" i="1"/>
  <c r="AJ24" i="1"/>
  <c r="AL24" i="1"/>
  <c r="AI24" i="1"/>
  <c r="AJ16" i="1"/>
  <c r="AL16" i="1"/>
  <c r="AI16" i="1"/>
  <c r="AJ8" i="1"/>
  <c r="AL8" i="1"/>
  <c r="AI8" i="1"/>
  <c r="AJ872" i="1"/>
  <c r="AL872" i="1"/>
  <c r="AI872" i="1"/>
  <c r="AJ864" i="1"/>
  <c r="AL864" i="1"/>
  <c r="AI864" i="1"/>
  <c r="AJ856" i="1"/>
  <c r="AL856" i="1"/>
  <c r="AI856" i="1"/>
  <c r="AJ848" i="1"/>
  <c r="AL848" i="1"/>
  <c r="AI848" i="1"/>
  <c r="AJ840" i="1"/>
  <c r="AL840" i="1"/>
  <c r="AI840" i="1"/>
  <c r="AJ832" i="1"/>
  <c r="AL832" i="1"/>
  <c r="AI832" i="1"/>
  <c r="AJ824" i="1"/>
  <c r="AL824" i="1"/>
  <c r="AI824" i="1"/>
  <c r="AL815" i="1"/>
  <c r="AI815" i="1"/>
  <c r="AJ815" i="1"/>
  <c r="AJ807" i="1"/>
  <c r="AL807" i="1"/>
  <c r="AI807" i="1"/>
  <c r="AJ799" i="1"/>
  <c r="AL799" i="1"/>
  <c r="AI799" i="1"/>
  <c r="AL791" i="1"/>
  <c r="AI791" i="1"/>
  <c r="AJ791" i="1"/>
  <c r="AJ783" i="1"/>
  <c r="AL783" i="1"/>
  <c r="AI783" i="1"/>
  <c r="AJ775" i="1"/>
  <c r="AL775" i="1"/>
  <c r="AI775" i="1"/>
  <c r="AJ767" i="1"/>
  <c r="AL767" i="1"/>
  <c r="AI767" i="1"/>
  <c r="AJ759" i="1"/>
  <c r="AL759" i="1"/>
  <c r="AI759" i="1"/>
  <c r="AL751" i="1"/>
  <c r="AI751" i="1"/>
  <c r="AJ751" i="1"/>
  <c r="AJ743" i="1"/>
  <c r="AL743" i="1"/>
  <c r="AI743" i="1"/>
  <c r="AJ735" i="1"/>
  <c r="AL735" i="1"/>
  <c r="AI735" i="1"/>
  <c r="AL727" i="1"/>
  <c r="AJ727" i="1"/>
  <c r="AI727" i="1"/>
  <c r="AJ719" i="1"/>
  <c r="AL719" i="1"/>
  <c r="AI719" i="1"/>
  <c r="AJ711" i="1"/>
  <c r="AL711" i="1"/>
  <c r="AI711" i="1"/>
  <c r="AJ703" i="1"/>
  <c r="AL703" i="1"/>
  <c r="AI703" i="1"/>
  <c r="AJ695" i="1"/>
  <c r="AL695" i="1"/>
  <c r="AI695" i="1"/>
  <c r="AL687" i="1"/>
  <c r="AI687" i="1"/>
  <c r="AJ687" i="1"/>
  <c r="AJ679" i="1"/>
  <c r="AL679" i="1"/>
  <c r="AI679" i="1"/>
  <c r="AJ671" i="1"/>
  <c r="AL671" i="1"/>
  <c r="AI671" i="1"/>
  <c r="AL663" i="1"/>
  <c r="AJ663" i="1"/>
  <c r="AI663" i="1"/>
  <c r="AJ655" i="1"/>
  <c r="AL655" i="1"/>
  <c r="AI655" i="1"/>
  <c r="AJ647" i="1"/>
  <c r="AL647" i="1"/>
  <c r="AI647" i="1"/>
  <c r="AL639" i="1"/>
  <c r="AI639" i="1"/>
  <c r="AJ639" i="1"/>
  <c r="AJ631" i="1"/>
  <c r="AL631" i="1"/>
  <c r="AI631" i="1"/>
  <c r="AL623" i="1"/>
  <c r="AI623" i="1"/>
  <c r="AJ623" i="1"/>
  <c r="AJ615" i="1"/>
  <c r="AL615" i="1"/>
  <c r="AI615" i="1"/>
  <c r="AJ607" i="1"/>
  <c r="AL607" i="1"/>
  <c r="AI607" i="1"/>
  <c r="AJ599" i="1"/>
  <c r="AL599" i="1"/>
  <c r="AI599" i="1"/>
  <c r="AJ591" i="1"/>
  <c r="AL591" i="1"/>
  <c r="AI591" i="1"/>
  <c r="AJ583" i="1"/>
  <c r="AL583" i="1"/>
  <c r="AI583" i="1"/>
  <c r="AL575" i="1"/>
  <c r="AI575" i="1"/>
  <c r="AJ575" i="1"/>
  <c r="AJ567" i="1"/>
  <c r="AL567" i="1"/>
  <c r="AI567" i="1"/>
  <c r="AL559" i="1"/>
  <c r="AJ559" i="1"/>
  <c r="AI559" i="1"/>
  <c r="AJ551" i="1"/>
  <c r="AL551" i="1"/>
  <c r="AI551" i="1"/>
  <c r="AJ543" i="1"/>
  <c r="AL543" i="1"/>
  <c r="AI543" i="1"/>
  <c r="AJ535" i="1"/>
  <c r="AL535" i="1"/>
  <c r="AI535" i="1"/>
  <c r="AJ527" i="1"/>
  <c r="AL527" i="1"/>
  <c r="AI527" i="1"/>
  <c r="AJ519" i="1"/>
  <c r="AL519" i="1"/>
  <c r="AI519" i="1"/>
  <c r="AL511" i="1"/>
  <c r="AI511" i="1"/>
  <c r="AJ511" i="1"/>
  <c r="AJ503" i="1"/>
  <c r="AL503" i="1"/>
  <c r="AI503" i="1"/>
  <c r="AL495" i="1"/>
  <c r="AJ495" i="1"/>
  <c r="AI495" i="1"/>
  <c r="AJ487" i="1"/>
  <c r="AL487" i="1"/>
  <c r="AI487" i="1"/>
  <c r="AJ479" i="1"/>
  <c r="AL479" i="1"/>
  <c r="AI479" i="1"/>
  <c r="AL471" i="1"/>
  <c r="AI471" i="1"/>
  <c r="AJ471" i="1"/>
  <c r="AJ463" i="1"/>
  <c r="AL463" i="1"/>
  <c r="AI463" i="1"/>
  <c r="AJ455" i="1"/>
  <c r="AL455" i="1"/>
  <c r="AI455" i="1"/>
  <c r="AJ447" i="1"/>
  <c r="AL447" i="1"/>
  <c r="AI447" i="1"/>
  <c r="AJ439" i="1"/>
  <c r="AL439" i="1"/>
  <c r="AI439" i="1"/>
  <c r="AJ431" i="1"/>
  <c r="AL431" i="1"/>
  <c r="AI431" i="1"/>
  <c r="AJ423" i="1"/>
  <c r="AL423" i="1"/>
  <c r="AI423" i="1"/>
  <c r="AJ415" i="1"/>
  <c r="AL415" i="1"/>
  <c r="AI415" i="1"/>
  <c r="AJ407" i="1"/>
  <c r="AL407" i="1"/>
  <c r="AI407" i="1"/>
  <c r="AJ399" i="1"/>
  <c r="AL399" i="1"/>
  <c r="AI399" i="1"/>
  <c r="AJ391" i="1"/>
  <c r="AL391" i="1"/>
  <c r="AI391" i="1"/>
  <c r="AJ383" i="1"/>
  <c r="AL383" i="1"/>
  <c r="AI383" i="1"/>
  <c r="AJ375" i="1"/>
  <c r="AL375" i="1"/>
  <c r="AI375" i="1"/>
  <c r="AJ367" i="1"/>
  <c r="AL367" i="1"/>
  <c r="AI367" i="1"/>
  <c r="AJ359" i="1"/>
  <c r="AL359" i="1"/>
  <c r="AI359" i="1"/>
  <c r="AJ351" i="1"/>
  <c r="AL351" i="1"/>
  <c r="AI351" i="1"/>
  <c r="AJ343" i="1"/>
  <c r="AL343" i="1"/>
  <c r="AI343" i="1"/>
  <c r="AJ335" i="1"/>
  <c r="AL335" i="1"/>
  <c r="AI335" i="1"/>
  <c r="AJ327" i="1"/>
  <c r="AL327" i="1"/>
  <c r="AI327" i="1"/>
  <c r="AJ319" i="1"/>
  <c r="AL319" i="1"/>
  <c r="AI319" i="1"/>
  <c r="AJ311" i="1"/>
  <c r="AL311" i="1"/>
  <c r="AI311" i="1"/>
  <c r="AJ303" i="1"/>
  <c r="AL303" i="1"/>
  <c r="AI303" i="1"/>
  <c r="AJ295" i="1"/>
  <c r="AL295" i="1"/>
  <c r="AI295" i="1"/>
  <c r="AJ287" i="1"/>
  <c r="AL287" i="1"/>
  <c r="AI287" i="1"/>
  <c r="AJ279" i="1"/>
  <c r="AL279" i="1"/>
  <c r="AI279" i="1"/>
  <c r="AJ271" i="1"/>
  <c r="AL271" i="1"/>
  <c r="AI271" i="1"/>
  <c r="AJ263" i="1"/>
  <c r="AL263" i="1"/>
  <c r="AI263" i="1"/>
  <c r="AJ255" i="1"/>
  <c r="AL255" i="1"/>
  <c r="AI255" i="1"/>
  <c r="AJ247" i="1"/>
  <c r="AL247" i="1"/>
  <c r="AI247" i="1"/>
  <c r="AJ239" i="1"/>
  <c r="AL239" i="1"/>
  <c r="AI239" i="1"/>
  <c r="AJ231" i="1"/>
  <c r="AL231" i="1"/>
  <c r="AI231" i="1"/>
  <c r="AJ223" i="1"/>
  <c r="AL223" i="1"/>
  <c r="AI223" i="1"/>
  <c r="AJ215" i="1"/>
  <c r="AL215" i="1"/>
  <c r="AI215" i="1"/>
  <c r="AJ207" i="1"/>
  <c r="AL207" i="1"/>
  <c r="AI207" i="1"/>
  <c r="AJ199" i="1"/>
  <c r="AL199" i="1"/>
  <c r="AI199" i="1"/>
  <c r="AJ191" i="1"/>
  <c r="AL191" i="1"/>
  <c r="AI191" i="1"/>
  <c r="AJ183" i="1"/>
  <c r="AL183" i="1"/>
  <c r="AI183" i="1"/>
  <c r="AJ175" i="1"/>
  <c r="AL175" i="1"/>
  <c r="AI175" i="1"/>
  <c r="AJ167" i="1"/>
  <c r="AL167" i="1"/>
  <c r="AI167" i="1"/>
  <c r="AJ159" i="1"/>
  <c r="AL159" i="1"/>
  <c r="AI159" i="1"/>
  <c r="AJ151" i="1"/>
  <c r="AL151" i="1"/>
  <c r="AI151" i="1"/>
  <c r="AJ143" i="1"/>
  <c r="AL143" i="1"/>
  <c r="AI143" i="1"/>
  <c r="AJ135" i="1"/>
  <c r="AL135" i="1"/>
  <c r="AI135" i="1"/>
  <c r="AJ127" i="1"/>
  <c r="AL127" i="1"/>
  <c r="AI127" i="1"/>
  <c r="AJ119" i="1"/>
  <c r="AL119" i="1"/>
  <c r="AI119" i="1"/>
  <c r="AJ111" i="1"/>
  <c r="AL111" i="1"/>
  <c r="AI111" i="1"/>
  <c r="AJ103" i="1"/>
  <c r="AL103" i="1"/>
  <c r="AI103" i="1"/>
  <c r="AJ95" i="1"/>
  <c r="AL95" i="1"/>
  <c r="AI95" i="1"/>
  <c r="AJ87" i="1"/>
  <c r="AL87" i="1"/>
  <c r="AI87" i="1"/>
  <c r="AJ79" i="1"/>
  <c r="AL79" i="1"/>
  <c r="AI79" i="1"/>
  <c r="AJ71" i="1"/>
  <c r="AL71" i="1"/>
  <c r="AI71" i="1"/>
  <c r="AJ63" i="1"/>
  <c r="AL63" i="1"/>
  <c r="AI63" i="1"/>
  <c r="AJ55" i="1"/>
  <c r="AL55" i="1"/>
  <c r="AI55" i="1"/>
  <c r="AJ47" i="1"/>
  <c r="AL47" i="1"/>
  <c r="AI47" i="1"/>
  <c r="AJ39" i="1"/>
  <c r="AL39" i="1"/>
  <c r="AI39" i="1"/>
  <c r="AJ31" i="1"/>
  <c r="AL31" i="1"/>
  <c r="AI31" i="1"/>
  <c r="AJ23" i="1"/>
  <c r="AL23" i="1"/>
  <c r="AI23" i="1"/>
  <c r="AJ15" i="1"/>
  <c r="AI15" i="1"/>
  <c r="AL15" i="1"/>
  <c r="AJ7" i="1"/>
  <c r="AI7" i="1"/>
  <c r="AL7" i="1"/>
  <c r="AJ871" i="1"/>
  <c r="AL871" i="1"/>
  <c r="AI871" i="1"/>
  <c r="AJ863" i="1"/>
  <c r="AL863" i="1"/>
  <c r="AI863" i="1"/>
  <c r="AL855" i="1"/>
  <c r="AI855" i="1"/>
  <c r="AJ855" i="1"/>
  <c r="AJ847" i="1"/>
  <c r="AL847" i="1"/>
  <c r="AI847" i="1"/>
  <c r="AJ839" i="1"/>
  <c r="AL839" i="1"/>
  <c r="AI839" i="1"/>
  <c r="AL831" i="1"/>
  <c r="AJ831" i="1"/>
  <c r="AI831" i="1"/>
  <c r="AJ823" i="1"/>
  <c r="AL823" i="1"/>
  <c r="AI823" i="1"/>
  <c r="AJ814" i="1"/>
  <c r="AL814" i="1"/>
  <c r="AI814" i="1"/>
  <c r="AJ806" i="1"/>
  <c r="AL806" i="1"/>
  <c r="AI806" i="1"/>
  <c r="AJ798" i="1"/>
  <c r="AL798" i="1"/>
  <c r="AI798" i="1"/>
  <c r="AJ790" i="1"/>
  <c r="AL790" i="1"/>
  <c r="AI790" i="1"/>
  <c r="AJ782" i="1"/>
  <c r="AI782" i="1"/>
  <c r="AL782" i="1"/>
  <c r="AJ774" i="1"/>
  <c r="AL774" i="1"/>
  <c r="AI774" i="1"/>
  <c r="AJ766" i="1"/>
  <c r="AI766" i="1"/>
  <c r="AL766" i="1"/>
  <c r="AJ758" i="1"/>
  <c r="AI758" i="1"/>
  <c r="AL758" i="1"/>
  <c r="AJ750" i="1"/>
  <c r="AL750" i="1"/>
  <c r="AI750" i="1"/>
  <c r="AJ742" i="1"/>
  <c r="AL742" i="1"/>
  <c r="AI742" i="1"/>
  <c r="AJ734" i="1"/>
  <c r="AL734" i="1"/>
  <c r="AI734" i="1"/>
  <c r="AJ726" i="1"/>
  <c r="AL726" i="1"/>
  <c r="AI726" i="1"/>
  <c r="AJ718" i="1"/>
  <c r="AI718" i="1"/>
  <c r="AL718" i="1"/>
  <c r="AJ710" i="1"/>
  <c r="AL710" i="1"/>
  <c r="AI710" i="1"/>
  <c r="AJ702" i="1"/>
  <c r="AI702" i="1"/>
  <c r="AL702" i="1"/>
  <c r="AJ694" i="1"/>
  <c r="AI694" i="1"/>
  <c r="AL694" i="1"/>
  <c r="AJ686" i="1"/>
  <c r="AL686" i="1"/>
  <c r="AI686" i="1"/>
  <c r="AJ678" i="1"/>
  <c r="AL678" i="1"/>
  <c r="AI678" i="1"/>
  <c r="AJ670" i="1"/>
  <c r="AL670" i="1"/>
  <c r="AI670" i="1"/>
  <c r="AJ662" i="1"/>
  <c r="AL662" i="1"/>
  <c r="AI662" i="1"/>
  <c r="AJ654" i="1"/>
  <c r="AI654" i="1"/>
  <c r="AL654" i="1"/>
  <c r="AJ646" i="1"/>
  <c r="AL646" i="1"/>
  <c r="AI646" i="1"/>
  <c r="AJ638" i="1"/>
  <c r="AL638" i="1"/>
  <c r="AI638" i="1"/>
  <c r="AJ630" i="1"/>
  <c r="AL630" i="1"/>
  <c r="AI630" i="1"/>
  <c r="AJ622" i="1"/>
  <c r="AL622" i="1"/>
  <c r="AI622" i="1"/>
  <c r="AJ614" i="1"/>
  <c r="AL614" i="1"/>
  <c r="AI614" i="1"/>
  <c r="AJ606" i="1"/>
  <c r="AI606" i="1"/>
  <c r="AL606" i="1"/>
  <c r="AJ598" i="1"/>
  <c r="AI598" i="1"/>
  <c r="AL598" i="1"/>
  <c r="AJ590" i="1"/>
  <c r="AI590" i="1"/>
  <c r="AL590" i="1"/>
  <c r="AJ582" i="1"/>
  <c r="AL582" i="1"/>
  <c r="AI582" i="1"/>
  <c r="AJ574" i="1"/>
  <c r="AL574" i="1"/>
  <c r="AI574" i="1"/>
  <c r="AJ566" i="1"/>
  <c r="AL566" i="1"/>
  <c r="AI566" i="1"/>
  <c r="AJ558" i="1"/>
  <c r="AL558" i="1"/>
  <c r="AI558" i="1"/>
  <c r="AJ550" i="1"/>
  <c r="AL550" i="1"/>
  <c r="AI550" i="1"/>
  <c r="AJ542" i="1"/>
  <c r="AL542" i="1"/>
  <c r="AI542" i="1"/>
  <c r="AJ534" i="1"/>
  <c r="AI534" i="1"/>
  <c r="AL534" i="1"/>
  <c r="AJ526" i="1"/>
  <c r="AI526" i="1"/>
  <c r="AL526" i="1"/>
  <c r="AJ518" i="1"/>
  <c r="AL518" i="1"/>
  <c r="AI518" i="1"/>
  <c r="AJ510" i="1"/>
  <c r="AL510" i="1"/>
  <c r="AI510" i="1"/>
  <c r="AJ502" i="1"/>
  <c r="AL502" i="1"/>
  <c r="AI502" i="1"/>
  <c r="AJ494" i="1"/>
  <c r="AL494" i="1"/>
  <c r="AI494" i="1"/>
  <c r="AJ486" i="1"/>
  <c r="AL486" i="1"/>
  <c r="AI486" i="1"/>
  <c r="AJ478" i="1"/>
  <c r="AL478" i="1"/>
  <c r="AI478" i="1"/>
  <c r="AJ470" i="1"/>
  <c r="AI470" i="1"/>
  <c r="AL470" i="1"/>
  <c r="AJ462" i="1"/>
  <c r="AI462" i="1"/>
  <c r="AL462" i="1"/>
  <c r="AJ454" i="1"/>
  <c r="AL454" i="1"/>
  <c r="AI454" i="1"/>
  <c r="AJ446" i="1"/>
  <c r="AI446" i="1"/>
  <c r="AL446" i="1"/>
  <c r="AJ438" i="1"/>
  <c r="AI438" i="1"/>
  <c r="AL438" i="1"/>
  <c r="AJ430" i="1"/>
  <c r="AI430" i="1"/>
  <c r="AL430" i="1"/>
  <c r="AJ422" i="1"/>
  <c r="AI422" i="1"/>
  <c r="AL422" i="1"/>
  <c r="AJ414" i="1"/>
  <c r="AI414" i="1"/>
  <c r="AL414" i="1"/>
  <c r="AJ406" i="1"/>
  <c r="AI406" i="1"/>
  <c r="AL406" i="1"/>
  <c r="AJ398" i="1"/>
  <c r="AI398" i="1"/>
  <c r="AL398" i="1"/>
  <c r="AJ390" i="1"/>
  <c r="AI390" i="1"/>
  <c r="AL390" i="1"/>
  <c r="AJ382" i="1"/>
  <c r="AI382" i="1"/>
  <c r="AL382" i="1"/>
  <c r="AJ374" i="1"/>
  <c r="AI374" i="1"/>
  <c r="AL374" i="1"/>
  <c r="AJ366" i="1"/>
  <c r="AI366" i="1"/>
  <c r="AL366" i="1"/>
  <c r="AJ358" i="1"/>
  <c r="AI358" i="1"/>
  <c r="AL358" i="1"/>
  <c r="AJ350" i="1"/>
  <c r="AI350" i="1"/>
  <c r="AL350" i="1"/>
  <c r="AJ342" i="1"/>
  <c r="AI342" i="1"/>
  <c r="AL342" i="1"/>
  <c r="AJ334" i="1"/>
  <c r="AL334" i="1"/>
  <c r="AI334" i="1"/>
  <c r="AJ326" i="1"/>
  <c r="AL326" i="1"/>
  <c r="AI326" i="1"/>
  <c r="AJ318" i="1"/>
  <c r="AL318" i="1"/>
  <c r="AI318" i="1"/>
  <c r="AJ310" i="1"/>
  <c r="AL310" i="1"/>
  <c r="AI310" i="1"/>
  <c r="AJ302" i="1"/>
  <c r="AL302" i="1"/>
  <c r="AI302" i="1"/>
  <c r="AJ294" i="1"/>
  <c r="AL294" i="1"/>
  <c r="AI294" i="1"/>
  <c r="AJ286" i="1"/>
  <c r="AL286" i="1"/>
  <c r="AI286" i="1"/>
  <c r="AJ278" i="1"/>
  <c r="AL278" i="1"/>
  <c r="AI278" i="1"/>
  <c r="AJ270" i="1"/>
  <c r="AL270" i="1"/>
  <c r="AI270" i="1"/>
  <c r="AJ262" i="1"/>
  <c r="AL262" i="1"/>
  <c r="AI262" i="1"/>
  <c r="AJ254" i="1"/>
  <c r="AL254" i="1"/>
  <c r="AI254" i="1"/>
  <c r="AJ246" i="1"/>
  <c r="AL246" i="1"/>
  <c r="AI246" i="1"/>
  <c r="AJ238" i="1"/>
  <c r="AL238" i="1"/>
  <c r="AI238" i="1"/>
  <c r="AJ230" i="1"/>
  <c r="AL230" i="1"/>
  <c r="AI230" i="1"/>
  <c r="AJ222" i="1"/>
  <c r="AL222" i="1"/>
  <c r="AI222" i="1"/>
  <c r="AJ214" i="1"/>
  <c r="AL214" i="1"/>
  <c r="AI214" i="1"/>
  <c r="AJ206" i="1"/>
  <c r="AL206" i="1"/>
  <c r="AI206" i="1"/>
  <c r="AJ198" i="1"/>
  <c r="AL198" i="1"/>
  <c r="AI198" i="1"/>
  <c r="AJ190" i="1"/>
  <c r="AL190" i="1"/>
  <c r="AI190" i="1"/>
  <c r="AJ182" i="1"/>
  <c r="AL182" i="1"/>
  <c r="AI182" i="1"/>
  <c r="AJ174" i="1"/>
  <c r="AL174" i="1"/>
  <c r="AI174" i="1"/>
  <c r="AJ166" i="1"/>
  <c r="AL166" i="1"/>
  <c r="AI166" i="1"/>
  <c r="AJ158" i="1"/>
  <c r="AL158" i="1"/>
  <c r="AI158" i="1"/>
  <c r="AJ150" i="1"/>
  <c r="AL150" i="1"/>
  <c r="AI150" i="1"/>
  <c r="AJ142" i="1"/>
  <c r="AL142" i="1"/>
  <c r="AI142" i="1"/>
  <c r="AJ134" i="1"/>
  <c r="AL134" i="1"/>
  <c r="AI134" i="1"/>
  <c r="AJ126" i="1"/>
  <c r="AL126" i="1"/>
  <c r="AI126" i="1"/>
  <c r="AJ118" i="1"/>
  <c r="AL118" i="1"/>
  <c r="AI118" i="1"/>
  <c r="AJ110" i="1"/>
  <c r="AL110" i="1"/>
  <c r="AI110" i="1"/>
  <c r="AJ102" i="1"/>
  <c r="AL102" i="1"/>
  <c r="AI102" i="1"/>
  <c r="AJ94" i="1"/>
  <c r="AL94" i="1"/>
  <c r="AI94" i="1"/>
  <c r="AJ86" i="1"/>
  <c r="AL86" i="1"/>
  <c r="AI86" i="1"/>
  <c r="AJ78" i="1"/>
  <c r="AL78" i="1"/>
  <c r="AI78" i="1"/>
  <c r="AJ70" i="1"/>
  <c r="AL70" i="1"/>
  <c r="AI70" i="1"/>
  <c r="AJ62" i="1"/>
  <c r="AL62" i="1"/>
  <c r="AI62" i="1"/>
  <c r="AJ54" i="1"/>
  <c r="AL54" i="1"/>
  <c r="AI54" i="1"/>
  <c r="AJ46" i="1"/>
  <c r="AL46" i="1"/>
  <c r="AI46" i="1"/>
  <c r="AJ38" i="1"/>
  <c r="AL38" i="1"/>
  <c r="AI38" i="1"/>
  <c r="AJ30" i="1"/>
  <c r="AL30" i="1"/>
  <c r="AI30" i="1"/>
  <c r="AJ22" i="1"/>
  <c r="AL22" i="1"/>
  <c r="AI22" i="1"/>
  <c r="AJ14" i="1"/>
  <c r="AL14" i="1"/>
  <c r="AI14" i="1"/>
  <c r="AJ6" i="1"/>
  <c r="AL6" i="1"/>
  <c r="AI6" i="1"/>
  <c r="AJ870" i="1"/>
  <c r="AL870" i="1"/>
  <c r="AI870" i="1"/>
  <c r="AJ862" i="1"/>
  <c r="AL862" i="1"/>
  <c r="AI862" i="1"/>
  <c r="AJ854" i="1"/>
  <c r="AL854" i="1"/>
  <c r="AI854" i="1"/>
  <c r="AJ846" i="1"/>
  <c r="AI846" i="1"/>
  <c r="AL846" i="1"/>
  <c r="AJ838" i="1"/>
  <c r="AL838" i="1"/>
  <c r="AI838" i="1"/>
  <c r="AJ830" i="1"/>
  <c r="AI830" i="1"/>
  <c r="AL830" i="1"/>
  <c r="AJ822" i="1"/>
  <c r="AI822" i="1"/>
  <c r="AL822" i="1"/>
  <c r="AJ813" i="1"/>
  <c r="AL813" i="1"/>
  <c r="AI813" i="1"/>
  <c r="AJ805" i="1"/>
  <c r="AL805" i="1"/>
  <c r="AI805" i="1"/>
  <c r="AJ797" i="1"/>
  <c r="AL797" i="1"/>
  <c r="AI797" i="1"/>
  <c r="AJ789" i="1"/>
  <c r="AL789" i="1"/>
  <c r="AI789" i="1"/>
  <c r="AJ781" i="1"/>
  <c r="AL781" i="1"/>
  <c r="AI781" i="1"/>
  <c r="AJ773" i="1"/>
  <c r="AL773" i="1"/>
  <c r="AI773" i="1"/>
  <c r="AJ765" i="1"/>
  <c r="AL765" i="1"/>
  <c r="AI765" i="1"/>
  <c r="AJ757" i="1"/>
  <c r="AL757" i="1"/>
  <c r="AI757" i="1"/>
  <c r="AJ749" i="1"/>
  <c r="AL749" i="1"/>
  <c r="AI749" i="1"/>
  <c r="AJ741" i="1"/>
  <c r="AL741" i="1"/>
  <c r="AI741" i="1"/>
  <c r="AJ733" i="1"/>
  <c r="AL733" i="1"/>
  <c r="AI733" i="1"/>
  <c r="AJ725" i="1"/>
  <c r="AL725" i="1"/>
  <c r="AI725" i="1"/>
  <c r="AJ717" i="1"/>
  <c r="AL717" i="1"/>
  <c r="AI717" i="1"/>
  <c r="AJ709" i="1"/>
  <c r="AL709" i="1"/>
  <c r="AI709" i="1"/>
  <c r="AJ701" i="1"/>
  <c r="AL701" i="1"/>
  <c r="AI701" i="1"/>
  <c r="AJ693" i="1"/>
  <c r="AL693" i="1"/>
  <c r="AI693" i="1"/>
  <c r="AJ685" i="1"/>
  <c r="AL685" i="1"/>
  <c r="AI685" i="1"/>
  <c r="AJ677" i="1"/>
  <c r="AL677" i="1"/>
  <c r="AI677" i="1"/>
  <c r="AJ669" i="1"/>
  <c r="AL669" i="1"/>
  <c r="AI669" i="1"/>
  <c r="AJ661" i="1"/>
  <c r="AL661" i="1"/>
  <c r="AI661" i="1"/>
  <c r="AJ653" i="1"/>
  <c r="AL653" i="1"/>
  <c r="AI653" i="1"/>
  <c r="AJ645" i="1"/>
  <c r="AL645" i="1"/>
  <c r="AI645" i="1"/>
  <c r="AJ637" i="1"/>
  <c r="AL637" i="1"/>
  <c r="AI637" i="1"/>
  <c r="AJ629" i="1"/>
  <c r="AL629" i="1"/>
  <c r="AI629" i="1"/>
  <c r="AJ621" i="1"/>
  <c r="AL621" i="1"/>
  <c r="AI621" i="1"/>
  <c r="AJ613" i="1"/>
  <c r="AL613" i="1"/>
  <c r="AI613" i="1"/>
  <c r="AJ605" i="1"/>
  <c r="AL605" i="1"/>
  <c r="AI605" i="1"/>
  <c r="AJ597" i="1"/>
  <c r="AL597" i="1"/>
  <c r="AI597" i="1"/>
  <c r="AJ589" i="1"/>
  <c r="AL589" i="1"/>
  <c r="AI589" i="1"/>
  <c r="AJ581" i="1"/>
  <c r="AL581" i="1"/>
  <c r="AI581" i="1"/>
  <c r="AJ573" i="1"/>
  <c r="AL573" i="1"/>
  <c r="AI573" i="1"/>
  <c r="AJ565" i="1"/>
  <c r="AL565" i="1"/>
  <c r="AI565" i="1"/>
  <c r="AJ557" i="1"/>
  <c r="AL557" i="1"/>
  <c r="AI557" i="1"/>
  <c r="AJ549" i="1"/>
  <c r="AL549" i="1"/>
  <c r="AI549" i="1"/>
  <c r="AJ541" i="1"/>
  <c r="AL541" i="1"/>
  <c r="AI541" i="1"/>
  <c r="AJ533" i="1"/>
  <c r="AL533" i="1"/>
  <c r="AI533" i="1"/>
  <c r="AJ525" i="1"/>
  <c r="AL525" i="1"/>
  <c r="AI525" i="1"/>
  <c r="AJ517" i="1"/>
  <c r="AL517" i="1"/>
  <c r="AI517" i="1"/>
  <c r="AJ509" i="1"/>
  <c r="AL509" i="1"/>
  <c r="AI509" i="1"/>
  <c r="AJ501" i="1"/>
  <c r="AL501" i="1"/>
  <c r="AI501" i="1"/>
  <c r="AJ493" i="1"/>
  <c r="AL493" i="1"/>
  <c r="AI493" i="1"/>
  <c r="AJ485" i="1"/>
  <c r="AL485" i="1"/>
  <c r="AI485" i="1"/>
  <c r="AJ477" i="1"/>
  <c r="AL477" i="1"/>
  <c r="AI477" i="1"/>
  <c r="AJ469" i="1"/>
  <c r="AL469" i="1"/>
  <c r="AI469" i="1"/>
  <c r="AJ461" i="1"/>
  <c r="AL461" i="1"/>
  <c r="AI461" i="1"/>
  <c r="AJ453" i="1"/>
  <c r="AL453" i="1"/>
  <c r="AI453" i="1"/>
  <c r="AJ445" i="1"/>
  <c r="AL445" i="1"/>
  <c r="AI445" i="1"/>
  <c r="AJ437" i="1"/>
  <c r="AL437" i="1"/>
  <c r="AI437" i="1"/>
  <c r="AJ429" i="1"/>
  <c r="AL429" i="1"/>
  <c r="AI429" i="1"/>
  <c r="AJ421" i="1"/>
  <c r="AL421" i="1"/>
  <c r="AI421" i="1"/>
  <c r="AJ413" i="1"/>
  <c r="AL413" i="1"/>
  <c r="AI413" i="1"/>
  <c r="AJ405" i="1"/>
  <c r="AL405" i="1"/>
  <c r="AI405" i="1"/>
  <c r="AJ397" i="1"/>
  <c r="AL397" i="1"/>
  <c r="AI397" i="1"/>
  <c r="AJ389" i="1"/>
  <c r="AL389" i="1"/>
  <c r="AI389" i="1"/>
  <c r="AJ381" i="1"/>
  <c r="AL381" i="1"/>
  <c r="AI381" i="1"/>
  <c r="AJ373" i="1"/>
  <c r="AL373" i="1"/>
  <c r="AI373" i="1"/>
  <c r="AJ365" i="1"/>
  <c r="AL365" i="1"/>
  <c r="AI365" i="1"/>
  <c r="AJ357" i="1"/>
  <c r="AL357" i="1"/>
  <c r="AI357" i="1"/>
  <c r="AJ349" i="1"/>
  <c r="AL349" i="1"/>
  <c r="AI349" i="1"/>
  <c r="AJ341" i="1"/>
  <c r="AL341" i="1"/>
  <c r="AI341" i="1"/>
  <c r="AJ333" i="1"/>
  <c r="AI333" i="1"/>
  <c r="AL333" i="1"/>
  <c r="AJ325" i="1"/>
  <c r="AI325" i="1"/>
  <c r="AL325" i="1"/>
  <c r="AJ317" i="1"/>
  <c r="AI317" i="1"/>
  <c r="AL317" i="1"/>
  <c r="AJ309" i="1"/>
  <c r="AI309" i="1"/>
  <c r="AL309" i="1"/>
  <c r="AJ301" i="1"/>
  <c r="AI301" i="1"/>
  <c r="AL301" i="1"/>
  <c r="AJ293" i="1"/>
  <c r="AI293" i="1"/>
  <c r="AL293" i="1"/>
  <c r="AJ285" i="1"/>
  <c r="AI285" i="1"/>
  <c r="AL285" i="1"/>
  <c r="AJ277" i="1"/>
  <c r="AI277" i="1"/>
  <c r="AL277" i="1"/>
  <c r="AJ269" i="1"/>
  <c r="AL269" i="1"/>
  <c r="AI269" i="1"/>
  <c r="AJ261" i="1"/>
  <c r="AL261" i="1"/>
  <c r="AI261" i="1"/>
  <c r="AJ253" i="1"/>
  <c r="AL253" i="1"/>
  <c r="AI253" i="1"/>
  <c r="AJ245" i="1"/>
  <c r="AL245" i="1"/>
  <c r="AI245" i="1"/>
  <c r="AJ237" i="1"/>
  <c r="AL237" i="1"/>
  <c r="AI237" i="1"/>
  <c r="AJ229" i="1"/>
  <c r="AL229" i="1"/>
  <c r="AI229" i="1"/>
  <c r="AJ221" i="1"/>
  <c r="AL221" i="1"/>
  <c r="AI221" i="1"/>
  <c r="AJ213" i="1"/>
  <c r="AL213" i="1"/>
  <c r="AI213" i="1"/>
  <c r="AJ205" i="1"/>
  <c r="AL205" i="1"/>
  <c r="AI205" i="1"/>
  <c r="AJ197" i="1"/>
  <c r="AL197" i="1"/>
  <c r="AI197" i="1"/>
  <c r="AJ189" i="1"/>
  <c r="AL189" i="1"/>
  <c r="AI189" i="1"/>
  <c r="AJ181" i="1"/>
  <c r="AL181" i="1"/>
  <c r="AI181" i="1"/>
  <c r="AJ173" i="1"/>
  <c r="AL173" i="1"/>
  <c r="AI173" i="1"/>
  <c r="AJ165" i="1"/>
  <c r="AL165" i="1"/>
  <c r="AI165" i="1"/>
  <c r="AJ157" i="1"/>
  <c r="AL157" i="1"/>
  <c r="AI157" i="1"/>
  <c r="AJ149" i="1"/>
  <c r="AL149" i="1"/>
  <c r="AI149" i="1"/>
  <c r="AJ141" i="1"/>
  <c r="AL141" i="1"/>
  <c r="AI141" i="1"/>
  <c r="AJ133" i="1"/>
  <c r="AL133" i="1"/>
  <c r="AI133" i="1"/>
  <c r="AJ125" i="1"/>
  <c r="AL125" i="1"/>
  <c r="AI125" i="1"/>
  <c r="AJ117" i="1"/>
  <c r="AL117" i="1"/>
  <c r="AI117" i="1"/>
  <c r="AJ109" i="1"/>
  <c r="AL109" i="1"/>
  <c r="AI109" i="1"/>
  <c r="AJ101" i="1"/>
  <c r="AL101" i="1"/>
  <c r="AI101" i="1"/>
  <c r="AJ93" i="1"/>
  <c r="AL93" i="1"/>
  <c r="AI93" i="1"/>
  <c r="AJ85" i="1"/>
  <c r="AL85" i="1"/>
  <c r="AI85" i="1"/>
  <c r="AJ77" i="1"/>
  <c r="AL77" i="1"/>
  <c r="AI77" i="1"/>
  <c r="AJ69" i="1"/>
  <c r="AL69" i="1"/>
  <c r="AI69" i="1"/>
  <c r="AJ61" i="1"/>
  <c r="AL61" i="1"/>
  <c r="AI61" i="1"/>
  <c r="AJ53" i="1"/>
  <c r="AL53" i="1"/>
  <c r="AI53" i="1"/>
  <c r="AJ45" i="1"/>
  <c r="AL45" i="1"/>
  <c r="AI45" i="1"/>
  <c r="AJ37" i="1"/>
  <c r="AL37" i="1"/>
  <c r="AI37" i="1"/>
  <c r="AJ29" i="1"/>
  <c r="AL29" i="1"/>
  <c r="AI29" i="1"/>
  <c r="AJ21" i="1"/>
  <c r="AL21" i="1"/>
  <c r="AI21" i="1"/>
  <c r="AJ13" i="1"/>
  <c r="AL13" i="1"/>
  <c r="AI13" i="1"/>
  <c r="AJ5" i="1"/>
  <c r="AL5" i="1"/>
  <c r="AI5" i="1"/>
  <c r="AJ869" i="1"/>
  <c r="AL869" i="1"/>
  <c r="AI869" i="1"/>
  <c r="AJ861" i="1"/>
  <c r="AL861" i="1"/>
  <c r="AI861" i="1"/>
  <c r="AJ853" i="1"/>
  <c r="AL853" i="1"/>
  <c r="AI853" i="1"/>
  <c r="AJ845" i="1"/>
  <c r="AL845" i="1"/>
  <c r="AI845" i="1"/>
  <c r="AJ837" i="1"/>
  <c r="AL837" i="1"/>
  <c r="AI837" i="1"/>
  <c r="AJ829" i="1"/>
  <c r="AL829" i="1"/>
  <c r="AI829" i="1"/>
  <c r="AJ821" i="1"/>
  <c r="AL821" i="1"/>
  <c r="AI821" i="1"/>
  <c r="AJ812" i="1"/>
  <c r="AI812" i="1"/>
  <c r="AL812" i="1"/>
  <c r="AJ804" i="1"/>
  <c r="AL804" i="1"/>
  <c r="AI804" i="1"/>
  <c r="AJ796" i="1"/>
  <c r="AL796" i="1"/>
  <c r="AI796" i="1"/>
  <c r="AJ788" i="1"/>
  <c r="AL788" i="1"/>
  <c r="AI788" i="1"/>
  <c r="AJ780" i="1"/>
  <c r="AL780" i="1"/>
  <c r="AI780" i="1"/>
  <c r="AJ772" i="1"/>
  <c r="AI772" i="1"/>
  <c r="AL772" i="1"/>
  <c r="AJ764" i="1"/>
  <c r="AL764" i="1"/>
  <c r="AI764" i="1"/>
  <c r="AJ756" i="1"/>
  <c r="AL756" i="1"/>
  <c r="AI756" i="1"/>
  <c r="AJ748" i="1"/>
  <c r="AI748" i="1"/>
  <c r="AL748" i="1"/>
  <c r="AJ740" i="1"/>
  <c r="AL740" i="1"/>
  <c r="AI740" i="1"/>
  <c r="AJ732" i="1"/>
  <c r="AL732" i="1"/>
  <c r="AI732" i="1"/>
  <c r="AJ724" i="1"/>
  <c r="AL724" i="1"/>
  <c r="AI724" i="1"/>
  <c r="AJ716" i="1"/>
  <c r="AL716" i="1"/>
  <c r="AI716" i="1"/>
  <c r="AJ708" i="1"/>
  <c r="AI708" i="1"/>
  <c r="AL708" i="1"/>
  <c r="AJ700" i="1"/>
  <c r="AL700" i="1"/>
  <c r="AI700" i="1"/>
  <c r="AJ692" i="1"/>
  <c r="AL692" i="1"/>
  <c r="AI692" i="1"/>
  <c r="AJ684" i="1"/>
  <c r="AI684" i="1"/>
  <c r="AL684" i="1"/>
  <c r="AJ676" i="1"/>
  <c r="AL676" i="1"/>
  <c r="AI676" i="1"/>
  <c r="AJ668" i="1"/>
  <c r="AL668" i="1"/>
  <c r="AI668" i="1"/>
  <c r="AJ660" i="1"/>
  <c r="AL660" i="1"/>
  <c r="AI660" i="1"/>
  <c r="AJ652" i="1"/>
  <c r="AL652" i="1"/>
  <c r="AI652" i="1"/>
  <c r="AJ644" i="1"/>
  <c r="AI644" i="1"/>
  <c r="AL644" i="1"/>
  <c r="AJ636" i="1"/>
  <c r="AL636" i="1"/>
  <c r="AI636" i="1"/>
  <c r="AJ628" i="1"/>
  <c r="AL628" i="1"/>
  <c r="AI628" i="1"/>
  <c r="AJ620" i="1"/>
  <c r="AL620" i="1"/>
  <c r="AI620" i="1"/>
  <c r="AJ612" i="1"/>
  <c r="AL612" i="1"/>
  <c r="AI612" i="1"/>
  <c r="AJ604" i="1"/>
  <c r="AL604" i="1"/>
  <c r="AI604" i="1"/>
  <c r="AJ596" i="1"/>
  <c r="AI596" i="1"/>
  <c r="AL596" i="1"/>
  <c r="AJ588" i="1"/>
  <c r="AL588" i="1"/>
  <c r="AI588" i="1"/>
  <c r="AJ580" i="1"/>
  <c r="AI580" i="1"/>
  <c r="AL580" i="1"/>
  <c r="AJ572" i="1"/>
  <c r="AL572" i="1"/>
  <c r="AI572" i="1"/>
  <c r="AJ564" i="1"/>
  <c r="AL564" i="1"/>
  <c r="AI564" i="1"/>
  <c r="AJ556" i="1"/>
  <c r="AL556" i="1"/>
  <c r="AI556" i="1"/>
  <c r="AJ548" i="1"/>
  <c r="AL548" i="1"/>
  <c r="AI548" i="1"/>
  <c r="AJ540" i="1"/>
  <c r="AL540" i="1"/>
  <c r="AI540" i="1"/>
  <c r="AJ532" i="1"/>
  <c r="AI532" i="1"/>
  <c r="AL532" i="1"/>
  <c r="AJ524" i="1"/>
  <c r="AL524" i="1"/>
  <c r="AI524" i="1"/>
  <c r="AJ516" i="1"/>
  <c r="AI516" i="1"/>
  <c r="AL516" i="1"/>
  <c r="AJ508" i="1"/>
  <c r="AL508" i="1"/>
  <c r="AI508" i="1"/>
  <c r="AJ500" i="1"/>
  <c r="AL500" i="1"/>
  <c r="AI500" i="1"/>
  <c r="AJ492" i="1"/>
  <c r="AL492" i="1"/>
  <c r="AI492" i="1"/>
  <c r="AJ484" i="1"/>
  <c r="AL484" i="1"/>
  <c r="AI484" i="1"/>
  <c r="AJ476" i="1"/>
  <c r="AL476" i="1"/>
  <c r="AI476" i="1"/>
  <c r="AJ468" i="1"/>
  <c r="AI468" i="1"/>
  <c r="AL468" i="1"/>
  <c r="AJ460" i="1"/>
  <c r="AL460" i="1"/>
  <c r="AI460" i="1"/>
  <c r="AJ452" i="1"/>
  <c r="AI452" i="1"/>
  <c r="AL452" i="1"/>
  <c r="AJ444" i="1"/>
  <c r="AL444" i="1"/>
  <c r="AI444" i="1"/>
  <c r="AJ436" i="1"/>
  <c r="AL436" i="1"/>
  <c r="AI436" i="1"/>
  <c r="AJ428" i="1"/>
  <c r="AL428" i="1"/>
  <c r="AI428" i="1"/>
  <c r="AJ420" i="1"/>
  <c r="AL420" i="1"/>
  <c r="AI420" i="1"/>
  <c r="AJ412" i="1"/>
  <c r="AL412" i="1"/>
  <c r="AI412" i="1"/>
  <c r="AJ404" i="1"/>
  <c r="AL404" i="1"/>
  <c r="AI404" i="1"/>
  <c r="AJ396" i="1"/>
  <c r="AL396" i="1"/>
  <c r="AI396" i="1"/>
  <c r="AJ388" i="1"/>
  <c r="AL388" i="1"/>
  <c r="AI388" i="1"/>
  <c r="AJ380" i="1"/>
  <c r="AL380" i="1"/>
  <c r="AI380" i="1"/>
  <c r="AJ372" i="1"/>
  <c r="AL372" i="1"/>
  <c r="AI372" i="1"/>
  <c r="AJ364" i="1"/>
  <c r="AL364" i="1"/>
  <c r="AI364" i="1"/>
  <c r="AJ356" i="1"/>
  <c r="AL356" i="1"/>
  <c r="AI356" i="1"/>
  <c r="AJ348" i="1"/>
  <c r="AL348" i="1"/>
  <c r="AI348" i="1"/>
  <c r="AJ340" i="1"/>
  <c r="AL340" i="1"/>
  <c r="AI340" i="1"/>
  <c r="AJ332" i="1"/>
  <c r="AI332" i="1"/>
  <c r="AL332" i="1"/>
  <c r="AJ324" i="1"/>
  <c r="AI324" i="1"/>
  <c r="AL324" i="1"/>
  <c r="AJ316" i="1"/>
  <c r="AI316" i="1"/>
  <c r="AL316" i="1"/>
  <c r="AJ308" i="1"/>
  <c r="AI308" i="1"/>
  <c r="AL308" i="1"/>
  <c r="AJ300" i="1"/>
  <c r="AI300" i="1"/>
  <c r="AL300" i="1"/>
  <c r="AJ292" i="1"/>
  <c r="AI292" i="1"/>
  <c r="AL292" i="1"/>
  <c r="AJ284" i="1"/>
  <c r="AI284" i="1"/>
  <c r="AL284" i="1"/>
  <c r="AJ276" i="1"/>
  <c r="AI276" i="1"/>
  <c r="AL276" i="1"/>
  <c r="AJ268" i="1"/>
  <c r="AI268" i="1"/>
  <c r="AL268" i="1"/>
  <c r="AJ260" i="1"/>
  <c r="AI260" i="1"/>
  <c r="AL260" i="1"/>
  <c r="AJ252" i="1"/>
  <c r="AI252" i="1"/>
  <c r="AL252" i="1"/>
  <c r="AJ244" i="1"/>
  <c r="AI244" i="1"/>
  <c r="AL244" i="1"/>
  <c r="AJ236" i="1"/>
  <c r="AI236" i="1"/>
  <c r="AL236" i="1"/>
  <c r="AJ228" i="1"/>
  <c r="AI228" i="1"/>
  <c r="AL228" i="1"/>
  <c r="AJ220" i="1"/>
  <c r="AI220" i="1"/>
  <c r="AL220" i="1"/>
  <c r="AJ212" i="1"/>
  <c r="AI212" i="1"/>
  <c r="AL212" i="1"/>
  <c r="AJ204" i="1"/>
  <c r="AI204" i="1"/>
  <c r="AL204" i="1"/>
  <c r="AJ196" i="1"/>
  <c r="AI196" i="1"/>
  <c r="AL196" i="1"/>
  <c r="AJ188" i="1"/>
  <c r="AI188" i="1"/>
  <c r="AL188" i="1"/>
  <c r="AJ180" i="1"/>
  <c r="AI180" i="1"/>
  <c r="AL180" i="1"/>
  <c r="AJ172" i="1"/>
  <c r="AI172" i="1"/>
  <c r="AL172" i="1"/>
  <c r="AJ164" i="1"/>
  <c r="AI164" i="1"/>
  <c r="AL164" i="1"/>
  <c r="AJ156" i="1"/>
  <c r="AI156" i="1"/>
  <c r="AL156" i="1"/>
  <c r="AJ148" i="1"/>
  <c r="AI148" i="1"/>
  <c r="AL148" i="1"/>
  <c r="AJ140" i="1"/>
  <c r="AI140" i="1"/>
  <c r="AL140" i="1"/>
  <c r="AJ132" i="1"/>
  <c r="AI132" i="1"/>
  <c r="AL132" i="1"/>
  <c r="AJ124" i="1"/>
  <c r="AI124" i="1"/>
  <c r="AL124" i="1"/>
  <c r="AJ116" i="1"/>
  <c r="AI116" i="1"/>
  <c r="AL116" i="1"/>
  <c r="AJ108" i="1"/>
  <c r="AI108" i="1"/>
  <c r="AL108" i="1"/>
  <c r="AJ100" i="1"/>
  <c r="AI100" i="1"/>
  <c r="AL100" i="1"/>
  <c r="AJ92" i="1"/>
  <c r="AI92" i="1"/>
  <c r="AL92" i="1"/>
  <c r="AJ84" i="1"/>
  <c r="AI84" i="1"/>
  <c r="AL84" i="1"/>
  <c r="AJ76" i="1"/>
  <c r="AI76" i="1"/>
  <c r="AL76" i="1"/>
  <c r="AJ68" i="1"/>
  <c r="AI68" i="1"/>
  <c r="AL68" i="1"/>
  <c r="AJ60" i="1"/>
  <c r="AI60" i="1"/>
  <c r="AL60" i="1"/>
  <c r="AJ52" i="1"/>
  <c r="AI52" i="1"/>
  <c r="AL52" i="1"/>
  <c r="AJ44" i="1"/>
  <c r="AI44" i="1"/>
  <c r="AL44" i="1"/>
  <c r="AJ36" i="1"/>
  <c r="AI36" i="1"/>
  <c r="AL36" i="1"/>
  <c r="AJ28" i="1"/>
  <c r="AI28" i="1"/>
  <c r="AL28" i="1"/>
  <c r="AJ20" i="1"/>
  <c r="AI20" i="1"/>
  <c r="AL20" i="1"/>
  <c r="AJ12" i="1"/>
  <c r="AI12" i="1"/>
  <c r="AL12" i="1"/>
  <c r="AJ4" i="1"/>
  <c r="AI4" i="1"/>
  <c r="AL4" i="1"/>
  <c r="AJ868" i="1"/>
  <c r="AL868" i="1"/>
  <c r="AI868" i="1"/>
  <c r="AJ860" i="1"/>
  <c r="AL860" i="1"/>
  <c r="AI860" i="1"/>
  <c r="AJ852" i="1"/>
  <c r="AL852" i="1"/>
  <c r="AI852" i="1"/>
  <c r="AJ844" i="1"/>
  <c r="AL844" i="1"/>
  <c r="AI844" i="1"/>
  <c r="AJ836" i="1"/>
  <c r="AI836" i="1"/>
  <c r="AL836" i="1"/>
  <c r="AJ828" i="1"/>
  <c r="AL828" i="1"/>
  <c r="AI828" i="1"/>
  <c r="AJ820" i="1"/>
  <c r="AL820" i="1"/>
  <c r="AI820" i="1"/>
  <c r="AJ811" i="1"/>
  <c r="AL811" i="1"/>
  <c r="AI811" i="1"/>
  <c r="AJ803" i="1"/>
  <c r="AL803" i="1"/>
  <c r="AI803" i="1"/>
  <c r="AJ795" i="1"/>
  <c r="AL795" i="1"/>
  <c r="AI795" i="1"/>
  <c r="AJ787" i="1"/>
  <c r="AI787" i="1"/>
  <c r="AL787" i="1"/>
  <c r="AJ779" i="1"/>
  <c r="AL779" i="1"/>
  <c r="AI779" i="1"/>
  <c r="AJ771" i="1"/>
  <c r="AI771" i="1"/>
  <c r="AL771" i="1"/>
  <c r="AJ763" i="1"/>
  <c r="AI763" i="1"/>
  <c r="AL763" i="1"/>
  <c r="AJ755" i="1"/>
  <c r="AL755" i="1"/>
  <c r="AI755" i="1"/>
  <c r="AJ747" i="1"/>
  <c r="AL747" i="1"/>
  <c r="AI747" i="1"/>
  <c r="AJ739" i="1"/>
  <c r="AL739" i="1"/>
  <c r="AI739" i="1"/>
  <c r="AJ731" i="1"/>
  <c r="AL731" i="1"/>
  <c r="AI731" i="1"/>
  <c r="AJ723" i="1"/>
  <c r="AI723" i="1"/>
  <c r="AL723" i="1"/>
  <c r="AJ715" i="1"/>
  <c r="AL715" i="1"/>
  <c r="AI715" i="1"/>
  <c r="AJ707" i="1"/>
  <c r="AI707" i="1"/>
  <c r="AL707" i="1"/>
  <c r="AJ699" i="1"/>
  <c r="AI699" i="1"/>
  <c r="AL699" i="1"/>
  <c r="AJ691" i="1"/>
  <c r="AL691" i="1"/>
  <c r="AI691" i="1"/>
  <c r="AJ683" i="1"/>
  <c r="AL683" i="1"/>
  <c r="AI683" i="1"/>
  <c r="AJ675" i="1"/>
  <c r="AL675" i="1"/>
  <c r="AI675" i="1"/>
  <c r="AJ667" i="1"/>
  <c r="AL667" i="1"/>
  <c r="AI667" i="1"/>
  <c r="AJ659" i="1"/>
  <c r="AI659" i="1"/>
  <c r="AL659" i="1"/>
  <c r="AJ651" i="1"/>
  <c r="AL651" i="1"/>
  <c r="AI651" i="1"/>
  <c r="AJ643" i="1"/>
  <c r="AL643" i="1"/>
  <c r="AI643" i="1"/>
  <c r="AJ635" i="1"/>
  <c r="AL635" i="1"/>
  <c r="AI635" i="1"/>
  <c r="AJ627" i="1"/>
  <c r="AL627" i="1"/>
  <c r="AI627" i="1"/>
  <c r="AJ619" i="1"/>
  <c r="AL619" i="1"/>
  <c r="AI619" i="1"/>
  <c r="AJ611" i="1"/>
  <c r="AL611" i="1"/>
  <c r="AI611" i="1"/>
  <c r="AJ603" i="1"/>
  <c r="AI603" i="1"/>
  <c r="AL603" i="1"/>
  <c r="AJ595" i="1"/>
  <c r="AI595" i="1"/>
  <c r="AL595" i="1"/>
  <c r="AJ587" i="1"/>
  <c r="AL587" i="1"/>
  <c r="AI587" i="1"/>
  <c r="AJ579" i="1"/>
  <c r="AL579" i="1"/>
  <c r="AI579" i="1"/>
  <c r="AJ571" i="1"/>
  <c r="AL571" i="1"/>
  <c r="AI571" i="1"/>
  <c r="AJ563" i="1"/>
  <c r="AL563" i="1"/>
  <c r="AI563" i="1"/>
  <c r="AJ555" i="1"/>
  <c r="AL555" i="1"/>
  <c r="AI555" i="1"/>
  <c r="AJ547" i="1"/>
  <c r="AI547" i="1"/>
  <c r="AL547" i="1"/>
  <c r="AJ539" i="1"/>
  <c r="AI539" i="1"/>
  <c r="AL539" i="1"/>
  <c r="AJ531" i="1"/>
  <c r="AI531" i="1"/>
  <c r="AL531" i="1"/>
  <c r="AJ523" i="1"/>
  <c r="AL523" i="1"/>
  <c r="AI523" i="1"/>
  <c r="AJ515" i="1"/>
  <c r="AL515" i="1"/>
  <c r="AI515" i="1"/>
  <c r="AJ507" i="1"/>
  <c r="AL507" i="1"/>
  <c r="AI507" i="1"/>
  <c r="AJ499" i="1"/>
  <c r="AL499" i="1"/>
  <c r="AI499" i="1"/>
  <c r="AJ491" i="1"/>
  <c r="AL491" i="1"/>
  <c r="AI491" i="1"/>
  <c r="AJ483" i="1"/>
  <c r="AI483" i="1"/>
  <c r="AL483" i="1"/>
  <c r="AJ475" i="1"/>
  <c r="AI475" i="1"/>
  <c r="AL475" i="1"/>
  <c r="AJ467" i="1"/>
  <c r="AI467" i="1"/>
  <c r="AL467" i="1"/>
  <c r="AJ459" i="1"/>
  <c r="AL459" i="1"/>
  <c r="AI459" i="1"/>
  <c r="AJ451" i="1"/>
  <c r="AL451" i="1"/>
  <c r="AI451" i="1"/>
  <c r="AJ443" i="1"/>
  <c r="AI443" i="1"/>
  <c r="AL443" i="1"/>
  <c r="AJ435" i="1"/>
  <c r="AI435" i="1"/>
  <c r="AL435" i="1"/>
  <c r="AJ427" i="1"/>
  <c r="AI427" i="1"/>
  <c r="AL427" i="1"/>
  <c r="AJ419" i="1"/>
  <c r="AI419" i="1"/>
  <c r="AL419" i="1"/>
  <c r="AJ411" i="1"/>
  <c r="AI411" i="1"/>
  <c r="AL411" i="1"/>
  <c r="AJ403" i="1"/>
  <c r="AI403" i="1"/>
  <c r="AL403" i="1"/>
  <c r="AJ395" i="1"/>
  <c r="AI395" i="1"/>
  <c r="AL395" i="1"/>
  <c r="AJ387" i="1"/>
  <c r="AI387" i="1"/>
  <c r="AL387" i="1"/>
  <c r="AJ379" i="1"/>
  <c r="AI379" i="1"/>
  <c r="AL379" i="1"/>
  <c r="AJ371" i="1"/>
  <c r="AI371" i="1"/>
  <c r="AL371" i="1"/>
  <c r="AJ363" i="1"/>
  <c r="AI363" i="1"/>
  <c r="AL363" i="1"/>
  <c r="AJ355" i="1"/>
  <c r="AI355" i="1"/>
  <c r="AL355" i="1"/>
  <c r="AJ347" i="1"/>
  <c r="AI347" i="1"/>
  <c r="AL347" i="1"/>
  <c r="AJ339" i="1"/>
  <c r="AI339" i="1"/>
  <c r="AL339" i="1"/>
  <c r="AJ331" i="1"/>
  <c r="AI331" i="1"/>
  <c r="AL331" i="1"/>
  <c r="AJ323" i="1"/>
  <c r="AI323" i="1"/>
  <c r="AL323" i="1"/>
  <c r="AJ315" i="1"/>
  <c r="AI315" i="1"/>
  <c r="AL315" i="1"/>
  <c r="AJ307" i="1"/>
  <c r="AI307" i="1"/>
  <c r="AL307" i="1"/>
  <c r="AJ299" i="1"/>
  <c r="AI299" i="1"/>
  <c r="AL299" i="1"/>
  <c r="AJ291" i="1"/>
  <c r="AI291" i="1"/>
  <c r="AL291" i="1"/>
  <c r="AJ283" i="1"/>
  <c r="AI283" i="1"/>
  <c r="AL283" i="1"/>
  <c r="AJ275" i="1"/>
  <c r="AI275" i="1"/>
  <c r="AL275" i="1"/>
  <c r="AJ267" i="1"/>
  <c r="AL267" i="1"/>
  <c r="AI267" i="1"/>
  <c r="AJ259" i="1"/>
  <c r="AL259" i="1"/>
  <c r="AI259" i="1"/>
  <c r="AJ251" i="1"/>
  <c r="AL251" i="1"/>
  <c r="AI251" i="1"/>
  <c r="AJ243" i="1"/>
  <c r="AL243" i="1"/>
  <c r="AI243" i="1"/>
  <c r="AJ235" i="1"/>
  <c r="AL235" i="1"/>
  <c r="AI235" i="1"/>
  <c r="AJ227" i="1"/>
  <c r="AL227" i="1"/>
  <c r="AI227" i="1"/>
  <c r="AJ219" i="1"/>
  <c r="AL219" i="1"/>
  <c r="AI219" i="1"/>
  <c r="AJ211" i="1"/>
  <c r="AL211" i="1"/>
  <c r="AI211" i="1"/>
  <c r="AJ203" i="1"/>
  <c r="AL203" i="1"/>
  <c r="AI203" i="1"/>
  <c r="AJ195" i="1"/>
  <c r="AL195" i="1"/>
  <c r="AI195" i="1"/>
  <c r="AJ187" i="1"/>
  <c r="AL187" i="1"/>
  <c r="AI187" i="1"/>
  <c r="AJ179" i="1"/>
  <c r="AL179" i="1"/>
  <c r="AI179" i="1"/>
  <c r="AJ171" i="1"/>
  <c r="AL171" i="1"/>
  <c r="AI171" i="1"/>
  <c r="AJ163" i="1"/>
  <c r="AL163" i="1"/>
  <c r="AI163" i="1"/>
  <c r="AJ155" i="1"/>
  <c r="AL155" i="1"/>
  <c r="AI155" i="1"/>
  <c r="AJ147" i="1"/>
  <c r="AL147" i="1"/>
  <c r="AI147" i="1"/>
  <c r="AJ139" i="1"/>
  <c r="AL139" i="1"/>
  <c r="AI139" i="1"/>
  <c r="AJ131" i="1"/>
  <c r="AL131" i="1"/>
  <c r="AI131" i="1"/>
  <c r="AJ123" i="1"/>
  <c r="AL123" i="1"/>
  <c r="AI123" i="1"/>
  <c r="AJ115" i="1"/>
  <c r="AL115" i="1"/>
  <c r="AI115" i="1"/>
  <c r="AJ107" i="1"/>
  <c r="AL107" i="1"/>
  <c r="AI107" i="1"/>
  <c r="AJ99" i="1"/>
  <c r="AL99" i="1"/>
  <c r="AI99" i="1"/>
  <c r="AJ91" i="1"/>
  <c r="AL91" i="1"/>
  <c r="AI91" i="1"/>
  <c r="AJ83" i="1"/>
  <c r="AL83" i="1"/>
  <c r="AI83" i="1"/>
  <c r="AJ75" i="1"/>
  <c r="AL75" i="1"/>
  <c r="AI75" i="1"/>
  <c r="AJ67" i="1"/>
  <c r="AL67" i="1"/>
  <c r="AI67" i="1"/>
  <c r="AJ59" i="1"/>
  <c r="AL59" i="1"/>
  <c r="AI59" i="1"/>
  <c r="AJ51" i="1"/>
  <c r="AL51" i="1"/>
  <c r="AI51" i="1"/>
  <c r="AJ43" i="1"/>
  <c r="AL43" i="1"/>
  <c r="AI43" i="1"/>
  <c r="AJ35" i="1"/>
  <c r="AL35" i="1"/>
  <c r="AI35" i="1"/>
  <c r="AJ27" i="1"/>
  <c r="AL27" i="1"/>
  <c r="AI27" i="1"/>
  <c r="AJ19" i="1"/>
  <c r="AI19" i="1"/>
  <c r="AL19" i="1"/>
  <c r="AJ11" i="1"/>
  <c r="AL11" i="1"/>
  <c r="AI11" i="1"/>
  <c r="AK810" i="1"/>
  <c r="AK754" i="1"/>
  <c r="AK690" i="1"/>
  <c r="AK626" i="1"/>
  <c r="AK562" i="1"/>
  <c r="AK498" i="1"/>
  <c r="AK290" i="1"/>
  <c r="AK598" i="1"/>
  <c r="AK534" i="1"/>
  <c r="AM812" i="1"/>
  <c r="AM466" i="1"/>
  <c r="AM386" i="1"/>
  <c r="AM338" i="1"/>
  <c r="AM274" i="1"/>
  <c r="AM26" i="1"/>
  <c r="AM862" i="1"/>
  <c r="AM835" i="1"/>
  <c r="AM313" i="1"/>
  <c r="AM867" i="1"/>
  <c r="AM858" i="1"/>
  <c r="AM748" i="1"/>
  <c r="AM487" i="1"/>
  <c r="AM295" i="1"/>
  <c r="AM705" i="1"/>
  <c r="AM807" i="1"/>
  <c r="AM414" i="1"/>
  <c r="AM350" i="1"/>
  <c r="AM778" i="1"/>
  <c r="AM714" i="1"/>
  <c r="AM650" i="1"/>
  <c r="AM577" i="1"/>
  <c r="AM453" i="1"/>
  <c r="Q2" i="1"/>
  <c r="AK867" i="1" l="1"/>
  <c r="AM530" i="1"/>
  <c r="AM594" i="1"/>
  <c r="AM786" i="1"/>
  <c r="AK634" i="1"/>
  <c r="AK698" i="1"/>
  <c r="AK762" i="1"/>
  <c r="AM658" i="1"/>
  <c r="AM722" i="1"/>
  <c r="AK490" i="1"/>
  <c r="AK554" i="1"/>
  <c r="AK618" i="1"/>
  <c r="AK682" i="1"/>
  <c r="AK746" i="1"/>
  <c r="AK494" i="1"/>
  <c r="AK558" i="1"/>
  <c r="AK622" i="1"/>
  <c r="AK31" i="1"/>
  <c r="AK95" i="1"/>
  <c r="AK159" i="1"/>
  <c r="AK223" i="1"/>
  <c r="AK401" i="1"/>
  <c r="AK850" i="1"/>
  <c r="AK314" i="1"/>
  <c r="AM810" i="1"/>
  <c r="AM585" i="1"/>
  <c r="AK752" i="1"/>
  <c r="AM521" i="1"/>
  <c r="AK816" i="1"/>
  <c r="AK570" i="1"/>
  <c r="AM32" i="1"/>
  <c r="AM96" i="1"/>
  <c r="AM160" i="1"/>
  <c r="AM224" i="1"/>
  <c r="AM352" i="1"/>
  <c r="AM416" i="1"/>
  <c r="AM558" i="1"/>
  <c r="AM622" i="1"/>
  <c r="AK162" i="1"/>
  <c r="AK226" i="1"/>
  <c r="AK354" i="1"/>
  <c r="AK418" i="1"/>
  <c r="AM536" i="1"/>
  <c r="AK79" i="1"/>
  <c r="AK143" i="1"/>
  <c r="AK207" i="1"/>
  <c r="AK640" i="1"/>
  <c r="AK385" i="1"/>
  <c r="AK449" i="1"/>
  <c r="AK834" i="1"/>
  <c r="AK10" i="1"/>
  <c r="AK458" i="1"/>
  <c r="AK522" i="1"/>
  <c r="AK586" i="1"/>
  <c r="AM328" i="1"/>
  <c r="AM22" i="1"/>
  <c r="AM7" i="1"/>
  <c r="AM327" i="1"/>
  <c r="AM469" i="1"/>
  <c r="AM360" i="1"/>
  <c r="AM424" i="1"/>
  <c r="AM670" i="1"/>
  <c r="AM534" i="1"/>
  <c r="AM566" i="1"/>
  <c r="AM303" i="1"/>
  <c r="AM661" i="1"/>
  <c r="AM725" i="1"/>
  <c r="AM711" i="1"/>
  <c r="AM775" i="1"/>
  <c r="AK855" i="1"/>
  <c r="AK391" i="1"/>
  <c r="AK519" i="1"/>
  <c r="AK583" i="1"/>
  <c r="AK647" i="1"/>
  <c r="AK57" i="1"/>
  <c r="AK121" i="1"/>
  <c r="AK249" i="1"/>
  <c r="AK512" i="1"/>
  <c r="AK576" i="1"/>
  <c r="AK833" i="1"/>
  <c r="AK670" i="1"/>
  <c r="AK734" i="1"/>
  <c r="AK798" i="1"/>
  <c r="AM19" i="1"/>
  <c r="AK30" i="1"/>
  <c r="AK695" i="1"/>
  <c r="AK759" i="1"/>
  <c r="AK824" i="1"/>
  <c r="AK41" i="1"/>
  <c r="AK105" i="1"/>
  <c r="AK169" i="1"/>
  <c r="AK745" i="1"/>
  <c r="AK809" i="1"/>
  <c r="AK402" i="1"/>
  <c r="AK819" i="1"/>
  <c r="AK859" i="1"/>
  <c r="AM562" i="1"/>
  <c r="AM626" i="1"/>
  <c r="AM297" i="1"/>
  <c r="AM671" i="1"/>
  <c r="AM735" i="1"/>
  <c r="AM148" i="1"/>
  <c r="AM212" i="1"/>
  <c r="AK375" i="1"/>
  <c r="AK439" i="1"/>
  <c r="AK474" i="1"/>
  <c r="AK538" i="1"/>
  <c r="AK602" i="1"/>
  <c r="AK666" i="1"/>
  <c r="AK794" i="1"/>
  <c r="AK720" i="1"/>
  <c r="AK26" i="1"/>
  <c r="AK464" i="1"/>
  <c r="AK592" i="1"/>
  <c r="AM754" i="1"/>
  <c r="AM6" i="1"/>
  <c r="AM454" i="1"/>
  <c r="AM472" i="1"/>
  <c r="AK528" i="1"/>
  <c r="AK656" i="1"/>
  <c r="AK784" i="1"/>
  <c r="AK730" i="1"/>
  <c r="AM690" i="1"/>
  <c r="AM311" i="1"/>
  <c r="AM384" i="1"/>
  <c r="AM448" i="1"/>
  <c r="AM597" i="1"/>
  <c r="AK66" i="1"/>
  <c r="AK130" i="1"/>
  <c r="AK194" i="1"/>
  <c r="AK258" i="1"/>
  <c r="AK386" i="1"/>
  <c r="AM522" i="1"/>
  <c r="AM586" i="1"/>
  <c r="AM36" i="1"/>
  <c r="AM657" i="1"/>
  <c r="AM825" i="1"/>
  <c r="AM645" i="1"/>
  <c r="AM709" i="1"/>
  <c r="AM773" i="1"/>
  <c r="AM353" i="1"/>
  <c r="AM417" i="1"/>
  <c r="AM306" i="1"/>
  <c r="AM498" i="1"/>
  <c r="AM829" i="1"/>
  <c r="AM376" i="1"/>
  <c r="AM440" i="1"/>
  <c r="AM504" i="1"/>
  <c r="AM847" i="1"/>
  <c r="AM822" i="1"/>
  <c r="AM281" i="1"/>
  <c r="AM682" i="1"/>
  <c r="AM746" i="1"/>
  <c r="AM875" i="1"/>
  <c r="AK870" i="1"/>
  <c r="AK407" i="1"/>
  <c r="AK73" i="1"/>
  <c r="AK137" i="1"/>
  <c r="AK201" i="1"/>
  <c r="AK265" i="1"/>
  <c r="AK713" i="1"/>
  <c r="AK777" i="1"/>
  <c r="AK722" i="1"/>
  <c r="AK786" i="1"/>
  <c r="AM632" i="1"/>
  <c r="AM696" i="1"/>
  <c r="AM760" i="1"/>
  <c r="AM688" i="1"/>
  <c r="AM752" i="1"/>
  <c r="AM397" i="1"/>
  <c r="AM74" i="1"/>
  <c r="AM138" i="1"/>
  <c r="AM202" i="1"/>
  <c r="AM266" i="1"/>
  <c r="AM330" i="1"/>
  <c r="AM816" i="1"/>
  <c r="AM742" i="1"/>
  <c r="AM600" i="1"/>
  <c r="AM673" i="1"/>
  <c r="AK34" i="1"/>
  <c r="AK98" i="1"/>
  <c r="AM769" i="1"/>
  <c r="AM354" i="1"/>
  <c r="AM418" i="1"/>
  <c r="AM462" i="1"/>
  <c r="AM873" i="1"/>
  <c r="AM335" i="1"/>
  <c r="AM367" i="1"/>
  <c r="AK510" i="1"/>
  <c r="AK574" i="1"/>
  <c r="AK638" i="1"/>
  <c r="AK47" i="1"/>
  <c r="AK111" i="1"/>
  <c r="AK175" i="1"/>
  <c r="AK239" i="1"/>
  <c r="AK417" i="1"/>
  <c r="AK866" i="1"/>
  <c r="AM831" i="1"/>
  <c r="AM791" i="1"/>
  <c r="AM180" i="1"/>
  <c r="AM279" i="1"/>
  <c r="AM471" i="1"/>
  <c r="AM717" i="1"/>
  <c r="AM801" i="1"/>
  <c r="AM329" i="1"/>
  <c r="AM457" i="1"/>
  <c r="AM52" i="1"/>
  <c r="AM244" i="1"/>
  <c r="AM781" i="1"/>
  <c r="AM382" i="1"/>
  <c r="AM446" i="1"/>
  <c r="AM652" i="1"/>
  <c r="AM649" i="1"/>
  <c r="AM663" i="1"/>
  <c r="AM727" i="1"/>
  <c r="AM535" i="1"/>
  <c r="AM599" i="1"/>
  <c r="AM737" i="1"/>
  <c r="AK62" i="1"/>
  <c r="AK190" i="1"/>
  <c r="AK254" i="1"/>
  <c r="AM45" i="1"/>
  <c r="AM301" i="1"/>
  <c r="AM70" i="1"/>
  <c r="AM134" i="1"/>
  <c r="AM198" i="1"/>
  <c r="AM262" i="1"/>
  <c r="AM87" i="1"/>
  <c r="AM151" i="1"/>
  <c r="AM215" i="1"/>
  <c r="AM850" i="1"/>
  <c r="AM57" i="1"/>
  <c r="AM121" i="1"/>
  <c r="AM185" i="1"/>
  <c r="AM249" i="1"/>
  <c r="AM42" i="1"/>
  <c r="AM106" i="1"/>
  <c r="AM170" i="1"/>
  <c r="AM234" i="1"/>
  <c r="AM298" i="1"/>
  <c r="AM362" i="1"/>
  <c r="AM426" i="1"/>
  <c r="AM490" i="1"/>
  <c r="AM365" i="1"/>
  <c r="AM429" i="1"/>
  <c r="AM493" i="1"/>
  <c r="AM502" i="1"/>
  <c r="AM135" i="1"/>
  <c r="AM630" i="1"/>
  <c r="AM710" i="1"/>
  <c r="AM123" i="1"/>
  <c r="AM251" i="1"/>
  <c r="AM568" i="1"/>
  <c r="AK663" i="1"/>
  <c r="AK727" i="1"/>
  <c r="AK791" i="1"/>
  <c r="AK9" i="1"/>
  <c r="AK274" i="1"/>
  <c r="AK338" i="1"/>
  <c r="AK466" i="1"/>
  <c r="AK530" i="1"/>
  <c r="AK594" i="1"/>
  <c r="AK658" i="1"/>
  <c r="AM304" i="1"/>
  <c r="AM554" i="1"/>
  <c r="AM618" i="1"/>
  <c r="AM864" i="1"/>
  <c r="AM351" i="1"/>
  <c r="AM571" i="1"/>
  <c r="AM404" i="1"/>
  <c r="AM56" i="1"/>
  <c r="AM120" i="1"/>
  <c r="AM184" i="1"/>
  <c r="AM248" i="1"/>
  <c r="AM17" i="1"/>
  <c r="AK865" i="1"/>
  <c r="AK875" i="1"/>
  <c r="AM29" i="1"/>
  <c r="AM93" i="1"/>
  <c r="AM221" i="1"/>
  <c r="AM285" i="1"/>
  <c r="AM349" i="1"/>
  <c r="AM413" i="1"/>
  <c r="AM54" i="1"/>
  <c r="AM118" i="1"/>
  <c r="AM182" i="1"/>
  <c r="AM246" i="1"/>
  <c r="AM859" i="1"/>
  <c r="AM71" i="1"/>
  <c r="AM199" i="1"/>
  <c r="AM263" i="1"/>
  <c r="AM849" i="1"/>
  <c r="AM834" i="1"/>
  <c r="AM41" i="1"/>
  <c r="AM105" i="1"/>
  <c r="AM169" i="1"/>
  <c r="AM233" i="1"/>
  <c r="AM489" i="1"/>
  <c r="AM794" i="1"/>
  <c r="AM90" i="1"/>
  <c r="AM154" i="1"/>
  <c r="AM218" i="1"/>
  <c r="AM282" i="1"/>
  <c r="AM346" i="1"/>
  <c r="AM410" i="1"/>
  <c r="AM474" i="1"/>
  <c r="AM324" i="1"/>
  <c r="AM553" i="1"/>
  <c r="AM617" i="1"/>
  <c r="AM286" i="1"/>
  <c r="AM399" i="1"/>
  <c r="AM40" i="1"/>
  <c r="AM168" i="1"/>
  <c r="AM232" i="1"/>
  <c r="AM811" i="1"/>
  <c r="AM339" i="1"/>
  <c r="AK694" i="1"/>
  <c r="AK758" i="1"/>
  <c r="AK300" i="1"/>
  <c r="AK505" i="1"/>
  <c r="AK569" i="1"/>
  <c r="AK633" i="1"/>
  <c r="AK450" i="1"/>
  <c r="AK514" i="1"/>
  <c r="AK578" i="1"/>
  <c r="AK642" i="1"/>
  <c r="AK706" i="1"/>
  <c r="AK770" i="1"/>
  <c r="AK158" i="1"/>
  <c r="AK222" i="1"/>
  <c r="AK650" i="1"/>
  <c r="AK714" i="1"/>
  <c r="AK778" i="1"/>
  <c r="AM13" i="1"/>
  <c r="AM77" i="1"/>
  <c r="AM269" i="1"/>
  <c r="AM333" i="1"/>
  <c r="AM674" i="1"/>
  <c r="AM28" i="1"/>
  <c r="AM38" i="1"/>
  <c r="AM102" i="1"/>
  <c r="AM166" i="1"/>
  <c r="AM230" i="1"/>
  <c r="AM486" i="1"/>
  <c r="AM546" i="1"/>
  <c r="AM610" i="1"/>
  <c r="AM856" i="1"/>
  <c r="AM55" i="1"/>
  <c r="AM119" i="1"/>
  <c r="AM183" i="1"/>
  <c r="AM247" i="1"/>
  <c r="AM540" i="1"/>
  <c r="AM604" i="1"/>
  <c r="AM818" i="1"/>
  <c r="AM729" i="1"/>
  <c r="AM89" i="1"/>
  <c r="AM153" i="1"/>
  <c r="AM217" i="1"/>
  <c r="AM473" i="1"/>
  <c r="AM678" i="1"/>
  <c r="AM843" i="1"/>
  <c r="AM476" i="1"/>
  <c r="AM394" i="1"/>
  <c r="AM458" i="1"/>
  <c r="AM836" i="1"/>
  <c r="AM806" i="1"/>
  <c r="AM383" i="1"/>
  <c r="AM447" i="1"/>
  <c r="AM539" i="1"/>
  <c r="AM603" i="1"/>
  <c r="AM24" i="1"/>
  <c r="AM88" i="1"/>
  <c r="AM152" i="1"/>
  <c r="AM216" i="1"/>
  <c r="AM809" i="1"/>
  <c r="AM842" i="1"/>
  <c r="AM436" i="1"/>
  <c r="AM308" i="1"/>
  <c r="AM482" i="1"/>
  <c r="AM550" i="1"/>
  <c r="AM614" i="1"/>
  <c r="AM795" i="1"/>
  <c r="AM846" i="1"/>
  <c r="AM832" i="1"/>
  <c r="AM463" i="1"/>
  <c r="AM792" i="1"/>
  <c r="AM344" i="1"/>
  <c r="AM408" i="1"/>
  <c r="AM664" i="1"/>
  <c r="AM728" i="1"/>
  <c r="AK502" i="1"/>
  <c r="AK566" i="1"/>
  <c r="AK630" i="1"/>
  <c r="AK823" i="1"/>
  <c r="AK322" i="1"/>
  <c r="AK835" i="1"/>
  <c r="AM73" i="1"/>
  <c r="AM381" i="1"/>
  <c r="AM39" i="1"/>
  <c r="AM201" i="1"/>
  <c r="AM356" i="1"/>
  <c r="AM662" i="1"/>
  <c r="AM726" i="1"/>
  <c r="AM91" i="1"/>
  <c r="AM155" i="1"/>
  <c r="AM219" i="1"/>
  <c r="AM347" i="1"/>
  <c r="AK306" i="1"/>
  <c r="AM61" i="1"/>
  <c r="AM189" i="1"/>
  <c r="AM253" i="1"/>
  <c r="AM317" i="1"/>
  <c r="AM86" i="1"/>
  <c r="AM713" i="1"/>
  <c r="AM137" i="1"/>
  <c r="AM827" i="1"/>
  <c r="AM378" i="1"/>
  <c r="AM461" i="1"/>
  <c r="AM445" i="1"/>
  <c r="AM150" i="1"/>
  <c r="AM214" i="1"/>
  <c r="AM103" i="1"/>
  <c r="AM167" i="1"/>
  <c r="AM231" i="1"/>
  <c r="AM265" i="1"/>
  <c r="AM442" i="1"/>
  <c r="AM790" i="1"/>
  <c r="AM318" i="1"/>
  <c r="AM431" i="1"/>
  <c r="AM716" i="1"/>
  <c r="AM780" i="1"/>
  <c r="AM777" i="1"/>
  <c r="AM8" i="1"/>
  <c r="AM72" i="1"/>
  <c r="AM136" i="1"/>
  <c r="AM200" i="1"/>
  <c r="AM826" i="1"/>
  <c r="AM702" i="1"/>
  <c r="AM766" i="1"/>
  <c r="AM12" i="1"/>
  <c r="AM264" i="1"/>
  <c r="AM392" i="1"/>
  <c r="AK738" i="1"/>
  <c r="AK802" i="1"/>
  <c r="AK28" i="1"/>
  <c r="AM584" i="1"/>
  <c r="AM526" i="1"/>
  <c r="AM590" i="1"/>
  <c r="AK678" i="1"/>
  <c r="AK742" i="1"/>
  <c r="AK806" i="1"/>
  <c r="AK370" i="1"/>
  <c r="AK434" i="1"/>
  <c r="AK63" i="1"/>
  <c r="AK191" i="1"/>
  <c r="AK369" i="1"/>
  <c r="AK433" i="1"/>
  <c r="AK689" i="1"/>
  <c r="AK753" i="1"/>
  <c r="AK818" i="1"/>
  <c r="AK282" i="1"/>
  <c r="AM823" i="1"/>
  <c r="AM641" i="1"/>
  <c r="AM132" i="1"/>
  <c r="AM271" i="1"/>
  <c r="AM564" i="1"/>
  <c r="AM693" i="1"/>
  <c r="AM757" i="1"/>
  <c r="AM385" i="1"/>
  <c r="AM449" i="1"/>
  <c r="AM497" i="1"/>
  <c r="AM513" i="1"/>
  <c r="AM654" i="1"/>
  <c r="AM196" i="1"/>
  <c r="AM679" i="1"/>
  <c r="AM743" i="1"/>
  <c r="AM860" i="1"/>
  <c r="AM67" i="1"/>
  <c r="AM131" i="1"/>
  <c r="AM195" i="1"/>
  <c r="AM259" i="1"/>
  <c r="AM861" i="1"/>
  <c r="AM260" i="1"/>
  <c r="AM551" i="1"/>
  <c r="AM615" i="1"/>
  <c r="AK359" i="1"/>
  <c r="AK423" i="1"/>
  <c r="AK872" i="1"/>
  <c r="AK89" i="1"/>
  <c r="AK153" i="1"/>
  <c r="AK217" i="1"/>
  <c r="AK473" i="1"/>
  <c r="AK537" i="1"/>
  <c r="AM296" i="1"/>
  <c r="AM533" i="1"/>
  <c r="AK343" i="1"/>
  <c r="AK233" i="1"/>
  <c r="AK127" i="1"/>
  <c r="AK255" i="1"/>
  <c r="AK688" i="1"/>
  <c r="AM415" i="1"/>
  <c r="AM104" i="1"/>
  <c r="AM371" i="1"/>
  <c r="AM403" i="1"/>
  <c r="AM435" i="1"/>
  <c r="AK455" i="1"/>
  <c r="AK185" i="1"/>
  <c r="AK601" i="1"/>
  <c r="AK94" i="1"/>
  <c r="AK353" i="1"/>
  <c r="AM601" i="1"/>
  <c r="AM46" i="1"/>
  <c r="AM238" i="1"/>
  <c r="AM511" i="1"/>
  <c r="AM532" i="1"/>
  <c r="AM741" i="1"/>
  <c r="AM204" i="1"/>
  <c r="AM49" i="1"/>
  <c r="AM145" i="1"/>
  <c r="AM759" i="1"/>
  <c r="AM567" i="1"/>
  <c r="AM78" i="1"/>
  <c r="AM206" i="1"/>
  <c r="AM177" i="1"/>
  <c r="AM412" i="1"/>
  <c r="AK42" i="1"/>
  <c r="AK74" i="1"/>
  <c r="AK106" i="1"/>
  <c r="AK138" i="1"/>
  <c r="AK170" i="1"/>
  <c r="AK202" i="1"/>
  <c r="AK234" i="1"/>
  <c r="AK266" i="1"/>
  <c r="AM21" i="1"/>
  <c r="AM14" i="1"/>
  <c r="AM110" i="1"/>
  <c r="AM316" i="1"/>
  <c r="AM81" i="1"/>
  <c r="AM241" i="1"/>
  <c r="AM631" i="1"/>
  <c r="AM695" i="1"/>
  <c r="AM625" i="1"/>
  <c r="AM294" i="1"/>
  <c r="AM358" i="1"/>
  <c r="AM390" i="1"/>
  <c r="AM284" i="1"/>
  <c r="AM503" i="1"/>
  <c r="AM724" i="1"/>
  <c r="AM800" i="1"/>
  <c r="AM348" i="1"/>
  <c r="AM524" i="1"/>
  <c r="AM588" i="1"/>
  <c r="AM268" i="1"/>
  <c r="AM25" i="1"/>
  <c r="AM361" i="1"/>
  <c r="AM549" i="1"/>
  <c r="AM805" i="1"/>
  <c r="AM639" i="1"/>
  <c r="AM142" i="1"/>
  <c r="AM561" i="1"/>
  <c r="AM863" i="1"/>
  <c r="AM326" i="1"/>
  <c r="AM872" i="1"/>
  <c r="AM23" i="1"/>
  <c r="AM660" i="1"/>
  <c r="AM785" i="1"/>
  <c r="AM380" i="1"/>
  <c r="AM393" i="1"/>
  <c r="AM425" i="1"/>
  <c r="AM613" i="1"/>
  <c r="AM721" i="1"/>
  <c r="AM468" i="1"/>
  <c r="AM575" i="1"/>
  <c r="AM788" i="1"/>
  <c r="AM444" i="1"/>
  <c r="AM576" i="1"/>
  <c r="AM422" i="1"/>
  <c r="AM840" i="1"/>
  <c r="AM272" i="1"/>
  <c r="AM336" i="1"/>
  <c r="AM480" i="1"/>
  <c r="AM512" i="1"/>
  <c r="AM640" i="1"/>
  <c r="AM672" i="1"/>
  <c r="AM704" i="1"/>
  <c r="AM736" i="1"/>
  <c r="AM768" i="1"/>
  <c r="AM681" i="1"/>
  <c r="AK774" i="1"/>
  <c r="AK471" i="1"/>
  <c r="AK535" i="1"/>
  <c r="AK599" i="1"/>
  <c r="AK297" i="1"/>
  <c r="AK329" i="1"/>
  <c r="AK489" i="1"/>
  <c r="AK553" i="1"/>
  <c r="AK617" i="1"/>
  <c r="AK671" i="1"/>
  <c r="AK735" i="1"/>
  <c r="AK799" i="1"/>
  <c r="AK832" i="1"/>
  <c r="AK16" i="1"/>
  <c r="AK496" i="1"/>
  <c r="AK560" i="1"/>
  <c r="AK624" i="1"/>
  <c r="AK849" i="1"/>
  <c r="AM485" i="1"/>
  <c r="AM174" i="1"/>
  <c r="AM236" i="1"/>
  <c r="AM857" i="1"/>
  <c r="AM677" i="1"/>
  <c r="AM113" i="1"/>
  <c r="AM209" i="1"/>
  <c r="AM845" i="1"/>
  <c r="AM544" i="1"/>
  <c r="AM18" i="1"/>
  <c r="AM50" i="1"/>
  <c r="AM82" i="1"/>
  <c r="AM114" i="1"/>
  <c r="AM146" i="1"/>
  <c r="AM178" i="1"/>
  <c r="AM210" i="1"/>
  <c r="AM242" i="1"/>
  <c r="AM745" i="1"/>
  <c r="AM608" i="1"/>
  <c r="AK7" i="1"/>
  <c r="AK56" i="1"/>
  <c r="AK88" i="1"/>
  <c r="AK120" i="1"/>
  <c r="AK152" i="1"/>
  <c r="AK184" i="1"/>
  <c r="AK216" i="1"/>
  <c r="AK248" i="1"/>
  <c r="AK280" i="1"/>
  <c r="AK312" i="1"/>
  <c r="AK344" i="1"/>
  <c r="AK376" i="1"/>
  <c r="AK408" i="1"/>
  <c r="AK440" i="1"/>
  <c r="AK472" i="1"/>
  <c r="AK536" i="1"/>
  <c r="AK600" i="1"/>
  <c r="AK664" i="1"/>
  <c r="AK728" i="1"/>
  <c r="AK792" i="1"/>
  <c r="AK826" i="1"/>
  <c r="AK463" i="1"/>
  <c r="AK527" i="1"/>
  <c r="AK591" i="1"/>
  <c r="AK655" i="1"/>
  <c r="AK719" i="1"/>
  <c r="AK783" i="1"/>
  <c r="AK289" i="1"/>
  <c r="AK321" i="1"/>
  <c r="AK481" i="1"/>
  <c r="AK545" i="1"/>
  <c r="AK609" i="1"/>
  <c r="AK856" i="1"/>
  <c r="AK712" i="1"/>
  <c r="AK776" i="1"/>
  <c r="AK681" i="1"/>
  <c r="AK48" i="1"/>
  <c r="AK80" i="1"/>
  <c r="AK112" i="1"/>
  <c r="AK144" i="1"/>
  <c r="AK176" i="1"/>
  <c r="AK208" i="1"/>
  <c r="AK240" i="1"/>
  <c r="AK272" i="1"/>
  <c r="AK304" i="1"/>
  <c r="AK336" i="1"/>
  <c r="AK368" i="1"/>
  <c r="AK400" i="1"/>
  <c r="AK432" i="1"/>
  <c r="AK843" i="1"/>
  <c r="AM698" i="1"/>
  <c r="AM762" i="1"/>
  <c r="AM819" i="1"/>
  <c r="AM851" i="1"/>
  <c r="AK362" i="1"/>
  <c r="AK394" i="1"/>
  <c r="AK426" i="1"/>
  <c r="AM529" i="1"/>
  <c r="AM593" i="1"/>
  <c r="AM697" i="1"/>
  <c r="AM865" i="1"/>
  <c r="AM192" i="1"/>
  <c r="AM256" i="1"/>
  <c r="AM866" i="1"/>
  <c r="AM506" i="1"/>
  <c r="AM689" i="1"/>
  <c r="AM569" i="1"/>
  <c r="AM753" i="1"/>
  <c r="AM273" i="1"/>
  <c r="AM305" i="1"/>
  <c r="AM337" i="1"/>
  <c r="AM761" i="1"/>
  <c r="AM370" i="1"/>
  <c r="AM402" i="1"/>
  <c r="AM434" i="1"/>
  <c r="AM838" i="1"/>
  <c r="AK478" i="1"/>
  <c r="AK542" i="1"/>
  <c r="AK606" i="1"/>
  <c r="AK863" i="1"/>
  <c r="AM598" i="1"/>
  <c r="AK54" i="1"/>
  <c r="AK86" i="1"/>
  <c r="AK118" i="1"/>
  <c r="AK150" i="1"/>
  <c r="AK182" i="1"/>
  <c r="AK214" i="1"/>
  <c r="AK246" i="1"/>
  <c r="AK470" i="1"/>
  <c r="AK662" i="1"/>
  <c r="AK726" i="1"/>
  <c r="AK790" i="1"/>
  <c r="AM738" i="1"/>
  <c r="AM770" i="1"/>
  <c r="AM802" i="1"/>
  <c r="AM450" i="1"/>
  <c r="AM372" i="1"/>
  <c r="AM276" i="1"/>
  <c r="AM676" i="1"/>
  <c r="AM740" i="1"/>
  <c r="AM620" i="1"/>
  <c r="AM492" i="1"/>
  <c r="AM869" i="1"/>
  <c r="AK294" i="1"/>
  <c r="AK326" i="1"/>
  <c r="AK358" i="1"/>
  <c r="AK390" i="1"/>
  <c r="AK422" i="1"/>
  <c r="AK454" i="1"/>
  <c r="AK518" i="1"/>
  <c r="AK582" i="1"/>
  <c r="AK646" i="1"/>
  <c r="AK710" i="1"/>
  <c r="AK279" i="1"/>
  <c r="AK311" i="1"/>
  <c r="AK503" i="1"/>
  <c r="AK567" i="1"/>
  <c r="AK631" i="1"/>
  <c r="AM712" i="1"/>
  <c r="AM505" i="1"/>
  <c r="AK17" i="1"/>
  <c r="AK49" i="1"/>
  <c r="AK81" i="1"/>
  <c r="AK113" i="1"/>
  <c r="AK145" i="1"/>
  <c r="AK177" i="1"/>
  <c r="AK209" i="1"/>
  <c r="AK241" i="1"/>
  <c r="AK465" i="1"/>
  <c r="AK324" i="1"/>
  <c r="AM108" i="1"/>
  <c r="AM140" i="1"/>
  <c r="AM44" i="1"/>
  <c r="AM76" i="1"/>
  <c r="AM172" i="1"/>
  <c r="AM520" i="1"/>
  <c r="AM555" i="1"/>
  <c r="AM587" i="1"/>
  <c r="AM619" i="1"/>
  <c r="AM684" i="1"/>
  <c r="AM633" i="1"/>
  <c r="AM648" i="1"/>
  <c r="AK21" i="1"/>
  <c r="AK504" i="1"/>
  <c r="AK568" i="1"/>
  <c r="AK632" i="1"/>
  <c r="AK696" i="1"/>
  <c r="AK760" i="1"/>
  <c r="AK825" i="1"/>
  <c r="AK345" i="1"/>
  <c r="AK377" i="1"/>
  <c r="AK409" i="1"/>
  <c r="AK441" i="1"/>
  <c r="AK858" i="1"/>
  <c r="AM211" i="1"/>
  <c r="AM243" i="1"/>
  <c r="AM51" i="1"/>
  <c r="AM83" i="1"/>
  <c r="AM115" i="1"/>
  <c r="AM147" i="1"/>
  <c r="AM179" i="1"/>
  <c r="AK33" i="1"/>
  <c r="AK65" i="1"/>
  <c r="AK97" i="1"/>
  <c r="AK129" i="1"/>
  <c r="AK161" i="1"/>
  <c r="AK193" i="1"/>
  <c r="AK225" i="1"/>
  <c r="AK257" i="1"/>
  <c r="AK673" i="1"/>
  <c r="AK705" i="1"/>
  <c r="AK737" i="1"/>
  <c r="AK769" i="1"/>
  <c r="AK801" i="1"/>
  <c r="AM9" i="1"/>
  <c r="AK874" i="1"/>
  <c r="AK346" i="1"/>
  <c r="AK378" i="1"/>
  <c r="AK410" i="1"/>
  <c r="AK442" i="1"/>
  <c r="AK827" i="1"/>
  <c r="AM37" i="1"/>
  <c r="AM69" i="1"/>
  <c r="AM101" i="1"/>
  <c r="AM133" i="1"/>
  <c r="AM165" i="1"/>
  <c r="AM197" i="1"/>
  <c r="AM229" i="1"/>
  <c r="AM261" i="1"/>
  <c r="AM293" i="1"/>
  <c r="AM325" i="1"/>
  <c r="AM357" i="1"/>
  <c r="AM389" i="1"/>
  <c r="AM421" i="1"/>
  <c r="AM30" i="1"/>
  <c r="AM478" i="1"/>
  <c r="AM510" i="1"/>
  <c r="AM783" i="1"/>
  <c r="AM870" i="1"/>
  <c r="AM15" i="1"/>
  <c r="AM47" i="1"/>
  <c r="AM79" i="1"/>
  <c r="AM111" i="1"/>
  <c r="AM143" i="1"/>
  <c r="AM175" i="1"/>
  <c r="AM207" i="1"/>
  <c r="AM239" i="1"/>
  <c r="AM874" i="1"/>
  <c r="AM289" i="1"/>
  <c r="AM321" i="1"/>
  <c r="AM541" i="1"/>
  <c r="AM573" i="1"/>
  <c r="AM605" i="1"/>
  <c r="AM638" i="1"/>
  <c r="AM734" i="1"/>
  <c r="AM66" i="1"/>
  <c r="AM130" i="1"/>
  <c r="AM194" i="1"/>
  <c r="AM258" i="1"/>
  <c r="AM290" i="1"/>
  <c r="AM322" i="1"/>
  <c r="AK608" i="1"/>
  <c r="AK641" i="1"/>
  <c r="AK480" i="1"/>
  <c r="AK672" i="1"/>
  <c r="AK577" i="1"/>
  <c r="AM545" i="1"/>
  <c r="AM609" i="1"/>
  <c r="AM642" i="1"/>
  <c r="AM706" i="1"/>
  <c r="AM814" i="1"/>
  <c r="AM156" i="1"/>
  <c r="AM396" i="1"/>
  <c r="AM278" i="1"/>
  <c r="AM310" i="1"/>
  <c r="AM342" i="1"/>
  <c r="AM514" i="1"/>
  <c r="AM578" i="1"/>
  <c r="AM92" i="1"/>
  <c r="AM484" i="1"/>
  <c r="AM455" i="1"/>
  <c r="AM644" i="1"/>
  <c r="AM708" i="1"/>
  <c r="AM772" i="1"/>
  <c r="AM833" i="1"/>
  <c r="AM60" i="1"/>
  <c r="AM572" i="1"/>
  <c r="AM345" i="1"/>
  <c r="AM124" i="1"/>
  <c r="AM364" i="1"/>
  <c r="AM687" i="1"/>
  <c r="AM751" i="1"/>
  <c r="AM252" i="1"/>
  <c r="AM559" i="1"/>
  <c r="AM623" i="1"/>
  <c r="AK544" i="1"/>
  <c r="AK800" i="1"/>
  <c r="AK513" i="1"/>
  <c r="AM374" i="1"/>
  <c r="AM406" i="1"/>
  <c r="AM438" i="1"/>
  <c r="AM747" i="1"/>
  <c r="AM824" i="1"/>
  <c r="AM784" i="1"/>
  <c r="AM624" i="1"/>
  <c r="AM288" i="1"/>
  <c r="AM320" i="1"/>
  <c r="AM464" i="1"/>
  <c r="AM496" i="1"/>
  <c r="AM592" i="1"/>
  <c r="AM377" i="1"/>
  <c r="AM409" i="1"/>
  <c r="AM441" i="1"/>
  <c r="AM331" i="1"/>
  <c r="AM491" i="1"/>
  <c r="AM656" i="1"/>
  <c r="AM720" i="1"/>
  <c r="AK8" i="1"/>
  <c r="AK40" i="1"/>
  <c r="AK72" i="1"/>
  <c r="AK104" i="1"/>
  <c r="AK136" i="1"/>
  <c r="AK168" i="1"/>
  <c r="AK200" i="1"/>
  <c r="AK232" i="1"/>
  <c r="AK264" i="1"/>
  <c r="AK296" i="1"/>
  <c r="AK328" i="1"/>
  <c r="AK360" i="1"/>
  <c r="AK392" i="1"/>
  <c r="AK424" i="1"/>
  <c r="AK488" i="1"/>
  <c r="AK552" i="1"/>
  <c r="AK616" i="1"/>
  <c r="AK873" i="1"/>
  <c r="AK842" i="1"/>
  <c r="AK292" i="1"/>
  <c r="AK736" i="1"/>
  <c r="AK14" i="1"/>
  <c r="AK110" i="1"/>
  <c r="AK238" i="1"/>
  <c r="AK58" i="1"/>
  <c r="AK90" i="1"/>
  <c r="AK122" i="1"/>
  <c r="AK154" i="1"/>
  <c r="AK186" i="1"/>
  <c r="AK218" i="1"/>
  <c r="AK250" i="1"/>
  <c r="AM855" i="1"/>
  <c r="AM220" i="1"/>
  <c r="AM452" i="1"/>
  <c r="AM62" i="1"/>
  <c r="AM94" i="1"/>
  <c r="AM126" i="1"/>
  <c r="AM158" i="1"/>
  <c r="AM190" i="1"/>
  <c r="AM222" i="1"/>
  <c r="AM254" i="1"/>
  <c r="AM815" i="1"/>
  <c r="AM428" i="1"/>
  <c r="AM636" i="1"/>
  <c r="AM841" i="1"/>
  <c r="AM629" i="1"/>
  <c r="AM129" i="1"/>
  <c r="AM161" i="1"/>
  <c r="AM193" i="1"/>
  <c r="AM225" i="1"/>
  <c r="AM257" i="1"/>
  <c r="AM750" i="1"/>
  <c r="AM647" i="1"/>
  <c r="AM188" i="1"/>
  <c r="AM583" i="1"/>
  <c r="AM5" i="1"/>
  <c r="AM332" i="1"/>
  <c r="AM700" i="1"/>
  <c r="AM764" i="1"/>
  <c r="AM516" i="1"/>
  <c r="AM548" i="1"/>
  <c r="AM580" i="1"/>
  <c r="AM612" i="1"/>
  <c r="AM33" i="1"/>
  <c r="AM65" i="1"/>
  <c r="AM97" i="1"/>
  <c r="AM481" i="1"/>
  <c r="AM844" i="1"/>
  <c r="AM300" i="1"/>
  <c r="AM830" i="1"/>
  <c r="AM519" i="1"/>
  <c r="AM528" i="1"/>
  <c r="AM495" i="1"/>
  <c r="AM523" i="1"/>
  <c r="AM686" i="1"/>
  <c r="AM34" i="1"/>
  <c r="AM98" i="1"/>
  <c r="AM162" i="1"/>
  <c r="AM226" i="1"/>
  <c r="AM560" i="1"/>
  <c r="AM35" i="1"/>
  <c r="AM99" i="1"/>
  <c r="AM163" i="1"/>
  <c r="AM227" i="1"/>
  <c r="AK487" i="1"/>
  <c r="AK551" i="1"/>
  <c r="AK615" i="1"/>
  <c r="AK679" i="1"/>
  <c r="AK711" i="1"/>
  <c r="AK743" i="1"/>
  <c r="AK775" i="1"/>
  <c r="AK807" i="1"/>
  <c r="AK840" i="1"/>
  <c r="AK281" i="1"/>
  <c r="AK313" i="1"/>
  <c r="AK665" i="1"/>
  <c r="AK697" i="1"/>
  <c r="AK729" i="1"/>
  <c r="AK761" i="1"/>
  <c r="AK793" i="1"/>
  <c r="AK482" i="1"/>
  <c r="AK546" i="1"/>
  <c r="AK610" i="1"/>
  <c r="AK674" i="1"/>
  <c r="AK291" i="1"/>
  <c r="AK323" i="1"/>
  <c r="AK355" i="1"/>
  <c r="AK387" i="1"/>
  <c r="AK419" i="1"/>
  <c r="AK451" i="1"/>
  <c r="AK515" i="1"/>
  <c r="AK579" i="1"/>
  <c r="AK830" i="1"/>
  <c r="AK862" i="1"/>
  <c r="AK367" i="1"/>
  <c r="AK399" i="1"/>
  <c r="AK431" i="1"/>
  <c r="AK495" i="1"/>
  <c r="AK559" i="1"/>
  <c r="AK623" i="1"/>
  <c r="AK687" i="1"/>
  <c r="AK751" i="1"/>
  <c r="AK815" i="1"/>
  <c r="AK848" i="1"/>
  <c r="AM20" i="1"/>
  <c r="AM470" i="1"/>
  <c r="AM635" i="1"/>
  <c r="AM699" i="1"/>
  <c r="AM80" i="1"/>
  <c r="AM208" i="1"/>
  <c r="AM368" i="1"/>
  <c r="AM400" i="1"/>
  <c r="AM432" i="1"/>
  <c r="AM556" i="1"/>
  <c r="AM565" i="1"/>
  <c r="AM694" i="1"/>
  <c r="AM758" i="1"/>
  <c r="AM11" i="1"/>
  <c r="AM283" i="1"/>
  <c r="AM315" i="1"/>
  <c r="AK5" i="1"/>
  <c r="AK37" i="1"/>
  <c r="AK69" i="1"/>
  <c r="AK101" i="1"/>
  <c r="AK133" i="1"/>
  <c r="AK165" i="1"/>
  <c r="AK197" i="1"/>
  <c r="AK229" i="1"/>
  <c r="AK261" i="1"/>
  <c r="AK293" i="1"/>
  <c r="AK325" i="1"/>
  <c r="AK357" i="1"/>
  <c r="AK389" i="1"/>
  <c r="AK421" i="1"/>
  <c r="AK453" i="1"/>
  <c r="AK485" i="1"/>
  <c r="AK517" i="1"/>
  <c r="AK549" i="1"/>
  <c r="AK581" i="1"/>
  <c r="AK613" i="1"/>
  <c r="AK645" i="1"/>
  <c r="AK677" i="1"/>
  <c r="AK709" i="1"/>
  <c r="AK741" i="1"/>
  <c r="AK773" i="1"/>
  <c r="AK805" i="1"/>
  <c r="AK838" i="1"/>
  <c r="AK276" i="1"/>
  <c r="AK476" i="1"/>
  <c r="AK6" i="1"/>
  <c r="AK788" i="1"/>
  <c r="AK23" i="1"/>
  <c r="AK55" i="1"/>
  <c r="AK87" i="1"/>
  <c r="AK119" i="1"/>
  <c r="AK151" i="1"/>
  <c r="AK183" i="1"/>
  <c r="AK215" i="1"/>
  <c r="AK247" i="1"/>
  <c r="AK456" i="1"/>
  <c r="AK520" i="1"/>
  <c r="AK584" i="1"/>
  <c r="AK648" i="1"/>
  <c r="AK680" i="1"/>
  <c r="AK744" i="1"/>
  <c r="AK808" i="1"/>
  <c r="AK841" i="1"/>
  <c r="AK652" i="1"/>
  <c r="AK361" i="1"/>
  <c r="AK393" i="1"/>
  <c r="AK425" i="1"/>
  <c r="AK457" i="1"/>
  <c r="AK521" i="1"/>
  <c r="AK585" i="1"/>
  <c r="AK649" i="1"/>
  <c r="AK308" i="1"/>
  <c r="AK275" i="1"/>
  <c r="AK307" i="1"/>
  <c r="AK499" i="1"/>
  <c r="AK764" i="1"/>
  <c r="AM27" i="1"/>
  <c r="AM75" i="1"/>
  <c r="AM139" i="1"/>
  <c r="AM203" i="1"/>
  <c r="AM267" i="1"/>
  <c r="AM363" i="1"/>
  <c r="AM395" i="1"/>
  <c r="AK692" i="1"/>
  <c r="AK204" i="1"/>
  <c r="AK188" i="1"/>
  <c r="AK404" i="1"/>
  <c r="AK332" i="1"/>
  <c r="AK556" i="1"/>
  <c r="AK756" i="1"/>
  <c r="AK124" i="1"/>
  <c r="AK524" i="1"/>
  <c r="AK19" i="1"/>
  <c r="AK51" i="1"/>
  <c r="AK83" i="1"/>
  <c r="AK115" i="1"/>
  <c r="AK147" i="1"/>
  <c r="AK179" i="1"/>
  <c r="AK211" i="1"/>
  <c r="AK243" i="1"/>
  <c r="AK339" i="1"/>
  <c r="AK371" i="1"/>
  <c r="AK403" i="1"/>
  <c r="AK435" i="1"/>
  <c r="AK467" i="1"/>
  <c r="AK531" i="1"/>
  <c r="AK595" i="1"/>
  <c r="AK659" i="1"/>
  <c r="AK723" i="1"/>
  <c r="AK787" i="1"/>
  <c r="AK532" i="1"/>
  <c r="AK126" i="1"/>
  <c r="AK702" i="1"/>
  <c r="AK766" i="1"/>
  <c r="AK831" i="1"/>
  <c r="AK271" i="1"/>
  <c r="AK303" i="1"/>
  <c r="AK335" i="1"/>
  <c r="AM782" i="1"/>
  <c r="AM359" i="1"/>
  <c r="AM391" i="1"/>
  <c r="AM423" i="1"/>
  <c r="AM64" i="1"/>
  <c r="AM128" i="1"/>
  <c r="AM703" i="1"/>
  <c r="AM767" i="1"/>
  <c r="AM868" i="1"/>
  <c r="AM543" i="1"/>
  <c r="AM607" i="1"/>
  <c r="AK589" i="1"/>
  <c r="AK621" i="1"/>
  <c r="AK653" i="1"/>
  <c r="AK685" i="1"/>
  <c r="AK717" i="1"/>
  <c r="AK749" i="1"/>
  <c r="AK781" i="1"/>
  <c r="AK813" i="1"/>
  <c r="AK846" i="1"/>
  <c r="AK302" i="1"/>
  <c r="AK334" i="1"/>
  <c r="AK366" i="1"/>
  <c r="AK398" i="1"/>
  <c r="AK430" i="1"/>
  <c r="AK847" i="1"/>
  <c r="AK287" i="1"/>
  <c r="AK319" i="1"/>
  <c r="AM839" i="1"/>
  <c r="AM871" i="1"/>
  <c r="AM270" i="1"/>
  <c r="AM31" i="1"/>
  <c r="AM63" i="1"/>
  <c r="AM159" i="1"/>
  <c r="AM223" i="1"/>
  <c r="AM95" i="1"/>
  <c r="AM127" i="1"/>
  <c r="AM191" i="1"/>
  <c r="AM255" i="1"/>
  <c r="AM479" i="1"/>
  <c r="AM718" i="1"/>
  <c r="AK29" i="1"/>
  <c r="AK61" i="1"/>
  <c r="AK93" i="1"/>
  <c r="AK125" i="1"/>
  <c r="AK157" i="1"/>
  <c r="AK189" i="1"/>
  <c r="AK221" i="1"/>
  <c r="AK253" i="1"/>
  <c r="AK285" i="1"/>
  <c r="AK317" i="1"/>
  <c r="AK349" i="1"/>
  <c r="AK381" i="1"/>
  <c r="AK413" i="1"/>
  <c r="AK445" i="1"/>
  <c r="AK477" i="1"/>
  <c r="AK509" i="1"/>
  <c r="AK541" i="1"/>
  <c r="AK573" i="1"/>
  <c r="AK605" i="1"/>
  <c r="AK637" i="1"/>
  <c r="AK669" i="1"/>
  <c r="AK701" i="1"/>
  <c r="AK733" i="1"/>
  <c r="AK765" i="1"/>
  <c r="AK797" i="1"/>
  <c r="AK220" i="1"/>
  <c r="AK436" i="1"/>
  <c r="AK869" i="1"/>
  <c r="AK286" i="1"/>
  <c r="AK318" i="1"/>
  <c r="AK350" i="1"/>
  <c r="AK382" i="1"/>
  <c r="AK414" i="1"/>
  <c r="AK446" i="1"/>
  <c r="AK252" i="1"/>
  <c r="AK492" i="1"/>
  <c r="AK732" i="1"/>
  <c r="AK52" i="1"/>
  <c r="AK388" i="1"/>
  <c r="AK620" i="1"/>
  <c r="AK853" i="1"/>
  <c r="AK140" i="1"/>
  <c r="AK837" i="1"/>
  <c r="AK116" i="1"/>
  <c r="AK284" i="1"/>
  <c r="AK500" i="1"/>
  <c r="AK92" i="1"/>
  <c r="AK684" i="1"/>
  <c r="AK43" i="1"/>
  <c r="AK75" i="1"/>
  <c r="AK107" i="1"/>
  <c r="AK139" i="1"/>
  <c r="AK171" i="1"/>
  <c r="AK203" i="1"/>
  <c r="AK235" i="1"/>
  <c r="AK267" i="1"/>
  <c r="AK491" i="1"/>
  <c r="AK555" i="1"/>
  <c r="AK619" i="1"/>
  <c r="AK700" i="1"/>
  <c r="AK13" i="1"/>
  <c r="AK301" i="1"/>
  <c r="AK333" i="1"/>
  <c r="AK461" i="1"/>
  <c r="AK493" i="1"/>
  <c r="AK525" i="1"/>
  <c r="AK557" i="1"/>
  <c r="AK60" i="1"/>
  <c r="AK340" i="1"/>
  <c r="AK540" i="1"/>
  <c r="AK748" i="1"/>
  <c r="AK46" i="1"/>
  <c r="AK78" i="1"/>
  <c r="AK142" i="1"/>
  <c r="AK174" i="1"/>
  <c r="AK206" i="1"/>
  <c r="AK270" i="1"/>
  <c r="AK462" i="1"/>
  <c r="AK526" i="1"/>
  <c r="AK590" i="1"/>
  <c r="AK654" i="1"/>
  <c r="AK44" i="1"/>
  <c r="AK372" i="1"/>
  <c r="AK351" i="1"/>
  <c r="AK383" i="1"/>
  <c r="AK415" i="1"/>
  <c r="AK447" i="1"/>
  <c r="AK575" i="1"/>
  <c r="AK639" i="1"/>
  <c r="AK268" i="1"/>
  <c r="AK508" i="1"/>
  <c r="AK724" i="1"/>
  <c r="AK236" i="1"/>
  <c r="AK460" i="1"/>
  <c r="AK716" i="1"/>
  <c r="AK12" i="1"/>
  <c r="AK172" i="1"/>
  <c r="AK604" i="1"/>
  <c r="AK796" i="1"/>
  <c r="AK156" i="1"/>
  <c r="AK364" i="1"/>
  <c r="AK572" i="1"/>
  <c r="AK59" i="1"/>
  <c r="AK91" i="1"/>
  <c r="AK123" i="1"/>
  <c r="AK155" i="1"/>
  <c r="AK187" i="1"/>
  <c r="AK219" i="1"/>
  <c r="AK251" i="1"/>
  <c r="AK699" i="1"/>
  <c r="AK763" i="1"/>
  <c r="AK828" i="1"/>
  <c r="AK860" i="1"/>
  <c r="AK148" i="1"/>
  <c r="AK845" i="1"/>
  <c r="AM117" i="1"/>
  <c r="AM309" i="1"/>
  <c r="AM854" i="1"/>
  <c r="AM675" i="1"/>
  <c r="AM739" i="1"/>
  <c r="AM483" i="1"/>
  <c r="AM796" i="1"/>
  <c r="AM53" i="1"/>
  <c r="AM85" i="1"/>
  <c r="AM149" i="1"/>
  <c r="AM181" i="1"/>
  <c r="AM213" i="1"/>
  <c r="AM245" i="1"/>
  <c r="AM341" i="1"/>
  <c r="AM643" i="1"/>
  <c r="AM707" i="1"/>
  <c r="AM771" i="1"/>
  <c r="AM732" i="1"/>
  <c r="AM355" i="1"/>
  <c r="AM387" i="1"/>
  <c r="AM419" i="1"/>
  <c r="AM451" i="1"/>
  <c r="AM277" i="1"/>
  <c r="AM373" i="1"/>
  <c r="AM405" i="1"/>
  <c r="AM437" i="1"/>
  <c r="AM501" i="1"/>
  <c r="AM494" i="1"/>
  <c r="AM340" i="1"/>
  <c r="AM668" i="1"/>
  <c r="AM596" i="1"/>
  <c r="AM525" i="1"/>
  <c r="AM557" i="1"/>
  <c r="AM589" i="1"/>
  <c r="AM621" i="1"/>
  <c r="AK822" i="1"/>
  <c r="AK396" i="1"/>
  <c r="AK596" i="1"/>
  <c r="AK180" i="1"/>
  <c r="AK428" i="1"/>
  <c r="AK668" i="1"/>
  <c r="AK39" i="1"/>
  <c r="AK71" i="1"/>
  <c r="AK103" i="1"/>
  <c r="AK135" i="1"/>
  <c r="AK167" i="1"/>
  <c r="AK199" i="1"/>
  <c r="AK231" i="1"/>
  <c r="AK263" i="1"/>
  <c r="AK316" i="1"/>
  <c r="AK564" i="1"/>
  <c r="AK24" i="1"/>
  <c r="AK84" i="1"/>
  <c r="AK660" i="1"/>
  <c r="AK821" i="1"/>
  <c r="AK212" i="1"/>
  <c r="AK628" i="1"/>
  <c r="AK836" i="1"/>
  <c r="AK868" i="1"/>
  <c r="AK636" i="1"/>
  <c r="AK11" i="1"/>
  <c r="AK299" i="1"/>
  <c r="AK331" i="1"/>
  <c r="AK363" i="1"/>
  <c r="AK395" i="1"/>
  <c r="AK427" i="1"/>
  <c r="AK459" i="1"/>
  <c r="AK523" i="1"/>
  <c r="AK27" i="1"/>
  <c r="AK283" i="1"/>
  <c r="AK315" i="1"/>
  <c r="AK507" i="1"/>
  <c r="AK571" i="1"/>
  <c r="AK635" i="1"/>
  <c r="AM627" i="1"/>
  <c r="AM659" i="1"/>
  <c r="AM691" i="1"/>
  <c r="AM723" i="1"/>
  <c r="AM755" i="1"/>
  <c r="AM4" i="1"/>
  <c r="AM275" i="1"/>
  <c r="AM291" i="1"/>
  <c r="AM307" i="1"/>
  <c r="AM323" i="1"/>
  <c r="AM467" i="1"/>
  <c r="AM499" i="1"/>
  <c r="AM109" i="1"/>
  <c r="AM125" i="1"/>
  <c r="AM141" i="1"/>
  <c r="AM157" i="1"/>
  <c r="AM173" i="1"/>
  <c r="AM205" i="1"/>
  <c r="AM237" i="1"/>
  <c r="AM477" i="1"/>
  <c r="AM509" i="1"/>
  <c r="AM798" i="1"/>
  <c r="AM500" i="1"/>
  <c r="AM797" i="1"/>
  <c r="AM651" i="1"/>
  <c r="AM667" i="1"/>
  <c r="AM683" i="1"/>
  <c r="AM715" i="1"/>
  <c r="AM731" i="1"/>
  <c r="AM763" i="1"/>
  <c r="AM779" i="1"/>
  <c r="AM813" i="1"/>
  <c r="AM343" i="1"/>
  <c r="AM375" i="1"/>
  <c r="AM407" i="1"/>
  <c r="AM439" i="1"/>
  <c r="AM515" i="1"/>
  <c r="AM531" i="1"/>
  <c r="AM547" i="1"/>
  <c r="AM563" i="1"/>
  <c r="AM579" i="1"/>
  <c r="AM595" i="1"/>
  <c r="AM611" i="1"/>
  <c r="AM628" i="1"/>
  <c r="AM692" i="1"/>
  <c r="AM756" i="1"/>
  <c r="AM228" i="1"/>
  <c r="AM460" i="1"/>
  <c r="AM16" i="1"/>
  <c r="AM48" i="1"/>
  <c r="AM112" i="1"/>
  <c r="AM144" i="1"/>
  <c r="AM176" i="1"/>
  <c r="AM240" i="1"/>
  <c r="AM637" i="1"/>
  <c r="AM653" i="1"/>
  <c r="AM669" i="1"/>
  <c r="AM685" i="1"/>
  <c r="AM701" i="1"/>
  <c r="AM733" i="1"/>
  <c r="AM749" i="1"/>
  <c r="AM765" i="1"/>
  <c r="AM68" i="1"/>
  <c r="AM164" i="1"/>
  <c r="AM517" i="1"/>
  <c r="AM581" i="1"/>
  <c r="AM542" i="1"/>
  <c r="AM574" i="1"/>
  <c r="AM606" i="1"/>
  <c r="AM655" i="1"/>
  <c r="AM719" i="1"/>
  <c r="AM787" i="1"/>
  <c r="AM803" i="1"/>
  <c r="AM820" i="1"/>
  <c r="AM852" i="1"/>
  <c r="AM789" i="1"/>
  <c r="AM43" i="1"/>
  <c r="AM107" i="1"/>
  <c r="AM171" i="1"/>
  <c r="AM235" i="1"/>
  <c r="AM299" i="1"/>
  <c r="AM379" i="1"/>
  <c r="AM411" i="1"/>
  <c r="AM427" i="1"/>
  <c r="AM443" i="1"/>
  <c r="AM459" i="1"/>
  <c r="AM475" i="1"/>
  <c r="AM507" i="1"/>
  <c r="AM527" i="1"/>
  <c r="AM591" i="1"/>
  <c r="AM804" i="1"/>
  <c r="AM821" i="1"/>
  <c r="AM837" i="1"/>
  <c r="AM853" i="1"/>
  <c r="AM100" i="1"/>
  <c r="AK820" i="1"/>
  <c r="AK852" i="1"/>
  <c r="AM508" i="1"/>
  <c r="AK53" i="1"/>
  <c r="AK85" i="1"/>
  <c r="AK117" i="1"/>
  <c r="AK149" i="1"/>
  <c r="AK181" i="1"/>
  <c r="AK213" i="1"/>
  <c r="AK245" i="1"/>
  <c r="AK341" i="1"/>
  <c r="AK373" i="1"/>
  <c r="AK405" i="1"/>
  <c r="AK437" i="1"/>
  <c r="AK854" i="1"/>
  <c r="AK812" i="1"/>
  <c r="AK22" i="1"/>
  <c r="AK780" i="1"/>
  <c r="AK108" i="1"/>
  <c r="AK76" i="1"/>
  <c r="AK420" i="1"/>
  <c r="AK643" i="1"/>
  <c r="AK675" i="1"/>
  <c r="AK739" i="1"/>
  <c r="AK803" i="1"/>
  <c r="AK356" i="1"/>
  <c r="AK588" i="1"/>
  <c r="AK707" i="1"/>
  <c r="AK771" i="1"/>
  <c r="AM366" i="1"/>
  <c r="AM398" i="1"/>
  <c r="AM430" i="1"/>
  <c r="AM848" i="1"/>
  <c r="AM280" i="1"/>
  <c r="AK644" i="1"/>
  <c r="AK15" i="1"/>
  <c r="AK32" i="1"/>
  <c r="AK64" i="1"/>
  <c r="AK96" i="1"/>
  <c r="AK128" i="1"/>
  <c r="AK160" i="1"/>
  <c r="AK192" i="1"/>
  <c r="AK224" i="1"/>
  <c r="AK256" i="1"/>
  <c r="AK288" i="1"/>
  <c r="AK320" i="1"/>
  <c r="AK352" i="1"/>
  <c r="AK384" i="1"/>
  <c r="AK416" i="1"/>
  <c r="AK448" i="1"/>
  <c r="AK704" i="1"/>
  <c r="AK768" i="1"/>
  <c r="AK348" i="1"/>
  <c r="AK580" i="1"/>
  <c r="AK708" i="1"/>
  <c r="AK298" i="1"/>
  <c r="AK330" i="1"/>
  <c r="AK260" i="1"/>
  <c r="AK484" i="1"/>
  <c r="AK587" i="1"/>
  <c r="AK651" i="1"/>
  <c r="AK683" i="1"/>
  <c r="AK715" i="1"/>
  <c r="AK747" i="1"/>
  <c r="AK779" i="1"/>
  <c r="AK811" i="1"/>
  <c r="AK844" i="1"/>
  <c r="AK244" i="1"/>
  <c r="AK468" i="1"/>
  <c r="AM646" i="1"/>
  <c r="AM774" i="1"/>
  <c r="AM10" i="1"/>
  <c r="AM58" i="1"/>
  <c r="AM122" i="1"/>
  <c r="AM186" i="1"/>
  <c r="AM250" i="1"/>
  <c r="AM314" i="1"/>
  <c r="AM616" i="1"/>
  <c r="AM59" i="1"/>
  <c r="AM187" i="1"/>
  <c r="AK38" i="1"/>
  <c r="AK70" i="1"/>
  <c r="AK102" i="1"/>
  <c r="AK134" i="1"/>
  <c r="AK166" i="1"/>
  <c r="AK198" i="1"/>
  <c r="AK230" i="1"/>
  <c r="AK262" i="1"/>
  <c r="AK486" i="1"/>
  <c r="AK550" i="1"/>
  <c r="AK614" i="1"/>
  <c r="AK839" i="1"/>
  <c r="AK871" i="1"/>
  <c r="AK548" i="1"/>
  <c r="AK452" i="1"/>
  <c r="AK676" i="1"/>
  <c r="AK132" i="1"/>
  <c r="AK18" i="1"/>
  <c r="AK50" i="1"/>
  <c r="AK82" i="1"/>
  <c r="AK114" i="1"/>
  <c r="AK146" i="1"/>
  <c r="AK178" i="1"/>
  <c r="AK210" i="1"/>
  <c r="AK242" i="1"/>
  <c r="AK851" i="1"/>
  <c r="AK20" i="1"/>
  <c r="AK740" i="1"/>
  <c r="AK563" i="1"/>
  <c r="AK627" i="1"/>
  <c r="AK691" i="1"/>
  <c r="AK755" i="1"/>
  <c r="AK100" i="1"/>
  <c r="AK273" i="1"/>
  <c r="AK305" i="1"/>
  <c r="AK337" i="1"/>
  <c r="AK497" i="1"/>
  <c r="AK529" i="1"/>
  <c r="AK561" i="1"/>
  <c r="AK593" i="1"/>
  <c r="AK625" i="1"/>
  <c r="AK657" i="1"/>
  <c r="AK721" i="1"/>
  <c r="AK785" i="1"/>
  <c r="AK380" i="1"/>
  <c r="AK506" i="1"/>
  <c r="AK68" i="1"/>
  <c r="AK804" i="1"/>
  <c r="AK347" i="1"/>
  <c r="AK379" i="1"/>
  <c r="AK411" i="1"/>
  <c r="AK443" i="1"/>
  <c r="AK475" i="1"/>
  <c r="AK539" i="1"/>
  <c r="AK603" i="1"/>
  <c r="AK667" i="1"/>
  <c r="AK731" i="1"/>
  <c r="AK795" i="1"/>
  <c r="AK45" i="1"/>
  <c r="AK77" i="1"/>
  <c r="AK109" i="1"/>
  <c r="AK141" i="1"/>
  <c r="AK173" i="1"/>
  <c r="AK205" i="1"/>
  <c r="AK237" i="1"/>
  <c r="AK269" i="1"/>
  <c r="AK365" i="1"/>
  <c r="AK397" i="1"/>
  <c r="AK429" i="1"/>
  <c r="AK686" i="1"/>
  <c r="AK718" i="1"/>
  <c r="AK750" i="1"/>
  <c r="AK782" i="1"/>
  <c r="AK814" i="1"/>
  <c r="AK612" i="1"/>
  <c r="AK829" i="1"/>
  <c r="AK479" i="1"/>
  <c r="AK511" i="1"/>
  <c r="AK543" i="1"/>
  <c r="AK607" i="1"/>
  <c r="AK703" i="1"/>
  <c r="AK767" i="1"/>
  <c r="AK864" i="1"/>
  <c r="AK36" i="1"/>
  <c r="AM537" i="1"/>
  <c r="AM634" i="1"/>
  <c r="AM666" i="1"/>
  <c r="AM730" i="1"/>
  <c r="AM302" i="1"/>
  <c r="AM334" i="1"/>
  <c r="AM538" i="1"/>
  <c r="AM570" i="1"/>
  <c r="AM602" i="1"/>
  <c r="AM799" i="1"/>
  <c r="AM287" i="1"/>
  <c r="AM319" i="1"/>
  <c r="AM808" i="1"/>
  <c r="AM292" i="1"/>
  <c r="AM793" i="1"/>
  <c r="AM116" i="1"/>
  <c r="AM665" i="1"/>
  <c r="AM369" i="1"/>
  <c r="AM401" i="1"/>
  <c r="AM433" i="1"/>
  <c r="AM465" i="1"/>
  <c r="AM518" i="1"/>
  <c r="AM582" i="1"/>
  <c r="AM828" i="1"/>
  <c r="AM84" i="1"/>
  <c r="AM420" i="1"/>
  <c r="AM680" i="1"/>
  <c r="AM388" i="1"/>
  <c r="AM552" i="1"/>
  <c r="AM312" i="1"/>
  <c r="AM456" i="1"/>
  <c r="AM488" i="1"/>
  <c r="AM744" i="1"/>
  <c r="AM776" i="1"/>
  <c r="AK277" i="1"/>
  <c r="AK309" i="1"/>
  <c r="AK469" i="1"/>
  <c r="AK501" i="1"/>
  <c r="AK533" i="1"/>
  <c r="AK565" i="1"/>
  <c r="AK597" i="1"/>
  <c r="AK629" i="1"/>
  <c r="AK661" i="1"/>
  <c r="AK693" i="1"/>
  <c r="AK725" i="1"/>
  <c r="AK757" i="1"/>
  <c r="AK789" i="1"/>
  <c r="AK164" i="1"/>
  <c r="AK278" i="1"/>
  <c r="AK310" i="1"/>
  <c r="AK342" i="1"/>
  <c r="AK374" i="1"/>
  <c r="AK406" i="1"/>
  <c r="AK438" i="1"/>
  <c r="AK295" i="1"/>
  <c r="AK327" i="1"/>
  <c r="AK857" i="1"/>
  <c r="AK516" i="1"/>
  <c r="AK772" i="1"/>
  <c r="AK25" i="1"/>
  <c r="AK228" i="1"/>
  <c r="AK444" i="1"/>
  <c r="AK861" i="1"/>
  <c r="AK35" i="1"/>
  <c r="AK67" i="1"/>
  <c r="AK99" i="1"/>
  <c r="AK131" i="1"/>
  <c r="AK163" i="1"/>
  <c r="AK195" i="1"/>
  <c r="AK227" i="1"/>
  <c r="AK259" i="1"/>
  <c r="AK483" i="1"/>
  <c r="AK547" i="1"/>
  <c r="AK611" i="1"/>
  <c r="AK196" i="1"/>
  <c r="AK412" i="1"/>
  <c r="AI2" i="1"/>
  <c r="AJ2" i="1"/>
  <c r="AL2" i="1"/>
  <c r="S2" i="1"/>
  <c r="R2" i="1"/>
  <c r="O2" i="1"/>
  <c r="N2" i="1"/>
  <c r="M2" i="1"/>
  <c r="L2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4" i="1"/>
  <c r="AM2" i="1" l="1"/>
  <c r="P2" i="1"/>
  <c r="W2" i="1"/>
  <c r="V2" i="1" l="1"/>
  <c r="AK4" i="1" l="1"/>
  <c r="AK2" i="1" s="1"/>
  <c r="U2" i="1" l="1"/>
  <c r="T2" i="1"/>
  <c r="AN817" i="1" l="1"/>
  <c r="AN458" i="1"/>
  <c r="AN426" i="1"/>
  <c r="AN394" i="1"/>
  <c r="AN362" i="1"/>
  <c r="AN298" i="1"/>
  <c r="AN266" i="1"/>
  <c r="AN234" i="1"/>
  <c r="AN202" i="1"/>
  <c r="AN170" i="1"/>
  <c r="AN809" i="1"/>
  <c r="AN777" i="1"/>
  <c r="AN713" i="1"/>
  <c r="AN649" i="1"/>
  <c r="AN521" i="1"/>
  <c r="AN425" i="1"/>
  <c r="AN393" i="1"/>
  <c r="AN361" i="1"/>
  <c r="AN329" i="1"/>
  <c r="AN297" i="1"/>
  <c r="AN265" i="1"/>
  <c r="AN233" i="1"/>
  <c r="AN201" i="1"/>
  <c r="AN169" i="1"/>
  <c r="AN137" i="1"/>
  <c r="AN105" i="1"/>
  <c r="AN73" i="1"/>
  <c r="AN41" i="1"/>
  <c r="AN9" i="1"/>
  <c r="AN849" i="1"/>
  <c r="AN528" i="1"/>
  <c r="AN496" i="1"/>
  <c r="AN464" i="1"/>
  <c r="AN432" i="1"/>
  <c r="AN400" i="1"/>
  <c r="AN368" i="1"/>
  <c r="AN336" i="1"/>
  <c r="AN304" i="1"/>
  <c r="AN272" i="1"/>
  <c r="AN240" i="1"/>
  <c r="AN208" i="1"/>
  <c r="AN176" i="1"/>
  <c r="AN144" i="1"/>
  <c r="AN112" i="1"/>
  <c r="AN80" i="1"/>
  <c r="AN48" i="1"/>
  <c r="AN16" i="1"/>
  <c r="AN799" i="1"/>
  <c r="AN875" i="1"/>
  <c r="AN843" i="1"/>
  <c r="AN810" i="1"/>
  <c r="AN778" i="1"/>
  <c r="AN746" i="1"/>
  <c r="AN714" i="1"/>
  <c r="AN682" i="1"/>
  <c r="AN650" i="1"/>
  <c r="AN618" i="1"/>
  <c r="AN586" i="1"/>
  <c r="AN554" i="1"/>
  <c r="AN522" i="1"/>
  <c r="AN490" i="1"/>
  <c r="AN330" i="1"/>
  <c r="AN138" i="1"/>
  <c r="AN106" i="1"/>
  <c r="AN74" i="1"/>
  <c r="AN42" i="1"/>
  <c r="AN10" i="1"/>
  <c r="AN842" i="1"/>
  <c r="AN745" i="1"/>
  <c r="AN681" i="1"/>
  <c r="AN617" i="1"/>
  <c r="AN585" i="1"/>
  <c r="AN553" i="1"/>
  <c r="AN489" i="1"/>
  <c r="AN457" i="1"/>
  <c r="AN816" i="1"/>
  <c r="AN784" i="1"/>
  <c r="AN752" i="1"/>
  <c r="AN720" i="1"/>
  <c r="AN688" i="1"/>
  <c r="AN656" i="1"/>
  <c r="AN624" i="1"/>
  <c r="AN592" i="1"/>
  <c r="AN560" i="1"/>
  <c r="AN864" i="1"/>
  <c r="AN832" i="1"/>
  <c r="AN802" i="1"/>
  <c r="AN770" i="1"/>
  <c r="AN322" i="1"/>
  <c r="AN290" i="1"/>
  <c r="AN226" i="1"/>
  <c r="AN194" i="1"/>
  <c r="AN162" i="1"/>
  <c r="AN130" i="1"/>
  <c r="AN98" i="1"/>
  <c r="AN66" i="1"/>
  <c r="AN34" i="1"/>
  <c r="AN866" i="1"/>
  <c r="AN834" i="1"/>
  <c r="AN737" i="1"/>
  <c r="AN673" i="1"/>
  <c r="AN641" i="1"/>
  <c r="AN609" i="1"/>
  <c r="AN545" i="1"/>
  <c r="AN449" i="1"/>
  <c r="AN353" i="1"/>
  <c r="AN321" i="1"/>
  <c r="AN289" i="1"/>
  <c r="AN257" i="1"/>
  <c r="AN225" i="1"/>
  <c r="AN193" i="1"/>
  <c r="AN161" i="1"/>
  <c r="AN65" i="1"/>
  <c r="AN841" i="1"/>
  <c r="AN520" i="1"/>
  <c r="AN488" i="1"/>
  <c r="AN456" i="1"/>
  <c r="AN424" i="1"/>
  <c r="AN392" i="1"/>
  <c r="AN104" i="1"/>
  <c r="AN40" i="1"/>
  <c r="AN856" i="1"/>
  <c r="AN791" i="1"/>
  <c r="AN867" i="1"/>
  <c r="AN835" i="1"/>
  <c r="AN738" i="1"/>
  <c r="AN706" i="1"/>
  <c r="AN674" i="1"/>
  <c r="AN642" i="1"/>
  <c r="AN610" i="1"/>
  <c r="AN578" i="1"/>
  <c r="AN546" i="1"/>
  <c r="AN514" i="1"/>
  <c r="AN482" i="1"/>
  <c r="AN450" i="1"/>
  <c r="AN418" i="1"/>
  <c r="AN386" i="1"/>
  <c r="AN354" i="1"/>
  <c r="AN258" i="1"/>
  <c r="AN801" i="1"/>
  <c r="AN769" i="1"/>
  <c r="AN705" i="1"/>
  <c r="AN577" i="1"/>
  <c r="AN513" i="1"/>
  <c r="AN481" i="1"/>
  <c r="AN417" i="1"/>
  <c r="AN385" i="1"/>
  <c r="AN129" i="1"/>
  <c r="AN97" i="1"/>
  <c r="AN33" i="1"/>
  <c r="AN873" i="1"/>
  <c r="AN808" i="1"/>
  <c r="AN776" i="1"/>
  <c r="AN744" i="1"/>
  <c r="AN712" i="1"/>
  <c r="AN680" i="1"/>
  <c r="AN648" i="1"/>
  <c r="AN616" i="1"/>
  <c r="AN584" i="1"/>
  <c r="AN552" i="1"/>
  <c r="AN360" i="1"/>
  <c r="AN328" i="1"/>
  <c r="AN296" i="1"/>
  <c r="AN264" i="1"/>
  <c r="AN232" i="1"/>
  <c r="AN200" i="1"/>
  <c r="AN168" i="1"/>
  <c r="AN136" i="1"/>
  <c r="AN72" i="1"/>
  <c r="AN8" i="1"/>
  <c r="AN824" i="1"/>
  <c r="AN859" i="1"/>
  <c r="AN827" i="1"/>
  <c r="AN794" i="1"/>
  <c r="AN698" i="1"/>
  <c r="AN570" i="1"/>
  <c r="AN538" i="1"/>
  <c r="AN346" i="1"/>
  <c r="AN250" i="1"/>
  <c r="AN218" i="1"/>
  <c r="AN154" i="1"/>
  <c r="AN122" i="1"/>
  <c r="AN90" i="1"/>
  <c r="AN58" i="1"/>
  <c r="AN26" i="1"/>
  <c r="AN858" i="1"/>
  <c r="AN826" i="1"/>
  <c r="AN793" i="1"/>
  <c r="AN761" i="1"/>
  <c r="AN729" i="1"/>
  <c r="AN601" i="1"/>
  <c r="AN473" i="1"/>
  <c r="AN441" i="1"/>
  <c r="AN377" i="1"/>
  <c r="AN345" i="1"/>
  <c r="AN313" i="1"/>
  <c r="AN281" i="1"/>
  <c r="AN249" i="1"/>
  <c r="AN217" i="1"/>
  <c r="AN185" i="1"/>
  <c r="AN153" i="1"/>
  <c r="AN865" i="1"/>
  <c r="AN833" i="1"/>
  <c r="AN512" i="1"/>
  <c r="AN480" i="1"/>
  <c r="AN448" i="1"/>
  <c r="AN416" i="1"/>
  <c r="AN384" i="1"/>
  <c r="AN352" i="1"/>
  <c r="AN320" i="1"/>
  <c r="AN288" i="1"/>
  <c r="AN256" i="1"/>
  <c r="AN224" i="1"/>
  <c r="AN192" i="1"/>
  <c r="AN160" i="1"/>
  <c r="AN96" i="1"/>
  <c r="AN32" i="1"/>
  <c r="AN815" i="1"/>
  <c r="AN783" i="1"/>
  <c r="AN762" i="1"/>
  <c r="AN730" i="1"/>
  <c r="AN666" i="1"/>
  <c r="AN634" i="1"/>
  <c r="AN602" i="1"/>
  <c r="AN506" i="1"/>
  <c r="AN474" i="1"/>
  <c r="AN442" i="1"/>
  <c r="AN410" i="1"/>
  <c r="AN378" i="1"/>
  <c r="AN314" i="1"/>
  <c r="AN282" i="1"/>
  <c r="AN186" i="1"/>
  <c r="AN697" i="1"/>
  <c r="AN665" i="1"/>
  <c r="AN633" i="1"/>
  <c r="AN569" i="1"/>
  <c r="AN537" i="1"/>
  <c r="AN505" i="1"/>
  <c r="AN409" i="1"/>
  <c r="AN121" i="1"/>
  <c r="AN89" i="1"/>
  <c r="AN57" i="1"/>
  <c r="AN25" i="1"/>
  <c r="AN800" i="1"/>
  <c r="AN768" i="1"/>
  <c r="AN736" i="1"/>
  <c r="AN704" i="1"/>
  <c r="AN672" i="1"/>
  <c r="AN640" i="1"/>
  <c r="AN608" i="1"/>
  <c r="AN576" i="1"/>
  <c r="AN544" i="1"/>
  <c r="AN128" i="1"/>
  <c r="AN64" i="1"/>
  <c r="AN874" i="1"/>
  <c r="AN848" i="1"/>
  <c r="AN851" i="1"/>
  <c r="AN819" i="1"/>
  <c r="AN498" i="1"/>
  <c r="AN466" i="1"/>
  <c r="AN434" i="1"/>
  <c r="AN402" i="1"/>
  <c r="AN370" i="1"/>
  <c r="AN338" i="1"/>
  <c r="AN306" i="1"/>
  <c r="AN242" i="1"/>
  <c r="AN210" i="1"/>
  <c r="AN178" i="1"/>
  <c r="AN114" i="1"/>
  <c r="AN82" i="1"/>
  <c r="AN50" i="1"/>
  <c r="AN18" i="1"/>
  <c r="AN753" i="1"/>
  <c r="AN721" i="1"/>
  <c r="AN657" i="1"/>
  <c r="AN625" i="1"/>
  <c r="AN529" i="1"/>
  <c r="AN465" i="1"/>
  <c r="AN433" i="1"/>
  <c r="AN369" i="1"/>
  <c r="AN337" i="1"/>
  <c r="AN305" i="1"/>
  <c r="AN273" i="1"/>
  <c r="AN241" i="1"/>
  <c r="AN209" i="1"/>
  <c r="AN177" i="1"/>
  <c r="AN145" i="1"/>
  <c r="AN760" i="1"/>
  <c r="AN728" i="1"/>
  <c r="AN632" i="1"/>
  <c r="AN600" i="1"/>
  <c r="AN472" i="1"/>
  <c r="AN440" i="1"/>
  <c r="AN408" i="1"/>
  <c r="AN376" i="1"/>
  <c r="AN344" i="1"/>
  <c r="AN312" i="1"/>
  <c r="AN280" i="1"/>
  <c r="AN248" i="1"/>
  <c r="AN216" i="1"/>
  <c r="AN184" i="1"/>
  <c r="AN152" i="1"/>
  <c r="AN120" i="1"/>
  <c r="AN56" i="1"/>
  <c r="AN24" i="1"/>
  <c r="AN872" i="1"/>
  <c r="AN594" i="1"/>
  <c r="AN689" i="1"/>
  <c r="AN792" i="1"/>
  <c r="AN536" i="1"/>
  <c r="AN535" i="1"/>
  <c r="AN503" i="1"/>
  <c r="AN471" i="1"/>
  <c r="AN439" i="1"/>
  <c r="AN407" i="1"/>
  <c r="AN375" i="1"/>
  <c r="AN343" i="1"/>
  <c r="AN311" i="1"/>
  <c r="AN279" i="1"/>
  <c r="AN247" i="1"/>
  <c r="AN215" i="1"/>
  <c r="AN183" i="1"/>
  <c r="AN87" i="1"/>
  <c r="AN734" i="1"/>
  <c r="AN670" i="1"/>
  <c r="AN606" i="1"/>
  <c r="AN542" i="1"/>
  <c r="AN510" i="1"/>
  <c r="AN478" i="1"/>
  <c r="AN446" i="1"/>
  <c r="AN414" i="1"/>
  <c r="AN382" i="1"/>
  <c r="AN286" i="1"/>
  <c r="AN222" i="1"/>
  <c r="AN870" i="1"/>
  <c r="AN838" i="1"/>
  <c r="AN773" i="1"/>
  <c r="AN709" i="1"/>
  <c r="AN645" i="1"/>
  <c r="AN581" i="1"/>
  <c r="AN453" i="1"/>
  <c r="AN357" i="1"/>
  <c r="AN562" i="1"/>
  <c r="AN401" i="1"/>
  <c r="AN504" i="1"/>
  <c r="AN751" i="1"/>
  <c r="AN719" i="1"/>
  <c r="AN687" i="1"/>
  <c r="AN655" i="1"/>
  <c r="AN623" i="1"/>
  <c r="AN591" i="1"/>
  <c r="AN559" i="1"/>
  <c r="AN143" i="1"/>
  <c r="AN111" i="1"/>
  <c r="AN79" i="1"/>
  <c r="AN855" i="1"/>
  <c r="AN823" i="1"/>
  <c r="AN790" i="1"/>
  <c r="AN758" i="1"/>
  <c r="AN694" i="1"/>
  <c r="AN662" i="1"/>
  <c r="AN630" i="1"/>
  <c r="AN598" i="1"/>
  <c r="AN566" i="1"/>
  <c r="AN534" i="1"/>
  <c r="AN502" i="1"/>
  <c r="AN470" i="1"/>
  <c r="AN438" i="1"/>
  <c r="AN406" i="1"/>
  <c r="AN374" i="1"/>
  <c r="AN342" i="1"/>
  <c r="AN278" i="1"/>
  <c r="AN214" i="1"/>
  <c r="AN182" i="1"/>
  <c r="AN118" i="1"/>
  <c r="AN86" i="1"/>
  <c r="AN54" i="1"/>
  <c r="AN22" i="1"/>
  <c r="AN862" i="1"/>
  <c r="AN830" i="1"/>
  <c r="AN797" i="1"/>
  <c r="AN765" i="1"/>
  <c r="AN733" i="1"/>
  <c r="AN701" i="1"/>
  <c r="AN669" i="1"/>
  <c r="AN637" i="1"/>
  <c r="AN605" i="1"/>
  <c r="AN573" i="1"/>
  <c r="AN541" i="1"/>
  <c r="AN509" i="1"/>
  <c r="AN477" i="1"/>
  <c r="AN445" i="1"/>
  <c r="AN413" i="1"/>
  <c r="AN381" i="1"/>
  <c r="AN349" i="1"/>
  <c r="AN317" i="1"/>
  <c r="AN285" i="1"/>
  <c r="AN253" i="1"/>
  <c r="AN221" i="1"/>
  <c r="AN189" i="1"/>
  <c r="AN157" i="1"/>
  <c r="AN786" i="1"/>
  <c r="AN530" i="1"/>
  <c r="AN274" i="1"/>
  <c r="AN113" i="1"/>
  <c r="AN840" i="1"/>
  <c r="AN527" i="1"/>
  <c r="AN495" i="1"/>
  <c r="AN463" i="1"/>
  <c r="AN431" i="1"/>
  <c r="AN399" i="1"/>
  <c r="AN367" i="1"/>
  <c r="AN335" i="1"/>
  <c r="AN303" i="1"/>
  <c r="AN271" i="1"/>
  <c r="AN239" i="1"/>
  <c r="AN207" i="1"/>
  <c r="AN175" i="1"/>
  <c r="AN47" i="1"/>
  <c r="AN15" i="1"/>
  <c r="AN726" i="1"/>
  <c r="AN310" i="1"/>
  <c r="AN246" i="1"/>
  <c r="AN150" i="1"/>
  <c r="AN754" i="1"/>
  <c r="AN850" i="1"/>
  <c r="AN593" i="1"/>
  <c r="AN81" i="1"/>
  <c r="AN696" i="1"/>
  <c r="AN807" i="1"/>
  <c r="AN519" i="1"/>
  <c r="AN487" i="1"/>
  <c r="AN455" i="1"/>
  <c r="AN423" i="1"/>
  <c r="AN391" i="1"/>
  <c r="AN359" i="1"/>
  <c r="AN103" i="1"/>
  <c r="AN71" i="1"/>
  <c r="AN39" i="1"/>
  <c r="AN847" i="1"/>
  <c r="AN494" i="1"/>
  <c r="AN462" i="1"/>
  <c r="AN430" i="1"/>
  <c r="AN398" i="1"/>
  <c r="AN366" i="1"/>
  <c r="AN854" i="1"/>
  <c r="AN822" i="1"/>
  <c r="AN789" i="1"/>
  <c r="AN757" i="1"/>
  <c r="AN693" i="1"/>
  <c r="AN629" i="1"/>
  <c r="AN565" i="1"/>
  <c r="AN405" i="1"/>
  <c r="AN341" i="1"/>
  <c r="AN309" i="1"/>
  <c r="AN277" i="1"/>
  <c r="AN245" i="1"/>
  <c r="AN213" i="1"/>
  <c r="AN181" i="1"/>
  <c r="AN149" i="1"/>
  <c r="AN722" i="1"/>
  <c r="AN818" i="1"/>
  <c r="AN561" i="1"/>
  <c r="AN49" i="1"/>
  <c r="AN664" i="1"/>
  <c r="AN775" i="1"/>
  <c r="AN743" i="1"/>
  <c r="AN711" i="1"/>
  <c r="AN679" i="1"/>
  <c r="AN647" i="1"/>
  <c r="AN615" i="1"/>
  <c r="AN583" i="1"/>
  <c r="AN551" i="1"/>
  <c r="AN327" i="1"/>
  <c r="AN295" i="1"/>
  <c r="AN263" i="1"/>
  <c r="AN231" i="1"/>
  <c r="AN199" i="1"/>
  <c r="AN167" i="1"/>
  <c r="AN135" i="1"/>
  <c r="AN7" i="1"/>
  <c r="AN814" i="1"/>
  <c r="AN782" i="1"/>
  <c r="AN750" i="1"/>
  <c r="AN718" i="1"/>
  <c r="AN686" i="1"/>
  <c r="AN654" i="1"/>
  <c r="AN622" i="1"/>
  <c r="AN590" i="1"/>
  <c r="AN558" i="1"/>
  <c r="AN526" i="1"/>
  <c r="AN334" i="1"/>
  <c r="AN302" i="1"/>
  <c r="AN270" i="1"/>
  <c r="AN238" i="1"/>
  <c r="AN206" i="1"/>
  <c r="AN174" i="1"/>
  <c r="AN142" i="1"/>
  <c r="AN110" i="1"/>
  <c r="AN78" i="1"/>
  <c r="AN46" i="1"/>
  <c r="AN14" i="1"/>
  <c r="AN725" i="1"/>
  <c r="AN661" i="1"/>
  <c r="AN597" i="1"/>
  <c r="AN533" i="1"/>
  <c r="AN501" i="1"/>
  <c r="AN469" i="1"/>
  <c r="AN437" i="1"/>
  <c r="AN373" i="1"/>
  <c r="AN658" i="1"/>
  <c r="AN146" i="1"/>
  <c r="AN497" i="1"/>
  <c r="AN857" i="1"/>
  <c r="AN88" i="1"/>
  <c r="AN351" i="1"/>
  <c r="AN319" i="1"/>
  <c r="AN287" i="1"/>
  <c r="AN255" i="1"/>
  <c r="AN223" i="1"/>
  <c r="AN191" i="1"/>
  <c r="AN159" i="1"/>
  <c r="AN127" i="1"/>
  <c r="AN95" i="1"/>
  <c r="AN63" i="1"/>
  <c r="AN31" i="1"/>
  <c r="AN871" i="1"/>
  <c r="AN839" i="1"/>
  <c r="AN806" i="1"/>
  <c r="AN774" i="1"/>
  <c r="AN742" i="1"/>
  <c r="AN678" i="1"/>
  <c r="AN614" i="1"/>
  <c r="AN550" i="1"/>
  <c r="AN518" i="1"/>
  <c r="AN486" i="1"/>
  <c r="AN230" i="1"/>
  <c r="AN198" i="1"/>
  <c r="AN846" i="1"/>
  <c r="AN813" i="1"/>
  <c r="AN717" i="1"/>
  <c r="AN653" i="1"/>
  <c r="AN589" i="1"/>
  <c r="AN525" i="1"/>
  <c r="AN493" i="1"/>
  <c r="AN461" i="1"/>
  <c r="AN429" i="1"/>
  <c r="AN397" i="1"/>
  <c r="AN365" i="1"/>
  <c r="AN626" i="1"/>
  <c r="AN825" i="1"/>
  <c r="AN568" i="1"/>
  <c r="AN759" i="1"/>
  <c r="AN727" i="1"/>
  <c r="AN695" i="1"/>
  <c r="AN663" i="1"/>
  <c r="AN631" i="1"/>
  <c r="AN599" i="1"/>
  <c r="AN567" i="1"/>
  <c r="AN151" i="1"/>
  <c r="AN119" i="1"/>
  <c r="AN55" i="1"/>
  <c r="AN23" i="1"/>
  <c r="AN863" i="1"/>
  <c r="AN831" i="1"/>
  <c r="AN798" i="1"/>
  <c r="AN766" i="1"/>
  <c r="AN702" i="1"/>
  <c r="AN638" i="1"/>
  <c r="AN574" i="1"/>
  <c r="AN350" i="1"/>
  <c r="AN318" i="1"/>
  <c r="AN254" i="1"/>
  <c r="AN190" i="1"/>
  <c r="AN158" i="1"/>
  <c r="AN126" i="1"/>
  <c r="AN94" i="1"/>
  <c r="AN62" i="1"/>
  <c r="AN30" i="1"/>
  <c r="AN805" i="1"/>
  <c r="AN741" i="1"/>
  <c r="AN677" i="1"/>
  <c r="AN613" i="1"/>
  <c r="AN549" i="1"/>
  <c r="AN517" i="1"/>
  <c r="AN485" i="1"/>
  <c r="AN421" i="1"/>
  <c r="AN389" i="1"/>
  <c r="AN325" i="1"/>
  <c r="AN293" i="1"/>
  <c r="AN261" i="1"/>
  <c r="AN229" i="1"/>
  <c r="AN197" i="1"/>
  <c r="AN165" i="1"/>
  <c r="AN133" i="1"/>
  <c r="AN690" i="1"/>
  <c r="AN575" i="1"/>
  <c r="AN422" i="1"/>
  <c r="AN166" i="1"/>
  <c r="AN269" i="1"/>
  <c r="AN109" i="1"/>
  <c r="AN77" i="1"/>
  <c r="AN45" i="1"/>
  <c r="AN13" i="1"/>
  <c r="AN756" i="1"/>
  <c r="AN724" i="1"/>
  <c r="AN596" i="1"/>
  <c r="AN532" i="1"/>
  <c r="AN500" i="1"/>
  <c r="AN468" i="1"/>
  <c r="AN436" i="1"/>
  <c r="AN404" i="1"/>
  <c r="AN372" i="1"/>
  <c r="AN340" i="1"/>
  <c r="AN308" i="1"/>
  <c r="AN276" i="1"/>
  <c r="AN244" i="1"/>
  <c r="AN212" i="1"/>
  <c r="AN180" i="1"/>
  <c r="AN148" i="1"/>
  <c r="AN116" i="1"/>
  <c r="AN84" i="1"/>
  <c r="AN20" i="1"/>
  <c r="AN828" i="1"/>
  <c r="AN795" i="1"/>
  <c r="AN763" i="1"/>
  <c r="AN731" i="1"/>
  <c r="AN699" i="1"/>
  <c r="AN667" i="1"/>
  <c r="AN635" i="1"/>
  <c r="AN603" i="1"/>
  <c r="AN571" i="1"/>
  <c r="AN539" i="1"/>
  <c r="AN507" i="1"/>
  <c r="AN475" i="1"/>
  <c r="AN443" i="1"/>
  <c r="AN411" i="1"/>
  <c r="AN379" i="1"/>
  <c r="AN123" i="1"/>
  <c r="AN91" i="1"/>
  <c r="AN59" i="1"/>
  <c r="AN27" i="1"/>
  <c r="AN543" i="1"/>
  <c r="AN646" i="1"/>
  <c r="AN390" i="1"/>
  <c r="AN134" i="1"/>
  <c r="AN749" i="1"/>
  <c r="AN237" i="1"/>
  <c r="AN853" i="1"/>
  <c r="AN821" i="1"/>
  <c r="AN788" i="1"/>
  <c r="AN692" i="1"/>
  <c r="AN660" i="1"/>
  <c r="AN628" i="1"/>
  <c r="AN564" i="1"/>
  <c r="AN52" i="1"/>
  <c r="AN860" i="1"/>
  <c r="AN347" i="1"/>
  <c r="AN315" i="1"/>
  <c r="AN283" i="1"/>
  <c r="AN251" i="1"/>
  <c r="AN219" i="1"/>
  <c r="AN187" i="1"/>
  <c r="AN155" i="1"/>
  <c r="AN767" i="1"/>
  <c r="AN511" i="1"/>
  <c r="AN358" i="1"/>
  <c r="AN102" i="1"/>
  <c r="AN205" i="1"/>
  <c r="AN101" i="1"/>
  <c r="AN69" i="1"/>
  <c r="AN37" i="1"/>
  <c r="AN5" i="1"/>
  <c r="AN524" i="1"/>
  <c r="AN492" i="1"/>
  <c r="AN460" i="1"/>
  <c r="AN428" i="1"/>
  <c r="AN396" i="1"/>
  <c r="AN364" i="1"/>
  <c r="AN140" i="1"/>
  <c r="AN108" i="1"/>
  <c r="AN852" i="1"/>
  <c r="AN820" i="1"/>
  <c r="AN787" i="1"/>
  <c r="AN755" i="1"/>
  <c r="AN723" i="1"/>
  <c r="AN691" i="1"/>
  <c r="AN659" i="1"/>
  <c r="AN627" i="1"/>
  <c r="AN595" i="1"/>
  <c r="AN563" i="1"/>
  <c r="AN147" i="1"/>
  <c r="AN115" i="1"/>
  <c r="AN51" i="1"/>
  <c r="AN19" i="1"/>
  <c r="AN785" i="1"/>
  <c r="AN735" i="1"/>
  <c r="AN479" i="1"/>
  <c r="AN582" i="1"/>
  <c r="AN326" i="1"/>
  <c r="AN70" i="1"/>
  <c r="AN685" i="1"/>
  <c r="AN173" i="1"/>
  <c r="AN845" i="1"/>
  <c r="AN812" i="1"/>
  <c r="AN780" i="1"/>
  <c r="AN748" i="1"/>
  <c r="AN716" i="1"/>
  <c r="AN684" i="1"/>
  <c r="AN652" i="1"/>
  <c r="AN620" i="1"/>
  <c r="AN588" i="1"/>
  <c r="AN556" i="1"/>
  <c r="AN332" i="1"/>
  <c r="AN300" i="1"/>
  <c r="AN268" i="1"/>
  <c r="AN236" i="1"/>
  <c r="AN204" i="1"/>
  <c r="AN172" i="1"/>
  <c r="AN76" i="1"/>
  <c r="AN44" i="1"/>
  <c r="AN12" i="1"/>
  <c r="AN531" i="1"/>
  <c r="AN499" i="1"/>
  <c r="AN467" i="1"/>
  <c r="AN435" i="1"/>
  <c r="AN403" i="1"/>
  <c r="AN371" i="1"/>
  <c r="AN339" i="1"/>
  <c r="AN307" i="1"/>
  <c r="AN275" i="1"/>
  <c r="AN243" i="1"/>
  <c r="AN211" i="1"/>
  <c r="AN179" i="1"/>
  <c r="AN83" i="1"/>
  <c r="AN703" i="1"/>
  <c r="AN447" i="1"/>
  <c r="AN294" i="1"/>
  <c r="AN38" i="1"/>
  <c r="AN141" i="1"/>
  <c r="AN61" i="1"/>
  <c r="AN869" i="1"/>
  <c r="AN740" i="1"/>
  <c r="AN676" i="1"/>
  <c r="AN612" i="1"/>
  <c r="AN548" i="1"/>
  <c r="AN516" i="1"/>
  <c r="AN484" i="1"/>
  <c r="AN452" i="1"/>
  <c r="AN420" i="1"/>
  <c r="AN388" i="1"/>
  <c r="AN36" i="1"/>
  <c r="AN523" i="1"/>
  <c r="AN491" i="1"/>
  <c r="AN459" i="1"/>
  <c r="AN427" i="1"/>
  <c r="AN395" i="1"/>
  <c r="AN363" i="1"/>
  <c r="AN11" i="1"/>
  <c r="AN671" i="1"/>
  <c r="AN415" i="1"/>
  <c r="AN262" i="1"/>
  <c r="AN6" i="1"/>
  <c r="AN621" i="1"/>
  <c r="AN125" i="1"/>
  <c r="AN93" i="1"/>
  <c r="AN29" i="1"/>
  <c r="AN837" i="1"/>
  <c r="AN804" i="1"/>
  <c r="AN772" i="1"/>
  <c r="AN708" i="1"/>
  <c r="AN644" i="1"/>
  <c r="AN580" i="1"/>
  <c r="AN356" i="1"/>
  <c r="AN324" i="1"/>
  <c r="AN292" i="1"/>
  <c r="AN260" i="1"/>
  <c r="AN228" i="1"/>
  <c r="AN196" i="1"/>
  <c r="AN164" i="1"/>
  <c r="AN132" i="1"/>
  <c r="AN100" i="1"/>
  <c r="AN68" i="1"/>
  <c r="AN4" i="1"/>
  <c r="AN844" i="1"/>
  <c r="AN811" i="1"/>
  <c r="AN779" i="1"/>
  <c r="AN747" i="1"/>
  <c r="AN715" i="1"/>
  <c r="AN683" i="1"/>
  <c r="AN651" i="1"/>
  <c r="AN619" i="1"/>
  <c r="AN587" i="1"/>
  <c r="AN555" i="1"/>
  <c r="AN331" i="1"/>
  <c r="AN299" i="1"/>
  <c r="AN267" i="1"/>
  <c r="AN235" i="1"/>
  <c r="AN203" i="1"/>
  <c r="AN171" i="1"/>
  <c r="AN139" i="1"/>
  <c r="AN107" i="1"/>
  <c r="AN75" i="1"/>
  <c r="AN43" i="1"/>
  <c r="AN17" i="1"/>
  <c r="AN639" i="1"/>
  <c r="AN383" i="1"/>
  <c r="AN333" i="1"/>
  <c r="AN732" i="1"/>
  <c r="AN668" i="1"/>
  <c r="AN604" i="1"/>
  <c r="AN540" i="1"/>
  <c r="AN508" i="1"/>
  <c r="AN476" i="1"/>
  <c r="AN444" i="1"/>
  <c r="AN412" i="1"/>
  <c r="AN380" i="1"/>
  <c r="AN348" i="1"/>
  <c r="AN316" i="1"/>
  <c r="AN284" i="1"/>
  <c r="AN252" i="1"/>
  <c r="AN220" i="1"/>
  <c r="AN188" i="1"/>
  <c r="AN156" i="1"/>
  <c r="AN92" i="1"/>
  <c r="AN60" i="1"/>
  <c r="AN28" i="1"/>
  <c r="AN515" i="1"/>
  <c r="AN483" i="1"/>
  <c r="AN451" i="1"/>
  <c r="AN419" i="1"/>
  <c r="AN387" i="1"/>
  <c r="AN355" i="1"/>
  <c r="AN67" i="1"/>
  <c r="AN35" i="1"/>
  <c r="AN607" i="1"/>
  <c r="AN710" i="1"/>
  <c r="AN454" i="1"/>
  <c r="AN557" i="1"/>
  <c r="AN301" i="1"/>
  <c r="AN117" i="1"/>
  <c r="AN85" i="1"/>
  <c r="AN53" i="1"/>
  <c r="AN21" i="1"/>
  <c r="AN861" i="1"/>
  <c r="AN829" i="1"/>
  <c r="AN796" i="1"/>
  <c r="AN764" i="1"/>
  <c r="AN700" i="1"/>
  <c r="AN636" i="1"/>
  <c r="AN572" i="1"/>
  <c r="AN124" i="1"/>
  <c r="AN868" i="1"/>
  <c r="AN836" i="1"/>
  <c r="AN803" i="1"/>
  <c r="AN771" i="1"/>
  <c r="AN739" i="1"/>
  <c r="AN707" i="1"/>
  <c r="AN675" i="1"/>
  <c r="AN643" i="1"/>
  <c r="AN611" i="1"/>
  <c r="AN579" i="1"/>
  <c r="AN547" i="1"/>
  <c r="AN323" i="1"/>
  <c r="AN291" i="1"/>
  <c r="AN259" i="1"/>
  <c r="AN227" i="1"/>
  <c r="AN195" i="1"/>
  <c r="AN163" i="1"/>
  <c r="AN131" i="1"/>
  <c r="AN99" i="1"/>
  <c r="AN2" i="1" l="1"/>
  <c r="Y2" i="1"/>
  <c r="X2" i="1"/>
  <c r="AN781" i="1"/>
</calcChain>
</file>

<file path=xl/sharedStrings.xml><?xml version="1.0" encoding="utf-8"?>
<sst xmlns="http://schemas.openxmlformats.org/spreadsheetml/2006/main" count="21624" uniqueCount="304">
  <si>
    <t>25 DE MAYO</t>
  </si>
  <si>
    <t>AMERICA</t>
  </si>
  <si>
    <t>ANTOFAGASTA</t>
  </si>
  <si>
    <t>ARCE</t>
  </si>
  <si>
    <t>AROMA</t>
  </si>
  <si>
    <t>AYACUCHO</t>
  </si>
  <si>
    <t>BALLIVIAN</t>
  </si>
  <si>
    <t>CALACOTO</t>
  </si>
  <si>
    <t>CASONA</t>
  </si>
  <si>
    <t>COLON</t>
  </si>
  <si>
    <t>ELEGANCIA</t>
  </si>
  <si>
    <t>EQUIPETROL</t>
  </si>
  <si>
    <t>ESPANA</t>
  </si>
  <si>
    <t>ESTEBAN ARCE</t>
  </si>
  <si>
    <t>FAIR PLAY LAS BRISAS</t>
  </si>
  <si>
    <t>FLORIDA</t>
  </si>
  <si>
    <t>FORMATO XL - SAN MARTIN  1000</t>
  </si>
  <si>
    <t>FP CIELO MALL</t>
  </si>
  <si>
    <t>GRANEROS</t>
  </si>
  <si>
    <t>HEROINAS</t>
  </si>
  <si>
    <t>JUNIN-SUCRE</t>
  </si>
  <si>
    <t>KIDS BALLIVIAN</t>
  </si>
  <si>
    <t>KIDS FAIR PLAY LPB CENTRO</t>
  </si>
  <si>
    <t>KIDS FAIR PLAY LPB CIELO MALL</t>
  </si>
  <si>
    <t>KIDS FAIR PLAY PATIO DESIGN</t>
  </si>
  <si>
    <t>KIDS FLORIDA</t>
  </si>
  <si>
    <t>KIDS LA PAZ ZONA SUR</t>
  </si>
  <si>
    <t>KIDS LAS BRISAS</t>
  </si>
  <si>
    <t>KIDS PASEO ARANJUEZ</t>
  </si>
  <si>
    <t>KIDS SUCRE</t>
  </si>
  <si>
    <t>KIDS TARIJA</t>
  </si>
  <si>
    <t>KIDS VENTURA</t>
  </si>
  <si>
    <t>LANZA</t>
  </si>
  <si>
    <t>MALL</t>
  </si>
  <si>
    <t>MEGA</t>
  </si>
  <si>
    <t>MEGACENTER ADIDAS</t>
  </si>
  <si>
    <t>MEGACENTER FP</t>
  </si>
  <si>
    <t>MODULO 2118</t>
  </si>
  <si>
    <t>MODULO 5007</t>
  </si>
  <si>
    <t>MODULO 7126</t>
  </si>
  <si>
    <t>MONTERO</t>
  </si>
  <si>
    <t>MUTUALISTA</t>
  </si>
  <si>
    <t>ORURO FP</t>
  </si>
  <si>
    <t>OUTLET 3ER ANILLO SCZ</t>
  </si>
  <si>
    <t>OUTLET BANZER</t>
  </si>
  <si>
    <t>OUTLET BOLIVAR</t>
  </si>
  <si>
    <t>OUTLET CASONA</t>
  </si>
  <si>
    <t>OUTLET CATOLICA</t>
  </si>
  <si>
    <t>OUTLET COCHABAMBA</t>
  </si>
  <si>
    <t>OUTLET MONTENEGRO</t>
  </si>
  <si>
    <t>OUTLET TARIJA</t>
  </si>
  <si>
    <t>PADILLA</t>
  </si>
  <si>
    <t>PANDO</t>
  </si>
  <si>
    <t>PATINO</t>
  </si>
  <si>
    <t>PATIO DESIGN CENTER FAIR PLAY</t>
  </si>
  <si>
    <t>POCITOS</t>
  </si>
  <si>
    <t>POTOSI FP</t>
  </si>
  <si>
    <t>POZOS</t>
  </si>
  <si>
    <t>RAMADA</t>
  </si>
  <si>
    <t>SAN MARTIN</t>
  </si>
  <si>
    <t>SHOPPING NORTE</t>
  </si>
  <si>
    <t>TARATA</t>
  </si>
  <si>
    <t>TORRES DEL POETA FAIR PLAY</t>
  </si>
  <si>
    <t>TORRES SOFER</t>
  </si>
  <si>
    <t>UYUSTUS</t>
  </si>
  <si>
    <t>VENTURA FAIR PLAY</t>
  </si>
  <si>
    <t>VILLA 1RO DE MAYO</t>
  </si>
  <si>
    <t>YACUIBA</t>
  </si>
  <si>
    <t>YUTH AMERICA</t>
  </si>
  <si>
    <t>YUTH AYACUCHO</t>
  </si>
  <si>
    <t>YUTH CALACOTO</t>
  </si>
  <si>
    <t>YUTH LA PAZ CENTRO MULTICINE - CIELO MALL</t>
  </si>
  <si>
    <t>YUTH LAS BRISAS</t>
  </si>
  <si>
    <t>YUTH MALL VENTURA</t>
  </si>
  <si>
    <t>YUTH PATIO DESIGN</t>
  </si>
  <si>
    <t>YUTH SUCRE KIOSCO</t>
  </si>
  <si>
    <t>YUTH TARIJA</t>
  </si>
  <si>
    <t>Canal</t>
  </si>
  <si>
    <t>mes_venta</t>
  </si>
  <si>
    <t>FAIR PLAY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</si>
  <si>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</si>
  <si>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</si>
  <si>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</si>
  <si>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</si>
  <si>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</si>
  <si>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</si>
  <si>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</si>
  <si>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</si>
  <si>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</si>
  <si>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</si>
  <si>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</si>
  <si>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</si>
  <si>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FAIR PLAY OUTLET</t>
  </si>
  <si>
    <t>IQUIQUE</t>
  </si>
  <si>
    <t>KIDS</t>
  </si>
  <si>
    <t>YUTH</t>
  </si>
  <si>
    <t>2019 $us</t>
  </si>
  <si>
    <t>2019 Ut</t>
  </si>
  <si>
    <t>2021 $us</t>
  </si>
  <si>
    <t>2021 Ut</t>
  </si>
  <si>
    <t>2022 Ppto v2 $us</t>
  </si>
  <si>
    <t>2022 Ppto v2 Ut</t>
  </si>
  <si>
    <t>2022 Venta $us</t>
  </si>
  <si>
    <t>2022 Ut $us</t>
  </si>
  <si>
    <t>2022 Venta $us Mejorado</t>
  </si>
  <si>
    <t>2022 Ut $us Mejorado</t>
  </si>
  <si>
    <t>Codigo de Almacen</t>
  </si>
  <si>
    <t>Almacen</t>
  </si>
  <si>
    <t>FP-SMXL</t>
  </si>
  <si>
    <t>FP-MUT</t>
  </si>
  <si>
    <t>FP-UYU</t>
  </si>
  <si>
    <t>OUT-CBBA</t>
  </si>
  <si>
    <t>K-BALLIVIAN</t>
  </si>
  <si>
    <t>K-LPCENTRO</t>
  </si>
  <si>
    <t>K-LPC</t>
  </si>
  <si>
    <t>Y-LP</t>
  </si>
  <si>
    <t>Y-SCRE</t>
  </si>
  <si>
    <t>Clasificacion 2022</t>
  </si>
  <si>
    <t>Clasificacion 2023</t>
  </si>
  <si>
    <t>SAME DOOR</t>
  </si>
  <si>
    <t>REFACCION</t>
  </si>
  <si>
    <t>NEW DOOR</t>
  </si>
  <si>
    <t>CLOSED</t>
  </si>
  <si>
    <t>Regional</t>
  </si>
  <si>
    <t>COCHABAMBA</t>
  </si>
  <si>
    <t>LA PAZ</t>
  </si>
  <si>
    <t>ZONA SUR</t>
  </si>
  <si>
    <t>SANTA CRUZ</t>
  </si>
  <si>
    <t>CLUSTER</t>
  </si>
  <si>
    <t>B 2</t>
  </si>
  <si>
    <t>A 2</t>
  </si>
  <si>
    <t>A 1</t>
  </si>
  <si>
    <t>B 3</t>
  </si>
  <si>
    <t>A 3</t>
  </si>
  <si>
    <t>B 1</t>
  </si>
  <si>
    <t>XL</t>
  </si>
  <si>
    <t>OUTLET 1</t>
  </si>
  <si>
    <t>K 2</t>
  </si>
  <si>
    <t>K 1</t>
  </si>
  <si>
    <t>Y 2</t>
  </si>
  <si>
    <t>Y 1</t>
  </si>
  <si>
    <t>2022 Ppto V1 $us</t>
  </si>
  <si>
    <t>2022 Ppto V1 Ut</t>
  </si>
  <si>
    <t>2023 Venta $us</t>
  </si>
  <si>
    <t>2023 Ut $us</t>
  </si>
  <si>
    <t>Etiquetas de fila</t>
  </si>
  <si>
    <t>Total general</t>
  </si>
  <si>
    <t>(Todas)</t>
  </si>
  <si>
    <t>2019 Real $us</t>
  </si>
  <si>
    <t>2021 Real $us</t>
  </si>
  <si>
    <t>Ppto 2022 V1</t>
  </si>
  <si>
    <t>Ppto 2022 V2</t>
  </si>
  <si>
    <t>2022 Real $us</t>
  </si>
  <si>
    <t>2022 Mejorado $us</t>
  </si>
  <si>
    <t>% Cump 22 Mej vs v2</t>
  </si>
  <si>
    <t>% Cump 22 Vs V2</t>
  </si>
  <si>
    <t>Crec 22 vs 21</t>
  </si>
  <si>
    <t>Crec 23Vs 22 Mej</t>
  </si>
  <si>
    <t>2019 Ut $us</t>
  </si>
  <si>
    <t>2021 Ut $us</t>
  </si>
  <si>
    <t>Ppto Ut V2 $us</t>
  </si>
  <si>
    <t>2022 Ut Real $us</t>
  </si>
  <si>
    <t>2022 Mejorado Ut $us</t>
  </si>
  <si>
    <t>Ppto 2023 $us</t>
  </si>
  <si>
    <t>% Cump 22Ut Vs V2</t>
  </si>
  <si>
    <t>%Cump 22Ut Mej Vs V2</t>
  </si>
  <si>
    <t>Crec 22 Vs Ut</t>
  </si>
  <si>
    <t>Crec 23 Vs 22 Mej</t>
  </si>
  <si>
    <t>Ppto Margen V2</t>
  </si>
  <si>
    <t>Margen 2021</t>
  </si>
  <si>
    <t>2022 Margen Real</t>
  </si>
  <si>
    <t>2022 Margen Mej</t>
  </si>
  <si>
    <t>Ppto 2023 Ut</t>
  </si>
  <si>
    <t>Ppto 2023 Margen</t>
  </si>
  <si>
    <t>(Varios elementos)</t>
  </si>
  <si>
    <t>Real 2022 $us</t>
  </si>
  <si>
    <t>Mejorado 2022 $us</t>
  </si>
  <si>
    <t>Ppto 2022 Ut V2 $us</t>
  </si>
  <si>
    <t>Ut Real 2022 $us</t>
  </si>
  <si>
    <t>Mejorado Ut 2022 $us</t>
  </si>
  <si>
    <t>Ppto 2022 Margen V2</t>
  </si>
  <si>
    <t>Margen Real 2022</t>
  </si>
  <si>
    <t>Margen Mejorado 2022</t>
  </si>
  <si>
    <t>Margen 2019</t>
  </si>
  <si>
    <t>2019 IN LINE %</t>
  </si>
  <si>
    <t>2021 IN LINE %</t>
  </si>
  <si>
    <t>2022 IN LINE %</t>
  </si>
  <si>
    <t>2022 Ppto V2 IN LINE %</t>
  </si>
  <si>
    <t>2022 Mejorado IN LINE %</t>
  </si>
  <si>
    <t>2023 IN LINE %</t>
  </si>
  <si>
    <t>2019 IN LINE $us</t>
  </si>
  <si>
    <t>2021 IN LINE $us</t>
  </si>
  <si>
    <t>2022 IN LINE $us</t>
  </si>
  <si>
    <t>2022 Ppto V2 IN LINE $us</t>
  </si>
  <si>
    <t>2022 Mejorado IN LINE $us</t>
  </si>
  <si>
    <t>2023 IN LINE $us</t>
  </si>
  <si>
    <t>(en blanco)</t>
  </si>
  <si>
    <t>Cre 22 Mej Vs 22 Real %</t>
  </si>
  <si>
    <t>In Line 2019 %</t>
  </si>
  <si>
    <t>In Line 2021 %</t>
  </si>
  <si>
    <t xml:space="preserve">In Line Ppto 2022 V2 % </t>
  </si>
  <si>
    <t xml:space="preserve">In Line Real 2022 % </t>
  </si>
  <si>
    <t>Line Mejorado 2022 %</t>
  </si>
  <si>
    <t xml:space="preserve">In Line 2023 % </t>
  </si>
  <si>
    <t>Crec 22 Vs Ut 2021</t>
  </si>
  <si>
    <t>Suma de 2021 $us</t>
  </si>
  <si>
    <t>Suma de 2022 Venta $us</t>
  </si>
  <si>
    <t>MES ANALSIS</t>
  </si>
  <si>
    <t>ENE-SEP</t>
  </si>
  <si>
    <t>AGO</t>
  </si>
  <si>
    <t>OCT-DIC</t>
  </si>
  <si>
    <t xml:space="preserve">Cre 22 Real Vs 21 </t>
  </si>
  <si>
    <t>RACIONALES</t>
  </si>
  <si>
    <t>TIENDE DECRECIMIENTO 1ER SEMESTRE PROPUESTA CERCA DE LA MEDIA 3.6</t>
  </si>
  <si>
    <t>REFACCION/NUEVO 2023 CASH FLOW</t>
  </si>
  <si>
    <t>UNIDAD NEGOCIO</t>
  </si>
  <si>
    <t>CODIGO</t>
  </si>
  <si>
    <t>REGIONAL</t>
  </si>
  <si>
    <t>TIPO LOCAL</t>
  </si>
  <si>
    <t>CLASIFICACION ORIGEN</t>
  </si>
  <si>
    <t>CLASIFICACION 2022 AJUSTADO</t>
  </si>
  <si>
    <t>CLASIFICACION 2023</t>
  </si>
  <si>
    <t xml:space="preserve">AÑO </t>
  </si>
  <si>
    <t>PARCIAL</t>
  </si>
  <si>
    <t>TOTAL</t>
  </si>
  <si>
    <t>2022-REAL</t>
  </si>
  <si>
    <t>2022-AJUSTADO</t>
  </si>
  <si>
    <t>2022-VIRTUAL</t>
  </si>
  <si>
    <t>TRASLADO JUNIO 2021</t>
  </si>
  <si>
    <t>ANTES</t>
  </si>
  <si>
    <t>PROYECTADO</t>
  </si>
  <si>
    <t>MT2</t>
  </si>
  <si>
    <t>VENTAS</t>
  </si>
  <si>
    <t>VENTA MT2 PROM</t>
  </si>
  <si>
    <t>CIERRE JUNIO/JULIO</t>
  </si>
  <si>
    <t>MISMA AREA ELEVACION DE NEGOCIO AL 15%</t>
  </si>
  <si>
    <t xml:space="preserve">IGUALAR AL CF VENTAS </t>
  </si>
  <si>
    <t>DECRECIMIENTO ORGANICO -1% / TARGET CERCA DEL PROMEDIO</t>
  </si>
  <si>
    <t>CRECIMIENTO ORGANICO 8% TARGET ARRIBA DEL PROMEDIO 6.5% RETANTE</t>
  </si>
  <si>
    <t>CIERRE ABRIL/MAYO</t>
  </si>
  <si>
    <t>DECRECIMIENTO ORGANICO -3% / TARGET DEBAJO DEL PROMEDIO</t>
  </si>
  <si>
    <t>CERRADO</t>
  </si>
  <si>
    <t>VENTA CONJUNTA CON MEGA ADIDAS DE BASE CRECIMIENTO DE 5.5%</t>
  </si>
  <si>
    <t>OK</t>
  </si>
  <si>
    <t>CRECIMIENTO ORGANICO 5% TARGET AL PROMEDIO DE 4.8 % DEL CANAL SE DA PRIORIDAD EN REMANENTES OF IMPORTANTE PARA LA PLAZA</t>
  </si>
  <si>
    <t>TARGET PROMEDIO 3.5% TIENE POTENCIAL NUEVO CONSIGNATARIO + CREIMIENTO ORGANICO DE 1%/CAMBIO CONSIGNATARIO/ ZONA DE OF REDUCE EN MT2</t>
  </si>
  <si>
    <t>DECRECIMIENTO ORGANICO -3%/ TARGET POR DEBAJO DEL PROMEDIO EL TRAFICO HA DISMINUIDO</t>
  </si>
  <si>
    <t>CRECIMIENTO 7.4% VS VIRTUAL / CRECIMIENTO VS 2021 10% RESPONDIENDO A LA REFACCION DEL 2022 EL MAL PERFORMANCE DEL 2022 PRODUCTO FUTBOL BAJO/AJUSTE DE COMPRA + ENTRADA SKECHERS</t>
  </si>
  <si>
    <t>COMPARATIVO VS 2019</t>
  </si>
  <si>
    <t>AHORA 2022</t>
  </si>
  <si>
    <t>2022 RECONSTRUIDO</t>
  </si>
  <si>
    <t>QUINTANILLA</t>
  </si>
  <si>
    <t>HUPPER MALL DE ANTES</t>
  </si>
  <si>
    <t>EXPLICACION VENTA X MT2 DETALLE JUSTIFICACION</t>
  </si>
  <si>
    <t>PROMEDIO</t>
  </si>
  <si>
    <t>TRASLADO FEBRERO/21</t>
  </si>
  <si>
    <t>ANTOFAGASTA TRASLADO</t>
  </si>
  <si>
    <t>CREIMIENTO DEL 11% POR TRASLADO, TARGET CRECIMIENTO 6% VS RECONTRUIDO CRECIMIENTO ORGANICO PUSH Y CREIMIENTO TRASLADO APOYO 2DO PISO OUTLET</t>
  </si>
  <si>
    <t>AROMA NO PERFORMO BIEN LA REFACCION VS 2021 CREIMIENTO ORGANICO 3.5% APOYO MAYOR PRODUCTO</t>
  </si>
  <si>
    <t>DECRECIMIENTO ORGANICO -24%/ TARGET POR DEBAJO DEL PROMEDIO DEL CANAL  TOTAL 3%</t>
  </si>
  <si>
    <t>DECRECIMIENTO ORGANICO -2% / CAMBIO DE CONSIGNATARIO TIENDA CON POTENCIAL PUSH 4%</t>
  </si>
  <si>
    <t>CRECIMIENTO X REFACCION/AMPLIACION Y PUSH DE VENTAS 4.6% DEL 2023</t>
  </si>
  <si>
    <t>CRECIMIENTO ORGANICO 2% TARGET PROMEDIO CRECIMIENTO CANAL 4.6%</t>
  </si>
  <si>
    <t>CRECIMIENTO ORGANICO 6% TARGET POR ENCIMA DEL PROMEDIO DEL CANAL 5.5%</t>
  </si>
  <si>
    <t>CRECIMIENTO ORGANICO +2% TARGET ARRIBA DEL PROMEDIO/ CAMBIO DE CONSIGNATARIO</t>
  </si>
  <si>
    <t>CRECIMIENTO ORGANICO +10% TARGET ARRIBA DEL PROMEDIO 7.8%</t>
  </si>
  <si>
    <t>DECRECIMIENTO ORGANICO -8% TARGET POR DEBAJO MEDIA CANAL AL 2.5% APROX DE ENERO A OCTUBRE + APERTURA SAR MARTIN XL CAE VENTAS UN -30%</t>
  </si>
  <si>
    <t>8 % DE CRECIMIENTO SOBRE RECONSTRUIDO 2022 - CAMBIO DE CONSIGNATARIO + REMODELACION EFECTO CENTRO SANTA CRUZ</t>
  </si>
  <si>
    <t>ORGANICO +4% TARGET ARRIBA DEL PROMEDIO CANAL 6.5%</t>
  </si>
  <si>
    <t>ORGANICO +4% TARGET ARRIBA DEL PROMEDIO CANAL 6.5% INGRESO NUEVAS MARCAS NEW BALANCE SPEEDO SCKECHERS</t>
  </si>
  <si>
    <t>ORGANICO +2% TARGET PROMEDIO CANAL 5%</t>
  </si>
  <si>
    <t>ORGANICO -7% TARGET ABAJO DEL PROMEDIO CANAL + CAMBIO DE CONSIGNATARIO + MARCAS NUEVAS + CAIDA DEL CENTRO</t>
  </si>
  <si>
    <t>ORGANICO +10% TARGET ARRIBA DEL PROMEDIO CANAL 7% OBJETIVO</t>
  </si>
  <si>
    <t xml:space="preserve">ORGANICO +1% TARGET CERCA DEL PROMEDIO DEL CANAL 3.9% </t>
  </si>
  <si>
    <t>CRECIMIENTO ORGANICO -1% TARGET AL PROMEDIO DEL CANAL TIENDA CON POTENCIAL 4.6% NUEVO CONSIGNATARIO NUEVAS MARCAS</t>
  </si>
  <si>
    <t>DECRECIMIENTO ORGANICO -7% TARGET PROBLEMA ESCALERA MECANICA + PRODUCTO / TIENDA CON POTENCIAL 4.5%</t>
  </si>
  <si>
    <t>DECRECIMIENTO ORGANICO -7% MALL SE ESTA REACTIVANDO CRECIMIENTO OBJETIVO DEL 3.5%</t>
  </si>
  <si>
    <t>CRECIMIENTO DE 5% ANTES DEL CIERRE</t>
  </si>
  <si>
    <t>CRECIMIENTO DE 5% ANTES DE APERTURA OUTLET CBBA, EN ADELANTE 0% A -2% POR COMPETENCIA</t>
  </si>
  <si>
    <t>CRECIMIENTO DEL 3.1% LIMITADO POR STOCK DE REMANENTES</t>
  </si>
  <si>
    <t>CREIMIENTO ORGANICO 1% - OBJETIVO 3.2% PROMEDIO CADENA</t>
  </si>
  <si>
    <t>DECRECIMIENTO POR APERTURA OUTLET BANZER/CRECIMIENTO 2% ANTES DEL CIERRE</t>
  </si>
  <si>
    <t>OUTLET BANZER SCZ</t>
  </si>
  <si>
    <t>CATOLICA + 3ER ANILLO</t>
  </si>
  <si>
    <t>CATOLICA + BANZER</t>
  </si>
  <si>
    <t>5% ORGANICO ANTES DEL CIERRE DE OUTLET 3ER ANILLO DEPUES 30% DE CRECIMIENTO ABSORVE LAS VENTAS DE 3ER ANILLO</t>
  </si>
  <si>
    <t>OBJETIVO DE CRECIMIENTO 3.6% / CAMBIO DE CONSIGNATARIO / LIMITADO POR PRODUCTO REMANENTE</t>
  </si>
  <si>
    <t>Ut 2023 $us Vs Ut 2019 $us %</t>
  </si>
  <si>
    <t>X</t>
  </si>
  <si>
    <t>Total FAIR PLAY</t>
  </si>
  <si>
    <t>2023 Venta $us_Real</t>
  </si>
  <si>
    <t>2023 Ut $us_Real</t>
  </si>
  <si>
    <t>2023 IN LINE %_Real</t>
  </si>
  <si>
    <t>2023 IN LINE $us_Real</t>
  </si>
  <si>
    <t>Clasificacion 2023_Actual</t>
  </si>
  <si>
    <t>2023 $us Real</t>
  </si>
  <si>
    <t xml:space="preserve">Cre 23 Real Vs 22 Real </t>
  </si>
  <si>
    <t xml:space="preserve">% Cump 23 Real Vs 23 Pres  </t>
  </si>
  <si>
    <t>23 Ut $us_Real</t>
  </si>
  <si>
    <t xml:space="preserve">Ut Cre 23 Real Vs 22 Real </t>
  </si>
  <si>
    <t xml:space="preserve"> % Cump 23 Real Vs 23 Pres</t>
  </si>
  <si>
    <t xml:space="preserve">2023 Margen Real </t>
  </si>
  <si>
    <t xml:space="preserve">In Line 2023 % Real </t>
  </si>
  <si>
    <t>NEW DOOR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</si>
</sst>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###0"/>
    <numFmt numFmtId="167" formatCode="_-* #,##0_-;\-* #,##0_-;_-* &quot;-&quot;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Tahoma"/>
      <family val="2"/>
    </font>
    <font>
      <b/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indexed="63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42"/>
      </left>
      <right style="medium">
        <color indexed="42"/>
      </right>
      <top style="thin">
        <color indexed="42"/>
      </top>
      <bottom style="medium">
        <color indexed="42"/>
      </bottom>
      <diagonal/>
    </border>
    <border>
      <left/>
      <right/>
      <top style="thin">
        <color indexed="42"/>
      </top>
      <bottom/>
      <diagonal/>
    </border>
    <border>
      <left style="medium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/>
      <right/>
      <top style="thin">
        <color indexed="42"/>
      </top>
      <bottom style="thin">
        <color indexed="42"/>
      </bottom>
      <diagonal/>
    </border>
    <border>
      <left/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/>
      <top style="thin">
        <color indexed="42"/>
      </top>
      <bottom style="medium">
        <color indexed="42"/>
      </bottom>
      <diagonal/>
    </border>
    <border>
      <left style="thin">
        <color indexed="42"/>
      </left>
      <right/>
      <top style="thin">
        <color indexed="42"/>
      </top>
      <bottom style="thin">
        <color indexed="4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0" fillId="0" borderId="0" xfId="1" applyNumberFormat="1" applyFont="1"/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/>
    <xf numFmtId="164" fontId="3" fillId="0" borderId="0" xfId="1" applyNumberFormat="1" applyFont="1"/>
    <xf numFmtId="0" fontId="3" fillId="0" borderId="0" xfId="0" applyFont="1" applyAlignment="1">
      <alignment horizontal="left"/>
    </xf>
    <xf numFmtId="9" fontId="3" fillId="0" borderId="0" xfId="0" applyNumberFormat="1" applyFont="1"/>
    <xf numFmtId="165" fontId="3" fillId="0" borderId="0" xfId="0" applyNumberFormat="1" applyFont="1"/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/>
    </xf>
    <xf numFmtId="164" fontId="4" fillId="6" borderId="0" xfId="0" applyNumberFormat="1" applyFont="1" applyFill="1"/>
    <xf numFmtId="165" fontId="4" fillId="6" borderId="0" xfId="0" applyNumberFormat="1" applyFont="1" applyFill="1"/>
    <xf numFmtId="9" fontId="4" fillId="6" borderId="0" xfId="0" applyNumberFormat="1" applyFont="1" applyFill="1"/>
    <xf numFmtId="0" fontId="4" fillId="6" borderId="0" xfId="0" applyFont="1" applyFill="1"/>
    <xf numFmtId="0" fontId="3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wrapText="1"/>
    </xf>
    <xf numFmtId="0" fontId="2" fillId="11" borderId="0" xfId="0" applyFont="1" applyFill="1" applyAlignment="1">
      <alignment horizontal="center" vertical="center" wrapText="1"/>
    </xf>
    <xf numFmtId="164" fontId="6" fillId="0" borderId="0" xfId="1" applyNumberFormat="1" applyFont="1"/>
    <xf numFmtId="0" fontId="0" fillId="0" borderId="0" xfId="0" pivotButton="1"/>
    <xf numFmtId="0" fontId="2" fillId="2" borderId="1" xfId="0" applyFont="1" applyFill="1" applyBorder="1"/>
    <xf numFmtId="0" fontId="0" fillId="12" borderId="0" xfId="0" applyFill="1"/>
    <xf numFmtId="9" fontId="0" fillId="0" borderId="0" xfId="2" applyFont="1"/>
    <xf numFmtId="0" fontId="2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43" fontId="0" fillId="0" borderId="0" xfId="0" applyNumberFormat="1"/>
    <xf numFmtId="9" fontId="3" fillId="15" borderId="0" xfId="0" applyNumberFormat="1" applyFont="1" applyFill="1" applyAlignment="1">
      <alignment horizontal="center" vertical="center" wrapText="1"/>
    </xf>
    <xf numFmtId="0" fontId="3" fillId="16" borderId="0" xfId="0" applyFont="1" applyFill="1" applyAlignment="1">
      <alignment wrapText="1"/>
    </xf>
    <xf numFmtId="0" fontId="3" fillId="16" borderId="0" xfId="0" applyFont="1" applyFill="1" applyAlignment="1">
      <alignment horizontal="center" vertical="center" wrapText="1"/>
    </xf>
    <xf numFmtId="165" fontId="4" fillId="6" borderId="0" xfId="0" applyNumberFormat="1" applyFont="1" applyFill="1" applyAlignment="1">
      <alignment horizontal="right"/>
    </xf>
    <xf numFmtId="164" fontId="4" fillId="6" borderId="0" xfId="0" applyNumberFormat="1" applyFont="1" applyFill="1" applyAlignment="1">
      <alignment horizontal="right"/>
    </xf>
    <xf numFmtId="9" fontId="4" fillId="6" borderId="0" xfId="0" applyNumberFormat="1" applyFont="1" applyFill="1" applyAlignment="1">
      <alignment horizontal="right"/>
    </xf>
    <xf numFmtId="164" fontId="3" fillId="0" borderId="0" xfId="1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/>
    <xf numFmtId="0" fontId="8" fillId="6" borderId="0" xfId="0" applyFont="1" applyFill="1"/>
    <xf numFmtId="9" fontId="8" fillId="6" borderId="0" xfId="0" applyNumberFormat="1" applyFont="1" applyFill="1"/>
    <xf numFmtId="0" fontId="0" fillId="17" borderId="0" xfId="0" applyFill="1"/>
    <xf numFmtId="0" fontId="2" fillId="17" borderId="1" xfId="0" applyFont="1" applyFill="1" applyBorder="1"/>
    <xf numFmtId="0" fontId="8" fillId="6" borderId="2" xfId="0" applyFont="1" applyFill="1" applyBorder="1"/>
    <xf numFmtId="9" fontId="8" fillId="6" borderId="2" xfId="0" applyNumberFormat="1" applyFont="1" applyFill="1" applyBorder="1"/>
    <xf numFmtId="0" fontId="2" fillId="18" borderId="0" xfId="0" applyFont="1" applyFill="1" applyAlignment="1">
      <alignment horizontal="center" vertical="center" wrapText="1"/>
    </xf>
    <xf numFmtId="0" fontId="0" fillId="3" borderId="0" xfId="0" applyFill="1"/>
    <xf numFmtId="0" fontId="0" fillId="19" borderId="0" xfId="0" applyFill="1"/>
    <xf numFmtId="0" fontId="9" fillId="20" borderId="3" xfId="0" applyFont="1" applyFill="1" applyBorder="1" applyAlignment="1">
      <alignment horizontal="center" wrapText="1"/>
    </xf>
    <xf numFmtId="0" fontId="9" fillId="20" borderId="4" xfId="0" applyFont="1" applyFill="1" applyBorder="1" applyAlignment="1">
      <alignment horizontal="center" wrapText="1"/>
    </xf>
    <xf numFmtId="0" fontId="10" fillId="20" borderId="5" xfId="0" applyFont="1" applyFill="1" applyBorder="1" applyAlignment="1">
      <alignment horizontal="center" wrapText="1"/>
    </xf>
    <xf numFmtId="0" fontId="10" fillId="20" borderId="4" xfId="0" applyFont="1" applyFill="1" applyBorder="1" applyAlignment="1">
      <alignment horizontal="center" wrapText="1"/>
    </xf>
    <xf numFmtId="164" fontId="9" fillId="20" borderId="0" xfId="0" applyNumberFormat="1" applyFont="1" applyFill="1" applyAlignment="1">
      <alignment horizontal="center" wrapText="1"/>
    </xf>
    <xf numFmtId="164" fontId="9" fillId="20" borderId="3" xfId="1" applyNumberFormat="1" applyFont="1" applyFill="1" applyBorder="1" applyAlignment="1">
      <alignment horizontal="center" wrapText="1"/>
    </xf>
    <xf numFmtId="0" fontId="11" fillId="21" borderId="6" xfId="0" applyFont="1" applyFill="1" applyBorder="1"/>
    <xf numFmtId="0" fontId="12" fillId="21" borderId="6" xfId="0" applyFont="1" applyFill="1" applyBorder="1"/>
    <xf numFmtId="166" fontId="10" fillId="21" borderId="6" xfId="0" applyNumberFormat="1" applyFont="1" applyFill="1" applyBorder="1"/>
    <xf numFmtId="167" fontId="10" fillId="21" borderId="6" xfId="1" applyNumberFormat="1" applyFont="1" applyFill="1" applyBorder="1"/>
    <xf numFmtId="0" fontId="11" fillId="12" borderId="6" xfId="0" applyFont="1" applyFill="1" applyBorder="1"/>
    <xf numFmtId="0" fontId="12" fillId="12" borderId="6" xfId="0" applyFont="1" applyFill="1" applyBorder="1"/>
    <xf numFmtId="0" fontId="11" fillId="12" borderId="7" xfId="0" applyFont="1" applyFill="1" applyBorder="1"/>
    <xf numFmtId="166" fontId="10" fillId="12" borderId="8" xfId="0" applyNumberFormat="1" applyFont="1" applyFill="1" applyBorder="1"/>
    <xf numFmtId="167" fontId="10" fillId="12" borderId="8" xfId="1" applyNumberFormat="1" applyFont="1" applyFill="1" applyBorder="1"/>
    <xf numFmtId="166" fontId="12" fillId="12" borderId="8" xfId="0" applyNumberFormat="1" applyFont="1" applyFill="1" applyBorder="1"/>
    <xf numFmtId="167" fontId="12" fillId="12" borderId="8" xfId="1" applyNumberFormat="1" applyFont="1" applyFill="1" applyBorder="1"/>
    <xf numFmtId="3" fontId="10" fillId="12" borderId="8" xfId="0" applyNumberFormat="1" applyFont="1" applyFill="1" applyBorder="1"/>
    <xf numFmtId="0" fontId="11" fillId="22" borderId="6" xfId="0" applyFont="1" applyFill="1" applyBorder="1"/>
    <xf numFmtId="0" fontId="12" fillId="22" borderId="6" xfId="0" applyFont="1" applyFill="1" applyBorder="1"/>
    <xf numFmtId="0" fontId="11" fillId="22" borderId="7" xfId="0" applyFont="1" applyFill="1" applyBorder="1"/>
    <xf numFmtId="166" fontId="10" fillId="22" borderId="8" xfId="0" applyNumberFormat="1" applyFont="1" applyFill="1" applyBorder="1"/>
    <xf numFmtId="167" fontId="10" fillId="22" borderId="8" xfId="1" applyNumberFormat="1" applyFont="1" applyFill="1" applyBorder="1"/>
    <xf numFmtId="165" fontId="13" fillId="0" borderId="0" xfId="2" applyNumberFormat="1" applyFont="1"/>
    <xf numFmtId="0" fontId="13" fillId="0" borderId="0" xfId="0" applyFont="1"/>
    <xf numFmtId="164" fontId="9" fillId="20" borderId="9" xfId="1" applyNumberFormat="1" applyFont="1" applyFill="1" applyBorder="1" applyAlignment="1">
      <alignment horizontal="center" wrapText="1"/>
    </xf>
    <xf numFmtId="167" fontId="10" fillId="21" borderId="10" xfId="1" applyNumberFormat="1" applyFont="1" applyFill="1" applyBorder="1"/>
    <xf numFmtId="167" fontId="10" fillId="12" borderId="7" xfId="1" applyNumberFormat="1" applyFont="1" applyFill="1" applyBorder="1"/>
    <xf numFmtId="167" fontId="12" fillId="12" borderId="7" xfId="1" applyNumberFormat="1" applyFont="1" applyFill="1" applyBorder="1"/>
    <xf numFmtId="167" fontId="10" fillId="22" borderId="7" xfId="1" applyNumberFormat="1" applyFont="1" applyFill="1" applyBorder="1"/>
    <xf numFmtId="164" fontId="9" fillId="0" borderId="0" xfId="1" applyNumberFormat="1" applyFont="1" applyFill="1" applyBorder="1" applyAlignment="1">
      <alignment horizontal="center" wrapText="1"/>
    </xf>
    <xf numFmtId="167" fontId="11" fillId="0" borderId="0" xfId="1" applyNumberFormat="1" applyFont="1" applyFill="1" applyBorder="1"/>
    <xf numFmtId="167" fontId="14" fillId="0" borderId="0" xfId="1" applyNumberFormat="1" applyFont="1" applyFill="1" applyBorder="1"/>
    <xf numFmtId="164" fontId="11" fillId="0" borderId="0" xfId="1" applyNumberFormat="1" applyFont="1" applyFill="1" applyBorder="1"/>
    <xf numFmtId="167" fontId="12" fillId="0" borderId="0" xfId="1" applyNumberFormat="1" applyFont="1" applyFill="1" applyBorder="1"/>
    <xf numFmtId="164" fontId="0" fillId="0" borderId="0" xfId="0" applyNumberFormat="1"/>
    <xf numFmtId="9" fontId="0" fillId="23" borderId="0" xfId="0" applyNumberFormat="1" applyFill="1"/>
    <xf numFmtId="43" fontId="0" fillId="23" borderId="0" xfId="0" applyNumberFormat="1" applyFill="1"/>
    <xf numFmtId="1" fontId="0" fillId="0" borderId="0" xfId="0" applyNumberFormat="1"/>
    <xf numFmtId="167" fontId="0" fillId="0" borderId="0" xfId="0" applyNumberFormat="1"/>
    <xf numFmtId="9" fontId="13" fillId="0" borderId="0" xfId="2" applyFont="1"/>
    <xf numFmtId="165" fontId="0" fillId="0" borderId="0" xfId="2" applyNumberFormat="1" applyFont="1"/>
    <xf numFmtId="165" fontId="2" fillId="0" borderId="0" xfId="2" applyNumberFormat="1" applyFont="1"/>
    <xf numFmtId="165" fontId="2" fillId="23" borderId="0" xfId="2" applyNumberFormat="1" applyFont="1" applyFill="1"/>
    <xf numFmtId="43" fontId="2" fillId="23" borderId="0" xfId="0" applyNumberFormat="1" applyFont="1" applyFill="1"/>
    <xf numFmtId="165" fontId="14" fillId="0" borderId="0" xfId="2" applyNumberFormat="1" applyFont="1" applyFill="1" applyBorder="1"/>
    <xf numFmtId="165" fontId="11" fillId="0" borderId="0" xfId="1" applyNumberFormat="1" applyFont="1" applyFill="1" applyBorder="1"/>
    <xf numFmtId="9" fontId="0" fillId="3" borderId="0" xfId="0" applyNumberFormat="1" applyFill="1"/>
    <xf numFmtId="0" fontId="11" fillId="24" borderId="6" xfId="0" applyFont="1" applyFill="1" applyBorder="1"/>
    <xf numFmtId="0" fontId="12" fillId="24" borderId="6" xfId="0" applyFont="1" applyFill="1" applyBorder="1"/>
    <xf numFmtId="0" fontId="11" fillId="24" borderId="7" xfId="0" applyFont="1" applyFill="1" applyBorder="1"/>
    <xf numFmtId="166" fontId="10" fillId="24" borderId="8" xfId="0" applyNumberFormat="1" applyFont="1" applyFill="1" applyBorder="1"/>
    <xf numFmtId="167" fontId="10" fillId="24" borderId="8" xfId="1" applyNumberFormat="1" applyFont="1" applyFill="1" applyBorder="1"/>
    <xf numFmtId="0" fontId="3" fillId="25" borderId="0" xfId="0" applyFont="1" applyFill="1" applyAlignment="1">
      <alignment wrapText="1"/>
    </xf>
    <xf numFmtId="9" fontId="7" fillId="6" borderId="0" xfId="0" applyNumberFormat="1" applyFont="1" applyFill="1" applyAlignment="1">
      <alignment horizontal="right"/>
    </xf>
    <xf numFmtId="165" fontId="7" fillId="6" borderId="0" xfId="0" applyNumberFormat="1" applyFont="1" applyFill="1" applyAlignment="1">
      <alignment horizontal="right"/>
    </xf>
    <xf numFmtId="165" fontId="7" fillId="6" borderId="0" xfId="0" applyNumberFormat="1" applyFont="1" applyFill="1" applyAlignment="1">
      <alignment horizontal="right" wrapText="1"/>
    </xf>
    <xf numFmtId="165" fontId="3" fillId="0" borderId="0" xfId="0" applyNumberFormat="1" applyFont="1" applyAlignment="1">
      <alignment wrapText="1"/>
    </xf>
    <xf numFmtId="165" fontId="3" fillId="16" borderId="0" xfId="0" applyNumberFormat="1" applyFont="1" applyFill="1" applyAlignment="1">
      <alignment horizontal="center" vertical="center" wrapText="1"/>
    </xf>
    <xf numFmtId="165" fontId="3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vertical="center"/>
    </xf>
    <xf numFmtId="165" fontId="3" fillId="0" borderId="0" xfId="2" applyNumberFormat="1" applyFont="1"/>
    <xf numFmtId="165" fontId="3" fillId="23" borderId="0" xfId="0" applyNumberFormat="1" applyFont="1" applyFill="1"/>
    <xf numFmtId="165" fontId="0" fillId="23" borderId="0" xfId="2" applyNumberFormat="1" applyFont="1" applyFill="1"/>
    <xf numFmtId="165" fontId="0" fillId="26" borderId="0" xfId="2" applyNumberFormat="1" applyFont="1" applyFill="1"/>
    <xf numFmtId="3" fontId="3" fillId="0" borderId="0" xfId="0" applyNumberFormat="1" applyFont="1"/>
    <xf numFmtId="3" fontId="3" fillId="3" borderId="0" xfId="0" applyNumberFormat="1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vertical="center" wrapText="1"/>
    </xf>
    <xf numFmtId="164" fontId="7" fillId="6" borderId="0" xfId="0" applyNumberFormat="1" applyFont="1" applyFill="1" applyAlignment="1">
      <alignment horizontal="right"/>
    </xf>
    <xf numFmtId="3" fontId="4" fillId="6" borderId="0" xfId="0" applyNumberFormat="1" applyFont="1" applyFill="1" applyAlignment="1">
      <alignment horizontal="right"/>
    </xf>
    <xf numFmtId="0" fontId="3" fillId="8" borderId="0" xfId="0" applyFont="1" applyFill="1" applyAlignment="1">
      <alignment wrapText="1"/>
    </xf>
    <xf numFmtId="0" fontId="3" fillId="8" borderId="0" xfId="0" applyFont="1" applyFill="1" applyAlignment="1">
      <alignment vertical="center" wrapText="1"/>
    </xf>
    <xf numFmtId="0" fontId="3" fillId="16" borderId="0" xfId="0" applyFont="1" applyFill="1" applyAlignment="1">
      <alignment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441"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FFC000"/>
        </patternFill>
      </fill>
    </dxf>
    <dxf>
      <numFmt numFmtId="165" formatCode="0.0%"/>
    </dxf>
    <dxf>
      <numFmt numFmtId="165" formatCode="0.0%"/>
    </dxf>
    <dxf>
      <numFmt numFmtId="164" formatCode="_-* #,##0_-;\-* #,##0_-;_-* &quot;-&quot;??_-;_-@_-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numFmt numFmtId="13" formatCode="0%"/>
    </dxf>
    <dxf>
      <alignment wrapText="1"/>
    </dxf>
    <dxf>
      <alignment horizontal="center"/>
    </dxf>
    <dxf>
      <alignment vertical="center"/>
    </dxf>
    <dxf>
      <numFmt numFmtId="13" formatCode="0%"/>
    </dxf>
    <dxf>
      <alignment wrapText="1"/>
    </dxf>
    <dxf>
      <alignment horizontal="center"/>
    </dxf>
    <dxf>
      <alignment vertical="center"/>
    </dxf>
    <dxf>
      <numFmt numFmtId="164" formatCode="_-* #,##0_-;\-* #,##0_-;_-* &quot;-&quot;??_-;_-@_-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numFmt numFmtId="164" formatCode="_-* #,##0_-;\-* #,##0_-;_-* &quot;-&quot;??_-;_-@_-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horizont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>
          <bgColor theme="6"/>
        </patternFill>
      </fill>
    </dxf>
    <dxf>
      <fill>
        <patternFill>
          <bgColor theme="4" tint="0.39997558519241921"/>
        </patternFill>
      </fill>
    </dxf>
    <dxf>
      <font>
        <color auto="1"/>
      </font>
    </dxf>
    <dxf>
      <fill>
        <patternFill>
          <bgColor theme="7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FFC000"/>
        </patternFill>
      </fill>
    </dxf>
    <dxf>
      <numFmt numFmtId="165" formatCode="0.0%"/>
    </dxf>
    <dxf>
      <numFmt numFmtId="165" formatCode="0.0%"/>
    </dxf>
    <dxf>
      <numFmt numFmtId="164" formatCode="_-* #,##0_-;\-* #,##0_-;_-* &quot;-&quot;??_-;_-@_-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numFmt numFmtId="13" formatCode="0%"/>
    </dxf>
    <dxf>
      <alignment wrapText="1"/>
    </dxf>
    <dxf>
      <alignment horizontal="center"/>
    </dxf>
    <dxf>
      <alignment vertical="center"/>
    </dxf>
    <dxf>
      <numFmt numFmtId="13" formatCode="0%"/>
    </dxf>
    <dxf>
      <alignment wrapText="1"/>
    </dxf>
    <dxf>
      <alignment horizontal="center"/>
    </dxf>
    <dxf>
      <alignment vertical="center"/>
    </dxf>
    <dxf>
      <numFmt numFmtId="164" formatCode="_-* #,##0_-;\-* #,##0_-;_-* &quot;-&quot;??_-;_-@_-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numFmt numFmtId="164" formatCode="_-* #,##0_-;\-* #,##0_-;_-* &quot;-&quot;??_-;_-@_-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horizont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13" formatCode="0%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13" formatCode="0%"/>
    </dxf>
    <dxf>
      <font>
        <color theme="0"/>
      </font>
    </dxf>
    <dxf>
      <fill>
        <patternFill patternType="solid">
          <bgColor theme="1"/>
        </patternFill>
      </fill>
    </dxf>
    <dxf>
      <alignment vertical="center"/>
    </dxf>
    <dxf>
      <numFmt numFmtId="13" formatCode="0%"/>
    </dxf>
    <dxf>
      <font>
        <b/>
      </font>
    </dxf>
    <dxf>
      <font>
        <color theme="0"/>
      </font>
    </dxf>
    <dxf>
      <fill>
        <patternFill patternType="solid">
          <bgColor theme="1"/>
        </patternFill>
      </fill>
    </dxf>
    <dxf>
      <numFmt numFmtId="3" formatCode="#,##0"/>
    </dxf>
    <dxf>
      <alignment wrapText="1"/>
    </dxf>
    <dxf>
      <alignment vertical="center"/>
    </dxf>
    <dxf>
      <fill>
        <patternFill patternType="solid">
          <bgColor theme="5"/>
        </patternFill>
      </fill>
    </dxf>
    <dxf>
      <alignment vertical="center"/>
    </dxf>
    <dxf>
      <alignment horizontal="center"/>
    </dxf>
    <dxf>
      <numFmt numFmtId="165" formatCode="0.0%"/>
    </dxf>
    <dxf>
      <alignment wrapText="1"/>
    </dxf>
    <dxf>
      <font>
        <b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0" tint="-0.34998626667073579"/>
        </patternFill>
      </fill>
    </dxf>
    <dxf>
      <font>
        <b/>
      </font>
    </dxf>
    <dxf>
      <font>
        <color theme="0"/>
      </font>
    </dxf>
    <dxf>
      <fill>
        <patternFill>
          <bgColor theme="1"/>
        </patternFill>
      </fill>
    </dxf>
    <dxf>
      <numFmt numFmtId="13" formatCode="0%"/>
    </dxf>
    <dxf>
      <alignment wrapText="1"/>
    </dxf>
    <dxf>
      <alignment vertical="center"/>
    </dxf>
    <dxf>
      <fill>
        <patternFill patternType="solid">
          <bgColor theme="4" tint="0.39997558519241921"/>
        </patternFill>
      </fill>
    </dxf>
    <dxf>
      <numFmt numFmtId="13" formatCode="0%"/>
    </dxf>
    <dxf>
      <alignment wrapText="1"/>
    </dxf>
    <dxf>
      <fill>
        <patternFill patternType="solid">
          <bgColor theme="4" tint="0.39997558519241921"/>
        </patternFill>
      </fill>
    </dxf>
    <dxf>
      <fill>
        <patternFill>
          <bgColor theme="4" tint="0.3999755851924192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numFmt numFmtId="3" formatCode="#,##0"/>
    </dxf>
    <dxf>
      <alignment wrapText="1"/>
    </dxf>
    <dxf>
      <alignment vertical="center"/>
    </dxf>
    <dxf>
      <alignment horizontal="center"/>
    </dxf>
    <dxf>
      <fill>
        <patternFill patternType="solid">
          <bgColor theme="4" tint="0.39997558519241921"/>
        </patternFill>
      </fill>
    </dxf>
    <dxf>
      <font>
        <b/>
      </font>
    </dxf>
    <dxf>
      <font>
        <color theme="0"/>
      </font>
    </dxf>
    <dxf>
      <fill>
        <patternFill>
          <bgColor theme="1"/>
        </patternFill>
      </fill>
    </dxf>
    <dxf>
      <numFmt numFmtId="13" formatCode="0%"/>
    </dxf>
    <dxf>
      <alignment vertical="center"/>
    </dxf>
    <dxf>
      <fill>
        <patternFill patternType="solid">
          <bgColor rgb="FF92D050"/>
        </patternFill>
      </fill>
    </dxf>
    <dxf>
      <alignment wrapText="1"/>
    </dxf>
    <dxf>
      <alignment wrapText="1"/>
    </dxf>
    <dxf>
      <fill>
        <patternFill>
          <bgColor rgb="FF92D050"/>
        </patternFill>
      </fill>
    </dxf>
    <dxf>
      <alignment vertical="center"/>
    </dxf>
    <dxf>
      <alignment horizontal="center"/>
    </dxf>
    <dxf>
      <numFmt numFmtId="13" formatCode="0%"/>
    </dxf>
    <dxf>
      <fill>
        <patternFill>
          <bgColor rgb="FFFFFF00"/>
        </patternFill>
      </fill>
    </dxf>
    <dxf>
      <fill>
        <patternFill patternType="solid">
          <bgColor theme="7" tint="0.59999389629810485"/>
        </patternFill>
      </fill>
    </dxf>
    <dxf>
      <alignment wrapText="1"/>
    </dxf>
    <dxf>
      <fill>
        <patternFill patternType="solid">
          <bgColor rgb="FFFFC000"/>
        </patternFill>
      </fill>
    </dxf>
    <dxf>
      <alignment vertical="center"/>
    </dxf>
    <dxf>
      <alignment horizontal="center"/>
    </dxf>
    <dxf>
      <numFmt numFmtId="3" formatCode="#,##0"/>
    </dxf>
    <dxf>
      <numFmt numFmtId="3" formatCode="#,##0"/>
    </dxf>
    <dxf>
      <font>
        <color theme="0"/>
      </font>
    </dxf>
    <dxf>
      <font>
        <b/>
      </font>
    </dxf>
    <dxf>
      <fill>
        <patternFill patternType="solid">
          <bgColor theme="1"/>
        </patternFill>
      </fill>
    </dxf>
    <dxf>
      <numFmt numFmtId="13" formatCode="0%"/>
    </dxf>
    <dxf>
      <numFmt numFmtId="168" formatCode="#,##0.0_ ;\-#,##0.0\ "/>
    </dxf>
    <dxf>
      <fill>
        <patternFill patternType="solid">
          <bgColor theme="9"/>
        </patternFill>
      </fill>
    </dxf>
    <dxf>
      <alignment wrapText="1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general"/>
    </dxf>
    <dxf>
      <alignment vertical="bottom"/>
    </dxf>
    <dxf>
      <alignment horizontal="right"/>
    </dxf>
    <dxf>
      <alignment horizontal="right"/>
    </dxf>
    <dxf>
      <alignment vertical="center"/>
    </dxf>
    <dxf>
      <font>
        <b/>
      </font>
    </dxf>
    <dxf>
      <font>
        <color theme="0"/>
      </font>
    </dxf>
    <dxf>
      <fill>
        <patternFill>
          <bgColor theme="1"/>
        </patternFill>
      </fill>
    </dxf>
    <dxf>
      <fill>
        <patternFill patternType="none">
          <bgColor auto="1"/>
        </patternFill>
      </fill>
    </dxf>
    <dxf>
      <alignment wrapText="1"/>
    </dxf>
    <dxf>
      <fill>
        <patternFill>
          <bgColor theme="5"/>
        </patternFill>
      </fill>
    </dxf>
    <dxf>
      <numFmt numFmtId="165" formatCode="0.0%"/>
    </dxf>
    <dxf>
      <fill>
        <patternFill patternType="solid">
          <fgColor indexed="64"/>
          <bgColor theme="5"/>
        </patternFill>
      </fill>
      <alignment horizontal="center" vertical="center" wrapText="1"/>
    </dxf>
    <dxf>
      <fill>
        <patternFill patternType="solid">
          <fgColor indexed="64"/>
          <bgColor theme="5"/>
        </patternFill>
      </fill>
      <alignment horizontal="center" vertical="center" wrapText="1"/>
    </dxf>
    <dxf>
      <fill>
        <patternFill>
          <fgColor indexed="64"/>
          <bgColor theme="1"/>
        </patternFill>
      </fill>
      <alignment horizontal="general" vertical="bottom" textRotation="0" wrapText="0" indent="0" justifyLastLine="0" shrinkToFit="0" readingOrder="0"/>
    </dxf>
    <dxf>
      <alignment wrapText="1"/>
    </dxf>
    <dxf>
      <alignment vertical="center"/>
    </dxf>
    <dxf>
      <alignment horizontal="center"/>
    </dxf>
    <dxf>
      <alignment wrapText="1"/>
    </dxf>
    <dxf>
      <numFmt numFmtId="165" formatCode="0.0%"/>
    </dxf>
    <dxf>
      <font>
        <color theme="0"/>
      </font>
      <numFmt numFmtId="165" formatCode="0.0%"/>
      <fill>
        <patternFill>
          <fgColor theme="1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numFmt numFmtId="165" formatCode="0.0%"/>
    </dxf>
    <dxf>
      <font>
        <color theme="0"/>
      </font>
      <numFmt numFmtId="165" formatCode="0.0%"/>
      <fill>
        <patternFill patternType="solid">
          <fgColor indexed="64"/>
          <bgColor theme="1"/>
        </patternFill>
      </fill>
    </dxf>
    <dxf>
      <alignment wrapText="1"/>
    </dxf>
    <dxf>
      <alignment vertical="center"/>
    </dxf>
    <dxf>
      <alignment horizontal="center"/>
    </dxf>
    <dxf>
      <numFmt numFmtId="13" formatCode="0%"/>
    </dxf>
    <dxf>
      <fill>
        <patternFill patternType="solid">
          <bgColor rgb="FF92D050"/>
        </patternFill>
      </fill>
    </dxf>
    <dxf>
      <numFmt numFmtId="165" formatCode="0.0%"/>
    </dxf>
    <dxf>
      <font>
        <color theme="0"/>
      </font>
      <numFmt numFmtId="165" formatCode="0.0%"/>
      <fill>
        <patternFill patternType="solid">
          <fgColor indexed="64"/>
          <bgColor theme="1"/>
        </patternFill>
      </fill>
    </dxf>
    <dxf>
      <alignment wrapText="1"/>
    </dxf>
    <dxf>
      <fill>
        <patternFill patternType="solid">
          <bgColor theme="0" tint="-0.34998626667073579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>
          <bgColor theme="6"/>
        </patternFill>
      </fill>
    </dxf>
    <dxf>
      <fill>
        <patternFill>
          <bgColor theme="4" tint="0.39997558519241921"/>
        </patternFill>
      </fill>
    </dxf>
    <dxf>
      <font>
        <color auto="1"/>
      </font>
    </dxf>
    <dxf>
      <fill>
        <patternFill>
          <bgColor theme="7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FFC000"/>
        </patternFill>
      </fill>
    </dxf>
    <dxf>
      <numFmt numFmtId="165" formatCode="0.0%"/>
    </dxf>
    <dxf>
      <numFmt numFmtId="165" formatCode="0.0%"/>
    </dxf>
    <dxf>
      <numFmt numFmtId="164" formatCode="_-* #,##0_-;\-* #,##0_-;_-* &quot;-&quot;??_-;_-@_-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numFmt numFmtId="13" formatCode="0%"/>
    </dxf>
    <dxf>
      <alignment wrapText="1"/>
    </dxf>
    <dxf>
      <alignment horizontal="center"/>
    </dxf>
    <dxf>
      <alignment vertical="center"/>
    </dxf>
    <dxf>
      <numFmt numFmtId="13" formatCode="0%"/>
    </dxf>
    <dxf>
      <alignment wrapText="1"/>
    </dxf>
    <dxf>
      <alignment horizontal="center"/>
    </dxf>
    <dxf>
      <alignment vertical="center"/>
    </dxf>
    <dxf>
      <numFmt numFmtId="164" formatCode="_-* #,##0_-;\-* #,##0_-;_-* &quot;-&quot;??_-;_-@_-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numFmt numFmtId="164" formatCode="_-* #,##0_-;\-* #,##0_-;_-* &quot;-&quot;??_-;_-@_-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horizont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o Rizzo" refreshedDate="45006.437825231478" createdVersion="8" refreshedVersion="8" minRefreshableVersion="3" recordCount="872" xr:uid="{FB9DF1DE-4E2D-40EB-8C3A-5BBB98FBF610}">
  <cacheSource type="worksheet">
    <worksheetSource ref="A1:K873" sheet="Base crecimiento"/>
  </cacheSource>
  <cacheFields count="12">
    <cacheField name="mes_venta" numFmtId="0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MES ANALSIS" numFmtId="0">
      <sharedItems count="3">
        <s v="ENE-SEP"/>
        <s v="AGO"/>
        <s v="OCT-DIC"/>
      </sharedItems>
    </cacheField>
    <cacheField name="Canal" numFmtId="0">
      <sharedItems count="5">
        <s v="FAIR PLAY"/>
        <s v="FAIR PLAY OUTLET"/>
        <s v="IQUIQUE"/>
        <s v="KIDS"/>
        <s v="YUTH"/>
      </sharedItems>
    </cacheField>
    <cacheField name="Clasificacion 2022" numFmtId="0">
      <sharedItems count="4">
        <s v="CLOSED"/>
        <s v="NEW DOOR"/>
        <s v="REFACCION"/>
        <s v="SAME DOOR"/>
      </sharedItems>
    </cacheField>
    <cacheField name="Clasificacion 2023" numFmtId="0">
      <sharedItems count="4">
        <s v="CLOSED"/>
        <s v="NEW DOOR"/>
        <s v="REFACCION"/>
        <s v="SAME DOOR"/>
      </sharedItems>
    </cacheField>
    <cacheField name="Regional" numFmtId="0">
      <sharedItems count="5">
        <s v="COCHABAMBA"/>
        <s v="LA PAZ"/>
        <s v="SANTA CRUZ"/>
        <s v="ZONA SUR"/>
        <s v="IQUIQUE"/>
      </sharedItems>
    </cacheField>
    <cacheField name="CLUSTER" numFmtId="0">
      <sharedItems/>
    </cacheField>
    <cacheField name="Codigo de Almacen" numFmtId="0">
      <sharedItems containsMixedTypes="1" containsNumber="1" containsInteger="1" minValue="101" maxValue="903"/>
    </cacheField>
    <cacheField name="Almacen" numFmtId="0">
      <sharedItems count="77">
        <s v="AMERICA"/>
        <s v="CALACOTO"/>
        <s v="AYACUCHO"/>
        <s v="MALL"/>
        <s v="POCITOS"/>
        <s v="UYUSTUS"/>
        <s v="TARATA"/>
        <s v="MEGACENTER FP"/>
        <s v="MEGACENTER ADIDAS"/>
        <s v="AROMA"/>
        <s v="FLORIDA"/>
        <s v="TORRES SOFER"/>
        <s v="GRANEROS"/>
        <s v="ANTOFAGASTA"/>
        <s v="PATIO DESIGN CENTER FAIR PLAY"/>
        <s v="25 DE MAYO"/>
        <s v="COLON"/>
        <s v="POZOS"/>
        <s v="VILLA 1RO DE MAYO"/>
        <s v="VENTURA FAIR PLAY"/>
        <s v="PANDO"/>
        <s v="BALLIVIAN"/>
        <s v="LANZA"/>
        <s v="SAN MARTIN"/>
        <s v="ESTEBAN ARCE"/>
        <s v="CASONA"/>
        <s v="PATINO"/>
        <s v="SHOPPING NORTE"/>
        <s v="TORRES DEL POETA FAIR PLAY"/>
        <s v="ORURO FP"/>
        <s v="FP CIELO MALL"/>
        <s v="MEGA"/>
        <s v="FAIR PLAY LAS BRISAS"/>
        <s v="EQUIPETROL"/>
        <s v="ESPANA"/>
        <s v="RAMADA"/>
        <s v="MONTERO"/>
        <s v="ELEGANCIA"/>
        <s v="ARCE"/>
        <s v="POTOSI FP"/>
        <s v="YACUIBA"/>
        <s v="JUNIN-SUCRE"/>
        <s v="OUTLET BANZER"/>
        <s v="HEROINAS"/>
        <s v="OUTLET 3ER ANILLO SCZ"/>
        <s v="OUTLET MONTENEGRO"/>
        <s v="OUTLET CATOLICA"/>
        <s v="PADILLA"/>
        <s v="OUTLET BOLIVAR"/>
        <s v="OUTLET CASONA"/>
        <s v="OUTLET TARIJA"/>
        <s v="MODULO 5007"/>
        <s v="MODULO 7126"/>
        <s v="MODULO 2118"/>
        <s v="KIDS BALLIVIAN"/>
        <s v="KIDS LA PAZ ZONA SUR"/>
        <s v="KIDS FAIR PLAY LPB CIELO MALL"/>
        <s v="KIDS FAIR PLAY LPB CENTRO"/>
        <s v="KIDS FLORIDA"/>
        <s v="KIDS TARIJA"/>
        <s v="KIDS SUCRE"/>
        <s v="KIDS PASEO ARANJUEZ"/>
        <s v="KIDS VENTURA"/>
        <s v="KIDS LAS BRISAS"/>
        <s v="KIDS FAIR PLAY PATIO DESIGN"/>
        <s v="YUTH TARIJA"/>
        <s v="YUTH PATIO DESIGN"/>
        <s v="YUTH LAS BRISAS"/>
        <s v="YUTH MALL VENTURA"/>
        <s v="YUTH AMERICA"/>
        <s v="YUTH CALACOTO"/>
        <s v="YUTH AYACUCHO"/>
        <s v="MUTUALISTA"/>
        <s v="YUTH LA PAZ CENTRO MULTICINE - CIELO MALL"/>
        <s v="OUTLET COCHABAMBA"/>
        <s v="FORMATO XL - SAN MARTIN  1000"/>
        <s v="YUTH SUCRE KIOSCO"/>
      </sharedItems>
    </cacheField>
    <cacheField name="2021 $us" numFmtId="0">
      <sharedItems containsSemiMixedTypes="0" containsString="0" containsNumber="1" minValue="0" maxValue="496588.48999999993"/>
    </cacheField>
    <cacheField name="2022 Venta $us" numFmtId="0">
      <sharedItems containsSemiMixedTypes="0" containsString="0" containsNumber="1" minValue="0" maxValue="585910.5747126441"/>
    </cacheField>
    <cacheField name="Cre 22 Real Vs 21" numFmtId="0" formula="IFERROR((('2022 Venta $us'/'2021 $us')-1)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o Rizzo" refreshedDate="45006.437825462963" createdVersion="6" refreshedVersion="8" minRefreshableVersion="3" recordCount="872" xr:uid="{064F8BCE-3AB7-45A1-A983-28B13DFC82EB}">
  <cacheSource type="worksheet">
    <worksheetSource ref="C3:Y875" sheet="Base"/>
  </cacheSource>
  <cacheFields count="38">
    <cacheField name="Canal" numFmtId="0">
      <sharedItems count="14">
        <s v="FAIR PLAY"/>
        <s v="FAIR PLAY OUTLET"/>
        <s v="IQUIQUE"/>
        <s v="KIDS"/>
        <s v="YUTH"/>
        <s v="BOLD OUTLET" u="1"/>
        <s v="GAP" u="1"/>
        <s v="FRANQUICIAS UNDER ARMOUR" u="1"/>
        <s v="BOLD" u="1"/>
        <s v="FRANQUICIAS ADIDAS" u="1"/>
        <s v="FRANQUICIAS ALDO" u="1"/>
        <s v="WHS" u="1"/>
        <s v="DIGITAL" u="1"/>
        <s v="FRANQUICIAS PUMA" u="1"/>
      </sharedItems>
    </cacheField>
    <cacheField name="Almacen" numFmtId="0">
      <sharedItems count="121">
        <s v="25 DE MAYO"/>
        <s v="AMERICA"/>
        <s v="ANTOFAGASTA"/>
        <s v="ARCE"/>
        <s v="AROMA"/>
        <s v="AYACUCHO"/>
        <s v="BALLIVIAN"/>
        <s v="CALACOTO"/>
        <s v="CASONA"/>
        <s v="COLON"/>
        <s v="ELEGANCIA"/>
        <s v="EQUIPETROL"/>
        <s v="ESPANA"/>
        <s v="ESTEBAN ARCE"/>
        <s v="FAIR PLAY LAS BRISAS"/>
        <s v="FLORIDA"/>
        <s v="FORMATO XL - SAN MARTIN  1000"/>
        <s v="FP CIELO MALL"/>
        <s v="GRANEROS"/>
        <s v="JUNIN-SUCRE"/>
        <s v="LANZA"/>
        <s v="MALL"/>
        <s v="MEGA"/>
        <s v="MEGACENTER ADIDAS"/>
        <s v="MEGACENTER FP"/>
        <s v="MONTERO"/>
        <s v="MUTUALISTA"/>
        <s v="ORURO FP"/>
        <s v="PANDO"/>
        <s v="PATINO"/>
        <s v="PATIO DESIGN CENTER FAIR PLAY"/>
        <s v="POCITOS"/>
        <s v="POTOSI FP"/>
        <s v="POZOS"/>
        <s v="RAMADA"/>
        <s v="SAN MARTIN"/>
        <s v="SHOPPING NORTE"/>
        <s v="TARATA"/>
        <s v="TORRES DEL POETA FAIR PLAY"/>
        <s v="TORRES SOFER"/>
        <s v="UYUSTUS"/>
        <s v="VENTURA FAIR PLAY"/>
        <s v="VILLA 1RO DE MAYO"/>
        <s v="YACUIBA"/>
        <s v="HEROINAS"/>
        <s v="OUTLET 3ER ANILLO SCZ"/>
        <s v="OUTLET BANZER"/>
        <s v="OUTLET BOLIVAR"/>
        <s v="OUTLET CASONA"/>
        <s v="OUTLET CATOLICA"/>
        <s v="OUTLET COCHABAMBA"/>
        <s v="OUTLET MONTENEGRO"/>
        <s v="OUTLET TARIJA"/>
        <s v="PADILLA"/>
        <s v="MODULO 2118"/>
        <s v="MODULO 5007"/>
        <s v="MODULO 7126"/>
        <s v="KIDS BALLIVIAN"/>
        <s v="KIDS FAIR PLAY LPB CENTRO"/>
        <s v="KIDS FAIR PLAY LPB CIELO MALL"/>
        <s v="KIDS FAIR PLAY PATIO DESIGN"/>
        <s v="KIDS FLORIDA"/>
        <s v="KIDS LA PAZ ZONA SUR"/>
        <s v="KIDS LAS BRISAS"/>
        <s v="KIDS PASEO ARANJUEZ"/>
        <s v="KIDS SUCRE"/>
        <s v="KIDS TARIJA"/>
        <s v="KIDS VENTURA"/>
        <s v="YUTH AMERICA"/>
        <s v="YUTH AYACUCHO"/>
        <s v="YUTH CALACOTO"/>
        <s v="YUTH LA PAZ CENTRO MULTICINE - CIELO MALL"/>
        <s v="YUTH LAS BRISAS"/>
        <s v="YUTH MALL VENTURA"/>
        <s v="YUTH PATIO DESIGN"/>
        <s v="YUTH SUCRE KIOSCO"/>
        <s v="YUTH TARIJA"/>
        <s v="UNDER ARMOUR WAPP" u="1"/>
        <s v="ADIDAS VENTURA" u="1"/>
        <s v="ADIDAS MONTENEGRO" u="1"/>
        <s v="BOLD PASEO ARANJUEZ" u="1"/>
        <s v="UNDER ARMOUR VENTURA" u="1"/>
        <s v="ALDO VENTURA" u="1"/>
        <s v="BOLD PATIO DESIGN CENTER" u="1"/>
        <s v="VENTURA HUSH PUPPIES" u="1"/>
        <s v="ADIDAS BRISAS" u="1"/>
        <s v="ALDO WAPP" u="1"/>
        <s v="FAIR PLAY WAPP" u="1"/>
        <s v="HUSH PUPPIES LA PAZ" u="1"/>
        <s v="BOLD TARIJA" u="1"/>
        <s v="YUTH WEB" u="1"/>
        <s v="BOLD WEB" u="1"/>
        <s v="ALDO PANDO" u="1"/>
        <s v="ALDO MONTENEGRO" u="1"/>
        <s v="PUMA LAS BRISAS" u="1"/>
        <s v="ADIDAS PATIO DESIGN" u="1"/>
        <s v="FAIR PLAY WEB" u="1"/>
        <s v="BOLD VENTURA" u="1"/>
        <s v="BOLD PRADO" u="1"/>
        <s v="PUMA VENTURA" u="1"/>
        <s v="YUTH WAPP" u="1"/>
        <s v="BOLD WAPP" u="1"/>
        <s v="PUMA WAPP" u="1"/>
        <s v="ALDO PATIO DESIGN CENTER" u="1"/>
        <s v="UNDER ARMOUR MONTENEGRO" u="1"/>
        <s v="BOLD MONTENEGRO LP" u="1"/>
        <s v="BOLD OUTLET GUEMES" u="1"/>
        <s v="PUMA ARANJUEZ" u="1"/>
        <s v="ALDO TORRES DEL POETA" u="1"/>
        <s v="HUSH PUPPIES TARIJA" u="1"/>
        <s v="GAP VENTURA" u="1"/>
        <s v="ADIDAS ORIGINALS" u="1"/>
        <s v="BOLD OUTLET TARIJA" u="1"/>
        <s v="PUMA MONTENEGRO" u="1"/>
        <s v="HUSH PUPPIES PRADO" u="1"/>
        <s v="HUSH PUPPIES COCHABAMBA" u="1"/>
        <s v="ADIDAS WAPP" u="1"/>
        <s v="GAP MONTENEGRO" u="1"/>
        <s v="UNDER ARMOUR LAS BRISAS" u="1"/>
        <s v="OFICINA CENTRAL TARIJA" u="1"/>
        <s v="ALDO BRISAS" u="1"/>
      </sharedItems>
    </cacheField>
    <cacheField name="Codigo de Almacen" numFmtId="0">
      <sharedItems containsMixedTypes="1" containsNumber="1" containsInteger="1" minValue="101" maxValue="903" count="77">
        <n v="308"/>
        <n v="303"/>
        <n v="210"/>
        <n v="150"/>
        <n v="202"/>
        <n v="401"/>
        <n v="305"/>
        <n v="205"/>
        <n v="211"/>
        <n v="402"/>
        <n v="101"/>
        <n v="412"/>
        <n v="403"/>
        <n v="311"/>
        <n v="413"/>
        <n v="404"/>
        <s v="FP-SMXL"/>
        <n v="214"/>
        <n v="206"/>
        <n v="151"/>
        <n v="302"/>
        <n v="408"/>
        <n v="407"/>
        <n v="209"/>
        <n v="208"/>
        <n v="410"/>
        <s v="FP-MUT"/>
        <n v="190"/>
        <n v="309"/>
        <n v="207"/>
        <n v="417"/>
        <n v="130"/>
        <n v="170"/>
        <n v="406"/>
        <n v="409"/>
        <n v="301"/>
        <n v="203"/>
        <n v="304"/>
        <n v="212"/>
        <n v="310"/>
        <s v="FP-UYU"/>
        <n v="414"/>
        <n v="416"/>
        <n v="131"/>
        <n v="307"/>
        <n v="411"/>
        <n v="418"/>
        <n v="201"/>
        <n v="204"/>
        <n v="415"/>
        <s v="OUT-CBBA"/>
        <n v="213"/>
        <n v="102"/>
        <n v="306"/>
        <n v="903"/>
        <n v="901"/>
        <n v="902"/>
        <s v="K-BALLIVIAN"/>
        <s v="K-LPCENTRO"/>
        <s v="K-LPC"/>
        <n v="493"/>
        <n v="494"/>
        <n v="470"/>
        <n v="492"/>
        <n v="480"/>
        <n v="461"/>
        <n v="460"/>
        <n v="491"/>
        <n v="530"/>
        <n v="542"/>
        <n v="520"/>
        <s v="Y-LP"/>
        <n v="543"/>
        <n v="540"/>
        <n v="541"/>
        <s v="Y-SCRE"/>
        <n v="510"/>
      </sharedItems>
    </cacheField>
    <cacheField name="Clasificacion 2022" numFmtId="0">
      <sharedItems count="4">
        <s v="SAME DOOR"/>
        <s v="CLOSED"/>
        <s v="REFACCION"/>
        <s v="NEW DOOR"/>
      </sharedItems>
    </cacheField>
    <cacheField name="Clasificacion 2023" numFmtId="0">
      <sharedItems count="4">
        <s v="REFACCION"/>
        <s v="CLOSED"/>
        <s v="SAME DOOR"/>
        <s v="NEW DOOR"/>
      </sharedItems>
    </cacheField>
    <cacheField name="Clasificacion 2023_Actual" numFmtId="0">
      <sharedItems containsNonDate="0" containsString="0" containsBlank="1"/>
    </cacheField>
    <cacheField name="Regional" numFmtId="0">
      <sharedItems count="7">
        <s v="COCHABAMBA"/>
        <s v="LA PAZ"/>
        <s v="ZONA SUR"/>
        <s v="SANTA CRUZ"/>
        <s v="IQUIQUE"/>
        <s v="DIGITAL" u="1"/>
        <s v="OFICINA CENTRAL" u="1"/>
      </sharedItems>
    </cacheField>
    <cacheField name="CLUSTER" numFmtId="0">
      <sharedItems count="14">
        <s v="B 1"/>
        <s v="B 2"/>
        <s v="B 3"/>
        <s v="A 2"/>
        <s v="A 1"/>
        <s v="A 3"/>
        <s v="XL"/>
        <s v="CLOSED"/>
        <s v="OUTLET 1"/>
        <s v="IQUIQUE"/>
        <s v="K 2"/>
        <s v="K 1"/>
        <s v="Y 2"/>
        <s v="Y 1"/>
      </sharedItems>
    </cacheField>
    <cacheField name="mes_venta" numFmtId="0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2019 $us" numFmtId="164">
      <sharedItems containsSemiMixedTypes="0" containsString="0" containsNumber="1" minValue="0" maxValue="642420.55999999971"/>
    </cacheField>
    <cacheField name="2019 Ut" numFmtId="164">
      <sharedItems containsSemiMixedTypes="0" containsString="0" containsNumber="1" minValue="-1593.8499999999976" maxValue="276976.98999999976"/>
    </cacheField>
    <cacheField name="2021 $us" numFmtId="164">
      <sharedItems containsSemiMixedTypes="0" containsString="0" containsNumber="1" minValue="0" maxValue="496588.48999999993"/>
    </cacheField>
    <cacheField name="2021 Ut" numFmtId="164">
      <sharedItems containsSemiMixedTypes="0" containsString="0" containsNumber="1" minValue="0" maxValue="268146.86999999988"/>
    </cacheField>
    <cacheField name="2022 Ppto V1 $us" numFmtId="164">
      <sharedItems containsSemiMixedTypes="0" containsString="0" containsNumber="1" minValue="0" maxValue="496935.49644999928"/>
    </cacheField>
    <cacheField name="2022 Ppto V1 Ut" numFmtId="164">
      <sharedItems containsSemiMixedTypes="0" containsString="0" containsNumber="1" minValue="0" maxValue="271573.86064724962"/>
    </cacheField>
    <cacheField name="2022 Ppto v2 $us" numFmtId="164">
      <sharedItems containsSemiMixedTypes="0" containsString="0" containsNumber="1" minValue="0" maxValue="515824.03951683856"/>
    </cacheField>
    <cacheField name="2022 Ppto v2 Ut" numFmtId="164">
      <sharedItems containsSemiMixedTypes="0" containsString="0" containsNumber="1" minValue="0" maxValue="272252.57769014378"/>
    </cacheField>
    <cacheField name="2022 Venta $us" numFmtId="164">
      <sharedItems containsSemiMixedTypes="0" containsString="0" containsNumber="1" minValue="0" maxValue="585910.5747126441"/>
    </cacheField>
    <cacheField name="2022 Ut $us" numFmtId="164">
      <sharedItems containsSemiMixedTypes="0" containsString="0" containsNumber="1" minValue="-499.44999999992433" maxValue="280211.12929288979"/>
    </cacheField>
    <cacheField name="2022 Venta $us Mejorado" numFmtId="164">
      <sharedItems containsSemiMixedTypes="0" containsString="0" containsNumber="1" minValue="0" maxValue="515824.03951683856"/>
    </cacheField>
    <cacheField name="2022 Ut $us Mejorado" numFmtId="164">
      <sharedItems containsSemiMixedTypes="0" containsString="0" containsNumber="1" minValue="0" maxValue="272252.57769014378"/>
    </cacheField>
    <cacheField name="2023 Venta $us" numFmtId="164">
      <sharedItems containsSemiMixedTypes="0" containsString="0" containsNumber="1" minValue="0" maxValue="593197.6454443644"/>
    </cacheField>
    <cacheField name="2023 Ut $us" numFmtId="164">
      <sharedItems containsSemiMixedTypes="0" containsString="0" containsNumber="1" minValue="0" maxValue="312582.28538738465"/>
    </cacheField>
    <cacheField name="22vsv2" numFmtId="0" formula="'2022 Venta $us'/'2022 Ppto v2 $us'" databaseField="0"/>
    <cacheField name="22mejvsv2" numFmtId="0" formula="'2022 Venta $us Mejorado'/'2022 Ppto v2 $us'" databaseField="0"/>
    <cacheField name="22vs21" numFmtId="0" formula="('2022 Venta $us'/'2021 $us')-1" databaseField="0"/>
    <cacheField name="23vs22M" numFmtId="0" formula="('2023 Venta $us'/'2022 Venta $us Mejorado')-1" databaseField="0"/>
    <cacheField name="22utvsv2" numFmtId="0" formula="'2022 Ut $us'/'2022 Ppto v2 Ut'" databaseField="0"/>
    <cacheField name="22UtMejVsV2" numFmtId="0" formula="'2022 Ut $us Mejorado'/'2022 Ppto v2 Ut'" databaseField="0"/>
    <cacheField name="22vs21UT" numFmtId="0" formula="('2022 Ut $us'/'2021 Ut')-1" databaseField="0"/>
    <cacheField name="23vs22ut" numFmtId="0" formula="('2023 Ut $us'/'2022 Ut $us Mejorado')-1" databaseField="0"/>
    <cacheField name="mg21" numFmtId="0" formula="'2021 Ut'/'2021 $us'" databaseField="0"/>
    <cacheField name="mg22V2" numFmtId="0" formula="'2022 Ppto v2 Ut'/'2022 Ppto v2 $us'" databaseField="0"/>
    <cacheField name="mg22R" numFmtId="0" formula="'2022 Ut $us'/'2022 Venta $us'" databaseField="0"/>
    <cacheField name="mg22Mej" numFmtId="0" formula="'2022 Ut $us Mejorado'/'2022 Venta $us Mejorado'" databaseField="0"/>
    <cacheField name="Mg23" numFmtId="0" formula="'2023 Ut $us'/'2023 Venta $us'" databaseField="0"/>
    <cacheField name="Margen_19" numFmtId="0" formula="IFERROR(('2019 Ut'/'2019 $us'),0)" databaseField="0"/>
    <cacheField name="Cre 22 Mej Vs 22 Real" numFmtId="0" formula="(('2022 Venta $us Mejorado'/'2022 Venta $us')-1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o Rizzo" refreshedDate="45006.463646759257" createdVersion="8" refreshedVersion="8" minRefreshableVersion="3" recordCount="872" xr:uid="{2DEA0E12-B802-4377-A1C5-34E5C956C812}">
  <cacheSource type="worksheet">
    <worksheetSource ref="C3:AO875" sheet="Base"/>
  </cacheSource>
  <cacheFields count="67">
    <cacheField name="Canal" numFmtId="0">
      <sharedItems count="5">
        <s v="FAIR PLAY"/>
        <s v="FAIR PLAY OUTLET"/>
        <s v="IQUIQUE"/>
        <s v="KIDS"/>
        <s v="YUTH"/>
      </sharedItems>
    </cacheField>
    <cacheField name="Almacen" numFmtId="0">
      <sharedItems/>
    </cacheField>
    <cacheField name="Codigo de Almacen" numFmtId="0">
      <sharedItems containsMixedTypes="1" containsNumber="1" containsInteger="1" minValue="101" maxValue="903"/>
    </cacheField>
    <cacheField name="Clasificacion 2022" numFmtId="0">
      <sharedItems count="4">
        <s v="SAME DOOR"/>
        <s v="CLOSED"/>
        <s v="REFACCION"/>
        <s v="NEW DOOR"/>
      </sharedItems>
    </cacheField>
    <cacheField name="Clasificacion 2023" numFmtId="0">
      <sharedItems count="4">
        <s v="REFACCION"/>
        <s v="CLOSED"/>
        <s v="SAME DOOR"/>
        <s v="NEW DOOR"/>
      </sharedItems>
    </cacheField>
    <cacheField name="Clasificacion 2023_Actual" numFmtId="0">
      <sharedItems containsBlank="1" count="6">
        <s v="SAME DOOR"/>
        <s v="CLOSED"/>
        <s v="REFACCION"/>
        <s v="NEW DOOR 2023"/>
        <s v="NEW DOOR"/>
        <m u="1"/>
      </sharedItems>
    </cacheField>
    <cacheField name="Regional" numFmtId="0">
      <sharedItems/>
    </cacheField>
    <cacheField name="CLUSTER" numFmtId="0">
      <sharedItems/>
    </cacheField>
    <cacheField name="mes_venta" numFmtId="0">
      <sharedItems count="12">
        <s v="ene"/>
        <s v="feb"/>
        <s v="mar"/>
        <s v="abr"/>
        <s v="may"/>
        <s v="jun"/>
        <s v="jul"/>
        <s v="ago"/>
        <s v="sep"/>
        <s v="oct"/>
        <s v="nov"/>
        <s v="dic"/>
      </sharedItems>
    </cacheField>
    <cacheField name="2019 $us" numFmtId="164">
      <sharedItems containsSemiMixedTypes="0" containsString="0" containsNumber="1" minValue="0" maxValue="642420.55999999971"/>
    </cacheField>
    <cacheField name="2019 Ut" numFmtId="164">
      <sharedItems containsSemiMixedTypes="0" containsString="0" containsNumber="1" minValue="-1593.8499999999976" maxValue="276976.98999999976"/>
    </cacheField>
    <cacheField name="2021 $us" numFmtId="164">
      <sharedItems containsSemiMixedTypes="0" containsString="0" containsNumber="1" minValue="0" maxValue="496588.48999999993"/>
    </cacheField>
    <cacheField name="2021 Ut" numFmtId="164">
      <sharedItems containsSemiMixedTypes="0" containsString="0" containsNumber="1" minValue="0" maxValue="268146.86999999988"/>
    </cacheField>
    <cacheField name="2022 Ppto V1 $us" numFmtId="164">
      <sharedItems containsSemiMixedTypes="0" containsString="0" containsNumber="1" minValue="0" maxValue="496935.49644999928"/>
    </cacheField>
    <cacheField name="2022 Ppto V1 Ut" numFmtId="164">
      <sharedItems containsSemiMixedTypes="0" containsString="0" containsNumber="1" minValue="0" maxValue="271573.86064724962"/>
    </cacheField>
    <cacheField name="2022 Ppto v2 $us" numFmtId="164">
      <sharedItems containsSemiMixedTypes="0" containsString="0" containsNumber="1" minValue="0" maxValue="515824.03951683856"/>
    </cacheField>
    <cacheField name="2022 Ppto v2 Ut" numFmtId="164">
      <sharedItems containsSemiMixedTypes="0" containsString="0" containsNumber="1" minValue="0" maxValue="272252.57769014378"/>
    </cacheField>
    <cacheField name="2022 Venta $us" numFmtId="164">
      <sharedItems containsSemiMixedTypes="0" containsString="0" containsNumber="1" minValue="0" maxValue="585910.5747126441"/>
    </cacheField>
    <cacheField name="2022 Ut $us" numFmtId="164">
      <sharedItems containsSemiMixedTypes="0" containsString="0" containsNumber="1" minValue="-499.44999999992433" maxValue="280211.12929288979"/>
    </cacheField>
    <cacheField name="2022 Venta $us Mejorado" numFmtId="164">
      <sharedItems containsSemiMixedTypes="0" containsString="0" containsNumber="1" minValue="0" maxValue="515824.03951683856"/>
    </cacheField>
    <cacheField name="2022 Ut $us Mejorado" numFmtId="164">
      <sharedItems containsSemiMixedTypes="0" containsString="0" containsNumber="1" minValue="0" maxValue="272252.57769014378"/>
    </cacheField>
    <cacheField name="2023 Venta $us" numFmtId="164">
      <sharedItems containsSemiMixedTypes="0" containsString="0" containsNumber="1" minValue="0" maxValue="593197.6454443644"/>
    </cacheField>
    <cacheField name="2023 Ut $us" numFmtId="164">
      <sharedItems containsSemiMixedTypes="0" containsString="0" containsNumber="1" minValue="0" maxValue="312582.28538738465"/>
    </cacheField>
    <cacheField name="2023 Venta $us_Real" numFmtId="164">
      <sharedItems containsString="0" containsBlank="1" containsNumber="1" minValue="0" maxValue="352526.14942528459"/>
    </cacheField>
    <cacheField name="2023 Ut $us_Real" numFmtId="164">
      <sharedItems containsString="0" containsBlank="1" containsNumber="1" minValue="0" maxValue="159536.06372173896"/>
    </cacheField>
    <cacheField name="2019 IN LINE %" numFmtId="9">
      <sharedItems containsSemiMixedTypes="0" containsString="0" containsNumber="1" minValue="0" maxValue="1"/>
    </cacheField>
    <cacheField name="2021 IN LINE %" numFmtId="9">
      <sharedItems containsSemiMixedTypes="0" containsString="0" containsNumber="1" minValue="0" maxValue="1"/>
    </cacheField>
    <cacheField name="2022 IN LINE %" numFmtId="9">
      <sharedItems containsSemiMixedTypes="0" containsString="0" containsNumber="1" minValue="0" maxValue="1"/>
    </cacheField>
    <cacheField name="2022 Ppto V2 IN LINE %" numFmtId="9">
      <sharedItems containsSemiMixedTypes="0" containsString="0" containsNumber="1" minValue="0" maxValue="1"/>
    </cacheField>
    <cacheField name="2022 Mejorado IN LINE %" numFmtId="9">
      <sharedItems containsSemiMixedTypes="0" containsString="0" containsNumber="1" minValue="0" maxValue="1"/>
    </cacheField>
    <cacheField name="2023 IN LINE %" numFmtId="9">
      <sharedItems containsSemiMixedTypes="0" containsString="0" containsNumber="1" minValue="0" maxValue="0.92"/>
    </cacheField>
    <cacheField name="2023 IN LINE %_Real" numFmtId="9">
      <sharedItems containsSemiMixedTypes="0" containsString="0" containsNumber="1" minValue="0" maxValue="0.99361768009671469"/>
    </cacheField>
    <cacheField name="2019 IN LINE $us" numFmtId="43">
      <sharedItems containsSemiMixedTypes="0" containsString="0" containsNumber="1" minValue="0" maxValue="302108.77999999939"/>
    </cacheField>
    <cacheField name="2021 IN LINE $us" numFmtId="43">
      <sharedItems containsSemiMixedTypes="0" containsString="0" containsNumber="1" minValue="0" maxValue="424761.19211653399"/>
    </cacheField>
    <cacheField name="2022 IN LINE $us" numFmtId="43">
      <sharedItems containsSemiMixedTypes="0" containsString="0" containsNumber="1" minValue="0" maxValue="378626.94841647986"/>
    </cacheField>
    <cacheField name="2022 Ppto V2 IN LINE $us" numFmtId="43">
      <sharedItems containsSemiMixedTypes="0" containsString="0" containsNumber="1" minValue="0" maxValue="412659.23161347082"/>
    </cacheField>
    <cacheField name="2022 Mejorado IN LINE $us" numFmtId="43">
      <sharedItems containsSemiMixedTypes="0" containsString="0" containsNumber="1" minValue="0" maxValue="412659.23161347082"/>
    </cacheField>
    <cacheField name="2023 IN LINE $us" numFmtId="43">
      <sharedItems containsSemiMixedTypes="0" containsString="0" containsNumber="1" minValue="0" maxValue="504217.99862770981"/>
    </cacheField>
    <cacheField name="2023 IN LINE $us_Real" numFmtId="43">
      <sharedItems containsSemiMixedTypes="0" containsString="0" containsNumber="1" minValue="0" maxValue="231245.40229885106"/>
    </cacheField>
    <cacheField name="22vsv2" numFmtId="0" formula="'2022 Venta $us'/'2022 Ppto v2 $us'" databaseField="0"/>
    <cacheField name="22mejvsv2" numFmtId="0" formula="'2022 Venta $us Mejorado'/'2022 Ppto v2 $us'" databaseField="0"/>
    <cacheField name="22vs21" numFmtId="0" formula="('2022 Venta $us'/'2021 $us')-1" databaseField="0"/>
    <cacheField name="23vs22M" numFmtId="0" formula="('2023 Venta $us'/'2022 Venta $us Mejorado')-1" databaseField="0"/>
    <cacheField name="22utvsv2" numFmtId="0" formula="'2022 Ut $us'/'2022 Ppto v2 Ut'" databaseField="0"/>
    <cacheField name="22UtMejVsV2" numFmtId="0" formula="'2022 Ut $us Mejorado'/'2022 Ppto v2 Ut'" databaseField="0"/>
    <cacheField name="22vs21UT" numFmtId="0" formula="('2022 Ut $us'/'2021 Ut')-1" databaseField="0"/>
    <cacheField name="23vs22ut" numFmtId="0" formula="('2023 Ut $us'/'2022 Ut $us Mejorado')-1" databaseField="0"/>
    <cacheField name="mg21" numFmtId="0" formula="'2021 Ut'/'2021 $us'" databaseField="0"/>
    <cacheField name="mg22V2" numFmtId="0" formula="'2022 Ppto v2 Ut'/'2022 Ppto v2 $us'" databaseField="0"/>
    <cacheField name="mg22R" numFmtId="0" formula="'2022 Ut $us'/'2022 Venta $us'" databaseField="0"/>
    <cacheField name="mg22Mej" numFmtId="0" formula="'2022 Ut $us Mejorado'/'2022 Venta $us Mejorado'" databaseField="0"/>
    <cacheField name="Mg23" numFmtId="0" formula="'2023 Ut $us'/'2023 Venta $us'" databaseField="0"/>
    <cacheField name="Margen_19" numFmtId="0" formula="IFERROR(('2019 Ut'/'2019 $us'),0)" databaseField="0"/>
    <cacheField name="Cre 22 Mej Vs 22 Real" numFmtId="0" formula="(('2022 Venta $us Mejorado'/'2022 Venta $us')-1)" databaseField="0"/>
    <cacheField name="In Line 2019" numFmtId="0" formula="'2019 IN LINE $us'/'2019 $us'" databaseField="0"/>
    <cacheField name="In Line 2021" numFmtId="0" formula="'2021 IN LINE $us'/'2021 $us'" databaseField="0"/>
    <cacheField name="In Line Ppto 2022 V2 %" numFmtId="0" formula="'2022 Ppto V2 IN LINE $us'/'2022 Ppto v2 $us'" databaseField="0"/>
    <cacheField name="In Line Real 2022 %" numFmtId="0" formula="'2022 IN LINE $us'/'2022 Venta $us'" databaseField="0"/>
    <cacheField name="In Line Mejorado 2022" numFmtId="0" formula="'2022 Mejorado IN LINE $us'/'2022 Venta $us Mejorado'" databaseField="0"/>
    <cacheField name="In Line 2023 %" numFmtId="0" formula="'2023 IN LINE $us'/'2023 Venta $us'" databaseField="0"/>
    <cacheField name="Ut 2023 Vs Ut 2019" numFmtId="0" formula="IFERROR((('2023 Ut $us'/'2019 Ut')-1),0)" databaseField="0"/>
    <cacheField name="Cre 23 Real Vs 22 Real" numFmtId="0" formula="IFERROR((('2023 Venta $us_Real'/'2022 Venta $us')-1),0)" databaseField="0"/>
    <cacheField name="% Cump 23 Real Vs 23 Pres " numFmtId="0" formula="IFERROR(('2023 Venta $us_Real'/'2023 Venta $us'),0)" databaseField="0"/>
    <cacheField name="Ut Cre 23 Real Vs 22 Real" numFmtId="0" formula="IFERROR(((('2023 Ut $us_Real'/'2022 Ut $us')-1)),0)" databaseField="0"/>
    <cacheField name="% Cump 23 Real Vs 23 Pres" numFmtId="0" formula="IFERROR(('2023 Ut $us_Real'/'2023 Ut $us'),0)" databaseField="0"/>
    <cacheField name="2023 Margen Real" numFmtId="0" formula="IFERROR(('2023 Ut $us_Real'/'2023 Venta $us_Real'),0)" databaseField="0"/>
    <cacheField name="In LIne 2023 % Real" numFmtId="0" formula="IFERROR(('2023 IN LINE $us_Real'/'2023 Venta $us_Real')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2">
  <r>
    <x v="0"/>
    <x v="0"/>
    <x v="0"/>
    <x v="0"/>
    <x v="0"/>
    <x v="0"/>
    <s v="B 2"/>
    <s v="(en blanco)"/>
    <x v="0"/>
    <n v="0"/>
    <n v="0"/>
  </r>
  <r>
    <x v="0"/>
    <x v="0"/>
    <x v="0"/>
    <x v="0"/>
    <x v="0"/>
    <x v="1"/>
    <s v="B 2"/>
    <s v="(en blanco)"/>
    <x v="1"/>
    <n v="0"/>
    <n v="0"/>
  </r>
  <r>
    <x v="0"/>
    <x v="0"/>
    <x v="0"/>
    <x v="0"/>
    <x v="0"/>
    <x v="2"/>
    <s v="B 2"/>
    <s v="(en blanco)"/>
    <x v="2"/>
    <n v="0"/>
    <n v="0"/>
  </r>
  <r>
    <x v="0"/>
    <x v="0"/>
    <x v="0"/>
    <x v="0"/>
    <x v="0"/>
    <x v="2"/>
    <s v="CLOSED"/>
    <s v="(en blanco)"/>
    <x v="3"/>
    <n v="13869.81"/>
    <n v="0"/>
  </r>
  <r>
    <x v="0"/>
    <x v="0"/>
    <x v="0"/>
    <x v="0"/>
    <x v="0"/>
    <x v="3"/>
    <s v="CLOSED"/>
    <s v="(en blanco)"/>
    <x v="4"/>
    <n v="0"/>
    <n v="0"/>
  </r>
  <r>
    <x v="0"/>
    <x v="0"/>
    <x v="0"/>
    <x v="1"/>
    <x v="1"/>
    <x v="1"/>
    <s v="B 2"/>
    <s v="FP-UYU"/>
    <x v="5"/>
    <n v="0"/>
    <n v="0"/>
  </r>
  <r>
    <x v="0"/>
    <x v="0"/>
    <x v="0"/>
    <x v="2"/>
    <x v="2"/>
    <x v="0"/>
    <s v="B 2"/>
    <n v="304"/>
    <x v="6"/>
    <n v="50056.74"/>
    <n v="37460.619999999966"/>
  </r>
  <r>
    <x v="0"/>
    <x v="0"/>
    <x v="0"/>
    <x v="2"/>
    <x v="2"/>
    <x v="1"/>
    <s v="A 3"/>
    <n v="208"/>
    <x v="7"/>
    <n v="24865.309999999998"/>
    <n v="28443.33000000002"/>
  </r>
  <r>
    <x v="0"/>
    <x v="0"/>
    <x v="0"/>
    <x v="2"/>
    <x v="2"/>
    <x v="1"/>
    <s v="A 3"/>
    <n v="209"/>
    <x v="8"/>
    <n v="14761.010000000006"/>
    <n v="21128.160000000014"/>
  </r>
  <r>
    <x v="0"/>
    <x v="0"/>
    <x v="0"/>
    <x v="2"/>
    <x v="2"/>
    <x v="1"/>
    <s v="B 2"/>
    <n v="202"/>
    <x v="9"/>
    <n v="46035.81"/>
    <n v="35077.929999999971"/>
  </r>
  <r>
    <x v="0"/>
    <x v="0"/>
    <x v="0"/>
    <x v="2"/>
    <x v="2"/>
    <x v="2"/>
    <s v="A 3"/>
    <n v="404"/>
    <x v="10"/>
    <n v="20789.12"/>
    <n v="19622.639999999992"/>
  </r>
  <r>
    <x v="0"/>
    <x v="0"/>
    <x v="0"/>
    <x v="2"/>
    <x v="3"/>
    <x v="0"/>
    <s v="B 2"/>
    <n v="310"/>
    <x v="11"/>
    <n v="17301.519999999997"/>
    <n v="19709.490000000005"/>
  </r>
  <r>
    <x v="0"/>
    <x v="0"/>
    <x v="0"/>
    <x v="2"/>
    <x v="3"/>
    <x v="1"/>
    <s v="B 1"/>
    <n v="206"/>
    <x v="12"/>
    <n v="47856.17"/>
    <n v="49556.250000000022"/>
  </r>
  <r>
    <x v="0"/>
    <x v="0"/>
    <x v="0"/>
    <x v="2"/>
    <x v="3"/>
    <x v="1"/>
    <s v="B 2"/>
    <n v="210"/>
    <x v="13"/>
    <n v="26642.520000000004"/>
    <n v="36413.97"/>
  </r>
  <r>
    <x v="0"/>
    <x v="0"/>
    <x v="0"/>
    <x v="2"/>
    <x v="3"/>
    <x v="2"/>
    <s v="A 1"/>
    <n v="417"/>
    <x v="14"/>
    <n v="69361.739999999991"/>
    <n v="47723.300000000032"/>
  </r>
  <r>
    <x v="0"/>
    <x v="0"/>
    <x v="0"/>
    <x v="3"/>
    <x v="2"/>
    <x v="0"/>
    <s v="B 2"/>
    <n v="308"/>
    <x v="15"/>
    <n v="31088.38"/>
    <n v="29710.119999999988"/>
  </r>
  <r>
    <x v="0"/>
    <x v="0"/>
    <x v="0"/>
    <x v="3"/>
    <x v="2"/>
    <x v="2"/>
    <s v="B 3"/>
    <n v="402"/>
    <x v="16"/>
    <n v="17595.439999999999"/>
    <n v="20503.210000000006"/>
  </r>
  <r>
    <x v="0"/>
    <x v="0"/>
    <x v="0"/>
    <x v="3"/>
    <x v="2"/>
    <x v="2"/>
    <s v="B 3"/>
    <n v="406"/>
    <x v="17"/>
    <n v="17813.77"/>
    <n v="13855.249999999996"/>
  </r>
  <r>
    <x v="0"/>
    <x v="0"/>
    <x v="0"/>
    <x v="3"/>
    <x v="2"/>
    <x v="2"/>
    <s v="B 3"/>
    <n v="416"/>
    <x v="18"/>
    <n v="16115.030000000002"/>
    <n v="13096.829999999998"/>
  </r>
  <r>
    <x v="0"/>
    <x v="0"/>
    <x v="0"/>
    <x v="3"/>
    <x v="2"/>
    <x v="2"/>
    <s v="XL"/>
    <n v="414"/>
    <x v="19"/>
    <n v="216549.51999999993"/>
    <n v="197419.85000000044"/>
  </r>
  <r>
    <x v="0"/>
    <x v="0"/>
    <x v="0"/>
    <x v="3"/>
    <x v="3"/>
    <x v="0"/>
    <s v="A 1"/>
    <n v="309"/>
    <x v="20"/>
    <n v="167219.47"/>
    <n v="148019.73000000024"/>
  </r>
  <r>
    <x v="0"/>
    <x v="0"/>
    <x v="0"/>
    <x v="3"/>
    <x v="3"/>
    <x v="0"/>
    <s v="A 2"/>
    <n v="305"/>
    <x v="21"/>
    <n v="103612.24999999999"/>
    <n v="94913.910000000178"/>
  </r>
  <r>
    <x v="0"/>
    <x v="0"/>
    <x v="0"/>
    <x v="3"/>
    <x v="3"/>
    <x v="0"/>
    <s v="B 1"/>
    <n v="302"/>
    <x v="22"/>
    <n v="69748.17"/>
    <n v="50447.079999999958"/>
  </r>
  <r>
    <x v="0"/>
    <x v="0"/>
    <x v="0"/>
    <x v="3"/>
    <x v="3"/>
    <x v="0"/>
    <s v="B 2"/>
    <n v="301"/>
    <x v="23"/>
    <n v="40623.100000000006"/>
    <n v="34338.87000000001"/>
  </r>
  <r>
    <x v="0"/>
    <x v="0"/>
    <x v="0"/>
    <x v="3"/>
    <x v="3"/>
    <x v="0"/>
    <s v="B 2"/>
    <n v="311"/>
    <x v="24"/>
    <n v="32841.960000000006"/>
    <n v="26355.550000000014"/>
  </r>
  <r>
    <x v="0"/>
    <x v="0"/>
    <x v="0"/>
    <x v="3"/>
    <x v="3"/>
    <x v="1"/>
    <s v="A 1"/>
    <n v="211"/>
    <x v="25"/>
    <n v="144928.28"/>
    <n v="157566.82000000044"/>
  </r>
  <r>
    <x v="0"/>
    <x v="0"/>
    <x v="0"/>
    <x v="3"/>
    <x v="3"/>
    <x v="1"/>
    <s v="A 2"/>
    <n v="207"/>
    <x v="26"/>
    <n v="82232.579999999987"/>
    <n v="84799.240000000151"/>
  </r>
  <r>
    <x v="0"/>
    <x v="0"/>
    <x v="0"/>
    <x v="3"/>
    <x v="3"/>
    <x v="1"/>
    <s v="A 3"/>
    <n v="203"/>
    <x v="27"/>
    <n v="35894.569999999992"/>
    <n v="33410.260000000009"/>
  </r>
  <r>
    <x v="0"/>
    <x v="0"/>
    <x v="0"/>
    <x v="3"/>
    <x v="3"/>
    <x v="1"/>
    <s v="A 3"/>
    <n v="212"/>
    <x v="28"/>
    <n v="41867.359999999993"/>
    <n v="39744.020000000055"/>
  </r>
  <r>
    <x v="0"/>
    <x v="0"/>
    <x v="0"/>
    <x v="3"/>
    <x v="3"/>
    <x v="1"/>
    <s v="B 1"/>
    <n v="190"/>
    <x v="29"/>
    <n v="51777.02"/>
    <n v="54494.250000000015"/>
  </r>
  <r>
    <x v="0"/>
    <x v="0"/>
    <x v="0"/>
    <x v="3"/>
    <x v="3"/>
    <x v="1"/>
    <s v="B 1"/>
    <n v="214"/>
    <x v="30"/>
    <n v="50886.789999999994"/>
    <n v="50177.870000000024"/>
  </r>
  <r>
    <x v="0"/>
    <x v="0"/>
    <x v="0"/>
    <x v="3"/>
    <x v="3"/>
    <x v="2"/>
    <s v="A 2"/>
    <n v="407"/>
    <x v="31"/>
    <n v="92287.479999999981"/>
    <n v="70926.910000000091"/>
  </r>
  <r>
    <x v="0"/>
    <x v="0"/>
    <x v="0"/>
    <x v="3"/>
    <x v="3"/>
    <x v="2"/>
    <s v="A 2"/>
    <n v="413"/>
    <x v="32"/>
    <n v="77482.739999999976"/>
    <n v="79863.210000000021"/>
  </r>
  <r>
    <x v="0"/>
    <x v="0"/>
    <x v="0"/>
    <x v="3"/>
    <x v="3"/>
    <x v="2"/>
    <s v="A 3"/>
    <n v="412"/>
    <x v="33"/>
    <n v="35725.599999999991"/>
    <n v="36931.470000000023"/>
  </r>
  <r>
    <x v="0"/>
    <x v="0"/>
    <x v="0"/>
    <x v="3"/>
    <x v="3"/>
    <x v="2"/>
    <s v="B 1"/>
    <n v="403"/>
    <x v="34"/>
    <n v="39899.61"/>
    <n v="41134.299999999996"/>
  </r>
  <r>
    <x v="0"/>
    <x v="0"/>
    <x v="0"/>
    <x v="3"/>
    <x v="3"/>
    <x v="2"/>
    <s v="B 2"/>
    <n v="409"/>
    <x v="35"/>
    <n v="36282.36"/>
    <n v="25052.150000000023"/>
  </r>
  <r>
    <x v="0"/>
    <x v="0"/>
    <x v="0"/>
    <x v="3"/>
    <x v="3"/>
    <x v="2"/>
    <s v="B 3"/>
    <n v="410"/>
    <x v="36"/>
    <n v="23138.739999999998"/>
    <n v="17504.01999999999"/>
  </r>
  <r>
    <x v="0"/>
    <x v="0"/>
    <x v="0"/>
    <x v="3"/>
    <x v="3"/>
    <x v="3"/>
    <s v="A 2"/>
    <n v="101"/>
    <x v="37"/>
    <n v="127888.13999999998"/>
    <n v="120471.05000000025"/>
  </r>
  <r>
    <x v="0"/>
    <x v="0"/>
    <x v="0"/>
    <x v="3"/>
    <x v="3"/>
    <x v="3"/>
    <s v="A 2"/>
    <n v="150"/>
    <x v="38"/>
    <n v="106746.95999999999"/>
    <n v="102430.84000000024"/>
  </r>
  <r>
    <x v="0"/>
    <x v="0"/>
    <x v="0"/>
    <x v="3"/>
    <x v="3"/>
    <x v="3"/>
    <s v="B 1"/>
    <n v="170"/>
    <x v="39"/>
    <n v="51010.04"/>
    <n v="48775.349999999991"/>
  </r>
  <r>
    <x v="0"/>
    <x v="0"/>
    <x v="0"/>
    <x v="3"/>
    <x v="3"/>
    <x v="3"/>
    <s v="B 2"/>
    <n v="131"/>
    <x v="40"/>
    <n v="27333.749999999996"/>
    <n v="24658.309999999998"/>
  </r>
  <r>
    <x v="0"/>
    <x v="0"/>
    <x v="0"/>
    <x v="3"/>
    <x v="3"/>
    <x v="3"/>
    <s v="B 3"/>
    <n v="151"/>
    <x v="41"/>
    <n v="27576.320000000003"/>
    <n v="30556.169999999987"/>
  </r>
  <r>
    <x v="0"/>
    <x v="0"/>
    <x v="1"/>
    <x v="1"/>
    <x v="1"/>
    <x v="2"/>
    <s v="OUTLET 1"/>
    <n v="418"/>
    <x v="42"/>
    <n v="0"/>
    <n v="0"/>
  </r>
  <r>
    <x v="0"/>
    <x v="0"/>
    <x v="1"/>
    <x v="3"/>
    <x v="0"/>
    <x v="0"/>
    <s v="OUTLET 1"/>
    <n v="307"/>
    <x v="43"/>
    <n v="56226.840000000011"/>
    <n v="56839.659999999974"/>
  </r>
  <r>
    <x v="0"/>
    <x v="0"/>
    <x v="1"/>
    <x v="3"/>
    <x v="0"/>
    <x v="2"/>
    <s v="OUTLET 1"/>
    <n v="411"/>
    <x v="44"/>
    <n v="73729.840000000011"/>
    <n v="59564.509999999966"/>
  </r>
  <r>
    <x v="0"/>
    <x v="0"/>
    <x v="1"/>
    <x v="3"/>
    <x v="2"/>
    <x v="1"/>
    <s v="OUTLET 1"/>
    <n v="213"/>
    <x v="45"/>
    <n v="50578.359999999993"/>
    <n v="46071.499999999985"/>
  </r>
  <r>
    <x v="0"/>
    <x v="0"/>
    <x v="1"/>
    <x v="3"/>
    <x v="2"/>
    <x v="2"/>
    <s v="OUTLET 1"/>
    <n v="415"/>
    <x v="46"/>
    <n v="43180.6"/>
    <n v="48646.749999999971"/>
  </r>
  <r>
    <x v="0"/>
    <x v="0"/>
    <x v="1"/>
    <x v="3"/>
    <x v="3"/>
    <x v="0"/>
    <s v="OUTLET 1"/>
    <n v="306"/>
    <x v="47"/>
    <n v="55391.23000000001"/>
    <n v="60167.089999999982"/>
  </r>
  <r>
    <x v="0"/>
    <x v="0"/>
    <x v="1"/>
    <x v="3"/>
    <x v="3"/>
    <x v="1"/>
    <s v="OUTLET 1"/>
    <n v="201"/>
    <x v="48"/>
    <n v="43773.03"/>
    <n v="42478.80999999999"/>
  </r>
  <r>
    <x v="0"/>
    <x v="0"/>
    <x v="1"/>
    <x v="3"/>
    <x v="3"/>
    <x v="1"/>
    <s v="OUTLET 1"/>
    <n v="204"/>
    <x v="49"/>
    <n v="34978.300000000003"/>
    <n v="42241.099999999933"/>
  </r>
  <r>
    <x v="0"/>
    <x v="0"/>
    <x v="1"/>
    <x v="3"/>
    <x v="3"/>
    <x v="3"/>
    <s v="OUTLET 1"/>
    <n v="102"/>
    <x v="50"/>
    <n v="73091.400000000023"/>
    <n v="71059.879999999961"/>
  </r>
  <r>
    <x v="0"/>
    <x v="0"/>
    <x v="2"/>
    <x v="0"/>
    <x v="0"/>
    <x v="4"/>
    <s v="IQUIQUE"/>
    <s v="(en blanco)"/>
    <x v="51"/>
    <n v="0"/>
    <n v="0"/>
  </r>
  <r>
    <x v="0"/>
    <x v="0"/>
    <x v="2"/>
    <x v="0"/>
    <x v="0"/>
    <x v="4"/>
    <s v="IQUIQUE"/>
    <s v="(en blanco)"/>
    <x v="52"/>
    <n v="0"/>
    <n v="0"/>
  </r>
  <r>
    <x v="0"/>
    <x v="0"/>
    <x v="2"/>
    <x v="3"/>
    <x v="3"/>
    <x v="4"/>
    <s v="IQUIQUE"/>
    <n v="903"/>
    <x v="53"/>
    <n v="6405.2300000000005"/>
    <n v="35255.659999999989"/>
  </r>
  <r>
    <x v="0"/>
    <x v="0"/>
    <x v="3"/>
    <x v="1"/>
    <x v="1"/>
    <x v="0"/>
    <s v="K 2"/>
    <s v="K-BALLIVIAN"/>
    <x v="54"/>
    <n v="0"/>
    <n v="0"/>
  </r>
  <r>
    <x v="0"/>
    <x v="0"/>
    <x v="3"/>
    <x v="1"/>
    <x v="1"/>
    <x v="1"/>
    <s v="K 1"/>
    <n v="470"/>
    <x v="55"/>
    <n v="0"/>
    <n v="0"/>
  </r>
  <r>
    <x v="0"/>
    <x v="0"/>
    <x v="3"/>
    <x v="1"/>
    <x v="1"/>
    <x v="1"/>
    <s v="K 2"/>
    <s v="K-LPC"/>
    <x v="56"/>
    <n v="0"/>
    <n v="0"/>
  </r>
  <r>
    <x v="0"/>
    <x v="0"/>
    <x v="3"/>
    <x v="1"/>
    <x v="1"/>
    <x v="1"/>
    <s v="K 2"/>
    <s v="K-LPCENTRO"/>
    <x v="57"/>
    <n v="0"/>
    <n v="0"/>
  </r>
  <r>
    <x v="0"/>
    <x v="0"/>
    <x v="3"/>
    <x v="1"/>
    <x v="1"/>
    <x v="2"/>
    <s v="K 2"/>
    <n v="494"/>
    <x v="58"/>
    <n v="0"/>
    <n v="0"/>
  </r>
  <r>
    <x v="0"/>
    <x v="0"/>
    <x v="3"/>
    <x v="1"/>
    <x v="1"/>
    <x v="3"/>
    <s v="K 2"/>
    <n v="460"/>
    <x v="59"/>
    <n v="0"/>
    <n v="0"/>
  </r>
  <r>
    <x v="0"/>
    <x v="0"/>
    <x v="3"/>
    <x v="1"/>
    <x v="1"/>
    <x v="3"/>
    <s v="K 2"/>
    <n v="461"/>
    <x v="60"/>
    <n v="0"/>
    <n v="0"/>
  </r>
  <r>
    <x v="0"/>
    <x v="0"/>
    <x v="3"/>
    <x v="1"/>
    <x v="3"/>
    <x v="0"/>
    <s v="K 1"/>
    <n v="480"/>
    <x v="61"/>
    <n v="0"/>
    <n v="25308.86"/>
  </r>
  <r>
    <x v="0"/>
    <x v="0"/>
    <x v="3"/>
    <x v="1"/>
    <x v="3"/>
    <x v="2"/>
    <s v="K 1"/>
    <n v="491"/>
    <x v="62"/>
    <n v="0"/>
    <n v="56474.590000000069"/>
  </r>
  <r>
    <x v="0"/>
    <x v="0"/>
    <x v="3"/>
    <x v="1"/>
    <x v="3"/>
    <x v="2"/>
    <s v="K 1"/>
    <n v="492"/>
    <x v="63"/>
    <n v="0"/>
    <n v="26373.189999999995"/>
  </r>
  <r>
    <x v="0"/>
    <x v="0"/>
    <x v="3"/>
    <x v="1"/>
    <x v="3"/>
    <x v="2"/>
    <s v="K 1"/>
    <n v="493"/>
    <x v="64"/>
    <n v="0"/>
    <n v="22034.300000000003"/>
  </r>
  <r>
    <x v="0"/>
    <x v="0"/>
    <x v="4"/>
    <x v="1"/>
    <x v="1"/>
    <x v="3"/>
    <s v="Y 2"/>
    <n v="510"/>
    <x v="65"/>
    <n v="0"/>
    <n v="0"/>
  </r>
  <r>
    <x v="0"/>
    <x v="0"/>
    <x v="4"/>
    <x v="1"/>
    <x v="3"/>
    <x v="2"/>
    <s v="Y 1"/>
    <n v="541"/>
    <x v="66"/>
    <n v="0"/>
    <n v="28483.64"/>
  </r>
  <r>
    <x v="0"/>
    <x v="0"/>
    <x v="4"/>
    <x v="1"/>
    <x v="3"/>
    <x v="2"/>
    <s v="Y 1"/>
    <n v="543"/>
    <x v="67"/>
    <n v="0"/>
    <n v="27429.920000000013"/>
  </r>
  <r>
    <x v="0"/>
    <x v="0"/>
    <x v="4"/>
    <x v="2"/>
    <x v="3"/>
    <x v="2"/>
    <s v="Y 1"/>
    <n v="540"/>
    <x v="68"/>
    <n v="43624.67"/>
    <n v="77190.38"/>
  </r>
  <r>
    <x v="0"/>
    <x v="0"/>
    <x v="4"/>
    <x v="3"/>
    <x v="2"/>
    <x v="0"/>
    <s v="Y 2"/>
    <n v="530"/>
    <x v="69"/>
    <n v="27241.829999999998"/>
    <n v="28258.190000000002"/>
  </r>
  <r>
    <x v="0"/>
    <x v="0"/>
    <x v="4"/>
    <x v="3"/>
    <x v="3"/>
    <x v="1"/>
    <s v="Y 1"/>
    <n v="520"/>
    <x v="70"/>
    <n v="46382.06"/>
    <n v="43179.810000000005"/>
  </r>
  <r>
    <x v="0"/>
    <x v="0"/>
    <x v="4"/>
    <x v="3"/>
    <x v="3"/>
    <x v="2"/>
    <s v="Y 2"/>
    <n v="542"/>
    <x v="71"/>
    <n v="25452.61"/>
    <n v="17664.59"/>
  </r>
  <r>
    <x v="1"/>
    <x v="0"/>
    <x v="0"/>
    <x v="0"/>
    <x v="0"/>
    <x v="0"/>
    <s v="B 2"/>
    <s v="(en blanco)"/>
    <x v="0"/>
    <n v="0"/>
    <n v="0"/>
  </r>
  <r>
    <x v="1"/>
    <x v="0"/>
    <x v="0"/>
    <x v="0"/>
    <x v="0"/>
    <x v="1"/>
    <s v="B 2"/>
    <s v="(en blanco)"/>
    <x v="1"/>
    <n v="0"/>
    <n v="0"/>
  </r>
  <r>
    <x v="1"/>
    <x v="0"/>
    <x v="0"/>
    <x v="0"/>
    <x v="0"/>
    <x v="2"/>
    <s v="B 2"/>
    <s v="(en blanco)"/>
    <x v="2"/>
    <n v="0"/>
    <n v="0"/>
  </r>
  <r>
    <x v="1"/>
    <x v="0"/>
    <x v="0"/>
    <x v="0"/>
    <x v="0"/>
    <x v="2"/>
    <s v="CLOSED"/>
    <s v="(en blanco)"/>
    <x v="3"/>
    <n v="14951.560000000001"/>
    <n v="0"/>
  </r>
  <r>
    <x v="1"/>
    <x v="0"/>
    <x v="0"/>
    <x v="0"/>
    <x v="0"/>
    <x v="3"/>
    <s v="CLOSED"/>
    <s v="(en blanco)"/>
    <x v="4"/>
    <n v="0"/>
    <n v="0"/>
  </r>
  <r>
    <x v="1"/>
    <x v="0"/>
    <x v="0"/>
    <x v="1"/>
    <x v="1"/>
    <x v="1"/>
    <s v="B 2"/>
    <s v="FP-UYU"/>
    <x v="5"/>
    <n v="0"/>
    <n v="0"/>
  </r>
  <r>
    <x v="1"/>
    <x v="0"/>
    <x v="0"/>
    <x v="2"/>
    <x v="2"/>
    <x v="0"/>
    <s v="B 2"/>
    <n v="304"/>
    <x v="6"/>
    <n v="44977.429999999993"/>
    <n v="44540.81"/>
  </r>
  <r>
    <x v="1"/>
    <x v="0"/>
    <x v="0"/>
    <x v="2"/>
    <x v="2"/>
    <x v="1"/>
    <s v="A 3"/>
    <n v="208"/>
    <x v="7"/>
    <n v="27662.729999999996"/>
    <n v="46657.879999999983"/>
  </r>
  <r>
    <x v="1"/>
    <x v="0"/>
    <x v="0"/>
    <x v="2"/>
    <x v="2"/>
    <x v="1"/>
    <s v="A 3"/>
    <n v="209"/>
    <x v="8"/>
    <n v="19742.150000000001"/>
    <n v="35604.090000000011"/>
  </r>
  <r>
    <x v="1"/>
    <x v="0"/>
    <x v="0"/>
    <x v="2"/>
    <x v="2"/>
    <x v="1"/>
    <s v="B 2"/>
    <n v="202"/>
    <x v="9"/>
    <n v="49648.430000000008"/>
    <n v="57001.440000000002"/>
  </r>
  <r>
    <x v="1"/>
    <x v="0"/>
    <x v="0"/>
    <x v="2"/>
    <x v="2"/>
    <x v="2"/>
    <s v="A 3"/>
    <n v="404"/>
    <x v="10"/>
    <n v="44468.640000000007"/>
    <n v="39888.809999999969"/>
  </r>
  <r>
    <x v="1"/>
    <x v="0"/>
    <x v="0"/>
    <x v="2"/>
    <x v="3"/>
    <x v="0"/>
    <s v="B 2"/>
    <n v="310"/>
    <x v="11"/>
    <n v="16841.73"/>
    <n v="36459.649999999994"/>
  </r>
  <r>
    <x v="1"/>
    <x v="0"/>
    <x v="0"/>
    <x v="2"/>
    <x v="3"/>
    <x v="1"/>
    <s v="B 1"/>
    <n v="206"/>
    <x v="12"/>
    <n v="51117.580000000009"/>
    <n v="86032.409999999945"/>
  </r>
  <r>
    <x v="1"/>
    <x v="0"/>
    <x v="0"/>
    <x v="2"/>
    <x v="3"/>
    <x v="1"/>
    <s v="B 2"/>
    <n v="210"/>
    <x v="13"/>
    <n v="33022.92"/>
    <n v="47907.94"/>
  </r>
  <r>
    <x v="1"/>
    <x v="0"/>
    <x v="0"/>
    <x v="2"/>
    <x v="3"/>
    <x v="2"/>
    <s v="A 1"/>
    <n v="417"/>
    <x v="14"/>
    <n v="101352.61999999998"/>
    <n v="102464.70000000001"/>
  </r>
  <r>
    <x v="1"/>
    <x v="0"/>
    <x v="0"/>
    <x v="3"/>
    <x v="2"/>
    <x v="0"/>
    <s v="B 2"/>
    <n v="308"/>
    <x v="15"/>
    <n v="39484.17"/>
    <n v="44781.109999999971"/>
  </r>
  <r>
    <x v="1"/>
    <x v="0"/>
    <x v="0"/>
    <x v="3"/>
    <x v="2"/>
    <x v="2"/>
    <s v="B 3"/>
    <n v="402"/>
    <x v="16"/>
    <n v="24341.790000000008"/>
    <n v="34120.409999999996"/>
  </r>
  <r>
    <x v="1"/>
    <x v="0"/>
    <x v="0"/>
    <x v="3"/>
    <x v="2"/>
    <x v="2"/>
    <s v="B 3"/>
    <n v="406"/>
    <x v="17"/>
    <n v="21274.239999999998"/>
    <n v="21961.199999999983"/>
  </r>
  <r>
    <x v="1"/>
    <x v="0"/>
    <x v="0"/>
    <x v="3"/>
    <x v="2"/>
    <x v="2"/>
    <s v="B 3"/>
    <n v="416"/>
    <x v="18"/>
    <n v="16728.46"/>
    <n v="22580.330000000009"/>
  </r>
  <r>
    <x v="1"/>
    <x v="0"/>
    <x v="0"/>
    <x v="3"/>
    <x v="2"/>
    <x v="2"/>
    <s v="XL"/>
    <n v="414"/>
    <x v="19"/>
    <n v="297764.65999999992"/>
    <n v="361222.84"/>
  </r>
  <r>
    <x v="1"/>
    <x v="0"/>
    <x v="0"/>
    <x v="3"/>
    <x v="3"/>
    <x v="0"/>
    <s v="A 1"/>
    <n v="309"/>
    <x v="20"/>
    <n v="188631.09"/>
    <n v="208087.66000000029"/>
  </r>
  <r>
    <x v="1"/>
    <x v="0"/>
    <x v="0"/>
    <x v="3"/>
    <x v="3"/>
    <x v="0"/>
    <s v="A 2"/>
    <n v="305"/>
    <x v="21"/>
    <n v="121764.35999999999"/>
    <n v="148645.06000000014"/>
  </r>
  <r>
    <x v="1"/>
    <x v="0"/>
    <x v="0"/>
    <x v="3"/>
    <x v="3"/>
    <x v="0"/>
    <s v="B 1"/>
    <n v="302"/>
    <x v="22"/>
    <n v="68356.890000000014"/>
    <n v="80492.749999999971"/>
  </r>
  <r>
    <x v="1"/>
    <x v="0"/>
    <x v="0"/>
    <x v="3"/>
    <x v="3"/>
    <x v="0"/>
    <s v="B 2"/>
    <n v="301"/>
    <x v="23"/>
    <n v="46072"/>
    <n v="52763.929999999978"/>
  </r>
  <r>
    <x v="1"/>
    <x v="0"/>
    <x v="0"/>
    <x v="3"/>
    <x v="3"/>
    <x v="0"/>
    <s v="B 2"/>
    <n v="311"/>
    <x v="24"/>
    <n v="36055.17"/>
    <n v="49501.989999999962"/>
  </r>
  <r>
    <x v="1"/>
    <x v="0"/>
    <x v="0"/>
    <x v="3"/>
    <x v="3"/>
    <x v="1"/>
    <s v="A 1"/>
    <n v="211"/>
    <x v="25"/>
    <n v="199848.80999999991"/>
    <n v="267256.82000000123"/>
  </r>
  <r>
    <x v="1"/>
    <x v="0"/>
    <x v="0"/>
    <x v="3"/>
    <x v="3"/>
    <x v="1"/>
    <s v="A 2"/>
    <n v="207"/>
    <x v="26"/>
    <n v="131326.56999999998"/>
    <n v="162805.0500000004"/>
  </r>
  <r>
    <x v="1"/>
    <x v="0"/>
    <x v="0"/>
    <x v="3"/>
    <x v="3"/>
    <x v="1"/>
    <s v="A 3"/>
    <n v="203"/>
    <x v="27"/>
    <n v="39338.699999999997"/>
    <n v="60399.529999999933"/>
  </r>
  <r>
    <x v="1"/>
    <x v="0"/>
    <x v="0"/>
    <x v="3"/>
    <x v="3"/>
    <x v="1"/>
    <s v="A 3"/>
    <n v="212"/>
    <x v="28"/>
    <n v="57056.609999999986"/>
    <n v="75203.270000000019"/>
  </r>
  <r>
    <x v="1"/>
    <x v="0"/>
    <x v="0"/>
    <x v="3"/>
    <x v="3"/>
    <x v="1"/>
    <s v="B 1"/>
    <n v="190"/>
    <x v="29"/>
    <n v="62509.57"/>
    <n v="83330.510000000068"/>
  </r>
  <r>
    <x v="1"/>
    <x v="0"/>
    <x v="0"/>
    <x v="3"/>
    <x v="3"/>
    <x v="1"/>
    <s v="B 1"/>
    <n v="214"/>
    <x v="30"/>
    <n v="60119.11"/>
    <n v="76026.619999999923"/>
  </r>
  <r>
    <x v="1"/>
    <x v="0"/>
    <x v="0"/>
    <x v="3"/>
    <x v="3"/>
    <x v="2"/>
    <s v="A 2"/>
    <n v="407"/>
    <x v="31"/>
    <n v="120264.77999999998"/>
    <n v="153257.57000000024"/>
  </r>
  <r>
    <x v="1"/>
    <x v="0"/>
    <x v="0"/>
    <x v="3"/>
    <x v="3"/>
    <x v="2"/>
    <s v="A 2"/>
    <n v="413"/>
    <x v="32"/>
    <n v="112654.69"/>
    <n v="156474.53000000038"/>
  </r>
  <r>
    <x v="1"/>
    <x v="0"/>
    <x v="0"/>
    <x v="3"/>
    <x v="3"/>
    <x v="2"/>
    <s v="A 3"/>
    <n v="412"/>
    <x v="33"/>
    <n v="62284.37999999999"/>
    <n v="76323.64000000013"/>
  </r>
  <r>
    <x v="1"/>
    <x v="0"/>
    <x v="0"/>
    <x v="3"/>
    <x v="3"/>
    <x v="2"/>
    <s v="B 1"/>
    <n v="403"/>
    <x v="34"/>
    <n v="58945.74"/>
    <n v="77123.990000000049"/>
  </r>
  <r>
    <x v="1"/>
    <x v="0"/>
    <x v="0"/>
    <x v="3"/>
    <x v="3"/>
    <x v="2"/>
    <s v="B 2"/>
    <n v="409"/>
    <x v="35"/>
    <n v="46264.660000000011"/>
    <n v="43571.349999999977"/>
  </r>
  <r>
    <x v="1"/>
    <x v="0"/>
    <x v="0"/>
    <x v="3"/>
    <x v="3"/>
    <x v="2"/>
    <s v="B 3"/>
    <n v="410"/>
    <x v="36"/>
    <n v="18712.560000000001"/>
    <n v="36209.859999999986"/>
  </r>
  <r>
    <x v="1"/>
    <x v="0"/>
    <x v="0"/>
    <x v="3"/>
    <x v="3"/>
    <x v="3"/>
    <s v="A 2"/>
    <n v="101"/>
    <x v="37"/>
    <n v="143465.46999999997"/>
    <n v="155139.09000000029"/>
  </r>
  <r>
    <x v="1"/>
    <x v="0"/>
    <x v="0"/>
    <x v="3"/>
    <x v="3"/>
    <x v="3"/>
    <s v="A 2"/>
    <n v="150"/>
    <x v="38"/>
    <n v="121140.47999999998"/>
    <n v="166945.26000000007"/>
  </r>
  <r>
    <x v="1"/>
    <x v="0"/>
    <x v="0"/>
    <x v="3"/>
    <x v="3"/>
    <x v="3"/>
    <s v="B 1"/>
    <n v="170"/>
    <x v="39"/>
    <n v="64752.009999999995"/>
    <n v="86227.339999999909"/>
  </r>
  <r>
    <x v="1"/>
    <x v="0"/>
    <x v="0"/>
    <x v="3"/>
    <x v="3"/>
    <x v="3"/>
    <s v="B 2"/>
    <n v="131"/>
    <x v="40"/>
    <n v="29793"/>
    <n v="44469.440000000039"/>
  </r>
  <r>
    <x v="1"/>
    <x v="0"/>
    <x v="0"/>
    <x v="3"/>
    <x v="3"/>
    <x v="3"/>
    <s v="B 3"/>
    <n v="151"/>
    <x v="41"/>
    <n v="30306.340000000004"/>
    <n v="39264.989999999962"/>
  </r>
  <r>
    <x v="1"/>
    <x v="0"/>
    <x v="1"/>
    <x v="1"/>
    <x v="1"/>
    <x v="2"/>
    <s v="OUTLET 1"/>
    <n v="418"/>
    <x v="42"/>
    <n v="0"/>
    <n v="0"/>
  </r>
  <r>
    <x v="1"/>
    <x v="0"/>
    <x v="1"/>
    <x v="3"/>
    <x v="0"/>
    <x v="0"/>
    <s v="OUTLET 1"/>
    <n v="307"/>
    <x v="43"/>
    <n v="53422.8"/>
    <n v="90031.76999999996"/>
  </r>
  <r>
    <x v="1"/>
    <x v="0"/>
    <x v="1"/>
    <x v="3"/>
    <x v="0"/>
    <x v="2"/>
    <s v="OUTLET 1"/>
    <n v="411"/>
    <x v="44"/>
    <n v="86652.770000000019"/>
    <n v="94546.54"/>
  </r>
  <r>
    <x v="1"/>
    <x v="0"/>
    <x v="1"/>
    <x v="3"/>
    <x v="2"/>
    <x v="1"/>
    <s v="OUTLET 1"/>
    <n v="213"/>
    <x v="45"/>
    <n v="56004.91"/>
    <n v="93786.099999999977"/>
  </r>
  <r>
    <x v="1"/>
    <x v="0"/>
    <x v="1"/>
    <x v="3"/>
    <x v="2"/>
    <x v="2"/>
    <s v="OUTLET 1"/>
    <n v="415"/>
    <x v="46"/>
    <n v="42489.539999999994"/>
    <n v="70868.63"/>
  </r>
  <r>
    <x v="1"/>
    <x v="0"/>
    <x v="1"/>
    <x v="3"/>
    <x v="3"/>
    <x v="0"/>
    <s v="OUTLET 1"/>
    <n v="306"/>
    <x v="47"/>
    <n v="62385.67"/>
    <n v="91587.349999999933"/>
  </r>
  <r>
    <x v="1"/>
    <x v="0"/>
    <x v="1"/>
    <x v="3"/>
    <x v="3"/>
    <x v="1"/>
    <s v="OUTLET 1"/>
    <n v="201"/>
    <x v="48"/>
    <n v="45895.78"/>
    <n v="64207.479999999967"/>
  </r>
  <r>
    <x v="1"/>
    <x v="0"/>
    <x v="1"/>
    <x v="3"/>
    <x v="3"/>
    <x v="1"/>
    <s v="OUTLET 1"/>
    <n v="204"/>
    <x v="49"/>
    <n v="56445"/>
    <n v="61097.420000000027"/>
  </r>
  <r>
    <x v="1"/>
    <x v="0"/>
    <x v="1"/>
    <x v="3"/>
    <x v="3"/>
    <x v="3"/>
    <s v="OUTLET 1"/>
    <n v="102"/>
    <x v="50"/>
    <n v="66182.200000000012"/>
    <n v="89248.279999999941"/>
  </r>
  <r>
    <x v="1"/>
    <x v="0"/>
    <x v="2"/>
    <x v="0"/>
    <x v="0"/>
    <x v="4"/>
    <s v="IQUIQUE"/>
    <s v="(en blanco)"/>
    <x v="51"/>
    <n v="0"/>
    <n v="0"/>
  </r>
  <r>
    <x v="1"/>
    <x v="0"/>
    <x v="2"/>
    <x v="0"/>
    <x v="0"/>
    <x v="4"/>
    <s v="IQUIQUE"/>
    <s v="(en blanco)"/>
    <x v="52"/>
    <n v="0"/>
    <n v="0"/>
  </r>
  <r>
    <x v="1"/>
    <x v="0"/>
    <x v="2"/>
    <x v="3"/>
    <x v="3"/>
    <x v="4"/>
    <s v="IQUIQUE"/>
    <n v="903"/>
    <x v="53"/>
    <n v="33712.869999999995"/>
    <n v="49757.070000000029"/>
  </r>
  <r>
    <x v="1"/>
    <x v="0"/>
    <x v="3"/>
    <x v="1"/>
    <x v="1"/>
    <x v="0"/>
    <s v="K 2"/>
    <s v="K-BALLIVIAN"/>
    <x v="54"/>
    <n v="0"/>
    <n v="0"/>
  </r>
  <r>
    <x v="1"/>
    <x v="0"/>
    <x v="3"/>
    <x v="1"/>
    <x v="1"/>
    <x v="1"/>
    <s v="K 1"/>
    <n v="470"/>
    <x v="55"/>
    <n v="0"/>
    <n v="0"/>
  </r>
  <r>
    <x v="1"/>
    <x v="0"/>
    <x v="3"/>
    <x v="1"/>
    <x v="1"/>
    <x v="1"/>
    <s v="K 2"/>
    <s v="K-LPC"/>
    <x v="56"/>
    <n v="0"/>
    <n v="0"/>
  </r>
  <r>
    <x v="1"/>
    <x v="0"/>
    <x v="3"/>
    <x v="1"/>
    <x v="1"/>
    <x v="1"/>
    <s v="K 2"/>
    <s v="K-LPCENTRO"/>
    <x v="57"/>
    <n v="0"/>
    <n v="0"/>
  </r>
  <r>
    <x v="1"/>
    <x v="0"/>
    <x v="3"/>
    <x v="1"/>
    <x v="1"/>
    <x v="2"/>
    <s v="K 2"/>
    <n v="494"/>
    <x v="58"/>
    <n v="0"/>
    <n v="0"/>
  </r>
  <r>
    <x v="1"/>
    <x v="0"/>
    <x v="3"/>
    <x v="1"/>
    <x v="1"/>
    <x v="3"/>
    <s v="K 2"/>
    <n v="460"/>
    <x v="59"/>
    <n v="0"/>
    <n v="0"/>
  </r>
  <r>
    <x v="1"/>
    <x v="0"/>
    <x v="3"/>
    <x v="1"/>
    <x v="1"/>
    <x v="3"/>
    <s v="K 2"/>
    <n v="461"/>
    <x v="60"/>
    <n v="0"/>
    <n v="0"/>
  </r>
  <r>
    <x v="1"/>
    <x v="0"/>
    <x v="3"/>
    <x v="1"/>
    <x v="3"/>
    <x v="0"/>
    <s v="K 1"/>
    <n v="480"/>
    <x v="61"/>
    <n v="0"/>
    <n v="37929.439999999981"/>
  </r>
  <r>
    <x v="1"/>
    <x v="0"/>
    <x v="3"/>
    <x v="1"/>
    <x v="3"/>
    <x v="2"/>
    <s v="K 1"/>
    <n v="491"/>
    <x v="62"/>
    <n v="0"/>
    <n v="76955.290000000095"/>
  </r>
  <r>
    <x v="1"/>
    <x v="0"/>
    <x v="3"/>
    <x v="1"/>
    <x v="3"/>
    <x v="2"/>
    <s v="K 1"/>
    <n v="492"/>
    <x v="63"/>
    <n v="0"/>
    <n v="44078.700000000004"/>
  </r>
  <r>
    <x v="1"/>
    <x v="0"/>
    <x v="3"/>
    <x v="1"/>
    <x v="3"/>
    <x v="2"/>
    <s v="K 1"/>
    <n v="493"/>
    <x v="64"/>
    <n v="0"/>
    <n v="34237.629999999954"/>
  </r>
  <r>
    <x v="1"/>
    <x v="0"/>
    <x v="4"/>
    <x v="1"/>
    <x v="1"/>
    <x v="3"/>
    <s v="Y 2"/>
    <n v="510"/>
    <x v="65"/>
    <n v="0"/>
    <n v="0"/>
  </r>
  <r>
    <x v="1"/>
    <x v="0"/>
    <x v="4"/>
    <x v="1"/>
    <x v="3"/>
    <x v="2"/>
    <s v="Y 1"/>
    <n v="541"/>
    <x v="66"/>
    <n v="0"/>
    <n v="28348.569999999996"/>
  </r>
  <r>
    <x v="1"/>
    <x v="0"/>
    <x v="4"/>
    <x v="1"/>
    <x v="3"/>
    <x v="2"/>
    <s v="Y 1"/>
    <n v="543"/>
    <x v="67"/>
    <n v="0"/>
    <n v="25948.129999999994"/>
  </r>
  <r>
    <x v="1"/>
    <x v="0"/>
    <x v="4"/>
    <x v="2"/>
    <x v="3"/>
    <x v="2"/>
    <s v="Y 1"/>
    <n v="540"/>
    <x v="68"/>
    <n v="49967.89"/>
    <n v="88393.949999999983"/>
  </r>
  <r>
    <x v="1"/>
    <x v="0"/>
    <x v="4"/>
    <x v="3"/>
    <x v="2"/>
    <x v="0"/>
    <s v="Y 2"/>
    <n v="530"/>
    <x v="69"/>
    <n v="24695.59"/>
    <n v="32895.159999999982"/>
  </r>
  <r>
    <x v="1"/>
    <x v="0"/>
    <x v="4"/>
    <x v="3"/>
    <x v="3"/>
    <x v="1"/>
    <s v="Y 1"/>
    <n v="520"/>
    <x v="70"/>
    <n v="50743.839999999997"/>
    <n v="44163.890000000014"/>
  </r>
  <r>
    <x v="1"/>
    <x v="0"/>
    <x v="4"/>
    <x v="3"/>
    <x v="3"/>
    <x v="2"/>
    <s v="Y 2"/>
    <n v="542"/>
    <x v="71"/>
    <n v="26065.960000000003"/>
    <n v="17496.489999999983"/>
  </r>
  <r>
    <x v="2"/>
    <x v="0"/>
    <x v="0"/>
    <x v="0"/>
    <x v="0"/>
    <x v="0"/>
    <s v="B 2"/>
    <s v="(en blanco)"/>
    <x v="0"/>
    <n v="0"/>
    <n v="0"/>
  </r>
  <r>
    <x v="2"/>
    <x v="0"/>
    <x v="0"/>
    <x v="0"/>
    <x v="0"/>
    <x v="1"/>
    <s v="B 2"/>
    <s v="(en blanco)"/>
    <x v="1"/>
    <n v="0"/>
    <n v="0"/>
  </r>
  <r>
    <x v="2"/>
    <x v="0"/>
    <x v="0"/>
    <x v="0"/>
    <x v="0"/>
    <x v="2"/>
    <s v="B 2"/>
    <s v="(en blanco)"/>
    <x v="2"/>
    <n v="0"/>
    <n v="0"/>
  </r>
  <r>
    <x v="2"/>
    <x v="0"/>
    <x v="0"/>
    <x v="0"/>
    <x v="0"/>
    <x v="2"/>
    <s v="CLOSED"/>
    <s v="(en blanco)"/>
    <x v="3"/>
    <n v="22370.74"/>
    <n v="0"/>
  </r>
  <r>
    <x v="2"/>
    <x v="0"/>
    <x v="0"/>
    <x v="0"/>
    <x v="0"/>
    <x v="3"/>
    <s v="CLOSED"/>
    <s v="(en blanco)"/>
    <x v="4"/>
    <n v="0"/>
    <n v="0"/>
  </r>
  <r>
    <x v="2"/>
    <x v="0"/>
    <x v="0"/>
    <x v="1"/>
    <x v="1"/>
    <x v="1"/>
    <s v="B 2"/>
    <s v="FP-UYU"/>
    <x v="5"/>
    <n v="0"/>
    <n v="0"/>
  </r>
  <r>
    <x v="2"/>
    <x v="0"/>
    <x v="0"/>
    <x v="2"/>
    <x v="2"/>
    <x v="0"/>
    <s v="B 2"/>
    <n v="304"/>
    <x v="6"/>
    <n v="65436.630000000005"/>
    <n v="39310.460000000021"/>
  </r>
  <r>
    <x v="2"/>
    <x v="0"/>
    <x v="0"/>
    <x v="2"/>
    <x v="2"/>
    <x v="1"/>
    <s v="A 3"/>
    <n v="208"/>
    <x v="7"/>
    <n v="37750.979999999996"/>
    <n v="43449.780000000072"/>
  </r>
  <r>
    <x v="2"/>
    <x v="0"/>
    <x v="0"/>
    <x v="2"/>
    <x v="2"/>
    <x v="1"/>
    <s v="A 3"/>
    <n v="209"/>
    <x v="8"/>
    <n v="27844.91"/>
    <n v="30904.429999999993"/>
  </r>
  <r>
    <x v="2"/>
    <x v="0"/>
    <x v="0"/>
    <x v="2"/>
    <x v="2"/>
    <x v="1"/>
    <s v="B 2"/>
    <n v="202"/>
    <x v="9"/>
    <n v="82431.22"/>
    <n v="36468.240000000027"/>
  </r>
  <r>
    <x v="2"/>
    <x v="0"/>
    <x v="0"/>
    <x v="2"/>
    <x v="2"/>
    <x v="2"/>
    <s v="A 3"/>
    <n v="404"/>
    <x v="10"/>
    <n v="62443.349999999991"/>
    <n v="28552.470000000008"/>
  </r>
  <r>
    <x v="2"/>
    <x v="0"/>
    <x v="0"/>
    <x v="2"/>
    <x v="3"/>
    <x v="0"/>
    <s v="B 2"/>
    <n v="310"/>
    <x v="11"/>
    <n v="28290.12"/>
    <n v="25786.319999999985"/>
  </r>
  <r>
    <x v="2"/>
    <x v="0"/>
    <x v="0"/>
    <x v="2"/>
    <x v="3"/>
    <x v="1"/>
    <s v="B 1"/>
    <n v="206"/>
    <x v="12"/>
    <n v="71784.2"/>
    <n v="72328.180000000022"/>
  </r>
  <r>
    <x v="2"/>
    <x v="0"/>
    <x v="0"/>
    <x v="2"/>
    <x v="3"/>
    <x v="1"/>
    <s v="B 2"/>
    <n v="210"/>
    <x v="13"/>
    <n v="61354.80000000001"/>
    <n v="45125.820000000007"/>
  </r>
  <r>
    <x v="2"/>
    <x v="0"/>
    <x v="0"/>
    <x v="2"/>
    <x v="3"/>
    <x v="2"/>
    <s v="A 1"/>
    <n v="417"/>
    <x v="14"/>
    <n v="135813.31999999998"/>
    <n v="70662.260000000068"/>
  </r>
  <r>
    <x v="2"/>
    <x v="0"/>
    <x v="0"/>
    <x v="3"/>
    <x v="2"/>
    <x v="0"/>
    <s v="B 2"/>
    <n v="308"/>
    <x v="15"/>
    <n v="65997.010000000009"/>
    <n v="34632.559999999998"/>
  </r>
  <r>
    <x v="2"/>
    <x v="0"/>
    <x v="0"/>
    <x v="3"/>
    <x v="2"/>
    <x v="2"/>
    <s v="B 3"/>
    <n v="402"/>
    <x v="16"/>
    <n v="40478.03"/>
    <n v="25309.83000000002"/>
  </r>
  <r>
    <x v="2"/>
    <x v="0"/>
    <x v="0"/>
    <x v="3"/>
    <x v="2"/>
    <x v="2"/>
    <s v="B 3"/>
    <n v="406"/>
    <x v="17"/>
    <n v="33473.99"/>
    <n v="21277.159999999996"/>
  </r>
  <r>
    <x v="2"/>
    <x v="0"/>
    <x v="0"/>
    <x v="3"/>
    <x v="2"/>
    <x v="2"/>
    <s v="B 3"/>
    <n v="416"/>
    <x v="18"/>
    <n v="28596.979999999996"/>
    <n v="20191.809999999998"/>
  </r>
  <r>
    <x v="2"/>
    <x v="0"/>
    <x v="0"/>
    <x v="3"/>
    <x v="2"/>
    <x v="2"/>
    <s v="XL"/>
    <n v="414"/>
    <x v="19"/>
    <n v="393786.55999999982"/>
    <n v="294854.30999999959"/>
  </r>
  <r>
    <x v="2"/>
    <x v="0"/>
    <x v="0"/>
    <x v="3"/>
    <x v="3"/>
    <x v="0"/>
    <s v="A 1"/>
    <n v="309"/>
    <x v="20"/>
    <n v="258667.21999999991"/>
    <n v="199569.04000000039"/>
  </r>
  <r>
    <x v="2"/>
    <x v="0"/>
    <x v="0"/>
    <x v="3"/>
    <x v="3"/>
    <x v="0"/>
    <s v="A 2"/>
    <n v="305"/>
    <x v="21"/>
    <n v="185107.82999999996"/>
    <n v="134091.3500000005"/>
  </r>
  <r>
    <x v="2"/>
    <x v="0"/>
    <x v="0"/>
    <x v="3"/>
    <x v="3"/>
    <x v="0"/>
    <s v="B 1"/>
    <n v="302"/>
    <x v="22"/>
    <n v="103397.8"/>
    <n v="74960.180000000139"/>
  </r>
  <r>
    <x v="2"/>
    <x v="0"/>
    <x v="0"/>
    <x v="3"/>
    <x v="3"/>
    <x v="0"/>
    <s v="B 2"/>
    <n v="301"/>
    <x v="23"/>
    <n v="71681.310000000012"/>
    <n v="45949.160000000011"/>
  </r>
  <r>
    <x v="2"/>
    <x v="0"/>
    <x v="0"/>
    <x v="3"/>
    <x v="3"/>
    <x v="0"/>
    <s v="B 2"/>
    <n v="311"/>
    <x v="24"/>
    <n v="56281.97"/>
    <n v="39650.87000000001"/>
  </r>
  <r>
    <x v="2"/>
    <x v="0"/>
    <x v="0"/>
    <x v="3"/>
    <x v="3"/>
    <x v="1"/>
    <s v="A 1"/>
    <n v="211"/>
    <x v="25"/>
    <n v="264480.37999999989"/>
    <n v="187181.10000000027"/>
  </r>
  <r>
    <x v="2"/>
    <x v="0"/>
    <x v="0"/>
    <x v="3"/>
    <x v="3"/>
    <x v="1"/>
    <s v="A 2"/>
    <n v="207"/>
    <x v="26"/>
    <n v="162671.88999999998"/>
    <n v="129778.63000000009"/>
  </r>
  <r>
    <x v="2"/>
    <x v="0"/>
    <x v="0"/>
    <x v="3"/>
    <x v="3"/>
    <x v="1"/>
    <s v="A 3"/>
    <n v="203"/>
    <x v="27"/>
    <n v="66753.17"/>
    <n v="52962.640000000058"/>
  </r>
  <r>
    <x v="2"/>
    <x v="0"/>
    <x v="0"/>
    <x v="3"/>
    <x v="3"/>
    <x v="1"/>
    <s v="A 3"/>
    <n v="212"/>
    <x v="28"/>
    <n v="74641.5"/>
    <n v="60958.530000000057"/>
  </r>
  <r>
    <x v="2"/>
    <x v="0"/>
    <x v="0"/>
    <x v="3"/>
    <x v="3"/>
    <x v="1"/>
    <s v="B 1"/>
    <n v="190"/>
    <x v="29"/>
    <n v="91716.42"/>
    <n v="71233.460000000021"/>
  </r>
  <r>
    <x v="2"/>
    <x v="0"/>
    <x v="0"/>
    <x v="3"/>
    <x v="3"/>
    <x v="1"/>
    <s v="B 1"/>
    <n v="214"/>
    <x v="30"/>
    <n v="77944.03"/>
    <n v="70367.21000000005"/>
  </r>
  <r>
    <x v="2"/>
    <x v="0"/>
    <x v="0"/>
    <x v="3"/>
    <x v="3"/>
    <x v="2"/>
    <s v="A 2"/>
    <n v="407"/>
    <x v="31"/>
    <n v="183938.62999999995"/>
    <n v="114282.00000000022"/>
  </r>
  <r>
    <x v="2"/>
    <x v="0"/>
    <x v="0"/>
    <x v="3"/>
    <x v="3"/>
    <x v="2"/>
    <s v="A 2"/>
    <n v="413"/>
    <x v="32"/>
    <n v="154824.17999999996"/>
    <n v="131580.32000000024"/>
  </r>
  <r>
    <x v="2"/>
    <x v="0"/>
    <x v="0"/>
    <x v="3"/>
    <x v="3"/>
    <x v="2"/>
    <s v="A 3"/>
    <n v="412"/>
    <x v="33"/>
    <n v="95374.809999999983"/>
    <n v="52417.840000000011"/>
  </r>
  <r>
    <x v="2"/>
    <x v="0"/>
    <x v="0"/>
    <x v="3"/>
    <x v="3"/>
    <x v="2"/>
    <s v="B 1"/>
    <n v="403"/>
    <x v="34"/>
    <n v="98046.69"/>
    <n v="63137.770000000091"/>
  </r>
  <r>
    <x v="2"/>
    <x v="0"/>
    <x v="0"/>
    <x v="3"/>
    <x v="3"/>
    <x v="2"/>
    <s v="B 2"/>
    <n v="409"/>
    <x v="35"/>
    <n v="75249.42"/>
    <n v="36896.10000000002"/>
  </r>
  <r>
    <x v="2"/>
    <x v="0"/>
    <x v="0"/>
    <x v="3"/>
    <x v="3"/>
    <x v="2"/>
    <s v="B 3"/>
    <n v="410"/>
    <x v="36"/>
    <n v="49498.53"/>
    <n v="25026.009999999995"/>
  </r>
  <r>
    <x v="2"/>
    <x v="0"/>
    <x v="0"/>
    <x v="3"/>
    <x v="3"/>
    <x v="3"/>
    <s v="A 2"/>
    <n v="101"/>
    <x v="37"/>
    <n v="169492.65999999997"/>
    <n v="147056.85000000024"/>
  </r>
  <r>
    <x v="2"/>
    <x v="0"/>
    <x v="0"/>
    <x v="3"/>
    <x v="3"/>
    <x v="3"/>
    <s v="A 2"/>
    <n v="150"/>
    <x v="38"/>
    <n v="149538.96"/>
    <n v="131234.78000000026"/>
  </r>
  <r>
    <x v="2"/>
    <x v="0"/>
    <x v="0"/>
    <x v="3"/>
    <x v="3"/>
    <x v="3"/>
    <s v="B 1"/>
    <n v="170"/>
    <x v="39"/>
    <n v="79433.39"/>
    <n v="70847.560000000056"/>
  </r>
  <r>
    <x v="2"/>
    <x v="0"/>
    <x v="0"/>
    <x v="3"/>
    <x v="3"/>
    <x v="3"/>
    <s v="B 2"/>
    <n v="131"/>
    <x v="40"/>
    <n v="49162.79"/>
    <n v="40433.65"/>
  </r>
  <r>
    <x v="2"/>
    <x v="0"/>
    <x v="0"/>
    <x v="3"/>
    <x v="3"/>
    <x v="3"/>
    <s v="B 3"/>
    <n v="151"/>
    <x v="41"/>
    <n v="43145.91"/>
    <n v="37231.669999999991"/>
  </r>
  <r>
    <x v="2"/>
    <x v="0"/>
    <x v="1"/>
    <x v="1"/>
    <x v="1"/>
    <x v="2"/>
    <s v="OUTLET 1"/>
    <n v="418"/>
    <x v="42"/>
    <n v="0"/>
    <n v="44265.350000000042"/>
  </r>
  <r>
    <x v="2"/>
    <x v="0"/>
    <x v="1"/>
    <x v="3"/>
    <x v="0"/>
    <x v="0"/>
    <s v="OUTLET 1"/>
    <n v="307"/>
    <x v="43"/>
    <n v="79525.039999999994"/>
    <n v="83897.329999999973"/>
  </r>
  <r>
    <x v="2"/>
    <x v="0"/>
    <x v="1"/>
    <x v="3"/>
    <x v="0"/>
    <x v="2"/>
    <s v="OUTLET 1"/>
    <n v="411"/>
    <x v="44"/>
    <n v="115610.05000000005"/>
    <n v="104897.81000000011"/>
  </r>
  <r>
    <x v="2"/>
    <x v="0"/>
    <x v="1"/>
    <x v="3"/>
    <x v="2"/>
    <x v="1"/>
    <s v="OUTLET 1"/>
    <n v="213"/>
    <x v="45"/>
    <n v="73968.37"/>
    <n v="90810.529999999882"/>
  </r>
  <r>
    <x v="2"/>
    <x v="0"/>
    <x v="1"/>
    <x v="3"/>
    <x v="2"/>
    <x v="2"/>
    <s v="OUTLET 1"/>
    <n v="415"/>
    <x v="46"/>
    <n v="79994.13"/>
    <n v="85992.579999999973"/>
  </r>
  <r>
    <x v="2"/>
    <x v="0"/>
    <x v="1"/>
    <x v="3"/>
    <x v="3"/>
    <x v="0"/>
    <s v="OUTLET 1"/>
    <n v="306"/>
    <x v="47"/>
    <n v="89902.73"/>
    <n v="83176.169999999984"/>
  </r>
  <r>
    <x v="2"/>
    <x v="0"/>
    <x v="1"/>
    <x v="3"/>
    <x v="3"/>
    <x v="1"/>
    <s v="OUTLET 1"/>
    <n v="201"/>
    <x v="48"/>
    <n v="66760.509999999995"/>
    <n v="56650.459999999992"/>
  </r>
  <r>
    <x v="2"/>
    <x v="0"/>
    <x v="1"/>
    <x v="3"/>
    <x v="3"/>
    <x v="1"/>
    <s v="OUTLET 1"/>
    <n v="204"/>
    <x v="49"/>
    <n v="70929.61"/>
    <n v="70698.779999999941"/>
  </r>
  <r>
    <x v="2"/>
    <x v="0"/>
    <x v="1"/>
    <x v="3"/>
    <x v="3"/>
    <x v="3"/>
    <s v="OUTLET 1"/>
    <n v="102"/>
    <x v="50"/>
    <n v="88293.419999999984"/>
    <n v="86502.499999999956"/>
  </r>
  <r>
    <x v="2"/>
    <x v="0"/>
    <x v="2"/>
    <x v="0"/>
    <x v="0"/>
    <x v="4"/>
    <s v="IQUIQUE"/>
    <s v="(en blanco)"/>
    <x v="51"/>
    <n v="0"/>
    <n v="0"/>
  </r>
  <r>
    <x v="2"/>
    <x v="0"/>
    <x v="2"/>
    <x v="0"/>
    <x v="0"/>
    <x v="4"/>
    <s v="IQUIQUE"/>
    <s v="(en blanco)"/>
    <x v="52"/>
    <n v="0"/>
    <n v="0"/>
  </r>
  <r>
    <x v="2"/>
    <x v="0"/>
    <x v="2"/>
    <x v="3"/>
    <x v="3"/>
    <x v="4"/>
    <s v="IQUIQUE"/>
    <n v="903"/>
    <x v="53"/>
    <n v="67526.439999999988"/>
    <n v="63680.949999999983"/>
  </r>
  <r>
    <x v="2"/>
    <x v="0"/>
    <x v="3"/>
    <x v="1"/>
    <x v="1"/>
    <x v="0"/>
    <s v="K 2"/>
    <s v="K-BALLIVIAN"/>
    <x v="54"/>
    <n v="0"/>
    <n v="0"/>
  </r>
  <r>
    <x v="2"/>
    <x v="0"/>
    <x v="3"/>
    <x v="1"/>
    <x v="1"/>
    <x v="1"/>
    <s v="K 1"/>
    <n v="470"/>
    <x v="55"/>
    <n v="0"/>
    <n v="0"/>
  </r>
  <r>
    <x v="2"/>
    <x v="0"/>
    <x v="3"/>
    <x v="1"/>
    <x v="1"/>
    <x v="1"/>
    <s v="K 2"/>
    <s v="K-LPC"/>
    <x v="56"/>
    <n v="0"/>
    <n v="0"/>
  </r>
  <r>
    <x v="2"/>
    <x v="0"/>
    <x v="3"/>
    <x v="1"/>
    <x v="1"/>
    <x v="1"/>
    <s v="K 2"/>
    <s v="K-LPCENTRO"/>
    <x v="57"/>
    <n v="0"/>
    <n v="0"/>
  </r>
  <r>
    <x v="2"/>
    <x v="0"/>
    <x v="3"/>
    <x v="1"/>
    <x v="1"/>
    <x v="2"/>
    <s v="K 2"/>
    <n v="494"/>
    <x v="58"/>
    <n v="0"/>
    <n v="0"/>
  </r>
  <r>
    <x v="2"/>
    <x v="0"/>
    <x v="3"/>
    <x v="1"/>
    <x v="1"/>
    <x v="3"/>
    <s v="K 2"/>
    <n v="460"/>
    <x v="59"/>
    <n v="0"/>
    <n v="0"/>
  </r>
  <r>
    <x v="2"/>
    <x v="0"/>
    <x v="3"/>
    <x v="1"/>
    <x v="1"/>
    <x v="3"/>
    <s v="K 2"/>
    <n v="461"/>
    <x v="60"/>
    <n v="0"/>
    <n v="0"/>
  </r>
  <r>
    <x v="2"/>
    <x v="0"/>
    <x v="3"/>
    <x v="1"/>
    <x v="3"/>
    <x v="0"/>
    <s v="K 1"/>
    <n v="480"/>
    <x v="61"/>
    <n v="0"/>
    <n v="30485.880000000008"/>
  </r>
  <r>
    <x v="2"/>
    <x v="0"/>
    <x v="3"/>
    <x v="1"/>
    <x v="3"/>
    <x v="2"/>
    <s v="K 1"/>
    <n v="491"/>
    <x v="62"/>
    <n v="0"/>
    <n v="68869.800000000105"/>
  </r>
  <r>
    <x v="2"/>
    <x v="0"/>
    <x v="3"/>
    <x v="1"/>
    <x v="3"/>
    <x v="2"/>
    <s v="K 1"/>
    <n v="492"/>
    <x v="63"/>
    <n v="0"/>
    <n v="47374.460000000028"/>
  </r>
  <r>
    <x v="2"/>
    <x v="0"/>
    <x v="3"/>
    <x v="1"/>
    <x v="3"/>
    <x v="2"/>
    <s v="K 1"/>
    <n v="493"/>
    <x v="64"/>
    <n v="0"/>
    <n v="33652.250000000015"/>
  </r>
  <r>
    <x v="2"/>
    <x v="0"/>
    <x v="4"/>
    <x v="1"/>
    <x v="1"/>
    <x v="3"/>
    <s v="Y 2"/>
    <n v="510"/>
    <x v="65"/>
    <n v="0"/>
    <n v="0"/>
  </r>
  <r>
    <x v="2"/>
    <x v="0"/>
    <x v="4"/>
    <x v="1"/>
    <x v="3"/>
    <x v="2"/>
    <s v="Y 1"/>
    <n v="541"/>
    <x v="66"/>
    <n v="0"/>
    <n v="30628.42"/>
  </r>
  <r>
    <x v="2"/>
    <x v="0"/>
    <x v="4"/>
    <x v="1"/>
    <x v="3"/>
    <x v="2"/>
    <s v="Y 1"/>
    <n v="543"/>
    <x v="67"/>
    <n v="43786.07"/>
    <n v="32226.839999999982"/>
  </r>
  <r>
    <x v="2"/>
    <x v="0"/>
    <x v="4"/>
    <x v="2"/>
    <x v="3"/>
    <x v="2"/>
    <s v="Y 1"/>
    <n v="540"/>
    <x v="68"/>
    <n v="60628.57"/>
    <n v="92592.190000000031"/>
  </r>
  <r>
    <x v="2"/>
    <x v="0"/>
    <x v="4"/>
    <x v="3"/>
    <x v="2"/>
    <x v="0"/>
    <s v="Y 2"/>
    <n v="530"/>
    <x v="69"/>
    <n v="33643.31"/>
    <n v="31271.01"/>
  </r>
  <r>
    <x v="2"/>
    <x v="0"/>
    <x v="4"/>
    <x v="3"/>
    <x v="3"/>
    <x v="1"/>
    <s v="Y 1"/>
    <n v="520"/>
    <x v="70"/>
    <n v="57122.549999999996"/>
    <n v="40448.200000000012"/>
  </r>
  <r>
    <x v="2"/>
    <x v="0"/>
    <x v="4"/>
    <x v="3"/>
    <x v="3"/>
    <x v="2"/>
    <s v="Y 2"/>
    <n v="542"/>
    <x v="71"/>
    <n v="37355.96"/>
    <n v="20438.900000000009"/>
  </r>
  <r>
    <x v="3"/>
    <x v="0"/>
    <x v="0"/>
    <x v="0"/>
    <x v="0"/>
    <x v="0"/>
    <s v="B 2"/>
    <s v="(en blanco)"/>
    <x v="0"/>
    <n v="0"/>
    <n v="0"/>
  </r>
  <r>
    <x v="3"/>
    <x v="0"/>
    <x v="0"/>
    <x v="0"/>
    <x v="0"/>
    <x v="1"/>
    <s v="B 2"/>
    <s v="(en blanco)"/>
    <x v="1"/>
    <n v="0"/>
    <n v="0"/>
  </r>
  <r>
    <x v="3"/>
    <x v="0"/>
    <x v="0"/>
    <x v="0"/>
    <x v="0"/>
    <x v="2"/>
    <s v="B 2"/>
    <s v="(en blanco)"/>
    <x v="2"/>
    <n v="0"/>
    <n v="0"/>
  </r>
  <r>
    <x v="3"/>
    <x v="0"/>
    <x v="0"/>
    <x v="0"/>
    <x v="0"/>
    <x v="2"/>
    <s v="CLOSED"/>
    <s v="(en blanco)"/>
    <x v="3"/>
    <n v="11816.560000000001"/>
    <n v="0"/>
  </r>
  <r>
    <x v="3"/>
    <x v="0"/>
    <x v="0"/>
    <x v="0"/>
    <x v="0"/>
    <x v="3"/>
    <s v="CLOSED"/>
    <s v="(en blanco)"/>
    <x v="4"/>
    <n v="0"/>
    <n v="0"/>
  </r>
  <r>
    <x v="3"/>
    <x v="0"/>
    <x v="0"/>
    <x v="1"/>
    <x v="1"/>
    <x v="1"/>
    <s v="B 2"/>
    <s v="FP-UYU"/>
    <x v="5"/>
    <n v="0"/>
    <n v="0"/>
  </r>
  <r>
    <x v="3"/>
    <x v="0"/>
    <x v="0"/>
    <x v="2"/>
    <x v="2"/>
    <x v="0"/>
    <s v="B 2"/>
    <n v="304"/>
    <x v="6"/>
    <n v="46825.189999999988"/>
    <n v="34484.340000000018"/>
  </r>
  <r>
    <x v="3"/>
    <x v="0"/>
    <x v="0"/>
    <x v="2"/>
    <x v="2"/>
    <x v="1"/>
    <s v="A 3"/>
    <n v="208"/>
    <x v="7"/>
    <n v="27580.329999999998"/>
    <n v="36329.149999999987"/>
  </r>
  <r>
    <x v="3"/>
    <x v="0"/>
    <x v="0"/>
    <x v="2"/>
    <x v="2"/>
    <x v="1"/>
    <s v="A 3"/>
    <n v="209"/>
    <x v="8"/>
    <n v="16661.02"/>
    <n v="24529.670000000002"/>
  </r>
  <r>
    <x v="3"/>
    <x v="0"/>
    <x v="0"/>
    <x v="2"/>
    <x v="2"/>
    <x v="1"/>
    <s v="B 2"/>
    <n v="202"/>
    <x v="9"/>
    <n v="71834.69"/>
    <n v="0"/>
  </r>
  <r>
    <x v="3"/>
    <x v="0"/>
    <x v="0"/>
    <x v="2"/>
    <x v="2"/>
    <x v="2"/>
    <s v="A 3"/>
    <n v="404"/>
    <x v="10"/>
    <n v="26856.27"/>
    <n v="31541.330000000016"/>
  </r>
  <r>
    <x v="3"/>
    <x v="0"/>
    <x v="0"/>
    <x v="2"/>
    <x v="3"/>
    <x v="0"/>
    <s v="B 2"/>
    <n v="310"/>
    <x v="11"/>
    <n v="16588.64"/>
    <n v="19757.370000000003"/>
  </r>
  <r>
    <x v="3"/>
    <x v="0"/>
    <x v="0"/>
    <x v="2"/>
    <x v="3"/>
    <x v="1"/>
    <s v="B 1"/>
    <n v="206"/>
    <x v="12"/>
    <n v="6769.6299999999992"/>
    <n v="68187.250000000029"/>
  </r>
  <r>
    <x v="3"/>
    <x v="0"/>
    <x v="0"/>
    <x v="2"/>
    <x v="3"/>
    <x v="1"/>
    <s v="B 2"/>
    <n v="210"/>
    <x v="13"/>
    <n v="39916.97"/>
    <n v="45550.8"/>
  </r>
  <r>
    <x v="3"/>
    <x v="0"/>
    <x v="0"/>
    <x v="2"/>
    <x v="3"/>
    <x v="2"/>
    <s v="A 1"/>
    <n v="417"/>
    <x v="14"/>
    <n v="79092.889999999985"/>
    <n v="65650.790000000066"/>
  </r>
  <r>
    <x v="3"/>
    <x v="0"/>
    <x v="0"/>
    <x v="3"/>
    <x v="2"/>
    <x v="0"/>
    <s v="B 2"/>
    <n v="308"/>
    <x v="15"/>
    <n v="31016.370000000003"/>
    <n v="32993.700000000033"/>
  </r>
  <r>
    <x v="3"/>
    <x v="0"/>
    <x v="0"/>
    <x v="3"/>
    <x v="2"/>
    <x v="2"/>
    <s v="B 3"/>
    <n v="402"/>
    <x v="16"/>
    <n v="20820.219999999998"/>
    <n v="22165.96"/>
  </r>
  <r>
    <x v="3"/>
    <x v="0"/>
    <x v="0"/>
    <x v="3"/>
    <x v="2"/>
    <x v="2"/>
    <s v="B 3"/>
    <n v="406"/>
    <x v="17"/>
    <n v="15001.33"/>
    <n v="17232.180000000008"/>
  </r>
  <r>
    <x v="3"/>
    <x v="0"/>
    <x v="0"/>
    <x v="3"/>
    <x v="2"/>
    <x v="2"/>
    <s v="B 3"/>
    <n v="416"/>
    <x v="18"/>
    <n v="7943.71"/>
    <n v="16977.440000000002"/>
  </r>
  <r>
    <x v="3"/>
    <x v="0"/>
    <x v="0"/>
    <x v="3"/>
    <x v="2"/>
    <x v="2"/>
    <s v="XL"/>
    <n v="414"/>
    <x v="19"/>
    <n v="255730.62999999995"/>
    <n v="265827.98999999964"/>
  </r>
  <r>
    <x v="3"/>
    <x v="0"/>
    <x v="0"/>
    <x v="3"/>
    <x v="3"/>
    <x v="0"/>
    <s v="A 1"/>
    <n v="309"/>
    <x v="20"/>
    <n v="151188.6"/>
    <n v="159987.30000000022"/>
  </r>
  <r>
    <x v="3"/>
    <x v="0"/>
    <x v="0"/>
    <x v="3"/>
    <x v="3"/>
    <x v="0"/>
    <s v="A 2"/>
    <n v="305"/>
    <x v="21"/>
    <n v="97141.309999999969"/>
    <n v="113550.52000000014"/>
  </r>
  <r>
    <x v="3"/>
    <x v="0"/>
    <x v="0"/>
    <x v="3"/>
    <x v="3"/>
    <x v="0"/>
    <s v="B 1"/>
    <n v="302"/>
    <x v="22"/>
    <n v="57155.1"/>
    <n v="61373.680000000066"/>
  </r>
  <r>
    <x v="3"/>
    <x v="0"/>
    <x v="0"/>
    <x v="3"/>
    <x v="3"/>
    <x v="0"/>
    <s v="B 2"/>
    <n v="301"/>
    <x v="23"/>
    <n v="29856.94"/>
    <n v="35710.250000000029"/>
  </r>
  <r>
    <x v="3"/>
    <x v="0"/>
    <x v="0"/>
    <x v="3"/>
    <x v="3"/>
    <x v="0"/>
    <s v="B 2"/>
    <n v="311"/>
    <x v="24"/>
    <n v="28703.459999999995"/>
    <n v="30498.910000000025"/>
  </r>
  <r>
    <x v="3"/>
    <x v="0"/>
    <x v="0"/>
    <x v="3"/>
    <x v="3"/>
    <x v="1"/>
    <s v="A 1"/>
    <n v="211"/>
    <x v="25"/>
    <n v="157376.70000000007"/>
    <n v="154514.72000000003"/>
  </r>
  <r>
    <x v="3"/>
    <x v="0"/>
    <x v="0"/>
    <x v="3"/>
    <x v="3"/>
    <x v="1"/>
    <s v="A 2"/>
    <n v="207"/>
    <x v="26"/>
    <n v="82595.139999999985"/>
    <n v="105367.5400000002"/>
  </r>
  <r>
    <x v="3"/>
    <x v="0"/>
    <x v="0"/>
    <x v="3"/>
    <x v="3"/>
    <x v="1"/>
    <s v="A 3"/>
    <n v="203"/>
    <x v="27"/>
    <n v="42270.64"/>
    <n v="47610.160000000054"/>
  </r>
  <r>
    <x v="3"/>
    <x v="0"/>
    <x v="0"/>
    <x v="3"/>
    <x v="3"/>
    <x v="1"/>
    <s v="A 3"/>
    <n v="212"/>
    <x v="28"/>
    <n v="38230.269999999997"/>
    <n v="53993.850000000035"/>
  </r>
  <r>
    <x v="3"/>
    <x v="0"/>
    <x v="0"/>
    <x v="3"/>
    <x v="3"/>
    <x v="1"/>
    <s v="B 1"/>
    <n v="190"/>
    <x v="29"/>
    <n v="56678.2"/>
    <n v="64874.380000000048"/>
  </r>
  <r>
    <x v="3"/>
    <x v="0"/>
    <x v="0"/>
    <x v="3"/>
    <x v="3"/>
    <x v="1"/>
    <s v="B 1"/>
    <n v="214"/>
    <x v="30"/>
    <n v="56022.55999999999"/>
    <n v="64337.990000000049"/>
  </r>
  <r>
    <x v="3"/>
    <x v="0"/>
    <x v="0"/>
    <x v="3"/>
    <x v="3"/>
    <x v="2"/>
    <s v="A 2"/>
    <n v="407"/>
    <x v="31"/>
    <n v="92381.28"/>
    <n v="93168.34000000004"/>
  </r>
  <r>
    <x v="3"/>
    <x v="0"/>
    <x v="0"/>
    <x v="3"/>
    <x v="3"/>
    <x v="2"/>
    <s v="A 2"/>
    <n v="413"/>
    <x v="32"/>
    <n v="116950.53999999996"/>
    <n v="117591.31000000008"/>
  </r>
  <r>
    <x v="3"/>
    <x v="0"/>
    <x v="0"/>
    <x v="3"/>
    <x v="3"/>
    <x v="2"/>
    <s v="A 3"/>
    <n v="412"/>
    <x v="33"/>
    <n v="45970.689999999988"/>
    <n v="51189.710000000036"/>
  </r>
  <r>
    <x v="3"/>
    <x v="0"/>
    <x v="0"/>
    <x v="3"/>
    <x v="3"/>
    <x v="2"/>
    <s v="B 1"/>
    <n v="403"/>
    <x v="34"/>
    <n v="60066.369999999995"/>
    <n v="55591.510000000009"/>
  </r>
  <r>
    <x v="3"/>
    <x v="0"/>
    <x v="0"/>
    <x v="3"/>
    <x v="3"/>
    <x v="2"/>
    <s v="B 2"/>
    <n v="409"/>
    <x v="35"/>
    <n v="34854.429999999993"/>
    <n v="36544.020000000033"/>
  </r>
  <r>
    <x v="3"/>
    <x v="0"/>
    <x v="0"/>
    <x v="3"/>
    <x v="3"/>
    <x v="2"/>
    <s v="B 3"/>
    <n v="410"/>
    <x v="36"/>
    <n v="21342.340000000004"/>
    <n v="26084.290000000015"/>
  </r>
  <r>
    <x v="3"/>
    <x v="0"/>
    <x v="0"/>
    <x v="3"/>
    <x v="3"/>
    <x v="3"/>
    <s v="A 2"/>
    <n v="101"/>
    <x v="37"/>
    <n v="105008.55999999995"/>
    <n v="112061.14000000014"/>
  </r>
  <r>
    <x v="3"/>
    <x v="0"/>
    <x v="0"/>
    <x v="3"/>
    <x v="3"/>
    <x v="3"/>
    <s v="A 2"/>
    <n v="150"/>
    <x v="38"/>
    <n v="82244.179999999978"/>
    <n v="106312.51000000017"/>
  </r>
  <r>
    <x v="3"/>
    <x v="0"/>
    <x v="0"/>
    <x v="3"/>
    <x v="3"/>
    <x v="3"/>
    <s v="B 1"/>
    <n v="170"/>
    <x v="39"/>
    <n v="51291.139999999992"/>
    <n v="66866.120000000083"/>
  </r>
  <r>
    <x v="3"/>
    <x v="0"/>
    <x v="0"/>
    <x v="3"/>
    <x v="3"/>
    <x v="3"/>
    <s v="B 2"/>
    <n v="131"/>
    <x v="40"/>
    <n v="34698.14"/>
    <n v="36182.890000000014"/>
  </r>
  <r>
    <x v="3"/>
    <x v="0"/>
    <x v="0"/>
    <x v="3"/>
    <x v="3"/>
    <x v="3"/>
    <s v="B 3"/>
    <n v="151"/>
    <x v="41"/>
    <n v="24059.909999999996"/>
    <n v="35406.429999999986"/>
  </r>
  <r>
    <x v="3"/>
    <x v="0"/>
    <x v="1"/>
    <x v="1"/>
    <x v="1"/>
    <x v="2"/>
    <s v="OUTLET 1"/>
    <n v="418"/>
    <x v="42"/>
    <n v="0"/>
    <n v="141584.12000000017"/>
  </r>
  <r>
    <x v="3"/>
    <x v="0"/>
    <x v="1"/>
    <x v="3"/>
    <x v="0"/>
    <x v="0"/>
    <s v="OUTLET 1"/>
    <n v="307"/>
    <x v="43"/>
    <n v="58007.69"/>
    <n v="81374.520000000077"/>
  </r>
  <r>
    <x v="3"/>
    <x v="0"/>
    <x v="1"/>
    <x v="3"/>
    <x v="0"/>
    <x v="2"/>
    <s v="OUTLET 1"/>
    <n v="411"/>
    <x v="44"/>
    <n v="115190.1"/>
    <n v="98134.180000000211"/>
  </r>
  <r>
    <x v="3"/>
    <x v="0"/>
    <x v="1"/>
    <x v="3"/>
    <x v="2"/>
    <x v="1"/>
    <s v="OUTLET 1"/>
    <n v="213"/>
    <x v="45"/>
    <n v="60452.38"/>
    <n v="92018.650000000023"/>
  </r>
  <r>
    <x v="3"/>
    <x v="0"/>
    <x v="1"/>
    <x v="3"/>
    <x v="2"/>
    <x v="2"/>
    <s v="OUTLET 1"/>
    <n v="415"/>
    <x v="46"/>
    <n v="64262.470000000008"/>
    <n v="78894.879999999961"/>
  </r>
  <r>
    <x v="3"/>
    <x v="0"/>
    <x v="1"/>
    <x v="3"/>
    <x v="3"/>
    <x v="0"/>
    <s v="OUTLET 1"/>
    <n v="306"/>
    <x v="47"/>
    <n v="60920.80999999999"/>
    <n v="90055.420000000056"/>
  </r>
  <r>
    <x v="3"/>
    <x v="0"/>
    <x v="1"/>
    <x v="3"/>
    <x v="3"/>
    <x v="1"/>
    <s v="OUTLET 1"/>
    <n v="201"/>
    <x v="48"/>
    <n v="39896.83"/>
    <n v="65037.370000000039"/>
  </r>
  <r>
    <x v="3"/>
    <x v="0"/>
    <x v="1"/>
    <x v="3"/>
    <x v="3"/>
    <x v="1"/>
    <s v="OUTLET 1"/>
    <n v="204"/>
    <x v="49"/>
    <n v="54698.43"/>
    <n v="62666.129999999961"/>
  </r>
  <r>
    <x v="3"/>
    <x v="0"/>
    <x v="1"/>
    <x v="3"/>
    <x v="3"/>
    <x v="3"/>
    <s v="OUTLET 1"/>
    <n v="102"/>
    <x v="50"/>
    <n v="73019.470000000016"/>
    <n v="82324.619999999879"/>
  </r>
  <r>
    <x v="3"/>
    <x v="0"/>
    <x v="2"/>
    <x v="0"/>
    <x v="0"/>
    <x v="4"/>
    <s v="IQUIQUE"/>
    <s v="(en blanco)"/>
    <x v="51"/>
    <n v="0"/>
    <n v="0"/>
  </r>
  <r>
    <x v="3"/>
    <x v="0"/>
    <x v="2"/>
    <x v="0"/>
    <x v="0"/>
    <x v="4"/>
    <s v="IQUIQUE"/>
    <s v="(en blanco)"/>
    <x v="52"/>
    <n v="0"/>
    <n v="0"/>
  </r>
  <r>
    <x v="3"/>
    <x v="0"/>
    <x v="2"/>
    <x v="3"/>
    <x v="3"/>
    <x v="4"/>
    <s v="IQUIQUE"/>
    <n v="903"/>
    <x v="53"/>
    <n v="0"/>
    <n v="91793.29000000027"/>
  </r>
  <r>
    <x v="3"/>
    <x v="0"/>
    <x v="3"/>
    <x v="1"/>
    <x v="1"/>
    <x v="0"/>
    <s v="K 2"/>
    <s v="K-BALLIVIAN"/>
    <x v="54"/>
    <n v="0"/>
    <n v="0"/>
  </r>
  <r>
    <x v="3"/>
    <x v="0"/>
    <x v="3"/>
    <x v="1"/>
    <x v="1"/>
    <x v="1"/>
    <s v="K 1"/>
    <n v="470"/>
    <x v="55"/>
    <n v="0"/>
    <n v="0"/>
  </r>
  <r>
    <x v="3"/>
    <x v="0"/>
    <x v="3"/>
    <x v="1"/>
    <x v="1"/>
    <x v="1"/>
    <s v="K 2"/>
    <s v="K-LPC"/>
    <x v="56"/>
    <n v="0"/>
    <n v="0"/>
  </r>
  <r>
    <x v="3"/>
    <x v="0"/>
    <x v="3"/>
    <x v="1"/>
    <x v="1"/>
    <x v="1"/>
    <s v="K 2"/>
    <s v="K-LPCENTRO"/>
    <x v="57"/>
    <n v="0"/>
    <n v="0"/>
  </r>
  <r>
    <x v="3"/>
    <x v="0"/>
    <x v="3"/>
    <x v="1"/>
    <x v="1"/>
    <x v="2"/>
    <s v="K 2"/>
    <n v="494"/>
    <x v="58"/>
    <n v="0"/>
    <n v="0"/>
  </r>
  <r>
    <x v="3"/>
    <x v="0"/>
    <x v="3"/>
    <x v="1"/>
    <x v="1"/>
    <x v="3"/>
    <s v="K 2"/>
    <n v="460"/>
    <x v="59"/>
    <n v="0"/>
    <n v="0"/>
  </r>
  <r>
    <x v="3"/>
    <x v="0"/>
    <x v="3"/>
    <x v="1"/>
    <x v="1"/>
    <x v="3"/>
    <s v="K 2"/>
    <n v="461"/>
    <x v="60"/>
    <n v="0"/>
    <n v="0"/>
  </r>
  <r>
    <x v="3"/>
    <x v="0"/>
    <x v="3"/>
    <x v="1"/>
    <x v="3"/>
    <x v="0"/>
    <s v="K 1"/>
    <n v="480"/>
    <x v="61"/>
    <n v="0"/>
    <n v="32751.459999999992"/>
  </r>
  <r>
    <x v="3"/>
    <x v="0"/>
    <x v="3"/>
    <x v="1"/>
    <x v="3"/>
    <x v="2"/>
    <s v="K 1"/>
    <n v="491"/>
    <x v="62"/>
    <n v="0"/>
    <n v="77756.950000000215"/>
  </r>
  <r>
    <x v="3"/>
    <x v="0"/>
    <x v="3"/>
    <x v="1"/>
    <x v="3"/>
    <x v="2"/>
    <s v="K 1"/>
    <n v="492"/>
    <x v="63"/>
    <n v="0"/>
    <n v="48630.390000000007"/>
  </r>
  <r>
    <x v="3"/>
    <x v="0"/>
    <x v="3"/>
    <x v="1"/>
    <x v="3"/>
    <x v="2"/>
    <s v="K 1"/>
    <n v="493"/>
    <x v="64"/>
    <n v="0"/>
    <n v="32907.570000000051"/>
  </r>
  <r>
    <x v="3"/>
    <x v="0"/>
    <x v="4"/>
    <x v="1"/>
    <x v="1"/>
    <x v="3"/>
    <s v="Y 2"/>
    <n v="510"/>
    <x v="65"/>
    <n v="0"/>
    <n v="0"/>
  </r>
  <r>
    <x v="3"/>
    <x v="0"/>
    <x v="4"/>
    <x v="1"/>
    <x v="3"/>
    <x v="2"/>
    <s v="Y 1"/>
    <n v="541"/>
    <x v="66"/>
    <n v="0"/>
    <n v="32083.249999999978"/>
  </r>
  <r>
    <x v="3"/>
    <x v="0"/>
    <x v="4"/>
    <x v="1"/>
    <x v="3"/>
    <x v="2"/>
    <s v="Y 1"/>
    <n v="543"/>
    <x v="67"/>
    <n v="35220.31"/>
    <n v="35594.089999999982"/>
  </r>
  <r>
    <x v="3"/>
    <x v="0"/>
    <x v="4"/>
    <x v="2"/>
    <x v="3"/>
    <x v="2"/>
    <s v="Y 1"/>
    <n v="540"/>
    <x v="68"/>
    <n v="53460.02"/>
    <n v="86465.070000000036"/>
  </r>
  <r>
    <x v="3"/>
    <x v="0"/>
    <x v="4"/>
    <x v="3"/>
    <x v="2"/>
    <x v="0"/>
    <s v="Y 2"/>
    <n v="530"/>
    <x v="69"/>
    <n v="30743.840000000004"/>
    <n v="27545.839999999986"/>
  </r>
  <r>
    <x v="3"/>
    <x v="0"/>
    <x v="4"/>
    <x v="3"/>
    <x v="3"/>
    <x v="1"/>
    <s v="Y 1"/>
    <n v="520"/>
    <x v="70"/>
    <n v="47875.360000000001"/>
    <n v="46859.539999999994"/>
  </r>
  <r>
    <x v="3"/>
    <x v="0"/>
    <x v="4"/>
    <x v="3"/>
    <x v="3"/>
    <x v="2"/>
    <s v="Y 2"/>
    <n v="542"/>
    <x v="71"/>
    <n v="25056.300000000003"/>
    <n v="15213.280000000002"/>
  </r>
  <r>
    <x v="4"/>
    <x v="0"/>
    <x v="0"/>
    <x v="0"/>
    <x v="0"/>
    <x v="0"/>
    <s v="B 2"/>
    <s v="(en blanco)"/>
    <x v="0"/>
    <n v="0"/>
    <n v="0"/>
  </r>
  <r>
    <x v="4"/>
    <x v="0"/>
    <x v="0"/>
    <x v="0"/>
    <x v="0"/>
    <x v="1"/>
    <s v="B 2"/>
    <s v="(en blanco)"/>
    <x v="1"/>
    <n v="0"/>
    <n v="0"/>
  </r>
  <r>
    <x v="4"/>
    <x v="0"/>
    <x v="0"/>
    <x v="0"/>
    <x v="0"/>
    <x v="2"/>
    <s v="B 2"/>
    <s v="(en blanco)"/>
    <x v="2"/>
    <n v="0"/>
    <n v="0"/>
  </r>
  <r>
    <x v="4"/>
    <x v="0"/>
    <x v="0"/>
    <x v="0"/>
    <x v="0"/>
    <x v="2"/>
    <s v="CLOSED"/>
    <s v="(en blanco)"/>
    <x v="3"/>
    <n v="3097.32"/>
    <n v="0"/>
  </r>
  <r>
    <x v="4"/>
    <x v="0"/>
    <x v="0"/>
    <x v="0"/>
    <x v="0"/>
    <x v="3"/>
    <s v="CLOSED"/>
    <s v="(en blanco)"/>
    <x v="4"/>
    <n v="0"/>
    <n v="0"/>
  </r>
  <r>
    <x v="4"/>
    <x v="0"/>
    <x v="0"/>
    <x v="1"/>
    <x v="1"/>
    <x v="1"/>
    <s v="B 2"/>
    <s v="FP-UYU"/>
    <x v="5"/>
    <n v="0"/>
    <n v="0"/>
  </r>
  <r>
    <x v="4"/>
    <x v="0"/>
    <x v="0"/>
    <x v="2"/>
    <x v="2"/>
    <x v="0"/>
    <s v="B 2"/>
    <n v="304"/>
    <x v="6"/>
    <n v="38588.11"/>
    <n v="32827.35"/>
  </r>
  <r>
    <x v="4"/>
    <x v="0"/>
    <x v="0"/>
    <x v="2"/>
    <x v="2"/>
    <x v="1"/>
    <s v="A 3"/>
    <n v="208"/>
    <x v="7"/>
    <n v="35733.179999999993"/>
    <n v="40278.280000000035"/>
  </r>
  <r>
    <x v="4"/>
    <x v="0"/>
    <x v="0"/>
    <x v="2"/>
    <x v="2"/>
    <x v="1"/>
    <s v="A 3"/>
    <n v="209"/>
    <x v="8"/>
    <n v="17009.05"/>
    <n v="28817.94"/>
  </r>
  <r>
    <x v="4"/>
    <x v="0"/>
    <x v="0"/>
    <x v="2"/>
    <x v="2"/>
    <x v="1"/>
    <s v="B 2"/>
    <n v="202"/>
    <x v="9"/>
    <n v="71752.56"/>
    <n v="23668.22"/>
  </r>
  <r>
    <x v="4"/>
    <x v="0"/>
    <x v="0"/>
    <x v="2"/>
    <x v="2"/>
    <x v="2"/>
    <s v="A 3"/>
    <n v="404"/>
    <x v="10"/>
    <n v="31512.219999999994"/>
    <n v="26199.359999999993"/>
  </r>
  <r>
    <x v="4"/>
    <x v="0"/>
    <x v="0"/>
    <x v="2"/>
    <x v="3"/>
    <x v="0"/>
    <s v="B 2"/>
    <n v="310"/>
    <x v="11"/>
    <n v="12793.170000000002"/>
    <n v="19822.690000000017"/>
  </r>
  <r>
    <x v="4"/>
    <x v="0"/>
    <x v="0"/>
    <x v="2"/>
    <x v="3"/>
    <x v="1"/>
    <s v="B 1"/>
    <n v="206"/>
    <x v="12"/>
    <n v="0"/>
    <n v="59849.539999999979"/>
  </r>
  <r>
    <x v="4"/>
    <x v="0"/>
    <x v="0"/>
    <x v="2"/>
    <x v="3"/>
    <x v="1"/>
    <s v="B 2"/>
    <n v="210"/>
    <x v="13"/>
    <n v="37214.75"/>
    <n v="43154.120000000039"/>
  </r>
  <r>
    <x v="4"/>
    <x v="0"/>
    <x v="0"/>
    <x v="2"/>
    <x v="3"/>
    <x v="2"/>
    <s v="A 1"/>
    <n v="417"/>
    <x v="14"/>
    <n v="82820.589999999982"/>
    <n v="61856.210000000028"/>
  </r>
  <r>
    <x v="4"/>
    <x v="0"/>
    <x v="0"/>
    <x v="3"/>
    <x v="2"/>
    <x v="0"/>
    <s v="B 2"/>
    <n v="308"/>
    <x v="15"/>
    <n v="21905.15"/>
    <n v="30379.120000000006"/>
  </r>
  <r>
    <x v="4"/>
    <x v="0"/>
    <x v="0"/>
    <x v="3"/>
    <x v="2"/>
    <x v="2"/>
    <s v="B 3"/>
    <n v="402"/>
    <x v="16"/>
    <n v="21879.649999999998"/>
    <n v="18454.550000000003"/>
  </r>
  <r>
    <x v="4"/>
    <x v="0"/>
    <x v="0"/>
    <x v="3"/>
    <x v="2"/>
    <x v="2"/>
    <s v="B 3"/>
    <n v="406"/>
    <x v="17"/>
    <n v="17410.680000000004"/>
    <n v="15017.419999999995"/>
  </r>
  <r>
    <x v="4"/>
    <x v="0"/>
    <x v="0"/>
    <x v="3"/>
    <x v="2"/>
    <x v="2"/>
    <s v="B 3"/>
    <n v="416"/>
    <x v="18"/>
    <n v="8168.93"/>
    <n v="16122.059999999998"/>
  </r>
  <r>
    <x v="4"/>
    <x v="0"/>
    <x v="0"/>
    <x v="3"/>
    <x v="2"/>
    <x v="2"/>
    <s v="XL"/>
    <n v="414"/>
    <x v="19"/>
    <n v="254554.05999999997"/>
    <n v="260690.5900000011"/>
  </r>
  <r>
    <x v="4"/>
    <x v="0"/>
    <x v="0"/>
    <x v="3"/>
    <x v="3"/>
    <x v="0"/>
    <s v="A 1"/>
    <n v="309"/>
    <x v="20"/>
    <n v="144289.37"/>
    <n v="171080.75000000047"/>
  </r>
  <r>
    <x v="4"/>
    <x v="0"/>
    <x v="0"/>
    <x v="3"/>
    <x v="3"/>
    <x v="0"/>
    <s v="A 2"/>
    <n v="305"/>
    <x v="21"/>
    <n v="87829.619999999981"/>
    <n v="116412.7500000001"/>
  </r>
  <r>
    <x v="4"/>
    <x v="0"/>
    <x v="0"/>
    <x v="3"/>
    <x v="3"/>
    <x v="0"/>
    <s v="B 1"/>
    <n v="302"/>
    <x v="22"/>
    <n v="47664.69"/>
    <n v="60695.029999999984"/>
  </r>
  <r>
    <x v="4"/>
    <x v="0"/>
    <x v="0"/>
    <x v="3"/>
    <x v="3"/>
    <x v="0"/>
    <s v="B 2"/>
    <n v="301"/>
    <x v="23"/>
    <n v="27152.100000000002"/>
    <n v="31270.959999999999"/>
  </r>
  <r>
    <x v="4"/>
    <x v="0"/>
    <x v="0"/>
    <x v="3"/>
    <x v="3"/>
    <x v="0"/>
    <s v="B 2"/>
    <n v="311"/>
    <x v="24"/>
    <n v="24551.379999999997"/>
    <n v="34525.73000000001"/>
  </r>
  <r>
    <x v="4"/>
    <x v="0"/>
    <x v="0"/>
    <x v="3"/>
    <x v="3"/>
    <x v="1"/>
    <s v="A 1"/>
    <n v="211"/>
    <x v="25"/>
    <n v="163107.02000000002"/>
    <n v="137834.11000000019"/>
  </r>
  <r>
    <x v="4"/>
    <x v="0"/>
    <x v="0"/>
    <x v="3"/>
    <x v="3"/>
    <x v="1"/>
    <s v="A 2"/>
    <n v="207"/>
    <x v="26"/>
    <n v="103298.99999999997"/>
    <n v="99344.360000000102"/>
  </r>
  <r>
    <x v="4"/>
    <x v="0"/>
    <x v="0"/>
    <x v="3"/>
    <x v="3"/>
    <x v="1"/>
    <s v="A 3"/>
    <n v="203"/>
    <x v="27"/>
    <n v="40138.799999999996"/>
    <n v="48344.239999999983"/>
  </r>
  <r>
    <x v="4"/>
    <x v="0"/>
    <x v="0"/>
    <x v="3"/>
    <x v="3"/>
    <x v="1"/>
    <s v="A 3"/>
    <n v="212"/>
    <x v="28"/>
    <n v="45870.659999999996"/>
    <n v="55132.219999999979"/>
  </r>
  <r>
    <x v="4"/>
    <x v="0"/>
    <x v="0"/>
    <x v="3"/>
    <x v="3"/>
    <x v="1"/>
    <s v="B 1"/>
    <n v="190"/>
    <x v="29"/>
    <n v="61241.939999999988"/>
    <n v="63097.08999999996"/>
  </r>
  <r>
    <x v="4"/>
    <x v="0"/>
    <x v="0"/>
    <x v="3"/>
    <x v="3"/>
    <x v="1"/>
    <s v="B 1"/>
    <n v="214"/>
    <x v="30"/>
    <n v="52199.68"/>
    <n v="54310.919999999955"/>
  </r>
  <r>
    <x v="4"/>
    <x v="0"/>
    <x v="0"/>
    <x v="3"/>
    <x v="3"/>
    <x v="2"/>
    <s v="A 2"/>
    <n v="407"/>
    <x v="31"/>
    <n v="98629.65"/>
    <n v="85688.610000000015"/>
  </r>
  <r>
    <x v="4"/>
    <x v="0"/>
    <x v="0"/>
    <x v="3"/>
    <x v="3"/>
    <x v="2"/>
    <s v="A 2"/>
    <n v="413"/>
    <x v="32"/>
    <n v="126459.80999999997"/>
    <n v="127137.16000000012"/>
  </r>
  <r>
    <x v="4"/>
    <x v="0"/>
    <x v="0"/>
    <x v="3"/>
    <x v="3"/>
    <x v="2"/>
    <s v="A 3"/>
    <n v="412"/>
    <x v="33"/>
    <n v="54336.32999999998"/>
    <n v="52432.58"/>
  </r>
  <r>
    <x v="4"/>
    <x v="0"/>
    <x v="0"/>
    <x v="3"/>
    <x v="3"/>
    <x v="2"/>
    <s v="B 1"/>
    <n v="403"/>
    <x v="34"/>
    <n v="58758.960000000006"/>
    <n v="54861.140000000021"/>
  </r>
  <r>
    <x v="4"/>
    <x v="0"/>
    <x v="0"/>
    <x v="3"/>
    <x v="3"/>
    <x v="2"/>
    <s v="B 2"/>
    <n v="409"/>
    <x v="35"/>
    <n v="37059.110000000008"/>
    <n v="30891.090000000011"/>
  </r>
  <r>
    <x v="4"/>
    <x v="0"/>
    <x v="0"/>
    <x v="3"/>
    <x v="3"/>
    <x v="2"/>
    <s v="B 3"/>
    <n v="410"/>
    <x v="36"/>
    <n v="20195.96"/>
    <n v="26868.729999999992"/>
  </r>
  <r>
    <x v="4"/>
    <x v="0"/>
    <x v="0"/>
    <x v="3"/>
    <x v="3"/>
    <x v="3"/>
    <s v="A 2"/>
    <n v="101"/>
    <x v="37"/>
    <n v="109594.16999999998"/>
    <n v="122843.78000000032"/>
  </r>
  <r>
    <x v="4"/>
    <x v="0"/>
    <x v="0"/>
    <x v="3"/>
    <x v="3"/>
    <x v="3"/>
    <s v="A 2"/>
    <n v="150"/>
    <x v="38"/>
    <n v="98080.419999999969"/>
    <n v="109280.97000000016"/>
  </r>
  <r>
    <x v="4"/>
    <x v="0"/>
    <x v="0"/>
    <x v="3"/>
    <x v="3"/>
    <x v="3"/>
    <s v="B 1"/>
    <n v="170"/>
    <x v="39"/>
    <n v="53737.510000000009"/>
    <n v="64396.210000000028"/>
  </r>
  <r>
    <x v="4"/>
    <x v="0"/>
    <x v="0"/>
    <x v="3"/>
    <x v="3"/>
    <x v="3"/>
    <s v="B 2"/>
    <n v="131"/>
    <x v="40"/>
    <n v="34420.980000000003"/>
    <n v="38848.200000000026"/>
  </r>
  <r>
    <x v="4"/>
    <x v="0"/>
    <x v="0"/>
    <x v="3"/>
    <x v="3"/>
    <x v="3"/>
    <s v="B 3"/>
    <n v="151"/>
    <x v="41"/>
    <n v="29465.370000000003"/>
    <n v="32201.939999999973"/>
  </r>
  <r>
    <x v="4"/>
    <x v="0"/>
    <x v="1"/>
    <x v="1"/>
    <x v="1"/>
    <x v="2"/>
    <s v="OUTLET 1"/>
    <n v="418"/>
    <x v="42"/>
    <n v="0"/>
    <n v="104451.31000000019"/>
  </r>
  <r>
    <x v="4"/>
    <x v="0"/>
    <x v="1"/>
    <x v="3"/>
    <x v="0"/>
    <x v="0"/>
    <s v="OUTLET 1"/>
    <n v="307"/>
    <x v="43"/>
    <n v="47556.179999999993"/>
    <n v="71366.879999999961"/>
  </r>
  <r>
    <x v="4"/>
    <x v="0"/>
    <x v="1"/>
    <x v="3"/>
    <x v="0"/>
    <x v="2"/>
    <s v="OUTLET 1"/>
    <n v="411"/>
    <x v="44"/>
    <n v="110822.20999999999"/>
    <n v="97509.800000000105"/>
  </r>
  <r>
    <x v="4"/>
    <x v="0"/>
    <x v="1"/>
    <x v="3"/>
    <x v="2"/>
    <x v="1"/>
    <s v="OUTLET 1"/>
    <n v="213"/>
    <x v="45"/>
    <n v="63665.86"/>
    <n v="78298.480000000069"/>
  </r>
  <r>
    <x v="4"/>
    <x v="0"/>
    <x v="1"/>
    <x v="3"/>
    <x v="2"/>
    <x v="2"/>
    <s v="OUTLET 1"/>
    <n v="415"/>
    <x v="46"/>
    <n v="66626.299999999988"/>
    <n v="79217.610000000073"/>
  </r>
  <r>
    <x v="4"/>
    <x v="0"/>
    <x v="1"/>
    <x v="3"/>
    <x v="3"/>
    <x v="0"/>
    <s v="OUTLET 1"/>
    <n v="306"/>
    <x v="47"/>
    <n v="57380.60000000002"/>
    <n v="86442.900000000052"/>
  </r>
  <r>
    <x v="4"/>
    <x v="0"/>
    <x v="1"/>
    <x v="3"/>
    <x v="3"/>
    <x v="1"/>
    <s v="OUTLET 1"/>
    <n v="201"/>
    <x v="48"/>
    <n v="40705.780000000006"/>
    <n v="52226.45"/>
  </r>
  <r>
    <x v="4"/>
    <x v="0"/>
    <x v="1"/>
    <x v="3"/>
    <x v="3"/>
    <x v="1"/>
    <s v="OUTLET 1"/>
    <n v="204"/>
    <x v="49"/>
    <n v="57634.729999999996"/>
    <n v="56840.879999999932"/>
  </r>
  <r>
    <x v="4"/>
    <x v="0"/>
    <x v="1"/>
    <x v="3"/>
    <x v="3"/>
    <x v="3"/>
    <s v="OUTLET 1"/>
    <n v="102"/>
    <x v="50"/>
    <n v="74036.83"/>
    <n v="82777.419999999955"/>
  </r>
  <r>
    <x v="4"/>
    <x v="0"/>
    <x v="2"/>
    <x v="0"/>
    <x v="0"/>
    <x v="4"/>
    <s v="IQUIQUE"/>
    <s v="(en blanco)"/>
    <x v="51"/>
    <n v="0"/>
    <n v="0"/>
  </r>
  <r>
    <x v="4"/>
    <x v="0"/>
    <x v="2"/>
    <x v="0"/>
    <x v="0"/>
    <x v="4"/>
    <s v="IQUIQUE"/>
    <s v="(en blanco)"/>
    <x v="52"/>
    <n v="0"/>
    <n v="0"/>
  </r>
  <r>
    <x v="4"/>
    <x v="0"/>
    <x v="2"/>
    <x v="3"/>
    <x v="3"/>
    <x v="4"/>
    <s v="IQUIQUE"/>
    <n v="903"/>
    <x v="53"/>
    <n v="64247.59"/>
    <n v="78710.440000000061"/>
  </r>
  <r>
    <x v="4"/>
    <x v="0"/>
    <x v="3"/>
    <x v="1"/>
    <x v="1"/>
    <x v="0"/>
    <s v="K 2"/>
    <s v="K-BALLIVIAN"/>
    <x v="54"/>
    <n v="0"/>
    <n v="0"/>
  </r>
  <r>
    <x v="4"/>
    <x v="0"/>
    <x v="3"/>
    <x v="1"/>
    <x v="1"/>
    <x v="1"/>
    <s v="K 1"/>
    <n v="470"/>
    <x v="55"/>
    <n v="0"/>
    <n v="0"/>
  </r>
  <r>
    <x v="4"/>
    <x v="0"/>
    <x v="3"/>
    <x v="1"/>
    <x v="1"/>
    <x v="1"/>
    <s v="K 2"/>
    <s v="K-LPC"/>
    <x v="56"/>
    <n v="0"/>
    <n v="0"/>
  </r>
  <r>
    <x v="4"/>
    <x v="0"/>
    <x v="3"/>
    <x v="1"/>
    <x v="1"/>
    <x v="1"/>
    <s v="K 2"/>
    <s v="K-LPCENTRO"/>
    <x v="57"/>
    <n v="0"/>
    <n v="0"/>
  </r>
  <r>
    <x v="4"/>
    <x v="0"/>
    <x v="3"/>
    <x v="1"/>
    <x v="1"/>
    <x v="2"/>
    <s v="K 2"/>
    <n v="494"/>
    <x v="58"/>
    <n v="0"/>
    <n v="0"/>
  </r>
  <r>
    <x v="4"/>
    <x v="0"/>
    <x v="3"/>
    <x v="1"/>
    <x v="1"/>
    <x v="3"/>
    <s v="K 2"/>
    <n v="460"/>
    <x v="59"/>
    <n v="0"/>
    <n v="0"/>
  </r>
  <r>
    <x v="4"/>
    <x v="0"/>
    <x v="3"/>
    <x v="1"/>
    <x v="1"/>
    <x v="3"/>
    <s v="K 2"/>
    <n v="461"/>
    <x v="60"/>
    <n v="0"/>
    <n v="0"/>
  </r>
  <r>
    <x v="4"/>
    <x v="0"/>
    <x v="3"/>
    <x v="1"/>
    <x v="3"/>
    <x v="0"/>
    <s v="K 1"/>
    <n v="480"/>
    <x v="61"/>
    <n v="0"/>
    <n v="31428.320000000029"/>
  </r>
  <r>
    <x v="4"/>
    <x v="0"/>
    <x v="3"/>
    <x v="1"/>
    <x v="3"/>
    <x v="2"/>
    <s v="K 1"/>
    <n v="491"/>
    <x v="62"/>
    <n v="0"/>
    <n v="74555.200000000026"/>
  </r>
  <r>
    <x v="4"/>
    <x v="0"/>
    <x v="3"/>
    <x v="1"/>
    <x v="3"/>
    <x v="2"/>
    <s v="K 1"/>
    <n v="492"/>
    <x v="63"/>
    <n v="0"/>
    <n v="40655.430000000037"/>
  </r>
  <r>
    <x v="4"/>
    <x v="0"/>
    <x v="3"/>
    <x v="1"/>
    <x v="3"/>
    <x v="2"/>
    <s v="K 1"/>
    <n v="493"/>
    <x v="64"/>
    <n v="0"/>
    <n v="32906.979999999989"/>
  </r>
  <r>
    <x v="4"/>
    <x v="0"/>
    <x v="4"/>
    <x v="1"/>
    <x v="1"/>
    <x v="3"/>
    <s v="Y 2"/>
    <n v="510"/>
    <x v="65"/>
    <n v="0"/>
    <n v="0"/>
  </r>
  <r>
    <x v="4"/>
    <x v="0"/>
    <x v="4"/>
    <x v="1"/>
    <x v="3"/>
    <x v="2"/>
    <s v="Y 1"/>
    <n v="541"/>
    <x v="66"/>
    <n v="0"/>
    <n v="40908.76999999996"/>
  </r>
  <r>
    <x v="4"/>
    <x v="0"/>
    <x v="4"/>
    <x v="1"/>
    <x v="3"/>
    <x v="2"/>
    <s v="Y 1"/>
    <n v="543"/>
    <x v="67"/>
    <n v="25871.489999999998"/>
    <n v="31238.319999999974"/>
  </r>
  <r>
    <x v="4"/>
    <x v="0"/>
    <x v="4"/>
    <x v="2"/>
    <x v="3"/>
    <x v="2"/>
    <s v="Y 1"/>
    <n v="540"/>
    <x v="68"/>
    <n v="49919.499999999985"/>
    <n v="105756.96000000004"/>
  </r>
  <r>
    <x v="4"/>
    <x v="0"/>
    <x v="4"/>
    <x v="3"/>
    <x v="2"/>
    <x v="0"/>
    <s v="Y 2"/>
    <n v="530"/>
    <x v="69"/>
    <n v="18393.12"/>
    <n v="24921.149999999994"/>
  </r>
  <r>
    <x v="4"/>
    <x v="0"/>
    <x v="4"/>
    <x v="3"/>
    <x v="3"/>
    <x v="1"/>
    <s v="Y 1"/>
    <n v="520"/>
    <x v="70"/>
    <n v="45648.149999999994"/>
    <n v="56250.359999999971"/>
  </r>
  <r>
    <x v="4"/>
    <x v="0"/>
    <x v="4"/>
    <x v="3"/>
    <x v="3"/>
    <x v="2"/>
    <s v="Y 2"/>
    <n v="542"/>
    <x v="71"/>
    <n v="26904.639999999999"/>
    <n v="18908.91"/>
  </r>
  <r>
    <x v="5"/>
    <x v="0"/>
    <x v="0"/>
    <x v="0"/>
    <x v="0"/>
    <x v="0"/>
    <s v="B 2"/>
    <s v="(en blanco)"/>
    <x v="0"/>
    <n v="0"/>
    <n v="0"/>
  </r>
  <r>
    <x v="5"/>
    <x v="0"/>
    <x v="0"/>
    <x v="0"/>
    <x v="0"/>
    <x v="1"/>
    <s v="B 2"/>
    <s v="(en blanco)"/>
    <x v="1"/>
    <n v="0"/>
    <n v="0"/>
  </r>
  <r>
    <x v="5"/>
    <x v="0"/>
    <x v="0"/>
    <x v="0"/>
    <x v="0"/>
    <x v="2"/>
    <s v="B 2"/>
    <s v="(en blanco)"/>
    <x v="2"/>
    <n v="0"/>
    <n v="0"/>
  </r>
  <r>
    <x v="5"/>
    <x v="0"/>
    <x v="0"/>
    <x v="0"/>
    <x v="0"/>
    <x v="2"/>
    <s v="CLOSED"/>
    <s v="(en blanco)"/>
    <x v="3"/>
    <n v="0"/>
    <n v="0"/>
  </r>
  <r>
    <x v="5"/>
    <x v="0"/>
    <x v="0"/>
    <x v="0"/>
    <x v="0"/>
    <x v="3"/>
    <s v="CLOSED"/>
    <s v="(en blanco)"/>
    <x v="4"/>
    <n v="0"/>
    <n v="0"/>
  </r>
  <r>
    <x v="5"/>
    <x v="0"/>
    <x v="0"/>
    <x v="1"/>
    <x v="1"/>
    <x v="1"/>
    <s v="B 2"/>
    <s v="FP-UYU"/>
    <x v="5"/>
    <n v="0"/>
    <n v="0"/>
  </r>
  <r>
    <x v="5"/>
    <x v="0"/>
    <x v="0"/>
    <x v="1"/>
    <x v="1"/>
    <x v="2"/>
    <s v="B 2"/>
    <s v="FP-MUT"/>
    <x v="72"/>
    <n v="0"/>
    <n v="0"/>
  </r>
  <r>
    <x v="5"/>
    <x v="0"/>
    <x v="0"/>
    <x v="2"/>
    <x v="2"/>
    <x v="0"/>
    <s v="B 2"/>
    <n v="304"/>
    <x v="6"/>
    <n v="31444.599999999991"/>
    <n v="162.36000000000001"/>
  </r>
  <r>
    <x v="5"/>
    <x v="0"/>
    <x v="0"/>
    <x v="2"/>
    <x v="2"/>
    <x v="1"/>
    <s v="A 3"/>
    <n v="208"/>
    <x v="7"/>
    <n v="32414.529999999995"/>
    <n v="31787.590000000011"/>
  </r>
  <r>
    <x v="5"/>
    <x v="0"/>
    <x v="0"/>
    <x v="2"/>
    <x v="2"/>
    <x v="1"/>
    <s v="A 3"/>
    <n v="209"/>
    <x v="8"/>
    <n v="13271.670000000002"/>
    <n v="21020.749999999989"/>
  </r>
  <r>
    <x v="5"/>
    <x v="0"/>
    <x v="0"/>
    <x v="2"/>
    <x v="2"/>
    <x v="1"/>
    <s v="B 2"/>
    <n v="202"/>
    <x v="9"/>
    <n v="57355.62"/>
    <n v="46898.069999999949"/>
  </r>
  <r>
    <x v="5"/>
    <x v="0"/>
    <x v="0"/>
    <x v="2"/>
    <x v="2"/>
    <x v="2"/>
    <s v="A 3"/>
    <n v="404"/>
    <x v="10"/>
    <n v="27114.92"/>
    <n v="0"/>
  </r>
  <r>
    <x v="5"/>
    <x v="0"/>
    <x v="0"/>
    <x v="2"/>
    <x v="3"/>
    <x v="0"/>
    <s v="B 2"/>
    <n v="310"/>
    <x v="11"/>
    <n v="6045.77"/>
    <n v="15849.76"/>
  </r>
  <r>
    <x v="5"/>
    <x v="0"/>
    <x v="0"/>
    <x v="2"/>
    <x v="3"/>
    <x v="1"/>
    <s v="B 1"/>
    <n v="206"/>
    <x v="12"/>
    <n v="14995.43"/>
    <n v="49478.670000000027"/>
  </r>
  <r>
    <x v="5"/>
    <x v="0"/>
    <x v="0"/>
    <x v="2"/>
    <x v="3"/>
    <x v="1"/>
    <s v="B 2"/>
    <n v="210"/>
    <x v="13"/>
    <n v="29572.759999999995"/>
    <n v="34762.689999999981"/>
  </r>
  <r>
    <x v="5"/>
    <x v="0"/>
    <x v="0"/>
    <x v="2"/>
    <x v="3"/>
    <x v="2"/>
    <s v="A 1"/>
    <n v="417"/>
    <x v="14"/>
    <n v="81649.509999999995"/>
    <n v="63810.270000000048"/>
  </r>
  <r>
    <x v="5"/>
    <x v="0"/>
    <x v="0"/>
    <x v="3"/>
    <x v="2"/>
    <x v="0"/>
    <s v="B 2"/>
    <n v="308"/>
    <x v="15"/>
    <n v="17645.940000000002"/>
    <n v="28449.960000000017"/>
  </r>
  <r>
    <x v="5"/>
    <x v="0"/>
    <x v="0"/>
    <x v="3"/>
    <x v="2"/>
    <x v="2"/>
    <s v="B 3"/>
    <n v="402"/>
    <x v="16"/>
    <n v="19823.7"/>
    <n v="20955.28"/>
  </r>
  <r>
    <x v="5"/>
    <x v="0"/>
    <x v="0"/>
    <x v="3"/>
    <x v="2"/>
    <x v="2"/>
    <s v="B 3"/>
    <n v="406"/>
    <x v="17"/>
    <n v="17480.75"/>
    <n v="16472.439999999984"/>
  </r>
  <r>
    <x v="5"/>
    <x v="0"/>
    <x v="0"/>
    <x v="3"/>
    <x v="2"/>
    <x v="2"/>
    <s v="B 3"/>
    <n v="416"/>
    <x v="18"/>
    <n v="12957.689999999999"/>
    <n v="15095.649999999992"/>
  </r>
  <r>
    <x v="5"/>
    <x v="0"/>
    <x v="0"/>
    <x v="3"/>
    <x v="2"/>
    <x v="2"/>
    <s v="XL"/>
    <n v="414"/>
    <x v="19"/>
    <n v="238500.7099999999"/>
    <n v="244802.3199999994"/>
  </r>
  <r>
    <x v="5"/>
    <x v="0"/>
    <x v="0"/>
    <x v="3"/>
    <x v="3"/>
    <x v="0"/>
    <s v="A 1"/>
    <n v="309"/>
    <x v="20"/>
    <n v="106919.19"/>
    <n v="146862.30000000042"/>
  </r>
  <r>
    <x v="5"/>
    <x v="0"/>
    <x v="0"/>
    <x v="3"/>
    <x v="3"/>
    <x v="0"/>
    <s v="A 2"/>
    <n v="305"/>
    <x v="21"/>
    <n v="62420.279999999984"/>
    <n v="104821.81000000019"/>
  </r>
  <r>
    <x v="5"/>
    <x v="0"/>
    <x v="0"/>
    <x v="3"/>
    <x v="3"/>
    <x v="0"/>
    <s v="B 1"/>
    <n v="302"/>
    <x v="22"/>
    <n v="39592.929999999993"/>
    <n v="65115.969999999965"/>
  </r>
  <r>
    <x v="5"/>
    <x v="0"/>
    <x v="0"/>
    <x v="3"/>
    <x v="3"/>
    <x v="0"/>
    <s v="B 2"/>
    <n v="301"/>
    <x v="23"/>
    <n v="20977.22"/>
    <n v="36894.42"/>
  </r>
  <r>
    <x v="5"/>
    <x v="0"/>
    <x v="0"/>
    <x v="3"/>
    <x v="3"/>
    <x v="0"/>
    <s v="B 2"/>
    <n v="311"/>
    <x v="24"/>
    <n v="19872.32"/>
    <n v="34484.160000000011"/>
  </r>
  <r>
    <x v="5"/>
    <x v="0"/>
    <x v="0"/>
    <x v="3"/>
    <x v="3"/>
    <x v="1"/>
    <s v="A 1"/>
    <n v="211"/>
    <x v="25"/>
    <n v="154727.09999999998"/>
    <n v="130458.40000000049"/>
  </r>
  <r>
    <x v="5"/>
    <x v="0"/>
    <x v="0"/>
    <x v="3"/>
    <x v="3"/>
    <x v="1"/>
    <s v="A 2"/>
    <n v="207"/>
    <x v="26"/>
    <n v="89906.97"/>
    <n v="93463.180000000109"/>
  </r>
  <r>
    <x v="5"/>
    <x v="0"/>
    <x v="0"/>
    <x v="3"/>
    <x v="3"/>
    <x v="1"/>
    <s v="A 3"/>
    <n v="203"/>
    <x v="27"/>
    <n v="34753.58"/>
    <n v="45889.229999999989"/>
  </r>
  <r>
    <x v="5"/>
    <x v="0"/>
    <x v="0"/>
    <x v="3"/>
    <x v="3"/>
    <x v="1"/>
    <s v="A 3"/>
    <n v="212"/>
    <x v="28"/>
    <n v="42101.77"/>
    <n v="49913.029999999948"/>
  </r>
  <r>
    <x v="5"/>
    <x v="0"/>
    <x v="0"/>
    <x v="3"/>
    <x v="3"/>
    <x v="1"/>
    <s v="B 1"/>
    <n v="190"/>
    <x v="29"/>
    <n v="38703.099999999991"/>
    <n v="55492.849999999984"/>
  </r>
  <r>
    <x v="5"/>
    <x v="0"/>
    <x v="0"/>
    <x v="3"/>
    <x v="3"/>
    <x v="1"/>
    <s v="B 1"/>
    <n v="214"/>
    <x v="30"/>
    <n v="45228.480000000003"/>
    <n v="53547.290000000023"/>
  </r>
  <r>
    <x v="5"/>
    <x v="0"/>
    <x v="0"/>
    <x v="3"/>
    <x v="3"/>
    <x v="2"/>
    <s v="A 2"/>
    <n v="407"/>
    <x v="31"/>
    <n v="94332.07"/>
    <n v="95213.169999999955"/>
  </r>
  <r>
    <x v="5"/>
    <x v="0"/>
    <x v="0"/>
    <x v="3"/>
    <x v="3"/>
    <x v="2"/>
    <s v="A 2"/>
    <n v="413"/>
    <x v="32"/>
    <n v="115679.51999999999"/>
    <n v="118591.62000000021"/>
  </r>
  <r>
    <x v="5"/>
    <x v="0"/>
    <x v="0"/>
    <x v="3"/>
    <x v="3"/>
    <x v="2"/>
    <s v="A 3"/>
    <n v="412"/>
    <x v="33"/>
    <n v="53099.119999999981"/>
    <n v="50943.139999999978"/>
  </r>
  <r>
    <x v="5"/>
    <x v="0"/>
    <x v="0"/>
    <x v="3"/>
    <x v="3"/>
    <x v="2"/>
    <s v="B 1"/>
    <n v="403"/>
    <x v="34"/>
    <n v="52913.439999999981"/>
    <n v="63614.539999999979"/>
  </r>
  <r>
    <x v="5"/>
    <x v="0"/>
    <x v="0"/>
    <x v="3"/>
    <x v="3"/>
    <x v="2"/>
    <s v="B 2"/>
    <n v="409"/>
    <x v="35"/>
    <n v="32611.279999999999"/>
    <n v="28361.970000000019"/>
  </r>
  <r>
    <x v="5"/>
    <x v="0"/>
    <x v="0"/>
    <x v="3"/>
    <x v="3"/>
    <x v="2"/>
    <s v="B 3"/>
    <n v="410"/>
    <x v="36"/>
    <n v="19248.259999999998"/>
    <n v="23242"/>
  </r>
  <r>
    <x v="5"/>
    <x v="0"/>
    <x v="0"/>
    <x v="3"/>
    <x v="3"/>
    <x v="3"/>
    <s v="A 2"/>
    <n v="101"/>
    <x v="37"/>
    <n v="93187.829999999987"/>
    <n v="101039.94000000026"/>
  </r>
  <r>
    <x v="5"/>
    <x v="0"/>
    <x v="0"/>
    <x v="3"/>
    <x v="3"/>
    <x v="3"/>
    <s v="A 2"/>
    <n v="150"/>
    <x v="38"/>
    <n v="70901.960000000006"/>
    <n v="93851.150000000096"/>
  </r>
  <r>
    <x v="5"/>
    <x v="0"/>
    <x v="0"/>
    <x v="3"/>
    <x v="3"/>
    <x v="3"/>
    <s v="B 1"/>
    <n v="170"/>
    <x v="39"/>
    <n v="44356.710000000006"/>
    <n v="50646.979999999938"/>
  </r>
  <r>
    <x v="5"/>
    <x v="0"/>
    <x v="0"/>
    <x v="3"/>
    <x v="3"/>
    <x v="3"/>
    <s v="B 2"/>
    <n v="131"/>
    <x v="40"/>
    <n v="34681.449999999997"/>
    <n v="31063.430000000008"/>
  </r>
  <r>
    <x v="5"/>
    <x v="0"/>
    <x v="0"/>
    <x v="3"/>
    <x v="3"/>
    <x v="3"/>
    <s v="B 3"/>
    <n v="151"/>
    <x v="41"/>
    <n v="23360.559999999998"/>
    <n v="33488.54"/>
  </r>
  <r>
    <x v="5"/>
    <x v="0"/>
    <x v="1"/>
    <x v="1"/>
    <x v="1"/>
    <x v="2"/>
    <s v="OUTLET 1"/>
    <n v="418"/>
    <x v="42"/>
    <n v="0"/>
    <n v="120142.45000000017"/>
  </r>
  <r>
    <x v="5"/>
    <x v="0"/>
    <x v="1"/>
    <x v="3"/>
    <x v="0"/>
    <x v="0"/>
    <s v="OUTLET 1"/>
    <n v="307"/>
    <x v="43"/>
    <n v="27691.73"/>
    <n v="69033.160000000062"/>
  </r>
  <r>
    <x v="5"/>
    <x v="0"/>
    <x v="1"/>
    <x v="3"/>
    <x v="0"/>
    <x v="2"/>
    <s v="OUTLET 1"/>
    <n v="411"/>
    <x v="44"/>
    <n v="101896.81999999998"/>
    <n v="86055.559999999881"/>
  </r>
  <r>
    <x v="5"/>
    <x v="0"/>
    <x v="1"/>
    <x v="3"/>
    <x v="2"/>
    <x v="1"/>
    <s v="OUTLET 1"/>
    <n v="213"/>
    <x v="45"/>
    <n v="56766.17"/>
    <n v="74890.939999999988"/>
  </r>
  <r>
    <x v="5"/>
    <x v="0"/>
    <x v="1"/>
    <x v="3"/>
    <x v="2"/>
    <x v="2"/>
    <s v="OUTLET 1"/>
    <n v="415"/>
    <x v="46"/>
    <n v="54932.45"/>
    <n v="73378.660000000047"/>
  </r>
  <r>
    <x v="5"/>
    <x v="0"/>
    <x v="1"/>
    <x v="3"/>
    <x v="3"/>
    <x v="0"/>
    <s v="OUTLET 1"/>
    <n v="306"/>
    <x v="47"/>
    <n v="41927.279999999999"/>
    <n v="78541.850000000064"/>
  </r>
  <r>
    <x v="5"/>
    <x v="0"/>
    <x v="1"/>
    <x v="3"/>
    <x v="3"/>
    <x v="1"/>
    <s v="OUTLET 1"/>
    <n v="201"/>
    <x v="48"/>
    <n v="39764.700000000012"/>
    <n v="44158.46"/>
  </r>
  <r>
    <x v="5"/>
    <x v="0"/>
    <x v="1"/>
    <x v="3"/>
    <x v="3"/>
    <x v="1"/>
    <s v="OUTLET 1"/>
    <n v="204"/>
    <x v="49"/>
    <n v="43574.909999999989"/>
    <n v="56261.560000000005"/>
  </r>
  <r>
    <x v="5"/>
    <x v="0"/>
    <x v="1"/>
    <x v="3"/>
    <x v="3"/>
    <x v="3"/>
    <s v="OUTLET 1"/>
    <n v="102"/>
    <x v="50"/>
    <n v="65689.460000000021"/>
    <n v="73770.740000000034"/>
  </r>
  <r>
    <x v="5"/>
    <x v="0"/>
    <x v="2"/>
    <x v="3"/>
    <x v="3"/>
    <x v="4"/>
    <s v="IQUIQUE"/>
    <n v="903"/>
    <x v="53"/>
    <n v="126116.24999999997"/>
    <n v="84084.539999999964"/>
  </r>
  <r>
    <x v="5"/>
    <x v="0"/>
    <x v="3"/>
    <x v="1"/>
    <x v="1"/>
    <x v="0"/>
    <s v="K 2"/>
    <s v="K-BALLIVIAN"/>
    <x v="54"/>
    <n v="0"/>
    <n v="0"/>
  </r>
  <r>
    <x v="5"/>
    <x v="0"/>
    <x v="3"/>
    <x v="1"/>
    <x v="1"/>
    <x v="1"/>
    <s v="K 1"/>
    <n v="470"/>
    <x v="55"/>
    <n v="0"/>
    <n v="0"/>
  </r>
  <r>
    <x v="5"/>
    <x v="0"/>
    <x v="3"/>
    <x v="1"/>
    <x v="1"/>
    <x v="1"/>
    <s v="K 2"/>
    <s v="K-LPC"/>
    <x v="56"/>
    <n v="0"/>
    <n v="0"/>
  </r>
  <r>
    <x v="5"/>
    <x v="0"/>
    <x v="3"/>
    <x v="1"/>
    <x v="1"/>
    <x v="1"/>
    <s v="K 2"/>
    <s v="K-LPCENTRO"/>
    <x v="57"/>
    <n v="0"/>
    <n v="0"/>
  </r>
  <r>
    <x v="5"/>
    <x v="0"/>
    <x v="3"/>
    <x v="1"/>
    <x v="1"/>
    <x v="2"/>
    <s v="K 2"/>
    <n v="494"/>
    <x v="58"/>
    <n v="0"/>
    <n v="0"/>
  </r>
  <r>
    <x v="5"/>
    <x v="0"/>
    <x v="3"/>
    <x v="1"/>
    <x v="1"/>
    <x v="3"/>
    <s v="K 2"/>
    <n v="460"/>
    <x v="59"/>
    <n v="0"/>
    <n v="0"/>
  </r>
  <r>
    <x v="5"/>
    <x v="0"/>
    <x v="3"/>
    <x v="1"/>
    <x v="1"/>
    <x v="3"/>
    <s v="K 2"/>
    <n v="461"/>
    <x v="60"/>
    <n v="0"/>
    <n v="0"/>
  </r>
  <r>
    <x v="5"/>
    <x v="0"/>
    <x v="3"/>
    <x v="1"/>
    <x v="3"/>
    <x v="0"/>
    <s v="K 1"/>
    <n v="480"/>
    <x v="61"/>
    <n v="0"/>
    <n v="27073.54"/>
  </r>
  <r>
    <x v="5"/>
    <x v="0"/>
    <x v="3"/>
    <x v="1"/>
    <x v="3"/>
    <x v="2"/>
    <s v="K 1"/>
    <n v="491"/>
    <x v="62"/>
    <n v="0"/>
    <n v="70385.080000000133"/>
  </r>
  <r>
    <x v="5"/>
    <x v="0"/>
    <x v="3"/>
    <x v="1"/>
    <x v="3"/>
    <x v="2"/>
    <s v="K 1"/>
    <n v="492"/>
    <x v="63"/>
    <n v="45246.619999999995"/>
    <n v="44221.329999999973"/>
  </r>
  <r>
    <x v="5"/>
    <x v="0"/>
    <x v="3"/>
    <x v="1"/>
    <x v="3"/>
    <x v="2"/>
    <s v="K 1"/>
    <n v="493"/>
    <x v="64"/>
    <n v="0"/>
    <n v="28508.999999999993"/>
  </r>
  <r>
    <x v="5"/>
    <x v="0"/>
    <x v="4"/>
    <x v="1"/>
    <x v="1"/>
    <x v="1"/>
    <s v="Y 2"/>
    <s v="Y-LP"/>
    <x v="73"/>
    <n v="0"/>
    <n v="0"/>
  </r>
  <r>
    <x v="5"/>
    <x v="0"/>
    <x v="4"/>
    <x v="1"/>
    <x v="1"/>
    <x v="3"/>
    <s v="Y 2"/>
    <n v="510"/>
    <x v="65"/>
    <n v="0"/>
    <n v="0"/>
  </r>
  <r>
    <x v="5"/>
    <x v="0"/>
    <x v="4"/>
    <x v="1"/>
    <x v="3"/>
    <x v="2"/>
    <s v="Y 1"/>
    <n v="541"/>
    <x v="66"/>
    <n v="0"/>
    <n v="34538.039999999979"/>
  </r>
  <r>
    <x v="5"/>
    <x v="0"/>
    <x v="4"/>
    <x v="1"/>
    <x v="3"/>
    <x v="2"/>
    <s v="Y 1"/>
    <n v="543"/>
    <x v="67"/>
    <n v="35221.11"/>
    <n v="32118.389999999985"/>
  </r>
  <r>
    <x v="5"/>
    <x v="0"/>
    <x v="4"/>
    <x v="2"/>
    <x v="3"/>
    <x v="2"/>
    <s v="Y 1"/>
    <n v="540"/>
    <x v="68"/>
    <n v="55877.11"/>
    <n v="97150.790000000008"/>
  </r>
  <r>
    <x v="5"/>
    <x v="0"/>
    <x v="4"/>
    <x v="3"/>
    <x v="2"/>
    <x v="0"/>
    <s v="Y 2"/>
    <n v="530"/>
    <x v="69"/>
    <n v="17822.89"/>
    <n v="25355.929999999997"/>
  </r>
  <r>
    <x v="5"/>
    <x v="0"/>
    <x v="4"/>
    <x v="3"/>
    <x v="3"/>
    <x v="1"/>
    <s v="Y 1"/>
    <n v="520"/>
    <x v="70"/>
    <n v="41211.919999999998"/>
    <n v="41536.189999999959"/>
  </r>
  <r>
    <x v="5"/>
    <x v="0"/>
    <x v="4"/>
    <x v="3"/>
    <x v="3"/>
    <x v="2"/>
    <s v="Y 2"/>
    <n v="542"/>
    <x v="71"/>
    <n v="34987.789999999994"/>
    <n v="20528.919999999995"/>
  </r>
  <r>
    <x v="6"/>
    <x v="0"/>
    <x v="0"/>
    <x v="0"/>
    <x v="0"/>
    <x v="0"/>
    <s v="B 2"/>
    <s v="(en blanco)"/>
    <x v="0"/>
    <n v="0"/>
    <n v="0"/>
  </r>
  <r>
    <x v="6"/>
    <x v="0"/>
    <x v="0"/>
    <x v="0"/>
    <x v="0"/>
    <x v="1"/>
    <s v="B 2"/>
    <s v="(en blanco)"/>
    <x v="1"/>
    <n v="0"/>
    <n v="0"/>
  </r>
  <r>
    <x v="6"/>
    <x v="0"/>
    <x v="0"/>
    <x v="0"/>
    <x v="0"/>
    <x v="2"/>
    <s v="B 2"/>
    <s v="(en blanco)"/>
    <x v="2"/>
    <n v="0"/>
    <n v="0"/>
  </r>
  <r>
    <x v="6"/>
    <x v="0"/>
    <x v="0"/>
    <x v="0"/>
    <x v="0"/>
    <x v="2"/>
    <s v="CLOSED"/>
    <s v="(en blanco)"/>
    <x v="3"/>
    <n v="0"/>
    <n v="0"/>
  </r>
  <r>
    <x v="6"/>
    <x v="0"/>
    <x v="0"/>
    <x v="0"/>
    <x v="0"/>
    <x v="3"/>
    <s v="CLOSED"/>
    <s v="(en blanco)"/>
    <x v="4"/>
    <n v="0"/>
    <n v="0"/>
  </r>
  <r>
    <x v="6"/>
    <x v="0"/>
    <x v="0"/>
    <x v="1"/>
    <x v="1"/>
    <x v="1"/>
    <s v="B 2"/>
    <s v="FP-UYU"/>
    <x v="5"/>
    <n v="0"/>
    <n v="0"/>
  </r>
  <r>
    <x v="6"/>
    <x v="0"/>
    <x v="0"/>
    <x v="1"/>
    <x v="1"/>
    <x v="2"/>
    <s v="B 2"/>
    <s v="FP-MUT"/>
    <x v="72"/>
    <n v="0"/>
    <n v="0"/>
  </r>
  <r>
    <x v="6"/>
    <x v="0"/>
    <x v="0"/>
    <x v="2"/>
    <x v="2"/>
    <x v="0"/>
    <s v="B 2"/>
    <n v="304"/>
    <x v="6"/>
    <n v="48220.12999999999"/>
    <n v="16392.629999999997"/>
  </r>
  <r>
    <x v="6"/>
    <x v="0"/>
    <x v="0"/>
    <x v="2"/>
    <x v="2"/>
    <x v="1"/>
    <s v="A 3"/>
    <n v="208"/>
    <x v="7"/>
    <n v="31011.78999999999"/>
    <n v="33620.079999999973"/>
  </r>
  <r>
    <x v="6"/>
    <x v="0"/>
    <x v="0"/>
    <x v="2"/>
    <x v="2"/>
    <x v="1"/>
    <s v="A 3"/>
    <n v="209"/>
    <x v="8"/>
    <n v="13410.289999999999"/>
    <n v="20975.170000000013"/>
  </r>
  <r>
    <x v="6"/>
    <x v="0"/>
    <x v="0"/>
    <x v="2"/>
    <x v="2"/>
    <x v="1"/>
    <s v="B 2"/>
    <n v="202"/>
    <x v="9"/>
    <n v="50462.8"/>
    <n v="48943.359999999993"/>
  </r>
  <r>
    <x v="6"/>
    <x v="0"/>
    <x v="0"/>
    <x v="2"/>
    <x v="2"/>
    <x v="2"/>
    <s v="A 3"/>
    <n v="404"/>
    <x v="10"/>
    <n v="27589.609999999997"/>
    <n v="0"/>
  </r>
  <r>
    <x v="6"/>
    <x v="0"/>
    <x v="0"/>
    <x v="2"/>
    <x v="3"/>
    <x v="0"/>
    <s v="B 2"/>
    <n v="310"/>
    <x v="11"/>
    <n v="13381.73"/>
    <n v="42595.01000000006"/>
  </r>
  <r>
    <x v="6"/>
    <x v="0"/>
    <x v="0"/>
    <x v="2"/>
    <x v="3"/>
    <x v="1"/>
    <s v="B 1"/>
    <n v="206"/>
    <x v="12"/>
    <n v="73371.709999999992"/>
    <n v="55693.619999999988"/>
  </r>
  <r>
    <x v="6"/>
    <x v="0"/>
    <x v="0"/>
    <x v="2"/>
    <x v="3"/>
    <x v="1"/>
    <s v="B 2"/>
    <n v="210"/>
    <x v="13"/>
    <n v="27818.780000000002"/>
    <n v="34877.139999999992"/>
  </r>
  <r>
    <x v="6"/>
    <x v="0"/>
    <x v="0"/>
    <x v="2"/>
    <x v="3"/>
    <x v="2"/>
    <s v="A 1"/>
    <n v="417"/>
    <x v="14"/>
    <n v="88204.229999999981"/>
    <n v="65428.23000000001"/>
  </r>
  <r>
    <x v="6"/>
    <x v="0"/>
    <x v="0"/>
    <x v="3"/>
    <x v="2"/>
    <x v="0"/>
    <s v="B 2"/>
    <n v="308"/>
    <x v="15"/>
    <n v="33021.949999999997"/>
    <n v="29592.829999999987"/>
  </r>
  <r>
    <x v="6"/>
    <x v="0"/>
    <x v="0"/>
    <x v="3"/>
    <x v="2"/>
    <x v="2"/>
    <s v="B 3"/>
    <n v="402"/>
    <x v="16"/>
    <n v="24422.18"/>
    <n v="22231.510000000002"/>
  </r>
  <r>
    <x v="6"/>
    <x v="0"/>
    <x v="0"/>
    <x v="3"/>
    <x v="2"/>
    <x v="2"/>
    <s v="B 3"/>
    <n v="406"/>
    <x v="17"/>
    <n v="21129.540000000005"/>
    <n v="15451.319999999992"/>
  </r>
  <r>
    <x v="6"/>
    <x v="0"/>
    <x v="0"/>
    <x v="3"/>
    <x v="2"/>
    <x v="2"/>
    <s v="B 3"/>
    <n v="416"/>
    <x v="18"/>
    <n v="19451.670000000006"/>
    <n v="14246.249999999989"/>
  </r>
  <r>
    <x v="6"/>
    <x v="0"/>
    <x v="0"/>
    <x v="3"/>
    <x v="2"/>
    <x v="2"/>
    <s v="XL"/>
    <n v="414"/>
    <x v="19"/>
    <n v="273787.56999999995"/>
    <n v="279587.0200000006"/>
  </r>
  <r>
    <x v="6"/>
    <x v="0"/>
    <x v="0"/>
    <x v="3"/>
    <x v="3"/>
    <x v="0"/>
    <s v="A 1"/>
    <n v="309"/>
    <x v="20"/>
    <n v="183408.37"/>
    <n v="163343.75000000064"/>
  </r>
  <r>
    <x v="6"/>
    <x v="0"/>
    <x v="0"/>
    <x v="3"/>
    <x v="3"/>
    <x v="0"/>
    <s v="A 2"/>
    <n v="305"/>
    <x v="21"/>
    <n v="107678.10999999997"/>
    <n v="110063.79000000024"/>
  </r>
  <r>
    <x v="6"/>
    <x v="0"/>
    <x v="0"/>
    <x v="3"/>
    <x v="3"/>
    <x v="0"/>
    <s v="B 1"/>
    <n v="302"/>
    <x v="22"/>
    <n v="71219.459999999992"/>
    <n v="65912.560000000056"/>
  </r>
  <r>
    <x v="6"/>
    <x v="0"/>
    <x v="0"/>
    <x v="3"/>
    <x v="3"/>
    <x v="0"/>
    <s v="B 2"/>
    <n v="301"/>
    <x v="23"/>
    <n v="36107.01999999999"/>
    <n v="35803.489999999969"/>
  </r>
  <r>
    <x v="6"/>
    <x v="0"/>
    <x v="0"/>
    <x v="3"/>
    <x v="3"/>
    <x v="0"/>
    <s v="B 2"/>
    <n v="311"/>
    <x v="24"/>
    <n v="39912.629999999997"/>
    <n v="36938.569999999992"/>
  </r>
  <r>
    <x v="6"/>
    <x v="0"/>
    <x v="0"/>
    <x v="3"/>
    <x v="3"/>
    <x v="1"/>
    <s v="A 1"/>
    <n v="211"/>
    <x v="25"/>
    <n v="174253.13"/>
    <n v="155783.38000000059"/>
  </r>
  <r>
    <x v="6"/>
    <x v="0"/>
    <x v="0"/>
    <x v="3"/>
    <x v="3"/>
    <x v="1"/>
    <s v="A 2"/>
    <n v="207"/>
    <x v="26"/>
    <n v="93588.289999999979"/>
    <n v="94595.380000000237"/>
  </r>
  <r>
    <x v="6"/>
    <x v="0"/>
    <x v="0"/>
    <x v="3"/>
    <x v="3"/>
    <x v="1"/>
    <s v="A 3"/>
    <n v="203"/>
    <x v="27"/>
    <n v="47905.08"/>
    <n v="40094.919999999984"/>
  </r>
  <r>
    <x v="6"/>
    <x v="0"/>
    <x v="0"/>
    <x v="3"/>
    <x v="3"/>
    <x v="1"/>
    <s v="A 3"/>
    <n v="212"/>
    <x v="28"/>
    <n v="48214.179999999986"/>
    <n v="47235.009999999966"/>
  </r>
  <r>
    <x v="6"/>
    <x v="0"/>
    <x v="0"/>
    <x v="3"/>
    <x v="3"/>
    <x v="1"/>
    <s v="B 1"/>
    <n v="190"/>
    <x v="29"/>
    <n v="49458.13"/>
    <n v="49991.019999999968"/>
  </r>
  <r>
    <x v="6"/>
    <x v="0"/>
    <x v="0"/>
    <x v="3"/>
    <x v="3"/>
    <x v="1"/>
    <s v="B 1"/>
    <n v="214"/>
    <x v="30"/>
    <n v="46267.899999999994"/>
    <n v="58164.769999999968"/>
  </r>
  <r>
    <x v="6"/>
    <x v="0"/>
    <x v="0"/>
    <x v="3"/>
    <x v="3"/>
    <x v="2"/>
    <s v="A 2"/>
    <n v="407"/>
    <x v="31"/>
    <n v="95023.209999999992"/>
    <n v="100686.31999999998"/>
  </r>
  <r>
    <x v="6"/>
    <x v="0"/>
    <x v="0"/>
    <x v="3"/>
    <x v="3"/>
    <x v="2"/>
    <s v="A 2"/>
    <n v="413"/>
    <x v="32"/>
    <n v="116468.86999999997"/>
    <n v="113713.8000000001"/>
  </r>
  <r>
    <x v="6"/>
    <x v="0"/>
    <x v="0"/>
    <x v="3"/>
    <x v="3"/>
    <x v="2"/>
    <s v="A 3"/>
    <n v="412"/>
    <x v="33"/>
    <n v="48348.689999999995"/>
    <n v="45723.619999999966"/>
  </r>
  <r>
    <x v="6"/>
    <x v="0"/>
    <x v="0"/>
    <x v="3"/>
    <x v="3"/>
    <x v="2"/>
    <s v="B 1"/>
    <n v="403"/>
    <x v="34"/>
    <n v="53927.299999999996"/>
    <n v="51661.50999999998"/>
  </r>
  <r>
    <x v="6"/>
    <x v="0"/>
    <x v="0"/>
    <x v="3"/>
    <x v="3"/>
    <x v="2"/>
    <s v="B 2"/>
    <n v="409"/>
    <x v="35"/>
    <n v="39625.14"/>
    <n v="29472.979999999989"/>
  </r>
  <r>
    <x v="6"/>
    <x v="0"/>
    <x v="0"/>
    <x v="3"/>
    <x v="3"/>
    <x v="2"/>
    <s v="B 3"/>
    <n v="410"/>
    <x v="36"/>
    <n v="24011.800000000003"/>
    <n v="20775.199999999993"/>
  </r>
  <r>
    <x v="6"/>
    <x v="0"/>
    <x v="0"/>
    <x v="3"/>
    <x v="3"/>
    <x v="3"/>
    <s v="A 2"/>
    <n v="101"/>
    <x v="37"/>
    <n v="106292.26999999997"/>
    <n v="121890.87000000024"/>
  </r>
  <r>
    <x v="6"/>
    <x v="0"/>
    <x v="0"/>
    <x v="3"/>
    <x v="3"/>
    <x v="3"/>
    <s v="A 2"/>
    <n v="150"/>
    <x v="38"/>
    <n v="89037.59"/>
    <n v="104682.03"/>
  </r>
  <r>
    <x v="6"/>
    <x v="0"/>
    <x v="0"/>
    <x v="3"/>
    <x v="3"/>
    <x v="3"/>
    <s v="B 1"/>
    <n v="170"/>
    <x v="39"/>
    <n v="63092.6"/>
    <n v="55693.670000000006"/>
  </r>
  <r>
    <x v="6"/>
    <x v="0"/>
    <x v="0"/>
    <x v="3"/>
    <x v="3"/>
    <x v="3"/>
    <s v="B 2"/>
    <n v="131"/>
    <x v="40"/>
    <n v="30752.02"/>
    <n v="28308.649999999987"/>
  </r>
  <r>
    <x v="6"/>
    <x v="0"/>
    <x v="0"/>
    <x v="3"/>
    <x v="3"/>
    <x v="3"/>
    <s v="B 3"/>
    <n v="151"/>
    <x v="41"/>
    <n v="30960.320000000003"/>
    <n v="30517.109999999993"/>
  </r>
  <r>
    <x v="6"/>
    <x v="0"/>
    <x v="1"/>
    <x v="1"/>
    <x v="1"/>
    <x v="2"/>
    <s v="OUTLET 1"/>
    <n v="418"/>
    <x v="42"/>
    <n v="0"/>
    <n v="100098.05999999988"/>
  </r>
  <r>
    <x v="6"/>
    <x v="0"/>
    <x v="1"/>
    <x v="3"/>
    <x v="0"/>
    <x v="0"/>
    <s v="OUTLET 1"/>
    <n v="307"/>
    <x v="43"/>
    <n v="57451.829999999987"/>
    <n v="72187.629999999961"/>
  </r>
  <r>
    <x v="6"/>
    <x v="0"/>
    <x v="1"/>
    <x v="3"/>
    <x v="0"/>
    <x v="2"/>
    <s v="OUTLET 1"/>
    <n v="411"/>
    <x v="44"/>
    <n v="107466.77"/>
    <n v="79957.609999999986"/>
  </r>
  <r>
    <x v="6"/>
    <x v="0"/>
    <x v="1"/>
    <x v="3"/>
    <x v="2"/>
    <x v="1"/>
    <s v="OUTLET 1"/>
    <n v="213"/>
    <x v="45"/>
    <n v="68322.099999999991"/>
    <n v="73325.530000000086"/>
  </r>
  <r>
    <x v="6"/>
    <x v="0"/>
    <x v="1"/>
    <x v="3"/>
    <x v="2"/>
    <x v="2"/>
    <s v="OUTLET 1"/>
    <n v="415"/>
    <x v="46"/>
    <n v="73868.539999999979"/>
    <n v="64426.490000000034"/>
  </r>
  <r>
    <x v="6"/>
    <x v="0"/>
    <x v="1"/>
    <x v="3"/>
    <x v="3"/>
    <x v="0"/>
    <s v="OUTLET 1"/>
    <n v="306"/>
    <x v="47"/>
    <n v="75777.330000000016"/>
    <n v="80962.240000000107"/>
  </r>
  <r>
    <x v="6"/>
    <x v="0"/>
    <x v="1"/>
    <x v="3"/>
    <x v="3"/>
    <x v="1"/>
    <s v="OUTLET 1"/>
    <n v="201"/>
    <x v="48"/>
    <n v="41877.130000000005"/>
    <n v="47004.039999999943"/>
  </r>
  <r>
    <x v="6"/>
    <x v="0"/>
    <x v="1"/>
    <x v="3"/>
    <x v="3"/>
    <x v="1"/>
    <s v="OUTLET 1"/>
    <n v="204"/>
    <x v="49"/>
    <n v="71455"/>
    <n v="51283.890000000043"/>
  </r>
  <r>
    <x v="6"/>
    <x v="0"/>
    <x v="1"/>
    <x v="3"/>
    <x v="3"/>
    <x v="3"/>
    <s v="OUTLET 1"/>
    <n v="102"/>
    <x v="50"/>
    <n v="80226.87000000001"/>
    <n v="72456.700000000055"/>
  </r>
  <r>
    <x v="6"/>
    <x v="0"/>
    <x v="2"/>
    <x v="3"/>
    <x v="3"/>
    <x v="4"/>
    <s v="IQUIQUE"/>
    <n v="903"/>
    <x v="53"/>
    <n v="130076.40000000002"/>
    <n v="62355.189999999959"/>
  </r>
  <r>
    <x v="6"/>
    <x v="0"/>
    <x v="3"/>
    <x v="1"/>
    <x v="1"/>
    <x v="0"/>
    <s v="K 2"/>
    <s v="K-BALLIVIAN"/>
    <x v="54"/>
    <n v="0"/>
    <n v="0"/>
  </r>
  <r>
    <x v="6"/>
    <x v="0"/>
    <x v="3"/>
    <x v="1"/>
    <x v="1"/>
    <x v="1"/>
    <s v="K 1"/>
    <n v="470"/>
    <x v="55"/>
    <n v="0"/>
    <n v="0"/>
  </r>
  <r>
    <x v="6"/>
    <x v="0"/>
    <x v="3"/>
    <x v="1"/>
    <x v="1"/>
    <x v="1"/>
    <s v="K 2"/>
    <s v="K-LPC"/>
    <x v="56"/>
    <n v="0"/>
    <n v="0"/>
  </r>
  <r>
    <x v="6"/>
    <x v="0"/>
    <x v="3"/>
    <x v="1"/>
    <x v="1"/>
    <x v="1"/>
    <s v="K 2"/>
    <s v="K-LPCENTRO"/>
    <x v="57"/>
    <n v="0"/>
    <n v="0"/>
  </r>
  <r>
    <x v="6"/>
    <x v="0"/>
    <x v="3"/>
    <x v="1"/>
    <x v="1"/>
    <x v="2"/>
    <s v="K 2"/>
    <n v="494"/>
    <x v="58"/>
    <n v="0"/>
    <n v="0"/>
  </r>
  <r>
    <x v="6"/>
    <x v="0"/>
    <x v="3"/>
    <x v="1"/>
    <x v="1"/>
    <x v="3"/>
    <s v="K 2"/>
    <n v="460"/>
    <x v="59"/>
    <n v="0"/>
    <n v="0"/>
  </r>
  <r>
    <x v="6"/>
    <x v="0"/>
    <x v="3"/>
    <x v="1"/>
    <x v="1"/>
    <x v="3"/>
    <s v="K 2"/>
    <n v="461"/>
    <x v="60"/>
    <n v="0"/>
    <n v="0"/>
  </r>
  <r>
    <x v="6"/>
    <x v="0"/>
    <x v="3"/>
    <x v="1"/>
    <x v="3"/>
    <x v="0"/>
    <s v="K 1"/>
    <n v="480"/>
    <x v="61"/>
    <n v="20700.329999999991"/>
    <n v="34546.050000000003"/>
  </r>
  <r>
    <x v="6"/>
    <x v="0"/>
    <x v="3"/>
    <x v="1"/>
    <x v="3"/>
    <x v="2"/>
    <s v="K 1"/>
    <n v="491"/>
    <x v="62"/>
    <n v="0"/>
    <n v="74218.220000000132"/>
  </r>
  <r>
    <x v="6"/>
    <x v="0"/>
    <x v="3"/>
    <x v="1"/>
    <x v="3"/>
    <x v="2"/>
    <s v="K 1"/>
    <n v="492"/>
    <x v="63"/>
    <n v="77241.439999999973"/>
    <n v="39128.049999999974"/>
  </r>
  <r>
    <x v="6"/>
    <x v="0"/>
    <x v="3"/>
    <x v="1"/>
    <x v="3"/>
    <x v="2"/>
    <s v="K 1"/>
    <n v="493"/>
    <x v="64"/>
    <n v="0"/>
    <n v="27587.929999999997"/>
  </r>
  <r>
    <x v="6"/>
    <x v="0"/>
    <x v="4"/>
    <x v="1"/>
    <x v="1"/>
    <x v="1"/>
    <s v="Y 2"/>
    <s v="Y-LP"/>
    <x v="73"/>
    <n v="0"/>
    <n v="0"/>
  </r>
  <r>
    <x v="6"/>
    <x v="0"/>
    <x v="4"/>
    <x v="1"/>
    <x v="1"/>
    <x v="3"/>
    <s v="Y 2"/>
    <n v="510"/>
    <x v="65"/>
    <n v="0"/>
    <n v="0"/>
  </r>
  <r>
    <x v="6"/>
    <x v="0"/>
    <x v="4"/>
    <x v="1"/>
    <x v="3"/>
    <x v="2"/>
    <s v="Y 1"/>
    <n v="541"/>
    <x v="66"/>
    <n v="0"/>
    <n v="27448.199999999961"/>
  </r>
  <r>
    <x v="6"/>
    <x v="0"/>
    <x v="4"/>
    <x v="1"/>
    <x v="3"/>
    <x v="2"/>
    <s v="Y 1"/>
    <n v="543"/>
    <x v="67"/>
    <n v="35885.729999999996"/>
    <n v="31111.169999999987"/>
  </r>
  <r>
    <x v="6"/>
    <x v="0"/>
    <x v="4"/>
    <x v="2"/>
    <x v="3"/>
    <x v="2"/>
    <s v="Y 1"/>
    <n v="540"/>
    <x v="68"/>
    <n v="71488.399999999994"/>
    <n v="106987.01999999996"/>
  </r>
  <r>
    <x v="6"/>
    <x v="0"/>
    <x v="4"/>
    <x v="3"/>
    <x v="2"/>
    <x v="0"/>
    <s v="Y 2"/>
    <n v="530"/>
    <x v="69"/>
    <n v="29002.23"/>
    <n v="25519.609999999986"/>
  </r>
  <r>
    <x v="6"/>
    <x v="0"/>
    <x v="4"/>
    <x v="3"/>
    <x v="3"/>
    <x v="1"/>
    <s v="Y 1"/>
    <n v="520"/>
    <x v="70"/>
    <n v="50378.210000000006"/>
    <n v="53245.35999999995"/>
  </r>
  <r>
    <x v="6"/>
    <x v="0"/>
    <x v="4"/>
    <x v="3"/>
    <x v="3"/>
    <x v="2"/>
    <s v="Y 2"/>
    <n v="542"/>
    <x v="71"/>
    <n v="31657.34"/>
    <n v="19915.240000000013"/>
  </r>
  <r>
    <x v="7"/>
    <x v="1"/>
    <x v="0"/>
    <x v="0"/>
    <x v="0"/>
    <x v="0"/>
    <s v="B 2"/>
    <s v="(en blanco)"/>
    <x v="0"/>
    <n v="0"/>
    <n v="0"/>
  </r>
  <r>
    <x v="7"/>
    <x v="1"/>
    <x v="0"/>
    <x v="0"/>
    <x v="0"/>
    <x v="1"/>
    <s v="B 2"/>
    <s v="(en blanco)"/>
    <x v="1"/>
    <n v="0"/>
    <n v="0"/>
  </r>
  <r>
    <x v="7"/>
    <x v="1"/>
    <x v="0"/>
    <x v="0"/>
    <x v="0"/>
    <x v="2"/>
    <s v="B 2"/>
    <s v="(en blanco)"/>
    <x v="2"/>
    <n v="0"/>
    <n v="0"/>
  </r>
  <r>
    <x v="7"/>
    <x v="1"/>
    <x v="0"/>
    <x v="0"/>
    <x v="0"/>
    <x v="2"/>
    <s v="CLOSED"/>
    <s v="(en blanco)"/>
    <x v="3"/>
    <n v="0"/>
    <n v="0"/>
  </r>
  <r>
    <x v="7"/>
    <x v="1"/>
    <x v="0"/>
    <x v="1"/>
    <x v="1"/>
    <x v="1"/>
    <s v="B 2"/>
    <s v="FP-UYU"/>
    <x v="5"/>
    <n v="0"/>
    <n v="0"/>
  </r>
  <r>
    <x v="7"/>
    <x v="1"/>
    <x v="0"/>
    <x v="1"/>
    <x v="1"/>
    <x v="2"/>
    <s v="B 2"/>
    <s v="FP-MUT"/>
    <x v="72"/>
    <n v="0"/>
    <n v="0"/>
  </r>
  <r>
    <x v="7"/>
    <x v="1"/>
    <x v="0"/>
    <x v="2"/>
    <x v="2"/>
    <x v="0"/>
    <s v="B 2"/>
    <n v="304"/>
    <x v="6"/>
    <n v="69956.589999999967"/>
    <n v="75093.410000000018"/>
  </r>
  <r>
    <x v="7"/>
    <x v="1"/>
    <x v="0"/>
    <x v="2"/>
    <x v="2"/>
    <x v="1"/>
    <s v="A 3"/>
    <n v="208"/>
    <x v="7"/>
    <n v="52391.969999999979"/>
    <n v="65939.419999999955"/>
  </r>
  <r>
    <x v="7"/>
    <x v="1"/>
    <x v="0"/>
    <x v="2"/>
    <x v="2"/>
    <x v="1"/>
    <s v="A 3"/>
    <n v="209"/>
    <x v="8"/>
    <n v="27352.62"/>
    <n v="45247.75999999998"/>
  </r>
  <r>
    <x v="7"/>
    <x v="1"/>
    <x v="0"/>
    <x v="2"/>
    <x v="2"/>
    <x v="1"/>
    <s v="B 2"/>
    <n v="202"/>
    <x v="9"/>
    <n v="79886.689999999959"/>
    <n v="108410.29"/>
  </r>
  <r>
    <x v="7"/>
    <x v="1"/>
    <x v="0"/>
    <x v="2"/>
    <x v="2"/>
    <x v="2"/>
    <s v="A 3"/>
    <n v="404"/>
    <x v="10"/>
    <n v="60138.239999999991"/>
    <n v="43377.35"/>
  </r>
  <r>
    <x v="7"/>
    <x v="1"/>
    <x v="0"/>
    <x v="2"/>
    <x v="3"/>
    <x v="0"/>
    <s v="B 2"/>
    <n v="310"/>
    <x v="11"/>
    <n v="24121.789999999997"/>
    <n v="73896.549999999959"/>
  </r>
  <r>
    <x v="7"/>
    <x v="1"/>
    <x v="0"/>
    <x v="2"/>
    <x v="3"/>
    <x v="1"/>
    <s v="B 1"/>
    <n v="206"/>
    <x v="12"/>
    <n v="105040.54"/>
    <n v="140612.63"/>
  </r>
  <r>
    <x v="7"/>
    <x v="1"/>
    <x v="0"/>
    <x v="2"/>
    <x v="3"/>
    <x v="1"/>
    <s v="B 2"/>
    <n v="210"/>
    <x v="13"/>
    <n v="56065.859999999993"/>
    <n v="70595.590000000069"/>
  </r>
  <r>
    <x v="7"/>
    <x v="1"/>
    <x v="0"/>
    <x v="2"/>
    <x v="3"/>
    <x v="2"/>
    <s v="A 1"/>
    <n v="417"/>
    <x v="14"/>
    <n v="110699.69999999998"/>
    <n v="142959.53999999992"/>
  </r>
  <r>
    <x v="7"/>
    <x v="1"/>
    <x v="0"/>
    <x v="3"/>
    <x v="2"/>
    <x v="0"/>
    <s v="B 2"/>
    <n v="308"/>
    <x v="15"/>
    <n v="69755.209999999977"/>
    <n v="65079.250000000044"/>
  </r>
  <r>
    <x v="7"/>
    <x v="1"/>
    <x v="0"/>
    <x v="3"/>
    <x v="2"/>
    <x v="2"/>
    <s v="B 3"/>
    <n v="402"/>
    <x v="16"/>
    <n v="54327.139999999985"/>
    <n v="54039.919999999976"/>
  </r>
  <r>
    <x v="7"/>
    <x v="1"/>
    <x v="0"/>
    <x v="3"/>
    <x v="2"/>
    <x v="2"/>
    <s v="B 3"/>
    <n v="406"/>
    <x v="17"/>
    <n v="39274.560000000005"/>
    <n v="41348.169999999991"/>
  </r>
  <r>
    <x v="7"/>
    <x v="1"/>
    <x v="0"/>
    <x v="3"/>
    <x v="2"/>
    <x v="2"/>
    <s v="B 3"/>
    <n v="416"/>
    <x v="18"/>
    <n v="39860.74"/>
    <n v="53022.7"/>
  </r>
  <r>
    <x v="7"/>
    <x v="1"/>
    <x v="0"/>
    <x v="3"/>
    <x v="2"/>
    <x v="2"/>
    <s v="XL"/>
    <n v="414"/>
    <x v="19"/>
    <n v="432221.0999999998"/>
    <n v="515771.43000000226"/>
  </r>
  <r>
    <x v="7"/>
    <x v="1"/>
    <x v="0"/>
    <x v="3"/>
    <x v="3"/>
    <x v="0"/>
    <s v="A 1"/>
    <n v="309"/>
    <x v="20"/>
    <n v="255725.45999999996"/>
    <n v="352680.1100000015"/>
  </r>
  <r>
    <x v="7"/>
    <x v="1"/>
    <x v="0"/>
    <x v="3"/>
    <x v="3"/>
    <x v="0"/>
    <s v="A 2"/>
    <n v="305"/>
    <x v="21"/>
    <n v="180852.11999999994"/>
    <n v="222848.35000000044"/>
  </r>
  <r>
    <x v="7"/>
    <x v="1"/>
    <x v="0"/>
    <x v="3"/>
    <x v="3"/>
    <x v="0"/>
    <s v="B 1"/>
    <n v="302"/>
    <x v="22"/>
    <n v="123949.23"/>
    <n v="145958.08000000016"/>
  </r>
  <r>
    <x v="7"/>
    <x v="1"/>
    <x v="0"/>
    <x v="3"/>
    <x v="3"/>
    <x v="0"/>
    <s v="B 2"/>
    <n v="301"/>
    <x v="23"/>
    <n v="71054.049999999988"/>
    <n v="78747.749999999927"/>
  </r>
  <r>
    <x v="7"/>
    <x v="1"/>
    <x v="0"/>
    <x v="3"/>
    <x v="3"/>
    <x v="0"/>
    <s v="B 2"/>
    <n v="311"/>
    <x v="24"/>
    <n v="69921.049999999988"/>
    <n v="83338.309999999954"/>
  </r>
  <r>
    <x v="7"/>
    <x v="1"/>
    <x v="0"/>
    <x v="3"/>
    <x v="3"/>
    <x v="1"/>
    <s v="A 1"/>
    <n v="211"/>
    <x v="25"/>
    <n v="272748.00999999989"/>
    <n v="359367.37000000174"/>
  </r>
  <r>
    <x v="7"/>
    <x v="1"/>
    <x v="0"/>
    <x v="3"/>
    <x v="3"/>
    <x v="1"/>
    <s v="A 2"/>
    <n v="207"/>
    <x v="26"/>
    <n v="168150.88"/>
    <n v="267293.78000000096"/>
  </r>
  <r>
    <x v="7"/>
    <x v="1"/>
    <x v="0"/>
    <x v="3"/>
    <x v="3"/>
    <x v="1"/>
    <s v="A 3"/>
    <n v="203"/>
    <x v="27"/>
    <n v="69673.42"/>
    <n v="108168.78999999992"/>
  </r>
  <r>
    <x v="7"/>
    <x v="1"/>
    <x v="0"/>
    <x v="3"/>
    <x v="3"/>
    <x v="1"/>
    <s v="A 3"/>
    <n v="212"/>
    <x v="28"/>
    <n v="64762.89"/>
    <n v="115662.23999999992"/>
  </r>
  <r>
    <x v="7"/>
    <x v="1"/>
    <x v="0"/>
    <x v="3"/>
    <x v="3"/>
    <x v="1"/>
    <s v="B 1"/>
    <n v="190"/>
    <x v="29"/>
    <n v="101721.26999999999"/>
    <n v="138514.91000000015"/>
  </r>
  <r>
    <x v="7"/>
    <x v="1"/>
    <x v="0"/>
    <x v="3"/>
    <x v="3"/>
    <x v="1"/>
    <s v="B 1"/>
    <n v="214"/>
    <x v="30"/>
    <n v="78366.650000000009"/>
    <n v="120555.47000000002"/>
  </r>
  <r>
    <x v="7"/>
    <x v="1"/>
    <x v="0"/>
    <x v="3"/>
    <x v="3"/>
    <x v="2"/>
    <s v="A 2"/>
    <n v="407"/>
    <x v="31"/>
    <n v="183761.69999999995"/>
    <n v="263339.09000000049"/>
  </r>
  <r>
    <x v="7"/>
    <x v="1"/>
    <x v="0"/>
    <x v="3"/>
    <x v="3"/>
    <x v="2"/>
    <s v="A 2"/>
    <n v="413"/>
    <x v="32"/>
    <n v="210868.24999999994"/>
    <n v="243138.04000000059"/>
  </r>
  <r>
    <x v="7"/>
    <x v="1"/>
    <x v="0"/>
    <x v="3"/>
    <x v="3"/>
    <x v="2"/>
    <s v="A 3"/>
    <n v="412"/>
    <x v="33"/>
    <n v="87056.56"/>
    <n v="115859.30999999998"/>
  </r>
  <r>
    <x v="7"/>
    <x v="1"/>
    <x v="0"/>
    <x v="3"/>
    <x v="3"/>
    <x v="2"/>
    <s v="B 1"/>
    <n v="403"/>
    <x v="34"/>
    <n v="113980.59000000001"/>
    <n v="124377.05000000008"/>
  </r>
  <r>
    <x v="7"/>
    <x v="1"/>
    <x v="0"/>
    <x v="3"/>
    <x v="3"/>
    <x v="2"/>
    <s v="B 2"/>
    <n v="409"/>
    <x v="35"/>
    <n v="91904.320000000022"/>
    <n v="83583.420000000115"/>
  </r>
  <r>
    <x v="7"/>
    <x v="1"/>
    <x v="0"/>
    <x v="3"/>
    <x v="3"/>
    <x v="2"/>
    <s v="B 3"/>
    <n v="410"/>
    <x v="36"/>
    <n v="55937.409999999996"/>
    <n v="56737.55000000001"/>
  </r>
  <r>
    <x v="7"/>
    <x v="1"/>
    <x v="0"/>
    <x v="3"/>
    <x v="3"/>
    <x v="3"/>
    <s v="A 2"/>
    <n v="101"/>
    <x v="37"/>
    <n v="176175.66999999995"/>
    <n v="246967.59000000113"/>
  </r>
  <r>
    <x v="7"/>
    <x v="1"/>
    <x v="0"/>
    <x v="3"/>
    <x v="3"/>
    <x v="3"/>
    <s v="A 2"/>
    <n v="150"/>
    <x v="38"/>
    <n v="165212.55999999994"/>
    <n v="215353.31000000046"/>
  </r>
  <r>
    <x v="7"/>
    <x v="1"/>
    <x v="0"/>
    <x v="3"/>
    <x v="3"/>
    <x v="3"/>
    <s v="B 1"/>
    <n v="170"/>
    <x v="39"/>
    <n v="100350.15"/>
    <n v="136201.94"/>
  </r>
  <r>
    <x v="7"/>
    <x v="1"/>
    <x v="0"/>
    <x v="3"/>
    <x v="3"/>
    <x v="3"/>
    <s v="B 2"/>
    <n v="131"/>
    <x v="40"/>
    <n v="56983.380000000005"/>
    <n v="63604.279999999962"/>
  </r>
  <r>
    <x v="7"/>
    <x v="1"/>
    <x v="0"/>
    <x v="3"/>
    <x v="3"/>
    <x v="3"/>
    <s v="B 3"/>
    <n v="151"/>
    <x v="41"/>
    <n v="54810.710000000006"/>
    <n v="61822.620000000024"/>
  </r>
  <r>
    <x v="7"/>
    <x v="1"/>
    <x v="1"/>
    <x v="1"/>
    <x v="1"/>
    <x v="0"/>
    <s v="OUTLET 1"/>
    <s v="OUT-CBBA"/>
    <x v="74"/>
    <n v="0"/>
    <n v="0"/>
  </r>
  <r>
    <x v="7"/>
    <x v="1"/>
    <x v="1"/>
    <x v="1"/>
    <x v="1"/>
    <x v="2"/>
    <s v="OUTLET 1"/>
    <n v="418"/>
    <x v="42"/>
    <n v="0"/>
    <n v="162173.34999999998"/>
  </r>
  <r>
    <x v="7"/>
    <x v="1"/>
    <x v="1"/>
    <x v="3"/>
    <x v="0"/>
    <x v="0"/>
    <s v="OUTLET 1"/>
    <n v="307"/>
    <x v="43"/>
    <n v="93370.98000000001"/>
    <n v="120705.11000000026"/>
  </r>
  <r>
    <x v="7"/>
    <x v="1"/>
    <x v="1"/>
    <x v="3"/>
    <x v="0"/>
    <x v="2"/>
    <s v="OUTLET 1"/>
    <n v="411"/>
    <x v="44"/>
    <n v="122406.73000000001"/>
    <n v="127599.82000000012"/>
  </r>
  <r>
    <x v="7"/>
    <x v="1"/>
    <x v="1"/>
    <x v="3"/>
    <x v="2"/>
    <x v="1"/>
    <s v="OUTLET 1"/>
    <n v="213"/>
    <x v="45"/>
    <n v="93273.039999999979"/>
    <n v="143733.60000000003"/>
  </r>
  <r>
    <x v="7"/>
    <x v="1"/>
    <x v="1"/>
    <x v="3"/>
    <x v="2"/>
    <x v="2"/>
    <s v="OUTLET 1"/>
    <n v="415"/>
    <x v="46"/>
    <n v="102243.32999999999"/>
    <n v="118946.09999999995"/>
  </r>
  <r>
    <x v="7"/>
    <x v="1"/>
    <x v="1"/>
    <x v="3"/>
    <x v="3"/>
    <x v="0"/>
    <s v="OUTLET 1"/>
    <n v="306"/>
    <x v="47"/>
    <n v="111130.9"/>
    <n v="142105.9000000002"/>
  </r>
  <r>
    <x v="7"/>
    <x v="1"/>
    <x v="1"/>
    <x v="3"/>
    <x v="3"/>
    <x v="1"/>
    <s v="OUTLET 1"/>
    <n v="201"/>
    <x v="48"/>
    <n v="66435.569999999992"/>
    <n v="98005.470000000045"/>
  </r>
  <r>
    <x v="7"/>
    <x v="1"/>
    <x v="1"/>
    <x v="3"/>
    <x v="3"/>
    <x v="1"/>
    <s v="OUTLET 1"/>
    <n v="204"/>
    <x v="49"/>
    <n v="109050.76000000001"/>
    <n v="93008.560000000085"/>
  </r>
  <r>
    <x v="7"/>
    <x v="1"/>
    <x v="1"/>
    <x v="3"/>
    <x v="3"/>
    <x v="3"/>
    <s v="OUTLET 1"/>
    <n v="102"/>
    <x v="50"/>
    <n v="133482.73000000001"/>
    <n v="133231.56000000011"/>
  </r>
  <r>
    <x v="7"/>
    <x v="1"/>
    <x v="2"/>
    <x v="3"/>
    <x v="3"/>
    <x v="4"/>
    <s v="IQUIQUE"/>
    <n v="903"/>
    <x v="53"/>
    <n v="94992.900000000023"/>
    <n v="51753.959999999977"/>
  </r>
  <r>
    <x v="7"/>
    <x v="1"/>
    <x v="3"/>
    <x v="1"/>
    <x v="1"/>
    <x v="0"/>
    <s v="K 2"/>
    <s v="K-BALLIVIAN"/>
    <x v="54"/>
    <n v="0"/>
    <n v="0"/>
  </r>
  <r>
    <x v="7"/>
    <x v="1"/>
    <x v="3"/>
    <x v="1"/>
    <x v="1"/>
    <x v="1"/>
    <s v="K 1"/>
    <n v="470"/>
    <x v="55"/>
    <n v="0"/>
    <n v="0"/>
  </r>
  <r>
    <x v="7"/>
    <x v="1"/>
    <x v="3"/>
    <x v="1"/>
    <x v="1"/>
    <x v="1"/>
    <s v="K 2"/>
    <s v="K-LPC"/>
    <x v="56"/>
    <n v="0"/>
    <n v="0"/>
  </r>
  <r>
    <x v="7"/>
    <x v="1"/>
    <x v="3"/>
    <x v="1"/>
    <x v="1"/>
    <x v="1"/>
    <s v="K 2"/>
    <s v="K-LPCENTRO"/>
    <x v="57"/>
    <n v="0"/>
    <n v="0"/>
  </r>
  <r>
    <x v="7"/>
    <x v="1"/>
    <x v="3"/>
    <x v="1"/>
    <x v="1"/>
    <x v="2"/>
    <s v="K 2"/>
    <n v="494"/>
    <x v="58"/>
    <n v="0"/>
    <n v="12563.959999999988"/>
  </r>
  <r>
    <x v="7"/>
    <x v="1"/>
    <x v="3"/>
    <x v="1"/>
    <x v="1"/>
    <x v="3"/>
    <s v="K 2"/>
    <n v="460"/>
    <x v="59"/>
    <n v="0"/>
    <n v="0"/>
  </r>
  <r>
    <x v="7"/>
    <x v="1"/>
    <x v="3"/>
    <x v="1"/>
    <x v="1"/>
    <x v="3"/>
    <s v="K 2"/>
    <n v="461"/>
    <x v="60"/>
    <n v="0"/>
    <n v="0"/>
  </r>
  <r>
    <x v="7"/>
    <x v="1"/>
    <x v="3"/>
    <x v="1"/>
    <x v="3"/>
    <x v="0"/>
    <s v="K 1"/>
    <n v="480"/>
    <x v="61"/>
    <n v="46098.52"/>
    <n v="53297.31"/>
  </r>
  <r>
    <x v="7"/>
    <x v="1"/>
    <x v="3"/>
    <x v="1"/>
    <x v="3"/>
    <x v="2"/>
    <s v="K 1"/>
    <n v="491"/>
    <x v="62"/>
    <n v="0"/>
    <n v="102471.12999999996"/>
  </r>
  <r>
    <x v="7"/>
    <x v="1"/>
    <x v="3"/>
    <x v="1"/>
    <x v="3"/>
    <x v="2"/>
    <s v="K 1"/>
    <n v="492"/>
    <x v="63"/>
    <n v="74040.299999999974"/>
    <n v="61195.029999999962"/>
  </r>
  <r>
    <x v="7"/>
    <x v="1"/>
    <x v="3"/>
    <x v="1"/>
    <x v="3"/>
    <x v="2"/>
    <s v="K 1"/>
    <n v="493"/>
    <x v="64"/>
    <n v="0"/>
    <n v="46968.04"/>
  </r>
  <r>
    <x v="7"/>
    <x v="1"/>
    <x v="4"/>
    <x v="1"/>
    <x v="1"/>
    <x v="1"/>
    <s v="Y 2"/>
    <s v="Y-LP"/>
    <x v="73"/>
    <n v="0"/>
    <n v="0"/>
  </r>
  <r>
    <x v="7"/>
    <x v="1"/>
    <x v="4"/>
    <x v="1"/>
    <x v="1"/>
    <x v="3"/>
    <s v="Y 2"/>
    <n v="510"/>
    <x v="65"/>
    <n v="0"/>
    <n v="0"/>
  </r>
  <r>
    <x v="7"/>
    <x v="1"/>
    <x v="4"/>
    <x v="1"/>
    <x v="3"/>
    <x v="2"/>
    <s v="Y 1"/>
    <n v="541"/>
    <x v="66"/>
    <n v="14891.760000000002"/>
    <n v="38128.079999999973"/>
  </r>
  <r>
    <x v="7"/>
    <x v="1"/>
    <x v="4"/>
    <x v="1"/>
    <x v="3"/>
    <x v="2"/>
    <s v="Y 1"/>
    <n v="543"/>
    <x v="67"/>
    <n v="49288.05"/>
    <n v="40655.139999999978"/>
  </r>
  <r>
    <x v="7"/>
    <x v="1"/>
    <x v="4"/>
    <x v="2"/>
    <x v="3"/>
    <x v="2"/>
    <s v="Y 1"/>
    <n v="540"/>
    <x v="68"/>
    <n v="96492.260000000009"/>
    <n v="138916.33000000007"/>
  </r>
  <r>
    <x v="7"/>
    <x v="1"/>
    <x v="4"/>
    <x v="3"/>
    <x v="2"/>
    <x v="0"/>
    <s v="Y 2"/>
    <n v="530"/>
    <x v="69"/>
    <n v="40688.460000000006"/>
    <n v="52077.98000000001"/>
  </r>
  <r>
    <x v="7"/>
    <x v="1"/>
    <x v="4"/>
    <x v="3"/>
    <x v="3"/>
    <x v="1"/>
    <s v="Y 1"/>
    <n v="520"/>
    <x v="70"/>
    <n v="62734.950000000004"/>
    <n v="97837.969999999914"/>
  </r>
  <r>
    <x v="7"/>
    <x v="1"/>
    <x v="4"/>
    <x v="3"/>
    <x v="3"/>
    <x v="2"/>
    <s v="Y 2"/>
    <n v="542"/>
    <x v="71"/>
    <n v="44314.98"/>
    <n v="51142.109999999957"/>
  </r>
  <r>
    <x v="8"/>
    <x v="0"/>
    <x v="0"/>
    <x v="0"/>
    <x v="0"/>
    <x v="0"/>
    <s v="B 2"/>
    <s v="(en blanco)"/>
    <x v="0"/>
    <n v="0"/>
    <n v="0"/>
  </r>
  <r>
    <x v="8"/>
    <x v="0"/>
    <x v="0"/>
    <x v="0"/>
    <x v="0"/>
    <x v="1"/>
    <s v="B 2"/>
    <s v="(en blanco)"/>
    <x v="1"/>
    <n v="0"/>
    <n v="0"/>
  </r>
  <r>
    <x v="8"/>
    <x v="0"/>
    <x v="0"/>
    <x v="0"/>
    <x v="0"/>
    <x v="2"/>
    <s v="B 2"/>
    <s v="(en blanco)"/>
    <x v="2"/>
    <n v="0"/>
    <n v="0"/>
  </r>
  <r>
    <x v="8"/>
    <x v="0"/>
    <x v="0"/>
    <x v="0"/>
    <x v="0"/>
    <x v="2"/>
    <s v="CLOSED"/>
    <s v="(en blanco)"/>
    <x v="3"/>
    <n v="0"/>
    <n v="0"/>
  </r>
  <r>
    <x v="8"/>
    <x v="0"/>
    <x v="0"/>
    <x v="1"/>
    <x v="1"/>
    <x v="1"/>
    <s v="B 2"/>
    <s v="FP-UYU"/>
    <x v="5"/>
    <n v="0"/>
    <n v="0"/>
  </r>
  <r>
    <x v="8"/>
    <x v="0"/>
    <x v="0"/>
    <x v="1"/>
    <x v="1"/>
    <x v="2"/>
    <s v="B 2"/>
    <s v="FP-MUT"/>
    <x v="72"/>
    <n v="0"/>
    <n v="0"/>
  </r>
  <r>
    <x v="8"/>
    <x v="0"/>
    <x v="0"/>
    <x v="1"/>
    <x v="1"/>
    <x v="2"/>
    <s v="XL"/>
    <s v="FP-SMXL"/>
    <x v="75"/>
    <n v="0"/>
    <n v="0"/>
  </r>
  <r>
    <x v="8"/>
    <x v="0"/>
    <x v="0"/>
    <x v="2"/>
    <x v="2"/>
    <x v="0"/>
    <s v="B 2"/>
    <n v="304"/>
    <x v="6"/>
    <n v="43881.159999999982"/>
    <n v="41027.320000000007"/>
  </r>
  <r>
    <x v="8"/>
    <x v="0"/>
    <x v="0"/>
    <x v="2"/>
    <x v="2"/>
    <x v="1"/>
    <s v="A 3"/>
    <n v="208"/>
    <x v="7"/>
    <n v="24333.349999999991"/>
    <n v="19184.140000000014"/>
  </r>
  <r>
    <x v="8"/>
    <x v="0"/>
    <x v="0"/>
    <x v="2"/>
    <x v="2"/>
    <x v="1"/>
    <s v="A 3"/>
    <n v="209"/>
    <x v="8"/>
    <n v="17789.190000000002"/>
    <n v="17863.150000000001"/>
  </r>
  <r>
    <x v="8"/>
    <x v="0"/>
    <x v="0"/>
    <x v="2"/>
    <x v="2"/>
    <x v="1"/>
    <s v="B 2"/>
    <n v="202"/>
    <x v="9"/>
    <n v="49667.529999999992"/>
    <n v="39564.600000000006"/>
  </r>
  <r>
    <x v="8"/>
    <x v="0"/>
    <x v="0"/>
    <x v="2"/>
    <x v="2"/>
    <x v="2"/>
    <s v="A 3"/>
    <n v="404"/>
    <x v="10"/>
    <n v="26133.85"/>
    <n v="24453.45"/>
  </r>
  <r>
    <x v="8"/>
    <x v="0"/>
    <x v="0"/>
    <x v="2"/>
    <x v="3"/>
    <x v="0"/>
    <s v="B 2"/>
    <n v="310"/>
    <x v="11"/>
    <n v="11792.530000000002"/>
    <n v="14375.310000000007"/>
  </r>
  <r>
    <x v="8"/>
    <x v="0"/>
    <x v="0"/>
    <x v="2"/>
    <x v="3"/>
    <x v="1"/>
    <s v="B 1"/>
    <n v="206"/>
    <x v="12"/>
    <n v="57255.72"/>
    <n v="50891.64999999998"/>
  </r>
  <r>
    <x v="8"/>
    <x v="0"/>
    <x v="0"/>
    <x v="2"/>
    <x v="3"/>
    <x v="1"/>
    <s v="B 2"/>
    <n v="210"/>
    <x v="13"/>
    <n v="32998.980000000003"/>
    <n v="33527.240000000027"/>
  </r>
  <r>
    <x v="8"/>
    <x v="0"/>
    <x v="0"/>
    <x v="2"/>
    <x v="3"/>
    <x v="2"/>
    <s v="A 1"/>
    <n v="417"/>
    <x v="14"/>
    <n v="42022.380000000005"/>
    <n v="59805.989999999983"/>
  </r>
  <r>
    <x v="8"/>
    <x v="0"/>
    <x v="0"/>
    <x v="3"/>
    <x v="2"/>
    <x v="0"/>
    <s v="B 2"/>
    <n v="308"/>
    <x v="15"/>
    <n v="35510.759999999995"/>
    <n v="20616.05000000001"/>
  </r>
  <r>
    <x v="8"/>
    <x v="0"/>
    <x v="0"/>
    <x v="3"/>
    <x v="2"/>
    <x v="2"/>
    <s v="B 3"/>
    <n v="402"/>
    <x v="16"/>
    <n v="24013.050000000003"/>
    <n v="16383.620000000003"/>
  </r>
  <r>
    <x v="8"/>
    <x v="0"/>
    <x v="0"/>
    <x v="3"/>
    <x v="2"/>
    <x v="2"/>
    <s v="B 3"/>
    <n v="406"/>
    <x v="17"/>
    <n v="17462.080000000002"/>
    <n v="14217.239999999996"/>
  </r>
  <r>
    <x v="8"/>
    <x v="0"/>
    <x v="0"/>
    <x v="3"/>
    <x v="2"/>
    <x v="2"/>
    <s v="B 3"/>
    <n v="416"/>
    <x v="18"/>
    <n v="15922.61"/>
    <n v="11982.39"/>
  </r>
  <r>
    <x v="8"/>
    <x v="0"/>
    <x v="0"/>
    <x v="3"/>
    <x v="2"/>
    <x v="2"/>
    <s v="XL"/>
    <n v="414"/>
    <x v="19"/>
    <n v="230791.73999999996"/>
    <n v="259017.49000000081"/>
  </r>
  <r>
    <x v="8"/>
    <x v="0"/>
    <x v="0"/>
    <x v="3"/>
    <x v="3"/>
    <x v="0"/>
    <s v="A 1"/>
    <n v="309"/>
    <x v="20"/>
    <n v="168292.75000000003"/>
    <n v="159670.37000000075"/>
  </r>
  <r>
    <x v="8"/>
    <x v="0"/>
    <x v="0"/>
    <x v="3"/>
    <x v="3"/>
    <x v="0"/>
    <s v="A 2"/>
    <n v="305"/>
    <x v="21"/>
    <n v="107783.14999999998"/>
    <n v="90033.040000000023"/>
  </r>
  <r>
    <x v="8"/>
    <x v="0"/>
    <x v="0"/>
    <x v="3"/>
    <x v="3"/>
    <x v="0"/>
    <s v="B 1"/>
    <n v="302"/>
    <x v="22"/>
    <n v="71309.489999999991"/>
    <n v="56693.089999999982"/>
  </r>
  <r>
    <x v="8"/>
    <x v="0"/>
    <x v="0"/>
    <x v="3"/>
    <x v="3"/>
    <x v="0"/>
    <s v="B 2"/>
    <n v="301"/>
    <x v="23"/>
    <n v="40005.919999999998"/>
    <n v="31389.860000000022"/>
  </r>
  <r>
    <x v="8"/>
    <x v="0"/>
    <x v="0"/>
    <x v="3"/>
    <x v="3"/>
    <x v="0"/>
    <s v="B 2"/>
    <n v="311"/>
    <x v="24"/>
    <n v="42263.259999999995"/>
    <n v="30020.729999999996"/>
  </r>
  <r>
    <x v="8"/>
    <x v="0"/>
    <x v="0"/>
    <x v="3"/>
    <x v="3"/>
    <x v="1"/>
    <s v="A 1"/>
    <n v="211"/>
    <x v="25"/>
    <n v="165338.41"/>
    <n v="127915.93000000028"/>
  </r>
  <r>
    <x v="8"/>
    <x v="0"/>
    <x v="0"/>
    <x v="3"/>
    <x v="3"/>
    <x v="1"/>
    <s v="A 2"/>
    <n v="207"/>
    <x v="26"/>
    <n v="100909.23999999998"/>
    <n v="97527.710000000225"/>
  </r>
  <r>
    <x v="8"/>
    <x v="0"/>
    <x v="0"/>
    <x v="3"/>
    <x v="3"/>
    <x v="1"/>
    <s v="A 3"/>
    <n v="203"/>
    <x v="27"/>
    <n v="53540.2"/>
    <n v="38708.520000000004"/>
  </r>
  <r>
    <x v="8"/>
    <x v="0"/>
    <x v="0"/>
    <x v="3"/>
    <x v="3"/>
    <x v="1"/>
    <s v="A 3"/>
    <n v="212"/>
    <x v="28"/>
    <n v="38233.93"/>
    <n v="41860.049999999988"/>
  </r>
  <r>
    <x v="8"/>
    <x v="0"/>
    <x v="0"/>
    <x v="3"/>
    <x v="3"/>
    <x v="1"/>
    <s v="B 1"/>
    <n v="190"/>
    <x v="29"/>
    <n v="67563.039999999994"/>
    <n v="46876.219999999943"/>
  </r>
  <r>
    <x v="8"/>
    <x v="0"/>
    <x v="0"/>
    <x v="3"/>
    <x v="3"/>
    <x v="1"/>
    <s v="B 1"/>
    <n v="214"/>
    <x v="30"/>
    <n v="54052.95"/>
    <n v="53268.19999999999"/>
  </r>
  <r>
    <x v="8"/>
    <x v="0"/>
    <x v="0"/>
    <x v="3"/>
    <x v="3"/>
    <x v="2"/>
    <s v="A 2"/>
    <n v="407"/>
    <x v="31"/>
    <n v="94631.03"/>
    <n v="93935.100000000108"/>
  </r>
  <r>
    <x v="8"/>
    <x v="0"/>
    <x v="0"/>
    <x v="3"/>
    <x v="3"/>
    <x v="2"/>
    <s v="A 2"/>
    <n v="413"/>
    <x v="32"/>
    <n v="96459.469999999987"/>
    <n v="110291.6500000003"/>
  </r>
  <r>
    <x v="8"/>
    <x v="0"/>
    <x v="0"/>
    <x v="3"/>
    <x v="3"/>
    <x v="2"/>
    <s v="A 3"/>
    <n v="412"/>
    <x v="33"/>
    <n v="52120.479999999996"/>
    <n v="44763.28999999995"/>
  </r>
  <r>
    <x v="8"/>
    <x v="0"/>
    <x v="0"/>
    <x v="3"/>
    <x v="3"/>
    <x v="2"/>
    <s v="B 1"/>
    <n v="403"/>
    <x v="34"/>
    <n v="52734.889999999992"/>
    <n v="51987.230000000025"/>
  </r>
  <r>
    <x v="8"/>
    <x v="0"/>
    <x v="0"/>
    <x v="3"/>
    <x v="3"/>
    <x v="2"/>
    <s v="B 2"/>
    <n v="409"/>
    <x v="35"/>
    <n v="40711.74"/>
    <n v="30387.150000000012"/>
  </r>
  <r>
    <x v="8"/>
    <x v="0"/>
    <x v="0"/>
    <x v="3"/>
    <x v="3"/>
    <x v="2"/>
    <s v="B 3"/>
    <n v="410"/>
    <x v="36"/>
    <n v="24024.759999999995"/>
    <n v="16562.590000000004"/>
  </r>
  <r>
    <x v="8"/>
    <x v="0"/>
    <x v="0"/>
    <x v="3"/>
    <x v="3"/>
    <x v="3"/>
    <s v="A 2"/>
    <n v="101"/>
    <x v="37"/>
    <n v="122310.29999999999"/>
    <n v="110107.60000000031"/>
  </r>
  <r>
    <x v="8"/>
    <x v="0"/>
    <x v="0"/>
    <x v="3"/>
    <x v="3"/>
    <x v="3"/>
    <s v="A 2"/>
    <n v="150"/>
    <x v="38"/>
    <n v="102825.35999999999"/>
    <n v="88379.520000000091"/>
  </r>
  <r>
    <x v="8"/>
    <x v="0"/>
    <x v="0"/>
    <x v="3"/>
    <x v="3"/>
    <x v="3"/>
    <s v="B 1"/>
    <n v="170"/>
    <x v="39"/>
    <n v="58295.69"/>
    <n v="48305.099999999977"/>
  </r>
  <r>
    <x v="8"/>
    <x v="0"/>
    <x v="0"/>
    <x v="3"/>
    <x v="3"/>
    <x v="3"/>
    <s v="B 2"/>
    <n v="131"/>
    <x v="40"/>
    <n v="40097.269999999997"/>
    <n v="34147.39"/>
  </r>
  <r>
    <x v="8"/>
    <x v="0"/>
    <x v="0"/>
    <x v="3"/>
    <x v="3"/>
    <x v="3"/>
    <s v="B 3"/>
    <n v="151"/>
    <x v="41"/>
    <n v="38286.759999999995"/>
    <n v="23372.590000000018"/>
  </r>
  <r>
    <x v="8"/>
    <x v="0"/>
    <x v="1"/>
    <x v="1"/>
    <x v="1"/>
    <x v="0"/>
    <s v="OUTLET 1"/>
    <s v="OUT-CBBA"/>
    <x v="74"/>
    <n v="0"/>
    <n v="0"/>
  </r>
  <r>
    <x v="8"/>
    <x v="0"/>
    <x v="1"/>
    <x v="1"/>
    <x v="1"/>
    <x v="2"/>
    <s v="OUTLET 1"/>
    <n v="418"/>
    <x v="42"/>
    <n v="0"/>
    <n v="84944.220000000103"/>
  </r>
  <r>
    <x v="8"/>
    <x v="0"/>
    <x v="1"/>
    <x v="3"/>
    <x v="0"/>
    <x v="0"/>
    <s v="OUTLET 1"/>
    <n v="307"/>
    <x v="43"/>
    <n v="59148.039999999979"/>
    <n v="61925.210000000079"/>
  </r>
  <r>
    <x v="8"/>
    <x v="0"/>
    <x v="1"/>
    <x v="3"/>
    <x v="0"/>
    <x v="2"/>
    <s v="OUTLET 1"/>
    <n v="411"/>
    <x v="44"/>
    <n v="89690.760000000009"/>
    <n v="88872.530000000072"/>
  </r>
  <r>
    <x v="8"/>
    <x v="0"/>
    <x v="1"/>
    <x v="3"/>
    <x v="2"/>
    <x v="1"/>
    <s v="OUTLET 1"/>
    <n v="213"/>
    <x v="45"/>
    <n v="65615.960000000006"/>
    <n v="68561.920000000042"/>
  </r>
  <r>
    <x v="8"/>
    <x v="0"/>
    <x v="1"/>
    <x v="3"/>
    <x v="2"/>
    <x v="2"/>
    <s v="OUTLET 1"/>
    <n v="415"/>
    <x v="46"/>
    <n v="66529.66"/>
    <n v="57137.09000000004"/>
  </r>
  <r>
    <x v="8"/>
    <x v="0"/>
    <x v="1"/>
    <x v="3"/>
    <x v="3"/>
    <x v="0"/>
    <s v="OUTLET 1"/>
    <n v="306"/>
    <x v="47"/>
    <n v="74490.69"/>
    <n v="79510.450000000201"/>
  </r>
  <r>
    <x v="8"/>
    <x v="0"/>
    <x v="1"/>
    <x v="3"/>
    <x v="3"/>
    <x v="1"/>
    <s v="OUTLET 1"/>
    <n v="201"/>
    <x v="48"/>
    <n v="55985.48"/>
    <n v="39067.97"/>
  </r>
  <r>
    <x v="8"/>
    <x v="0"/>
    <x v="1"/>
    <x v="3"/>
    <x v="3"/>
    <x v="1"/>
    <s v="OUTLET 1"/>
    <n v="204"/>
    <x v="49"/>
    <n v="56047.039999999994"/>
    <n v="50050.270000000004"/>
  </r>
  <r>
    <x v="8"/>
    <x v="0"/>
    <x v="1"/>
    <x v="3"/>
    <x v="3"/>
    <x v="3"/>
    <s v="OUTLET 1"/>
    <n v="102"/>
    <x v="50"/>
    <n v="90480.09"/>
    <n v="65086.699999999917"/>
  </r>
  <r>
    <x v="8"/>
    <x v="0"/>
    <x v="2"/>
    <x v="3"/>
    <x v="3"/>
    <x v="4"/>
    <s v="IQUIQUE"/>
    <n v="903"/>
    <x v="53"/>
    <n v="108010.31000000004"/>
    <n v="80118.01999999999"/>
  </r>
  <r>
    <x v="8"/>
    <x v="0"/>
    <x v="3"/>
    <x v="1"/>
    <x v="1"/>
    <x v="0"/>
    <s v="K 2"/>
    <s v="K-BALLIVIAN"/>
    <x v="54"/>
    <n v="0"/>
    <n v="0"/>
  </r>
  <r>
    <x v="8"/>
    <x v="0"/>
    <x v="3"/>
    <x v="1"/>
    <x v="1"/>
    <x v="1"/>
    <s v="K 1"/>
    <n v="470"/>
    <x v="55"/>
    <n v="0"/>
    <n v="0"/>
  </r>
  <r>
    <x v="8"/>
    <x v="0"/>
    <x v="3"/>
    <x v="1"/>
    <x v="1"/>
    <x v="1"/>
    <s v="K 2"/>
    <s v="K-LPC"/>
    <x v="56"/>
    <n v="0"/>
    <n v="0"/>
  </r>
  <r>
    <x v="8"/>
    <x v="0"/>
    <x v="3"/>
    <x v="1"/>
    <x v="1"/>
    <x v="1"/>
    <s v="K 2"/>
    <s v="K-LPCENTRO"/>
    <x v="57"/>
    <n v="0"/>
    <n v="0"/>
  </r>
  <r>
    <x v="8"/>
    <x v="0"/>
    <x v="3"/>
    <x v="1"/>
    <x v="1"/>
    <x v="2"/>
    <s v="K 2"/>
    <n v="494"/>
    <x v="58"/>
    <n v="0"/>
    <n v="11701.019999999993"/>
  </r>
  <r>
    <x v="8"/>
    <x v="0"/>
    <x v="3"/>
    <x v="1"/>
    <x v="1"/>
    <x v="3"/>
    <s v="K 2"/>
    <n v="460"/>
    <x v="59"/>
    <n v="0"/>
    <n v="0"/>
  </r>
  <r>
    <x v="8"/>
    <x v="0"/>
    <x v="3"/>
    <x v="1"/>
    <x v="1"/>
    <x v="3"/>
    <s v="K 2"/>
    <n v="461"/>
    <x v="60"/>
    <n v="0"/>
    <n v="0"/>
  </r>
  <r>
    <x v="8"/>
    <x v="0"/>
    <x v="3"/>
    <x v="1"/>
    <x v="3"/>
    <x v="0"/>
    <s v="K 1"/>
    <n v="480"/>
    <x v="61"/>
    <n v="34782.979999999996"/>
    <n v="23506.760000000013"/>
  </r>
  <r>
    <x v="8"/>
    <x v="0"/>
    <x v="3"/>
    <x v="1"/>
    <x v="3"/>
    <x v="2"/>
    <s v="K 1"/>
    <n v="491"/>
    <x v="62"/>
    <n v="0"/>
    <n v="75815.370000000199"/>
  </r>
  <r>
    <x v="8"/>
    <x v="0"/>
    <x v="3"/>
    <x v="1"/>
    <x v="3"/>
    <x v="2"/>
    <s v="K 1"/>
    <n v="492"/>
    <x v="63"/>
    <n v="46942.679999999993"/>
    <n v="33309.390000000014"/>
  </r>
  <r>
    <x v="8"/>
    <x v="0"/>
    <x v="3"/>
    <x v="1"/>
    <x v="3"/>
    <x v="2"/>
    <s v="K 1"/>
    <n v="493"/>
    <x v="64"/>
    <n v="21718.23"/>
    <n v="24290.630000000005"/>
  </r>
  <r>
    <x v="8"/>
    <x v="0"/>
    <x v="4"/>
    <x v="1"/>
    <x v="1"/>
    <x v="1"/>
    <s v="Y 2"/>
    <s v="Y-LP"/>
    <x v="73"/>
    <n v="0"/>
    <n v="0"/>
  </r>
  <r>
    <x v="8"/>
    <x v="0"/>
    <x v="4"/>
    <x v="1"/>
    <x v="1"/>
    <x v="3"/>
    <s v="Y 2"/>
    <n v="510"/>
    <x v="65"/>
    <n v="0"/>
    <n v="0"/>
  </r>
  <r>
    <x v="8"/>
    <x v="0"/>
    <x v="4"/>
    <x v="1"/>
    <x v="1"/>
    <x v="3"/>
    <s v="Y 2"/>
    <s v="Y-SCRE"/>
    <x v="76"/>
    <n v="0"/>
    <n v="0"/>
  </r>
  <r>
    <x v="8"/>
    <x v="0"/>
    <x v="4"/>
    <x v="1"/>
    <x v="3"/>
    <x v="2"/>
    <s v="Y 1"/>
    <n v="541"/>
    <x v="66"/>
    <n v="21284.879999999997"/>
    <n v="22849.42"/>
  </r>
  <r>
    <x v="8"/>
    <x v="0"/>
    <x v="4"/>
    <x v="1"/>
    <x v="3"/>
    <x v="2"/>
    <s v="Y 1"/>
    <n v="543"/>
    <x v="67"/>
    <n v="27495.82"/>
    <n v="21563.429999999993"/>
  </r>
  <r>
    <x v="8"/>
    <x v="0"/>
    <x v="4"/>
    <x v="2"/>
    <x v="3"/>
    <x v="2"/>
    <s v="Y 1"/>
    <n v="540"/>
    <x v="68"/>
    <n v="53827.17"/>
    <n v="82727.760000000009"/>
  </r>
  <r>
    <x v="8"/>
    <x v="0"/>
    <x v="4"/>
    <x v="3"/>
    <x v="2"/>
    <x v="0"/>
    <s v="Y 2"/>
    <n v="530"/>
    <x v="69"/>
    <n v="24636.149999999994"/>
    <n v="18638.560000000005"/>
  </r>
  <r>
    <x v="8"/>
    <x v="0"/>
    <x v="4"/>
    <x v="3"/>
    <x v="3"/>
    <x v="1"/>
    <s v="Y 1"/>
    <n v="520"/>
    <x v="70"/>
    <n v="42361.03"/>
    <n v="30002.289999999979"/>
  </r>
  <r>
    <x v="8"/>
    <x v="0"/>
    <x v="4"/>
    <x v="3"/>
    <x v="3"/>
    <x v="2"/>
    <s v="Y 2"/>
    <n v="542"/>
    <x v="71"/>
    <n v="21766.019999999997"/>
    <n v="15647.370000000017"/>
  </r>
  <r>
    <x v="9"/>
    <x v="2"/>
    <x v="0"/>
    <x v="0"/>
    <x v="0"/>
    <x v="0"/>
    <s v="B 2"/>
    <s v="(en blanco)"/>
    <x v="0"/>
    <n v="0"/>
    <n v="0"/>
  </r>
  <r>
    <x v="9"/>
    <x v="2"/>
    <x v="0"/>
    <x v="0"/>
    <x v="0"/>
    <x v="1"/>
    <s v="B 2"/>
    <s v="(en blanco)"/>
    <x v="1"/>
    <n v="0"/>
    <n v="0"/>
  </r>
  <r>
    <x v="9"/>
    <x v="2"/>
    <x v="0"/>
    <x v="0"/>
    <x v="0"/>
    <x v="2"/>
    <s v="B 2"/>
    <s v="(en blanco)"/>
    <x v="2"/>
    <n v="0"/>
    <n v="0"/>
  </r>
  <r>
    <x v="9"/>
    <x v="2"/>
    <x v="0"/>
    <x v="0"/>
    <x v="0"/>
    <x v="2"/>
    <s v="CLOSED"/>
    <s v="(en blanco)"/>
    <x v="3"/>
    <n v="0"/>
    <n v="0"/>
  </r>
  <r>
    <x v="9"/>
    <x v="2"/>
    <x v="0"/>
    <x v="1"/>
    <x v="1"/>
    <x v="1"/>
    <s v="B 2"/>
    <s v="FP-UYU"/>
    <x v="5"/>
    <n v="0"/>
    <n v="0"/>
  </r>
  <r>
    <x v="9"/>
    <x v="2"/>
    <x v="0"/>
    <x v="1"/>
    <x v="1"/>
    <x v="2"/>
    <s v="B 2"/>
    <s v="FP-MUT"/>
    <x v="72"/>
    <n v="0"/>
    <n v="0"/>
  </r>
  <r>
    <x v="9"/>
    <x v="2"/>
    <x v="0"/>
    <x v="1"/>
    <x v="1"/>
    <x v="2"/>
    <s v="XL"/>
    <s v="FP-SMXL"/>
    <x v="75"/>
    <n v="0"/>
    <n v="0"/>
  </r>
  <r>
    <x v="9"/>
    <x v="2"/>
    <x v="0"/>
    <x v="2"/>
    <x v="2"/>
    <x v="0"/>
    <s v="B 2"/>
    <n v="304"/>
    <x v="6"/>
    <n v="36114.359999999993"/>
    <n v="39199.440000000017"/>
  </r>
  <r>
    <x v="9"/>
    <x v="2"/>
    <x v="0"/>
    <x v="2"/>
    <x v="2"/>
    <x v="1"/>
    <s v="A 3"/>
    <n v="208"/>
    <x v="7"/>
    <n v="30566.729999999996"/>
    <n v="0"/>
  </r>
  <r>
    <x v="9"/>
    <x v="2"/>
    <x v="0"/>
    <x v="2"/>
    <x v="2"/>
    <x v="1"/>
    <s v="A 3"/>
    <n v="209"/>
    <x v="8"/>
    <n v="18624.669999999998"/>
    <n v="15616.98"/>
  </r>
  <r>
    <x v="9"/>
    <x v="2"/>
    <x v="0"/>
    <x v="2"/>
    <x v="2"/>
    <x v="1"/>
    <s v="B 2"/>
    <n v="202"/>
    <x v="9"/>
    <n v="45911.979999999996"/>
    <n v="44153.089999999989"/>
  </r>
  <r>
    <x v="9"/>
    <x v="2"/>
    <x v="0"/>
    <x v="2"/>
    <x v="2"/>
    <x v="2"/>
    <s v="A 3"/>
    <n v="404"/>
    <x v="10"/>
    <n v="21151.23"/>
    <n v="20914.389999999989"/>
  </r>
  <r>
    <x v="9"/>
    <x v="2"/>
    <x v="0"/>
    <x v="2"/>
    <x v="3"/>
    <x v="0"/>
    <s v="B 2"/>
    <n v="310"/>
    <x v="11"/>
    <n v="10340.669999999998"/>
    <n v="18345.670000000002"/>
  </r>
  <r>
    <x v="9"/>
    <x v="2"/>
    <x v="0"/>
    <x v="2"/>
    <x v="3"/>
    <x v="1"/>
    <s v="B 1"/>
    <n v="206"/>
    <x v="12"/>
    <n v="64514.819999999992"/>
    <n v="53563.100000000035"/>
  </r>
  <r>
    <x v="9"/>
    <x v="2"/>
    <x v="0"/>
    <x v="2"/>
    <x v="3"/>
    <x v="1"/>
    <s v="B 2"/>
    <n v="210"/>
    <x v="13"/>
    <n v="28612.490000000005"/>
    <n v="36225.399999999994"/>
  </r>
  <r>
    <x v="9"/>
    <x v="2"/>
    <x v="0"/>
    <x v="2"/>
    <x v="3"/>
    <x v="2"/>
    <s v="A 1"/>
    <n v="417"/>
    <x v="14"/>
    <n v="50542.01999999999"/>
    <n v="48312.750000000116"/>
  </r>
  <r>
    <x v="9"/>
    <x v="2"/>
    <x v="0"/>
    <x v="3"/>
    <x v="2"/>
    <x v="0"/>
    <s v="B 2"/>
    <n v="308"/>
    <x v="15"/>
    <n v="28670.819999999996"/>
    <n v="22646.869999999992"/>
  </r>
  <r>
    <x v="9"/>
    <x v="2"/>
    <x v="0"/>
    <x v="3"/>
    <x v="2"/>
    <x v="2"/>
    <s v="B 3"/>
    <n v="402"/>
    <x v="16"/>
    <n v="19824.68"/>
    <n v="14915.830000000011"/>
  </r>
  <r>
    <x v="9"/>
    <x v="2"/>
    <x v="0"/>
    <x v="3"/>
    <x v="2"/>
    <x v="2"/>
    <s v="B 3"/>
    <n v="406"/>
    <x v="17"/>
    <n v="17251.260000000002"/>
    <n v="8919.8899999999976"/>
  </r>
  <r>
    <x v="9"/>
    <x v="2"/>
    <x v="0"/>
    <x v="3"/>
    <x v="2"/>
    <x v="2"/>
    <s v="B 3"/>
    <n v="416"/>
    <x v="18"/>
    <n v="13668.680000000004"/>
    <n v="10788.499999999995"/>
  </r>
  <r>
    <x v="9"/>
    <x v="2"/>
    <x v="0"/>
    <x v="3"/>
    <x v="2"/>
    <x v="2"/>
    <s v="XL"/>
    <n v="414"/>
    <x v="19"/>
    <n v="238951.20999999993"/>
    <n v="170382.07000000033"/>
  </r>
  <r>
    <x v="9"/>
    <x v="2"/>
    <x v="0"/>
    <x v="3"/>
    <x v="3"/>
    <x v="0"/>
    <s v="A 1"/>
    <n v="309"/>
    <x v="20"/>
    <n v="155622.03999999998"/>
    <n v="203085.41000000111"/>
  </r>
  <r>
    <x v="9"/>
    <x v="2"/>
    <x v="0"/>
    <x v="3"/>
    <x v="3"/>
    <x v="0"/>
    <s v="A 2"/>
    <n v="305"/>
    <x v="21"/>
    <n v="105478.66999999998"/>
    <n v="110522.87000000017"/>
  </r>
  <r>
    <x v="9"/>
    <x v="2"/>
    <x v="0"/>
    <x v="3"/>
    <x v="3"/>
    <x v="0"/>
    <s v="B 1"/>
    <n v="302"/>
    <x v="22"/>
    <n v="63530.689999999988"/>
    <n v="61151.780000000079"/>
  </r>
  <r>
    <x v="9"/>
    <x v="2"/>
    <x v="0"/>
    <x v="3"/>
    <x v="3"/>
    <x v="0"/>
    <s v="B 2"/>
    <n v="301"/>
    <x v="23"/>
    <n v="32819.54"/>
    <n v="33968.200000000048"/>
  </r>
  <r>
    <x v="9"/>
    <x v="2"/>
    <x v="0"/>
    <x v="3"/>
    <x v="3"/>
    <x v="0"/>
    <s v="B 2"/>
    <n v="311"/>
    <x v="24"/>
    <n v="37954.709999999992"/>
    <n v="39113.930000000037"/>
  </r>
  <r>
    <x v="9"/>
    <x v="2"/>
    <x v="0"/>
    <x v="3"/>
    <x v="3"/>
    <x v="1"/>
    <s v="A 1"/>
    <n v="211"/>
    <x v="25"/>
    <n v="135279.73000000001"/>
    <n v="162556.16000000079"/>
  </r>
  <r>
    <x v="9"/>
    <x v="2"/>
    <x v="0"/>
    <x v="3"/>
    <x v="3"/>
    <x v="1"/>
    <s v="A 2"/>
    <n v="207"/>
    <x v="26"/>
    <n v="98707.49000000002"/>
    <n v="115756.58000000023"/>
  </r>
  <r>
    <x v="9"/>
    <x v="2"/>
    <x v="0"/>
    <x v="3"/>
    <x v="3"/>
    <x v="1"/>
    <s v="A 3"/>
    <n v="203"/>
    <x v="27"/>
    <n v="46931.02"/>
    <n v="39045.330000000016"/>
  </r>
  <r>
    <x v="9"/>
    <x v="2"/>
    <x v="0"/>
    <x v="3"/>
    <x v="3"/>
    <x v="1"/>
    <s v="A 3"/>
    <n v="212"/>
    <x v="28"/>
    <n v="38049.979999999996"/>
    <n v="58293.329999999922"/>
  </r>
  <r>
    <x v="9"/>
    <x v="2"/>
    <x v="0"/>
    <x v="3"/>
    <x v="3"/>
    <x v="1"/>
    <s v="B 1"/>
    <n v="190"/>
    <x v="29"/>
    <n v="61191.05999999999"/>
    <n v="62482.580000000038"/>
  </r>
  <r>
    <x v="9"/>
    <x v="2"/>
    <x v="0"/>
    <x v="3"/>
    <x v="3"/>
    <x v="1"/>
    <s v="B 1"/>
    <n v="214"/>
    <x v="30"/>
    <n v="52370.499999999985"/>
    <n v="62793.780000000086"/>
  </r>
  <r>
    <x v="9"/>
    <x v="2"/>
    <x v="0"/>
    <x v="3"/>
    <x v="3"/>
    <x v="2"/>
    <s v="A 2"/>
    <n v="407"/>
    <x v="31"/>
    <n v="69407.899999999994"/>
    <n v="72666.590000000273"/>
  </r>
  <r>
    <x v="9"/>
    <x v="2"/>
    <x v="0"/>
    <x v="3"/>
    <x v="3"/>
    <x v="2"/>
    <s v="A 2"/>
    <n v="413"/>
    <x v="32"/>
    <n v="101269.28999999996"/>
    <n v="87377.830000000598"/>
  </r>
  <r>
    <x v="9"/>
    <x v="2"/>
    <x v="0"/>
    <x v="3"/>
    <x v="3"/>
    <x v="2"/>
    <s v="A 3"/>
    <n v="412"/>
    <x v="33"/>
    <n v="43521.719999999994"/>
    <n v="34183.26999999996"/>
  </r>
  <r>
    <x v="9"/>
    <x v="2"/>
    <x v="0"/>
    <x v="3"/>
    <x v="3"/>
    <x v="2"/>
    <s v="B 1"/>
    <n v="403"/>
    <x v="34"/>
    <n v="53211.059999999983"/>
    <n v="33945.320000000014"/>
  </r>
  <r>
    <x v="9"/>
    <x v="2"/>
    <x v="0"/>
    <x v="3"/>
    <x v="3"/>
    <x v="2"/>
    <s v="B 2"/>
    <n v="409"/>
    <x v="35"/>
    <n v="33788.01999999999"/>
    <n v="18249.290000000008"/>
  </r>
  <r>
    <x v="9"/>
    <x v="2"/>
    <x v="0"/>
    <x v="3"/>
    <x v="3"/>
    <x v="2"/>
    <s v="B 3"/>
    <n v="410"/>
    <x v="36"/>
    <n v="17290.660000000003"/>
    <n v="12868.570000000005"/>
  </r>
  <r>
    <x v="9"/>
    <x v="2"/>
    <x v="0"/>
    <x v="3"/>
    <x v="3"/>
    <x v="3"/>
    <s v="A 2"/>
    <n v="101"/>
    <x v="37"/>
    <n v="103284.38999999998"/>
    <n v="122257.95000000046"/>
  </r>
  <r>
    <x v="9"/>
    <x v="2"/>
    <x v="0"/>
    <x v="3"/>
    <x v="3"/>
    <x v="3"/>
    <s v="A 2"/>
    <n v="150"/>
    <x v="38"/>
    <n v="85383.360000000001"/>
    <n v="108997.39000000022"/>
  </r>
  <r>
    <x v="9"/>
    <x v="2"/>
    <x v="0"/>
    <x v="3"/>
    <x v="3"/>
    <x v="3"/>
    <s v="B 1"/>
    <n v="170"/>
    <x v="39"/>
    <n v="56877.069999999992"/>
    <n v="63166.03000000005"/>
  </r>
  <r>
    <x v="9"/>
    <x v="2"/>
    <x v="0"/>
    <x v="3"/>
    <x v="3"/>
    <x v="3"/>
    <s v="B 2"/>
    <n v="131"/>
    <x v="40"/>
    <n v="29096.81"/>
    <n v="35924.980000000018"/>
  </r>
  <r>
    <x v="9"/>
    <x v="2"/>
    <x v="0"/>
    <x v="3"/>
    <x v="3"/>
    <x v="3"/>
    <s v="B 3"/>
    <n v="151"/>
    <x v="41"/>
    <n v="35196.099999999991"/>
    <n v="23736.179999999993"/>
  </r>
  <r>
    <x v="9"/>
    <x v="2"/>
    <x v="1"/>
    <x v="1"/>
    <x v="1"/>
    <x v="0"/>
    <s v="OUTLET 1"/>
    <s v="OUT-CBBA"/>
    <x v="74"/>
    <n v="0"/>
    <n v="0"/>
  </r>
  <r>
    <x v="9"/>
    <x v="2"/>
    <x v="1"/>
    <x v="1"/>
    <x v="1"/>
    <x v="2"/>
    <s v="OUTLET 1"/>
    <n v="418"/>
    <x v="42"/>
    <n v="0"/>
    <n v="62054.210000000043"/>
  </r>
  <r>
    <x v="9"/>
    <x v="2"/>
    <x v="1"/>
    <x v="3"/>
    <x v="0"/>
    <x v="0"/>
    <s v="OUTLET 1"/>
    <n v="307"/>
    <x v="43"/>
    <n v="62839.86"/>
    <n v="53592.860000000073"/>
  </r>
  <r>
    <x v="9"/>
    <x v="2"/>
    <x v="1"/>
    <x v="3"/>
    <x v="0"/>
    <x v="2"/>
    <s v="OUTLET 1"/>
    <n v="411"/>
    <x v="44"/>
    <n v="86405.83"/>
    <n v="55497.850000000079"/>
  </r>
  <r>
    <x v="9"/>
    <x v="2"/>
    <x v="1"/>
    <x v="3"/>
    <x v="2"/>
    <x v="1"/>
    <s v="OUTLET 1"/>
    <n v="213"/>
    <x v="45"/>
    <n v="71381.119999999995"/>
    <n v="67374.310000000143"/>
  </r>
  <r>
    <x v="9"/>
    <x v="2"/>
    <x v="1"/>
    <x v="3"/>
    <x v="2"/>
    <x v="2"/>
    <s v="OUTLET 1"/>
    <n v="415"/>
    <x v="46"/>
    <n v="68079.570000000007"/>
    <n v="37747.219999999972"/>
  </r>
  <r>
    <x v="9"/>
    <x v="2"/>
    <x v="1"/>
    <x v="3"/>
    <x v="3"/>
    <x v="0"/>
    <s v="OUTLET 1"/>
    <n v="306"/>
    <x v="47"/>
    <n v="85805.900000000009"/>
    <n v="82560.349999999948"/>
  </r>
  <r>
    <x v="9"/>
    <x v="2"/>
    <x v="1"/>
    <x v="3"/>
    <x v="3"/>
    <x v="1"/>
    <s v="OUTLET 1"/>
    <n v="201"/>
    <x v="48"/>
    <n v="48265.259999999995"/>
    <n v="37982.049999999996"/>
  </r>
  <r>
    <x v="9"/>
    <x v="2"/>
    <x v="1"/>
    <x v="3"/>
    <x v="3"/>
    <x v="1"/>
    <s v="OUTLET 1"/>
    <n v="204"/>
    <x v="49"/>
    <n v="50055.079999999987"/>
    <n v="48181.950000000063"/>
  </r>
  <r>
    <x v="9"/>
    <x v="2"/>
    <x v="1"/>
    <x v="3"/>
    <x v="3"/>
    <x v="3"/>
    <s v="OUTLET 1"/>
    <n v="102"/>
    <x v="50"/>
    <n v="87231.62"/>
    <n v="60508.140000000014"/>
  </r>
  <r>
    <x v="9"/>
    <x v="2"/>
    <x v="2"/>
    <x v="3"/>
    <x v="3"/>
    <x v="4"/>
    <s v="IQUIQUE"/>
    <n v="903"/>
    <x v="53"/>
    <n v="97760.489999999991"/>
    <n v="91318.749999999985"/>
  </r>
  <r>
    <x v="9"/>
    <x v="2"/>
    <x v="3"/>
    <x v="1"/>
    <x v="1"/>
    <x v="0"/>
    <s v="K 2"/>
    <s v="K-BALLIVIAN"/>
    <x v="54"/>
    <n v="0"/>
    <n v="0"/>
  </r>
  <r>
    <x v="9"/>
    <x v="2"/>
    <x v="3"/>
    <x v="1"/>
    <x v="1"/>
    <x v="1"/>
    <s v="K 1"/>
    <n v="470"/>
    <x v="55"/>
    <n v="0"/>
    <n v="52417.430000000168"/>
  </r>
  <r>
    <x v="9"/>
    <x v="2"/>
    <x v="3"/>
    <x v="1"/>
    <x v="1"/>
    <x v="1"/>
    <s v="K 2"/>
    <s v="K-LPC"/>
    <x v="56"/>
    <n v="0"/>
    <n v="0"/>
  </r>
  <r>
    <x v="9"/>
    <x v="2"/>
    <x v="3"/>
    <x v="1"/>
    <x v="1"/>
    <x v="1"/>
    <s v="K 2"/>
    <s v="K-LPCENTRO"/>
    <x v="57"/>
    <n v="0"/>
    <n v="0"/>
  </r>
  <r>
    <x v="9"/>
    <x v="2"/>
    <x v="3"/>
    <x v="1"/>
    <x v="1"/>
    <x v="2"/>
    <s v="K 2"/>
    <n v="494"/>
    <x v="58"/>
    <n v="0"/>
    <n v="9828.5400000000009"/>
  </r>
  <r>
    <x v="9"/>
    <x v="2"/>
    <x v="3"/>
    <x v="1"/>
    <x v="1"/>
    <x v="3"/>
    <s v="K 2"/>
    <n v="460"/>
    <x v="59"/>
    <n v="0"/>
    <n v="0"/>
  </r>
  <r>
    <x v="9"/>
    <x v="2"/>
    <x v="3"/>
    <x v="1"/>
    <x v="1"/>
    <x v="3"/>
    <s v="K 2"/>
    <n v="461"/>
    <x v="60"/>
    <n v="0"/>
    <n v="0"/>
  </r>
  <r>
    <x v="9"/>
    <x v="2"/>
    <x v="3"/>
    <x v="1"/>
    <x v="3"/>
    <x v="0"/>
    <s v="K 1"/>
    <n v="480"/>
    <x v="61"/>
    <n v="33364.300000000003"/>
    <n v="31593.43"/>
  </r>
  <r>
    <x v="9"/>
    <x v="2"/>
    <x v="3"/>
    <x v="1"/>
    <x v="3"/>
    <x v="2"/>
    <s v="K 1"/>
    <n v="491"/>
    <x v="62"/>
    <n v="0"/>
    <n v="53501.380000000114"/>
  </r>
  <r>
    <x v="9"/>
    <x v="2"/>
    <x v="3"/>
    <x v="1"/>
    <x v="3"/>
    <x v="2"/>
    <s v="K 1"/>
    <n v="492"/>
    <x v="63"/>
    <n v="48339.819999999992"/>
    <n v="25419.900000000005"/>
  </r>
  <r>
    <x v="9"/>
    <x v="2"/>
    <x v="3"/>
    <x v="1"/>
    <x v="3"/>
    <x v="2"/>
    <s v="K 1"/>
    <n v="493"/>
    <x v="64"/>
    <n v="30167.03"/>
    <n v="20284.129999999997"/>
  </r>
  <r>
    <x v="9"/>
    <x v="2"/>
    <x v="4"/>
    <x v="1"/>
    <x v="1"/>
    <x v="1"/>
    <s v="Y 2"/>
    <s v="Y-LP"/>
    <x v="73"/>
    <n v="0"/>
    <n v="0"/>
  </r>
  <r>
    <x v="9"/>
    <x v="2"/>
    <x v="4"/>
    <x v="1"/>
    <x v="1"/>
    <x v="3"/>
    <s v="Y 2"/>
    <n v="510"/>
    <x v="65"/>
    <n v="0"/>
    <n v="0"/>
  </r>
  <r>
    <x v="9"/>
    <x v="2"/>
    <x v="4"/>
    <x v="1"/>
    <x v="1"/>
    <x v="3"/>
    <s v="Y 2"/>
    <s v="Y-SCRE"/>
    <x v="76"/>
    <n v="0"/>
    <n v="0"/>
  </r>
  <r>
    <x v="9"/>
    <x v="2"/>
    <x v="4"/>
    <x v="1"/>
    <x v="3"/>
    <x v="2"/>
    <s v="Y 1"/>
    <n v="541"/>
    <x v="66"/>
    <n v="24955.449999999997"/>
    <n v="17395.649999999991"/>
  </r>
  <r>
    <x v="9"/>
    <x v="2"/>
    <x v="4"/>
    <x v="1"/>
    <x v="3"/>
    <x v="2"/>
    <s v="Y 1"/>
    <n v="543"/>
    <x v="67"/>
    <n v="20500.87"/>
    <n v="15980.069999999994"/>
  </r>
  <r>
    <x v="9"/>
    <x v="2"/>
    <x v="4"/>
    <x v="2"/>
    <x v="3"/>
    <x v="2"/>
    <s v="Y 1"/>
    <n v="540"/>
    <x v="68"/>
    <n v="55833.630000000005"/>
    <n v="49988.359999999986"/>
  </r>
  <r>
    <x v="9"/>
    <x v="2"/>
    <x v="4"/>
    <x v="3"/>
    <x v="2"/>
    <x v="0"/>
    <s v="Y 2"/>
    <n v="530"/>
    <x v="69"/>
    <n v="25932.14"/>
    <n v="22672.379999999986"/>
  </r>
  <r>
    <x v="9"/>
    <x v="2"/>
    <x v="4"/>
    <x v="3"/>
    <x v="3"/>
    <x v="1"/>
    <s v="Y 1"/>
    <n v="520"/>
    <x v="70"/>
    <n v="39617.68"/>
    <n v="42824.899999999965"/>
  </r>
  <r>
    <x v="9"/>
    <x v="2"/>
    <x v="4"/>
    <x v="3"/>
    <x v="3"/>
    <x v="2"/>
    <s v="Y 2"/>
    <n v="542"/>
    <x v="71"/>
    <n v="15490.260000000002"/>
    <n v="9247.6200000000044"/>
  </r>
  <r>
    <x v="10"/>
    <x v="2"/>
    <x v="0"/>
    <x v="0"/>
    <x v="0"/>
    <x v="0"/>
    <s v="B 2"/>
    <s v="(en blanco)"/>
    <x v="0"/>
    <n v="0"/>
    <n v="0"/>
  </r>
  <r>
    <x v="10"/>
    <x v="2"/>
    <x v="0"/>
    <x v="0"/>
    <x v="0"/>
    <x v="1"/>
    <s v="B 2"/>
    <s v="(en blanco)"/>
    <x v="1"/>
    <n v="0"/>
    <n v="0"/>
  </r>
  <r>
    <x v="10"/>
    <x v="2"/>
    <x v="0"/>
    <x v="0"/>
    <x v="0"/>
    <x v="2"/>
    <s v="B 2"/>
    <s v="(en blanco)"/>
    <x v="2"/>
    <n v="0"/>
    <n v="0"/>
  </r>
  <r>
    <x v="10"/>
    <x v="2"/>
    <x v="0"/>
    <x v="0"/>
    <x v="0"/>
    <x v="2"/>
    <s v="CLOSED"/>
    <s v="(en blanco)"/>
    <x v="3"/>
    <n v="0"/>
    <n v="0"/>
  </r>
  <r>
    <x v="10"/>
    <x v="2"/>
    <x v="0"/>
    <x v="1"/>
    <x v="1"/>
    <x v="1"/>
    <s v="B 2"/>
    <s v="FP-UYU"/>
    <x v="5"/>
    <n v="0"/>
    <n v="0"/>
  </r>
  <r>
    <x v="10"/>
    <x v="2"/>
    <x v="0"/>
    <x v="1"/>
    <x v="1"/>
    <x v="2"/>
    <s v="B 2"/>
    <s v="FP-MUT"/>
    <x v="72"/>
    <n v="0"/>
    <n v="0"/>
  </r>
  <r>
    <x v="10"/>
    <x v="2"/>
    <x v="0"/>
    <x v="1"/>
    <x v="1"/>
    <x v="2"/>
    <s v="XL"/>
    <s v="FP-SMXL"/>
    <x v="75"/>
    <n v="0"/>
    <n v="0"/>
  </r>
  <r>
    <x v="10"/>
    <x v="2"/>
    <x v="0"/>
    <x v="2"/>
    <x v="2"/>
    <x v="0"/>
    <s v="B 2"/>
    <n v="304"/>
    <x v="6"/>
    <n v="34160.909999999996"/>
    <n v="45873.706896551725"/>
  </r>
  <r>
    <x v="10"/>
    <x v="2"/>
    <x v="0"/>
    <x v="2"/>
    <x v="2"/>
    <x v="1"/>
    <s v="A 3"/>
    <n v="208"/>
    <x v="7"/>
    <n v="49851.829999999987"/>
    <n v="124150.83333333334"/>
  </r>
  <r>
    <x v="10"/>
    <x v="2"/>
    <x v="0"/>
    <x v="2"/>
    <x v="2"/>
    <x v="1"/>
    <s v="A 3"/>
    <n v="209"/>
    <x v="8"/>
    <n v="26006.990000000005"/>
    <n v="0"/>
  </r>
  <r>
    <x v="10"/>
    <x v="2"/>
    <x v="0"/>
    <x v="2"/>
    <x v="2"/>
    <x v="1"/>
    <s v="B 2"/>
    <n v="202"/>
    <x v="9"/>
    <n v="45726.819999999992"/>
    <n v="56206.178160919531"/>
  </r>
  <r>
    <x v="10"/>
    <x v="2"/>
    <x v="0"/>
    <x v="2"/>
    <x v="2"/>
    <x v="2"/>
    <s v="A 3"/>
    <n v="404"/>
    <x v="10"/>
    <n v="21287.56"/>
    <n v="27054.597701149414"/>
  </r>
  <r>
    <x v="10"/>
    <x v="2"/>
    <x v="0"/>
    <x v="2"/>
    <x v="3"/>
    <x v="0"/>
    <s v="B 2"/>
    <n v="310"/>
    <x v="11"/>
    <n v="29524.47"/>
    <n v="41358.620689655159"/>
  </r>
  <r>
    <x v="10"/>
    <x v="2"/>
    <x v="0"/>
    <x v="2"/>
    <x v="3"/>
    <x v="1"/>
    <s v="B 1"/>
    <n v="206"/>
    <x v="12"/>
    <n v="67786.699999999983"/>
    <n v="66999.856321839077"/>
  </r>
  <r>
    <x v="10"/>
    <x v="2"/>
    <x v="0"/>
    <x v="2"/>
    <x v="3"/>
    <x v="1"/>
    <s v="B 2"/>
    <n v="210"/>
    <x v="13"/>
    <n v="40963.56"/>
    <n v="45513.074712643669"/>
  </r>
  <r>
    <x v="10"/>
    <x v="2"/>
    <x v="0"/>
    <x v="2"/>
    <x v="3"/>
    <x v="2"/>
    <s v="A 1"/>
    <n v="417"/>
    <x v="14"/>
    <n v="52174.51999999999"/>
    <n v="39206.6091954023"/>
  </r>
  <r>
    <x v="10"/>
    <x v="2"/>
    <x v="0"/>
    <x v="3"/>
    <x v="2"/>
    <x v="0"/>
    <s v="B 2"/>
    <n v="308"/>
    <x v="15"/>
    <n v="34186.33"/>
    <n v="35122.84482758621"/>
  </r>
  <r>
    <x v="10"/>
    <x v="2"/>
    <x v="0"/>
    <x v="3"/>
    <x v="2"/>
    <x v="2"/>
    <s v="B 3"/>
    <n v="402"/>
    <x v="16"/>
    <n v="20032.600000000002"/>
    <n v="14411.063218390804"/>
  </r>
  <r>
    <x v="10"/>
    <x v="2"/>
    <x v="0"/>
    <x v="3"/>
    <x v="2"/>
    <x v="2"/>
    <s v="B 3"/>
    <n v="406"/>
    <x v="17"/>
    <n v="14408.12"/>
    <n v="8452.5862068965507"/>
  </r>
  <r>
    <x v="10"/>
    <x v="2"/>
    <x v="0"/>
    <x v="3"/>
    <x v="2"/>
    <x v="2"/>
    <s v="B 3"/>
    <n v="416"/>
    <x v="18"/>
    <n v="13212.670000000002"/>
    <n v="7780.0287356321842"/>
  </r>
  <r>
    <x v="10"/>
    <x v="2"/>
    <x v="0"/>
    <x v="3"/>
    <x v="2"/>
    <x v="2"/>
    <s v="XL"/>
    <n v="414"/>
    <x v="19"/>
    <n v="250229.34"/>
    <n v="132136.78160919558"/>
  </r>
  <r>
    <x v="10"/>
    <x v="2"/>
    <x v="0"/>
    <x v="3"/>
    <x v="3"/>
    <x v="0"/>
    <s v="A 1"/>
    <n v="309"/>
    <x v="20"/>
    <n v="181271.45999999996"/>
    <n v="289461.92528735637"/>
  </r>
  <r>
    <x v="10"/>
    <x v="2"/>
    <x v="0"/>
    <x v="3"/>
    <x v="3"/>
    <x v="0"/>
    <s v="A 2"/>
    <n v="305"/>
    <x v="21"/>
    <n v="110509.34999999998"/>
    <n v="170853.73563218393"/>
  </r>
  <r>
    <x v="10"/>
    <x v="2"/>
    <x v="0"/>
    <x v="3"/>
    <x v="3"/>
    <x v="0"/>
    <s v="B 1"/>
    <n v="302"/>
    <x v="22"/>
    <n v="77017.52"/>
    <n v="97362.212643678155"/>
  </r>
  <r>
    <x v="10"/>
    <x v="2"/>
    <x v="0"/>
    <x v="3"/>
    <x v="3"/>
    <x v="0"/>
    <s v="B 2"/>
    <n v="301"/>
    <x v="23"/>
    <n v="34301.869999999995"/>
    <n v="48653.017241379304"/>
  </r>
  <r>
    <x v="10"/>
    <x v="2"/>
    <x v="0"/>
    <x v="3"/>
    <x v="3"/>
    <x v="0"/>
    <s v="B 2"/>
    <n v="311"/>
    <x v="24"/>
    <n v="33359.58"/>
    <n v="44616.666666666657"/>
  </r>
  <r>
    <x v="10"/>
    <x v="2"/>
    <x v="0"/>
    <x v="3"/>
    <x v="3"/>
    <x v="1"/>
    <s v="A 1"/>
    <n v="211"/>
    <x v="25"/>
    <n v="207269.88"/>
    <n v="279482.04022988508"/>
  </r>
  <r>
    <x v="10"/>
    <x v="2"/>
    <x v="0"/>
    <x v="3"/>
    <x v="3"/>
    <x v="1"/>
    <s v="A 2"/>
    <n v="207"/>
    <x v="26"/>
    <n v="129413.23999999996"/>
    <n v="215571.98275862072"/>
  </r>
  <r>
    <x v="10"/>
    <x v="2"/>
    <x v="0"/>
    <x v="3"/>
    <x v="3"/>
    <x v="1"/>
    <s v="A 3"/>
    <n v="203"/>
    <x v="27"/>
    <n v="62515.17"/>
    <n v="76664.080459770106"/>
  </r>
  <r>
    <x v="10"/>
    <x v="2"/>
    <x v="0"/>
    <x v="3"/>
    <x v="3"/>
    <x v="1"/>
    <s v="A 3"/>
    <n v="212"/>
    <x v="28"/>
    <n v="61274.039999999994"/>
    <n v="100144.54022988505"/>
  </r>
  <r>
    <x v="10"/>
    <x v="2"/>
    <x v="0"/>
    <x v="3"/>
    <x v="3"/>
    <x v="1"/>
    <s v="B 1"/>
    <n v="190"/>
    <x v="29"/>
    <n v="74884.179999999993"/>
    <n v="97796.551724137913"/>
  </r>
  <r>
    <x v="10"/>
    <x v="2"/>
    <x v="0"/>
    <x v="3"/>
    <x v="3"/>
    <x v="1"/>
    <s v="B 1"/>
    <n v="214"/>
    <x v="30"/>
    <n v="59375.77"/>
    <n v="89151.293103448261"/>
  </r>
  <r>
    <x v="10"/>
    <x v="2"/>
    <x v="0"/>
    <x v="3"/>
    <x v="3"/>
    <x v="2"/>
    <s v="A 2"/>
    <n v="407"/>
    <x v="31"/>
    <n v="80339.849999999977"/>
    <n v="69509.626436781618"/>
  </r>
  <r>
    <x v="10"/>
    <x v="2"/>
    <x v="0"/>
    <x v="3"/>
    <x v="3"/>
    <x v="2"/>
    <s v="A 2"/>
    <n v="413"/>
    <x v="32"/>
    <n v="102587.80999999997"/>
    <n v="54834.770114942541"/>
  </r>
  <r>
    <x v="10"/>
    <x v="2"/>
    <x v="0"/>
    <x v="3"/>
    <x v="3"/>
    <x v="2"/>
    <s v="A 3"/>
    <n v="412"/>
    <x v="33"/>
    <n v="38497.149999999994"/>
    <n v="25451.005747126434"/>
  </r>
  <r>
    <x v="10"/>
    <x v="2"/>
    <x v="0"/>
    <x v="3"/>
    <x v="3"/>
    <x v="2"/>
    <s v="B 1"/>
    <n v="403"/>
    <x v="34"/>
    <n v="44792.969999999994"/>
    <n v="30655.028735632175"/>
  </r>
  <r>
    <x v="10"/>
    <x v="2"/>
    <x v="0"/>
    <x v="3"/>
    <x v="3"/>
    <x v="2"/>
    <s v="B 2"/>
    <n v="409"/>
    <x v="35"/>
    <n v="25850.739999999998"/>
    <n v="17444.540229885057"/>
  </r>
  <r>
    <x v="10"/>
    <x v="2"/>
    <x v="0"/>
    <x v="3"/>
    <x v="3"/>
    <x v="2"/>
    <s v="B 3"/>
    <n v="410"/>
    <x v="36"/>
    <n v="14330.63"/>
    <n v="14456.17816091954"/>
  </r>
  <r>
    <x v="10"/>
    <x v="2"/>
    <x v="0"/>
    <x v="3"/>
    <x v="3"/>
    <x v="3"/>
    <s v="A 2"/>
    <n v="101"/>
    <x v="37"/>
    <n v="112447.40999999997"/>
    <n v="184777.01149425289"/>
  </r>
  <r>
    <x v="10"/>
    <x v="2"/>
    <x v="0"/>
    <x v="3"/>
    <x v="3"/>
    <x v="3"/>
    <s v="A 2"/>
    <n v="150"/>
    <x v="38"/>
    <n v="114117.72999999998"/>
    <n v="198384.33908045982"/>
  </r>
  <r>
    <x v="10"/>
    <x v="2"/>
    <x v="0"/>
    <x v="3"/>
    <x v="3"/>
    <x v="3"/>
    <s v="B 1"/>
    <n v="170"/>
    <x v="39"/>
    <n v="59420.969999999987"/>
    <n v="103380.31609195402"/>
  </r>
  <r>
    <x v="10"/>
    <x v="2"/>
    <x v="0"/>
    <x v="3"/>
    <x v="3"/>
    <x v="3"/>
    <s v="B 2"/>
    <n v="131"/>
    <x v="40"/>
    <n v="29931.29"/>
    <n v="30636.637931034486"/>
  </r>
  <r>
    <x v="10"/>
    <x v="2"/>
    <x v="0"/>
    <x v="3"/>
    <x v="3"/>
    <x v="3"/>
    <s v="B 3"/>
    <n v="151"/>
    <x v="41"/>
    <n v="34637.549999999996"/>
    <n v="30815.229885057466"/>
  </r>
  <r>
    <x v="10"/>
    <x v="2"/>
    <x v="1"/>
    <x v="1"/>
    <x v="1"/>
    <x v="0"/>
    <s v="OUTLET 1"/>
    <s v="OUT-CBBA"/>
    <x v="74"/>
    <n v="0"/>
    <n v="0"/>
  </r>
  <r>
    <x v="10"/>
    <x v="2"/>
    <x v="1"/>
    <x v="1"/>
    <x v="1"/>
    <x v="2"/>
    <s v="OUTLET 1"/>
    <n v="418"/>
    <x v="42"/>
    <n v="0"/>
    <n v="22858.620689655174"/>
  </r>
  <r>
    <x v="10"/>
    <x v="2"/>
    <x v="1"/>
    <x v="3"/>
    <x v="0"/>
    <x v="0"/>
    <s v="OUTLET 1"/>
    <n v="307"/>
    <x v="43"/>
    <n v="70138.399999999994"/>
    <n v="44794.683908045983"/>
  </r>
  <r>
    <x v="10"/>
    <x v="2"/>
    <x v="1"/>
    <x v="3"/>
    <x v="0"/>
    <x v="2"/>
    <s v="OUTLET 1"/>
    <n v="411"/>
    <x v="44"/>
    <n v="76520.36"/>
    <n v="18890.804597701146"/>
  </r>
  <r>
    <x v="10"/>
    <x v="2"/>
    <x v="1"/>
    <x v="3"/>
    <x v="2"/>
    <x v="1"/>
    <s v="OUTLET 1"/>
    <n v="213"/>
    <x v="45"/>
    <n v="93044.76999999996"/>
    <n v="52636.637931034493"/>
  </r>
  <r>
    <x v="10"/>
    <x v="2"/>
    <x v="1"/>
    <x v="3"/>
    <x v="2"/>
    <x v="2"/>
    <s v="OUTLET 1"/>
    <n v="415"/>
    <x v="46"/>
    <n v="58754.659999999989"/>
    <n v="13851.293103448275"/>
  </r>
  <r>
    <x v="10"/>
    <x v="2"/>
    <x v="1"/>
    <x v="3"/>
    <x v="3"/>
    <x v="0"/>
    <s v="OUTLET 1"/>
    <n v="306"/>
    <x v="47"/>
    <n v="90620.619999999981"/>
    <n v="54577.011494252874"/>
  </r>
  <r>
    <x v="10"/>
    <x v="2"/>
    <x v="1"/>
    <x v="3"/>
    <x v="3"/>
    <x v="1"/>
    <s v="OUTLET 1"/>
    <n v="201"/>
    <x v="48"/>
    <n v="50026.50999999998"/>
    <n v="34247.557471264357"/>
  </r>
  <r>
    <x v="10"/>
    <x v="2"/>
    <x v="1"/>
    <x v="3"/>
    <x v="3"/>
    <x v="1"/>
    <s v="OUTLET 1"/>
    <n v="204"/>
    <x v="49"/>
    <n v="66584.539999999964"/>
    <n v="31373.275862068967"/>
  </r>
  <r>
    <x v="10"/>
    <x v="2"/>
    <x v="1"/>
    <x v="3"/>
    <x v="3"/>
    <x v="3"/>
    <s v="OUTLET 1"/>
    <n v="102"/>
    <x v="50"/>
    <n v="78034.219999999987"/>
    <n v="37902.442528735628"/>
  </r>
  <r>
    <x v="10"/>
    <x v="2"/>
    <x v="2"/>
    <x v="3"/>
    <x v="3"/>
    <x v="4"/>
    <s v="IQUIQUE"/>
    <n v="903"/>
    <x v="53"/>
    <n v="81165.51999999999"/>
    <n v="68422"/>
  </r>
  <r>
    <x v="10"/>
    <x v="2"/>
    <x v="3"/>
    <x v="1"/>
    <x v="1"/>
    <x v="0"/>
    <s v="K 2"/>
    <s v="K-BALLIVIAN"/>
    <x v="54"/>
    <n v="0"/>
    <n v="0"/>
  </r>
  <r>
    <x v="10"/>
    <x v="2"/>
    <x v="3"/>
    <x v="1"/>
    <x v="1"/>
    <x v="1"/>
    <s v="K 1"/>
    <n v="470"/>
    <x v="55"/>
    <n v="0"/>
    <n v="54802.729885057459"/>
  </r>
  <r>
    <x v="10"/>
    <x v="2"/>
    <x v="3"/>
    <x v="1"/>
    <x v="1"/>
    <x v="1"/>
    <s v="K 2"/>
    <s v="K-LPC"/>
    <x v="56"/>
    <n v="0"/>
    <n v="0"/>
  </r>
  <r>
    <x v="10"/>
    <x v="2"/>
    <x v="3"/>
    <x v="1"/>
    <x v="1"/>
    <x v="1"/>
    <s v="K 2"/>
    <s v="K-LPCENTRO"/>
    <x v="57"/>
    <n v="0"/>
    <n v="0"/>
  </r>
  <r>
    <x v="10"/>
    <x v="2"/>
    <x v="3"/>
    <x v="1"/>
    <x v="1"/>
    <x v="2"/>
    <s v="K 2"/>
    <n v="494"/>
    <x v="58"/>
    <n v="0"/>
    <n v="11544.540229885059"/>
  </r>
  <r>
    <x v="10"/>
    <x v="2"/>
    <x v="3"/>
    <x v="1"/>
    <x v="1"/>
    <x v="3"/>
    <s v="K 2"/>
    <n v="460"/>
    <x v="59"/>
    <n v="0"/>
    <n v="26961.206896551717"/>
  </r>
  <r>
    <x v="10"/>
    <x v="2"/>
    <x v="3"/>
    <x v="1"/>
    <x v="1"/>
    <x v="3"/>
    <s v="K 2"/>
    <n v="461"/>
    <x v="60"/>
    <n v="0"/>
    <n v="0"/>
  </r>
  <r>
    <x v="10"/>
    <x v="2"/>
    <x v="3"/>
    <x v="1"/>
    <x v="3"/>
    <x v="0"/>
    <s v="K 1"/>
    <n v="480"/>
    <x v="61"/>
    <n v="33767.249999999993"/>
    <n v="50601.724137931036"/>
  </r>
  <r>
    <x v="10"/>
    <x v="2"/>
    <x v="3"/>
    <x v="1"/>
    <x v="3"/>
    <x v="2"/>
    <s v="K 1"/>
    <n v="491"/>
    <x v="62"/>
    <n v="0"/>
    <n v="40784.482758620703"/>
  </r>
  <r>
    <x v="10"/>
    <x v="2"/>
    <x v="3"/>
    <x v="1"/>
    <x v="3"/>
    <x v="2"/>
    <s v="K 1"/>
    <n v="492"/>
    <x v="63"/>
    <n v="47061.999999999985"/>
    <n v="18589.080459770117"/>
  </r>
  <r>
    <x v="10"/>
    <x v="2"/>
    <x v="3"/>
    <x v="1"/>
    <x v="3"/>
    <x v="2"/>
    <s v="K 1"/>
    <n v="493"/>
    <x v="64"/>
    <n v="24558.6"/>
    <n v="8912.3563218390809"/>
  </r>
  <r>
    <x v="10"/>
    <x v="2"/>
    <x v="4"/>
    <x v="1"/>
    <x v="1"/>
    <x v="1"/>
    <s v="Y 2"/>
    <s v="Y-LP"/>
    <x v="73"/>
    <n v="0"/>
    <n v="0"/>
  </r>
  <r>
    <x v="10"/>
    <x v="2"/>
    <x v="4"/>
    <x v="1"/>
    <x v="1"/>
    <x v="3"/>
    <s v="Y 2"/>
    <n v="510"/>
    <x v="65"/>
    <n v="0"/>
    <n v="11229.597701149423"/>
  </r>
  <r>
    <x v="10"/>
    <x v="2"/>
    <x v="4"/>
    <x v="1"/>
    <x v="1"/>
    <x v="3"/>
    <s v="Y 2"/>
    <s v="Y-SCRE"/>
    <x v="76"/>
    <n v="0"/>
    <n v="0"/>
  </r>
  <r>
    <x v="10"/>
    <x v="2"/>
    <x v="4"/>
    <x v="1"/>
    <x v="3"/>
    <x v="2"/>
    <s v="Y 1"/>
    <n v="541"/>
    <x v="66"/>
    <n v="22930.21"/>
    <n v="18688.505747126437"/>
  </r>
  <r>
    <x v="10"/>
    <x v="2"/>
    <x v="4"/>
    <x v="1"/>
    <x v="3"/>
    <x v="2"/>
    <s v="Y 1"/>
    <n v="543"/>
    <x v="67"/>
    <n v="22595.809999999998"/>
    <n v="14881.034482758623"/>
  </r>
  <r>
    <x v="10"/>
    <x v="2"/>
    <x v="4"/>
    <x v="2"/>
    <x v="3"/>
    <x v="2"/>
    <s v="Y 1"/>
    <n v="540"/>
    <x v="68"/>
    <n v="50842.680000000008"/>
    <n v="35909.482758620688"/>
  </r>
  <r>
    <x v="10"/>
    <x v="2"/>
    <x v="4"/>
    <x v="3"/>
    <x v="2"/>
    <x v="0"/>
    <s v="Y 2"/>
    <n v="530"/>
    <x v="69"/>
    <n v="26149.910000000003"/>
    <n v="38837.931034482761"/>
  </r>
  <r>
    <x v="10"/>
    <x v="2"/>
    <x v="4"/>
    <x v="3"/>
    <x v="3"/>
    <x v="1"/>
    <s v="Y 1"/>
    <n v="520"/>
    <x v="70"/>
    <n v="44517.43"/>
    <n v="66580.531609195401"/>
  </r>
  <r>
    <x v="10"/>
    <x v="2"/>
    <x v="4"/>
    <x v="3"/>
    <x v="3"/>
    <x v="2"/>
    <s v="Y 2"/>
    <n v="542"/>
    <x v="71"/>
    <n v="11705.079999999998"/>
    <n v="15207.183908045976"/>
  </r>
  <r>
    <x v="11"/>
    <x v="2"/>
    <x v="0"/>
    <x v="0"/>
    <x v="0"/>
    <x v="0"/>
    <s v="B 2"/>
    <s v="(en blanco)"/>
    <x v="0"/>
    <n v="0"/>
    <n v="0"/>
  </r>
  <r>
    <x v="11"/>
    <x v="2"/>
    <x v="0"/>
    <x v="0"/>
    <x v="0"/>
    <x v="1"/>
    <s v="B 2"/>
    <s v="(en blanco)"/>
    <x v="1"/>
    <n v="0"/>
    <n v="0"/>
  </r>
  <r>
    <x v="11"/>
    <x v="2"/>
    <x v="0"/>
    <x v="0"/>
    <x v="0"/>
    <x v="2"/>
    <s v="B 2"/>
    <s v="(en blanco)"/>
    <x v="2"/>
    <n v="0"/>
    <n v="0"/>
  </r>
  <r>
    <x v="11"/>
    <x v="2"/>
    <x v="0"/>
    <x v="0"/>
    <x v="0"/>
    <x v="2"/>
    <s v="CLOSED"/>
    <s v="(en blanco)"/>
    <x v="3"/>
    <n v="0"/>
    <n v="0"/>
  </r>
  <r>
    <x v="11"/>
    <x v="2"/>
    <x v="0"/>
    <x v="1"/>
    <x v="1"/>
    <x v="1"/>
    <s v="B 2"/>
    <s v="FP-UYU"/>
    <x v="5"/>
    <n v="0"/>
    <n v="0"/>
  </r>
  <r>
    <x v="11"/>
    <x v="2"/>
    <x v="0"/>
    <x v="1"/>
    <x v="1"/>
    <x v="2"/>
    <s v="B 2"/>
    <s v="FP-MUT"/>
    <x v="72"/>
    <n v="0"/>
    <n v="0"/>
  </r>
  <r>
    <x v="11"/>
    <x v="2"/>
    <x v="0"/>
    <x v="1"/>
    <x v="1"/>
    <x v="2"/>
    <s v="XL"/>
    <s v="FP-SMXL"/>
    <x v="75"/>
    <n v="0"/>
    <n v="0"/>
  </r>
  <r>
    <x v="11"/>
    <x v="2"/>
    <x v="0"/>
    <x v="2"/>
    <x v="2"/>
    <x v="0"/>
    <s v="B 2"/>
    <n v="304"/>
    <x v="6"/>
    <n v="79232.439999999988"/>
    <n v="76141.810344827565"/>
  </r>
  <r>
    <x v="11"/>
    <x v="2"/>
    <x v="0"/>
    <x v="2"/>
    <x v="2"/>
    <x v="1"/>
    <s v="A 3"/>
    <n v="208"/>
    <x v="7"/>
    <n v="81150.869999999981"/>
    <n v="124245.83333333333"/>
  </r>
  <r>
    <x v="11"/>
    <x v="2"/>
    <x v="0"/>
    <x v="2"/>
    <x v="2"/>
    <x v="1"/>
    <s v="A 3"/>
    <n v="209"/>
    <x v="8"/>
    <n v="48187.66"/>
    <n v="0"/>
  </r>
  <r>
    <x v="11"/>
    <x v="2"/>
    <x v="0"/>
    <x v="2"/>
    <x v="2"/>
    <x v="1"/>
    <s v="B 2"/>
    <n v="202"/>
    <x v="9"/>
    <n v="122951.73000000001"/>
    <n v="89319.899425287309"/>
  </r>
  <r>
    <x v="11"/>
    <x v="2"/>
    <x v="0"/>
    <x v="2"/>
    <x v="2"/>
    <x v="2"/>
    <s v="A 3"/>
    <n v="404"/>
    <x v="10"/>
    <n v="62037.03"/>
    <n v="90573.448275862072"/>
  </r>
  <r>
    <x v="11"/>
    <x v="2"/>
    <x v="0"/>
    <x v="2"/>
    <x v="3"/>
    <x v="0"/>
    <s v="B 2"/>
    <n v="310"/>
    <x v="11"/>
    <n v="58525.890000000007"/>
    <n v="50217.456896551732"/>
  </r>
  <r>
    <x v="11"/>
    <x v="2"/>
    <x v="0"/>
    <x v="2"/>
    <x v="3"/>
    <x v="1"/>
    <s v="B 1"/>
    <n v="206"/>
    <x v="12"/>
    <n v="143034.68"/>
    <n v="139439.08045977011"/>
  </r>
  <r>
    <x v="11"/>
    <x v="2"/>
    <x v="0"/>
    <x v="2"/>
    <x v="3"/>
    <x v="1"/>
    <s v="B 2"/>
    <n v="210"/>
    <x v="13"/>
    <n v="72285.97"/>
    <n v="63348.132183908041"/>
  </r>
  <r>
    <x v="11"/>
    <x v="2"/>
    <x v="0"/>
    <x v="2"/>
    <x v="3"/>
    <x v="2"/>
    <s v="A 1"/>
    <n v="417"/>
    <x v="14"/>
    <n v="130441.87"/>
    <n v="183617.31321839083"/>
  </r>
  <r>
    <x v="11"/>
    <x v="2"/>
    <x v="0"/>
    <x v="3"/>
    <x v="2"/>
    <x v="0"/>
    <s v="B 2"/>
    <n v="308"/>
    <x v="15"/>
    <n v="78130.399999999994"/>
    <n v="66329.382183908063"/>
  </r>
  <r>
    <x v="11"/>
    <x v="2"/>
    <x v="0"/>
    <x v="3"/>
    <x v="2"/>
    <x v="2"/>
    <s v="B 3"/>
    <n v="402"/>
    <x v="16"/>
    <n v="46750"/>
    <n v="53921.752873563215"/>
  </r>
  <r>
    <x v="11"/>
    <x v="2"/>
    <x v="0"/>
    <x v="3"/>
    <x v="2"/>
    <x v="2"/>
    <s v="B 3"/>
    <n v="406"/>
    <x v="17"/>
    <n v="40631.210000000006"/>
    <n v="32429.798850574709"/>
  </r>
  <r>
    <x v="11"/>
    <x v="2"/>
    <x v="0"/>
    <x v="3"/>
    <x v="2"/>
    <x v="2"/>
    <s v="B 3"/>
    <n v="416"/>
    <x v="18"/>
    <n v="29663.549999999996"/>
    <n v="36527.083333333314"/>
  </r>
  <r>
    <x v="11"/>
    <x v="2"/>
    <x v="0"/>
    <x v="3"/>
    <x v="2"/>
    <x v="2"/>
    <s v="XL"/>
    <n v="414"/>
    <x v="19"/>
    <n v="496588.48999999993"/>
    <n v="585910.5747126441"/>
  </r>
  <r>
    <x v="11"/>
    <x v="2"/>
    <x v="0"/>
    <x v="3"/>
    <x v="3"/>
    <x v="0"/>
    <s v="A 1"/>
    <n v="309"/>
    <x v="20"/>
    <n v="408656.4"/>
    <n v="410406.89655172429"/>
  </r>
  <r>
    <x v="11"/>
    <x v="2"/>
    <x v="0"/>
    <x v="3"/>
    <x v="3"/>
    <x v="0"/>
    <s v="A 2"/>
    <n v="305"/>
    <x v="21"/>
    <n v="241072.48999999993"/>
    <n v="235560.34482758629"/>
  </r>
  <r>
    <x v="11"/>
    <x v="2"/>
    <x v="0"/>
    <x v="3"/>
    <x v="3"/>
    <x v="0"/>
    <s v="B 1"/>
    <n v="302"/>
    <x v="22"/>
    <n v="157911.32999999996"/>
    <n v="134622.91666666669"/>
  </r>
  <r>
    <x v="11"/>
    <x v="2"/>
    <x v="0"/>
    <x v="3"/>
    <x v="3"/>
    <x v="0"/>
    <s v="B 2"/>
    <n v="301"/>
    <x v="23"/>
    <n v="85321.989999999976"/>
    <n v="74920.114942528715"/>
  </r>
  <r>
    <x v="11"/>
    <x v="2"/>
    <x v="0"/>
    <x v="3"/>
    <x v="3"/>
    <x v="0"/>
    <s v="B 2"/>
    <n v="311"/>
    <x v="24"/>
    <n v="72635.799999999988"/>
    <n v="74281.321839080469"/>
  </r>
  <r>
    <x v="11"/>
    <x v="2"/>
    <x v="0"/>
    <x v="3"/>
    <x v="3"/>
    <x v="1"/>
    <s v="A 1"/>
    <n v="211"/>
    <x v="25"/>
    <n v="356036.86999999994"/>
    <n v="305103.37643678172"/>
  </r>
  <r>
    <x v="11"/>
    <x v="2"/>
    <x v="0"/>
    <x v="3"/>
    <x v="3"/>
    <x v="1"/>
    <s v="A 2"/>
    <n v="207"/>
    <x v="26"/>
    <n v="238460.24"/>
    <n v="242514.87068965516"/>
  </r>
  <r>
    <x v="11"/>
    <x v="2"/>
    <x v="0"/>
    <x v="3"/>
    <x v="3"/>
    <x v="1"/>
    <s v="A 3"/>
    <n v="203"/>
    <x v="27"/>
    <n v="129331.34"/>
    <n v="125708.83620689655"/>
  </r>
  <r>
    <x v="11"/>
    <x v="2"/>
    <x v="0"/>
    <x v="3"/>
    <x v="3"/>
    <x v="1"/>
    <s v="A 3"/>
    <n v="212"/>
    <x v="28"/>
    <n v="116109.75"/>
    <n v="132551.29310344826"/>
  </r>
  <r>
    <x v="11"/>
    <x v="2"/>
    <x v="0"/>
    <x v="3"/>
    <x v="3"/>
    <x v="1"/>
    <s v="B 1"/>
    <n v="190"/>
    <x v="29"/>
    <n v="138236.94"/>
    <n v="138991.52298850578"/>
  </r>
  <r>
    <x v="11"/>
    <x v="2"/>
    <x v="0"/>
    <x v="3"/>
    <x v="3"/>
    <x v="1"/>
    <s v="B 1"/>
    <n v="214"/>
    <x v="30"/>
    <n v="109868.87999999999"/>
    <n v="125218.10344827586"/>
  </r>
  <r>
    <x v="11"/>
    <x v="2"/>
    <x v="0"/>
    <x v="3"/>
    <x v="3"/>
    <x v="2"/>
    <s v="A 2"/>
    <n v="407"/>
    <x v="31"/>
    <n v="262795.90999999992"/>
    <n v="275222.08333333343"/>
  </r>
  <r>
    <x v="11"/>
    <x v="2"/>
    <x v="0"/>
    <x v="3"/>
    <x v="3"/>
    <x v="2"/>
    <s v="A 2"/>
    <n v="413"/>
    <x v="32"/>
    <n v="216928.40999999995"/>
    <n v="260479.31034482762"/>
  </r>
  <r>
    <x v="11"/>
    <x v="2"/>
    <x v="0"/>
    <x v="3"/>
    <x v="3"/>
    <x v="2"/>
    <s v="A 3"/>
    <n v="412"/>
    <x v="33"/>
    <n v="100462.68"/>
    <n v="129268.9224137931"/>
  </r>
  <r>
    <x v="11"/>
    <x v="2"/>
    <x v="0"/>
    <x v="3"/>
    <x v="3"/>
    <x v="2"/>
    <s v="B 1"/>
    <n v="403"/>
    <x v="34"/>
    <n v="116754.80999999998"/>
    <n v="145647.29885057476"/>
  </r>
  <r>
    <x v="11"/>
    <x v="2"/>
    <x v="0"/>
    <x v="3"/>
    <x v="3"/>
    <x v="2"/>
    <s v="B 2"/>
    <n v="409"/>
    <x v="35"/>
    <n v="63440.45"/>
    <n v="56886.594827586203"/>
  </r>
  <r>
    <x v="11"/>
    <x v="2"/>
    <x v="0"/>
    <x v="3"/>
    <x v="3"/>
    <x v="2"/>
    <s v="B 3"/>
    <n v="410"/>
    <x v="36"/>
    <n v="44290.23"/>
    <n v="53000.229885057473"/>
  </r>
  <r>
    <x v="11"/>
    <x v="2"/>
    <x v="0"/>
    <x v="3"/>
    <x v="3"/>
    <x v="3"/>
    <s v="A 2"/>
    <n v="101"/>
    <x v="37"/>
    <n v="278893.5799999999"/>
    <n v="247261.7816091954"/>
  </r>
  <r>
    <x v="11"/>
    <x v="2"/>
    <x v="0"/>
    <x v="3"/>
    <x v="3"/>
    <x v="3"/>
    <s v="A 2"/>
    <n v="150"/>
    <x v="38"/>
    <n v="277513.82999999996"/>
    <n v="253460.48850574726"/>
  </r>
  <r>
    <x v="11"/>
    <x v="2"/>
    <x v="0"/>
    <x v="3"/>
    <x v="3"/>
    <x v="3"/>
    <s v="B 1"/>
    <n v="170"/>
    <x v="39"/>
    <n v="151874.21"/>
    <n v="130660.05747126436"/>
  </r>
  <r>
    <x v="11"/>
    <x v="2"/>
    <x v="0"/>
    <x v="3"/>
    <x v="3"/>
    <x v="3"/>
    <s v="B 2"/>
    <n v="131"/>
    <x v="40"/>
    <n v="69476.460000000006"/>
    <n v="49252.155172413775"/>
  </r>
  <r>
    <x v="11"/>
    <x v="2"/>
    <x v="0"/>
    <x v="3"/>
    <x v="3"/>
    <x v="3"/>
    <s v="B 3"/>
    <n v="151"/>
    <x v="41"/>
    <n v="81058.800000000017"/>
    <n v="51078.591954022988"/>
  </r>
  <r>
    <x v="11"/>
    <x v="2"/>
    <x v="1"/>
    <x v="1"/>
    <x v="1"/>
    <x v="0"/>
    <s v="OUTLET 1"/>
    <s v="OUT-CBBA"/>
    <x v="74"/>
    <n v="0"/>
    <n v="0"/>
  </r>
  <r>
    <x v="11"/>
    <x v="2"/>
    <x v="1"/>
    <x v="1"/>
    <x v="1"/>
    <x v="2"/>
    <s v="OUTLET 1"/>
    <n v="418"/>
    <x v="42"/>
    <n v="0"/>
    <n v="166062.06896551725"/>
  </r>
  <r>
    <x v="11"/>
    <x v="2"/>
    <x v="1"/>
    <x v="3"/>
    <x v="0"/>
    <x v="0"/>
    <s v="OUTLET 1"/>
    <n v="307"/>
    <x v="43"/>
    <n v="141676.30999999997"/>
    <n v="99236.637931034449"/>
  </r>
  <r>
    <x v="11"/>
    <x v="2"/>
    <x v="1"/>
    <x v="3"/>
    <x v="0"/>
    <x v="2"/>
    <s v="OUTLET 1"/>
    <n v="411"/>
    <x v="44"/>
    <n v="186469.13"/>
    <n v="112545.25862068964"/>
  </r>
  <r>
    <x v="11"/>
    <x v="2"/>
    <x v="1"/>
    <x v="3"/>
    <x v="2"/>
    <x v="1"/>
    <s v="OUTLET 1"/>
    <n v="213"/>
    <x v="45"/>
    <n v="142629.68"/>
    <n v="134526.00574712644"/>
  </r>
  <r>
    <x v="11"/>
    <x v="2"/>
    <x v="1"/>
    <x v="3"/>
    <x v="2"/>
    <x v="2"/>
    <s v="OUTLET 1"/>
    <n v="415"/>
    <x v="46"/>
    <n v="129899.92"/>
    <n v="100574.13793103452"/>
  </r>
  <r>
    <x v="11"/>
    <x v="2"/>
    <x v="1"/>
    <x v="3"/>
    <x v="3"/>
    <x v="0"/>
    <s v="OUTLET 1"/>
    <n v="306"/>
    <x v="47"/>
    <n v="157404.21000000002"/>
    <n v="129824.56896551723"/>
  </r>
  <r>
    <x v="11"/>
    <x v="2"/>
    <x v="1"/>
    <x v="3"/>
    <x v="3"/>
    <x v="1"/>
    <s v="OUTLET 1"/>
    <n v="201"/>
    <x v="48"/>
    <n v="86898.770000000019"/>
    <n v="57614.942528735628"/>
  </r>
  <r>
    <x v="11"/>
    <x v="2"/>
    <x v="1"/>
    <x v="3"/>
    <x v="3"/>
    <x v="1"/>
    <s v="OUTLET 1"/>
    <n v="204"/>
    <x v="49"/>
    <n v="111007.13999999997"/>
    <n v="79882.614942528729"/>
  </r>
  <r>
    <x v="11"/>
    <x v="2"/>
    <x v="1"/>
    <x v="3"/>
    <x v="3"/>
    <x v="3"/>
    <s v="OUTLET 1"/>
    <n v="102"/>
    <x v="50"/>
    <n v="179066.02999999997"/>
    <n v="102726.00574712643"/>
  </r>
  <r>
    <x v="11"/>
    <x v="2"/>
    <x v="2"/>
    <x v="3"/>
    <x v="3"/>
    <x v="4"/>
    <s v="IQUIQUE"/>
    <n v="903"/>
    <x v="53"/>
    <n v="101278.61000000002"/>
    <n v="160526.32"/>
  </r>
  <r>
    <x v="11"/>
    <x v="2"/>
    <x v="3"/>
    <x v="1"/>
    <x v="1"/>
    <x v="0"/>
    <s v="K 2"/>
    <s v="K-BALLIVIAN"/>
    <x v="54"/>
    <n v="0"/>
    <n v="0"/>
  </r>
  <r>
    <x v="11"/>
    <x v="2"/>
    <x v="3"/>
    <x v="1"/>
    <x v="1"/>
    <x v="1"/>
    <s v="K 1"/>
    <n v="470"/>
    <x v="55"/>
    <n v="0"/>
    <n v="66363.14655172416"/>
  </r>
  <r>
    <x v="11"/>
    <x v="2"/>
    <x v="3"/>
    <x v="1"/>
    <x v="1"/>
    <x v="1"/>
    <s v="K 2"/>
    <s v="K-LPC"/>
    <x v="56"/>
    <n v="0"/>
    <n v="0"/>
  </r>
  <r>
    <x v="11"/>
    <x v="2"/>
    <x v="3"/>
    <x v="1"/>
    <x v="1"/>
    <x v="1"/>
    <s v="K 2"/>
    <s v="K-LPCENTRO"/>
    <x v="57"/>
    <n v="0"/>
    <n v="0"/>
  </r>
  <r>
    <x v="11"/>
    <x v="2"/>
    <x v="3"/>
    <x v="1"/>
    <x v="1"/>
    <x v="2"/>
    <s v="K 2"/>
    <n v="494"/>
    <x v="58"/>
    <n v="0"/>
    <n v="54975.287356321838"/>
  </r>
  <r>
    <x v="11"/>
    <x v="2"/>
    <x v="3"/>
    <x v="1"/>
    <x v="1"/>
    <x v="3"/>
    <s v="K 2"/>
    <n v="460"/>
    <x v="59"/>
    <n v="0"/>
    <n v="56532.183908045976"/>
  </r>
  <r>
    <x v="11"/>
    <x v="2"/>
    <x v="3"/>
    <x v="1"/>
    <x v="1"/>
    <x v="3"/>
    <s v="K 2"/>
    <n v="461"/>
    <x v="60"/>
    <n v="0"/>
    <n v="15301"/>
  </r>
  <r>
    <x v="11"/>
    <x v="2"/>
    <x v="3"/>
    <x v="1"/>
    <x v="3"/>
    <x v="0"/>
    <s v="K 1"/>
    <n v="480"/>
    <x v="61"/>
    <n v="81175.87999999999"/>
    <n v="73996.695402298836"/>
  </r>
  <r>
    <x v="11"/>
    <x v="2"/>
    <x v="3"/>
    <x v="1"/>
    <x v="3"/>
    <x v="2"/>
    <s v="K 1"/>
    <n v="491"/>
    <x v="62"/>
    <n v="9320.4"/>
    <n v="187011.78160919543"/>
  </r>
  <r>
    <x v="11"/>
    <x v="2"/>
    <x v="3"/>
    <x v="1"/>
    <x v="3"/>
    <x v="2"/>
    <s v="K 1"/>
    <n v="492"/>
    <x v="63"/>
    <n v="105611.84999999998"/>
    <n v="104681.6091954023"/>
  </r>
  <r>
    <x v="11"/>
    <x v="2"/>
    <x v="3"/>
    <x v="1"/>
    <x v="3"/>
    <x v="2"/>
    <s v="K 1"/>
    <n v="493"/>
    <x v="64"/>
    <n v="62069.249999999993"/>
    <n v="75777.155172413812"/>
  </r>
  <r>
    <x v="11"/>
    <x v="2"/>
    <x v="4"/>
    <x v="1"/>
    <x v="1"/>
    <x v="1"/>
    <s v="Y 2"/>
    <s v="Y-LP"/>
    <x v="73"/>
    <n v="0"/>
    <n v="0"/>
  </r>
  <r>
    <x v="11"/>
    <x v="2"/>
    <x v="4"/>
    <x v="1"/>
    <x v="1"/>
    <x v="3"/>
    <s v="Y 2"/>
    <n v="510"/>
    <x v="65"/>
    <n v="0"/>
    <n v="36304.310344827587"/>
  </r>
  <r>
    <x v="11"/>
    <x v="2"/>
    <x v="4"/>
    <x v="1"/>
    <x v="1"/>
    <x v="3"/>
    <s v="Y 2"/>
    <s v="Y-SCRE"/>
    <x v="76"/>
    <n v="0"/>
    <n v="0"/>
  </r>
  <r>
    <x v="11"/>
    <x v="2"/>
    <x v="4"/>
    <x v="1"/>
    <x v="3"/>
    <x v="2"/>
    <s v="Y 1"/>
    <n v="541"/>
    <x v="66"/>
    <n v="59582.39"/>
    <n v="63067.816091954017"/>
  </r>
  <r>
    <x v="11"/>
    <x v="2"/>
    <x v="4"/>
    <x v="1"/>
    <x v="3"/>
    <x v="2"/>
    <s v="Y 1"/>
    <n v="543"/>
    <x v="67"/>
    <n v="68125.75"/>
    <n v="70020.617816091937"/>
  </r>
  <r>
    <x v="11"/>
    <x v="2"/>
    <x v="4"/>
    <x v="2"/>
    <x v="3"/>
    <x v="2"/>
    <s v="Y 1"/>
    <n v="540"/>
    <x v="68"/>
    <n v="135747.45000000004"/>
    <n v="167897.55747126433"/>
  </r>
  <r>
    <x v="11"/>
    <x v="2"/>
    <x v="4"/>
    <x v="3"/>
    <x v="2"/>
    <x v="0"/>
    <s v="Y 2"/>
    <n v="530"/>
    <x v="69"/>
    <n v="84589.800000000017"/>
    <n v="50716.235632183911"/>
  </r>
  <r>
    <x v="11"/>
    <x v="2"/>
    <x v="4"/>
    <x v="3"/>
    <x v="3"/>
    <x v="1"/>
    <s v="Y 1"/>
    <n v="520"/>
    <x v="70"/>
    <n v="103720.40000000002"/>
    <n v="90892.385057471256"/>
  </r>
  <r>
    <x v="11"/>
    <x v="2"/>
    <x v="4"/>
    <x v="3"/>
    <x v="3"/>
    <x v="2"/>
    <s v="Y 2"/>
    <n v="542"/>
    <x v="71"/>
    <n v="58898.41"/>
    <n v="45787.35632183907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2">
  <r>
    <x v="0"/>
    <x v="0"/>
    <x v="0"/>
    <x v="0"/>
    <x v="0"/>
    <m/>
    <x v="0"/>
    <x v="0"/>
    <x v="0"/>
    <n v="42955.039999999994"/>
    <n v="19907.949999999993"/>
    <n v="31088.38"/>
    <n v="14610.57"/>
    <n v="30852.023449999993"/>
    <n v="14174.414224249995"/>
    <n v="29710.119999999984"/>
    <n v="14274.668044149916"/>
    <n v="29710.119999999988"/>
    <n v="14240.129999999986"/>
    <n v="30852.023449999993"/>
    <n v="14787.446994190806"/>
    <n v="31777.584153499993"/>
    <n v="16939.04215027922"/>
  </r>
  <r>
    <x v="0"/>
    <x v="0"/>
    <x v="0"/>
    <x v="0"/>
    <x v="0"/>
    <m/>
    <x v="0"/>
    <x v="0"/>
    <x v="1"/>
    <n v="90018.040000000008"/>
    <n v="32560.039999999997"/>
    <n v="39484.17"/>
    <n v="17280.600000000002"/>
    <n v="64245.472499999996"/>
    <n v="26779.705492500001"/>
    <n v="44781.109999999971"/>
    <n v="17227.462036415582"/>
    <n v="44781.109999999971"/>
    <n v="16870.859999999971"/>
    <n v="64245.472499999996"/>
    <n v="24203.874628863574"/>
    <n v="66172.836674999999"/>
    <n v="28733.35576996451"/>
  </r>
  <r>
    <x v="0"/>
    <x v="0"/>
    <x v="0"/>
    <x v="0"/>
    <x v="0"/>
    <m/>
    <x v="0"/>
    <x v="0"/>
    <x v="2"/>
    <n v="60093.210000000006"/>
    <n v="26330.62"/>
    <n v="65997.010000000009"/>
    <n v="28602.400000000005"/>
    <n v="35337"/>
    <n v="15503"/>
    <n v="34632.55999999999"/>
    <n v="16077.440333410232"/>
    <n v="34632.559999999998"/>
    <n v="15937.730000000007"/>
    <n v="34632.559999999976"/>
    <n v="15937.729999999996"/>
    <n v="35671.53679999998"/>
    <n v="18794.367843849956"/>
  </r>
  <r>
    <x v="0"/>
    <x v="0"/>
    <x v="0"/>
    <x v="0"/>
    <x v="0"/>
    <m/>
    <x v="0"/>
    <x v="0"/>
    <x v="3"/>
    <n v="36283.32"/>
    <n v="17837.670000000002"/>
    <n v="31016.370000000003"/>
    <n v="14941.929999999997"/>
    <n v="31057"/>
    <n v="15067"/>
    <n v="32993.700000000026"/>
    <n v="16620.316844584613"/>
    <n v="32993.700000000033"/>
    <n v="16557.570000000036"/>
    <n v="32993.700000000026"/>
    <n v="16557.570000000032"/>
    <n v="33983.51100000002"/>
    <n v="18114.911519479869"/>
  </r>
  <r>
    <x v="0"/>
    <x v="0"/>
    <x v="0"/>
    <x v="0"/>
    <x v="0"/>
    <m/>
    <x v="0"/>
    <x v="0"/>
    <x v="4"/>
    <n v="41680.300000000003"/>
    <n v="20554.839999999997"/>
    <n v="21905.15"/>
    <n v="10475.89"/>
    <n v="31489"/>
    <n v="14120"/>
    <n v="30379.119999999995"/>
    <n v="15517.643191349391"/>
    <n v="30379.120000000006"/>
    <n v="15306.050000000014"/>
    <n v="30379.120000000006"/>
    <n v="15306.050000000016"/>
    <n v="23391.922400000007"/>
    <n v="12469.064910524961"/>
  </r>
  <r>
    <x v="0"/>
    <x v="0"/>
    <x v="0"/>
    <x v="0"/>
    <x v="0"/>
    <m/>
    <x v="0"/>
    <x v="0"/>
    <x v="5"/>
    <n v="42179.1"/>
    <n v="20861.229999999996"/>
    <n v="17645.940000000002"/>
    <n v="8728.59"/>
    <n v="29179"/>
    <n v="14519"/>
    <n v="28449.960000000017"/>
    <n v="14534.738012742677"/>
    <n v="28449.960000000017"/>
    <n v="14536.640000000032"/>
    <n v="28449.960000000021"/>
    <n v="14536.640000000034"/>
    <n v="43812.938400000043"/>
    <n v="23354.488078775088"/>
  </r>
  <r>
    <x v="0"/>
    <x v="0"/>
    <x v="0"/>
    <x v="0"/>
    <x v="0"/>
    <m/>
    <x v="0"/>
    <x v="0"/>
    <x v="6"/>
    <n v="37336.730000000003"/>
    <n v="18888.290000000005"/>
    <n v="33021.949999999997"/>
    <n v="16043.889999999996"/>
    <n v="21511"/>
    <n v="10748"/>
    <n v="29592.83"/>
    <n v="15162.95"/>
    <n v="29592.829999999987"/>
    <n v="15162.949999999993"/>
    <n v="29592.830000000031"/>
    <n v="15162.950000000015"/>
    <n v="45572.958200000059"/>
    <n v="24292.666683967851"/>
  </r>
  <r>
    <x v="0"/>
    <x v="0"/>
    <x v="0"/>
    <x v="0"/>
    <x v="0"/>
    <m/>
    <x v="0"/>
    <x v="0"/>
    <x v="7"/>
    <n v="130773.44"/>
    <n v="41951.689999999995"/>
    <n v="69755.209999999977"/>
    <n v="26274.269999999997"/>
    <n v="75963"/>
    <n v="29056"/>
    <n v="57023.18540731207"/>
    <n v="23145.140724973899"/>
    <n v="65079.250000000044"/>
    <n v="27700.890000000058"/>
    <n v="65079.250000000131"/>
    <n v="26415.016782500054"/>
    <n v="100222.0450000002"/>
    <n v="43518.093218850183"/>
  </r>
  <r>
    <x v="0"/>
    <x v="0"/>
    <x v="0"/>
    <x v="0"/>
    <x v="0"/>
    <m/>
    <x v="0"/>
    <x v="0"/>
    <x v="8"/>
    <n v="31616.79"/>
    <n v="15334.689999999997"/>
    <n v="35510.759999999995"/>
    <n v="15293.779999999999"/>
    <n v="31458"/>
    <n v="14628"/>
    <n v="25670.051462399999"/>
    <n v="12482.062523592"/>
    <n v="20616.05000000001"/>
    <n v="10258.960000000014"/>
    <n v="20616.05000000001"/>
    <n v="10258.960000000014"/>
    <n v="31748.717000000019"/>
    <n v="16727.540201416083"/>
  </r>
  <r>
    <x v="0"/>
    <x v="0"/>
    <x v="0"/>
    <x v="0"/>
    <x v="0"/>
    <m/>
    <x v="0"/>
    <x v="0"/>
    <x v="9"/>
    <n v="21940.259999999995"/>
    <n v="10510.21"/>
    <n v="28670.819999999996"/>
    <n v="13725.039999999997"/>
    <n v="32688"/>
    <n v="16055"/>
    <n v="35008.566027119981"/>
    <n v="17521.787296573548"/>
    <n v="22646.869999999992"/>
    <n v="11412.879999999992"/>
    <n v="35008.566027119981"/>
    <n v="17521.787296573548"/>
    <n v="53913.191681764773"/>
    <n v="28738.428382162343"/>
  </r>
  <r>
    <x v="0"/>
    <x v="0"/>
    <x v="0"/>
    <x v="0"/>
    <x v="0"/>
    <m/>
    <x v="0"/>
    <x v="0"/>
    <x v="10"/>
    <n v="43691.289999999994"/>
    <n v="18472.379999999997"/>
    <n v="34186.33"/>
    <n v="15603.669999999996"/>
    <n v="42559"/>
    <n v="18335"/>
    <n v="45580.975685279998"/>
    <n v="19679.58625211964"/>
    <n v="35122.84482758621"/>
    <n v="14469.072367632483"/>
    <n v="45580.975685279998"/>
    <n v="19679.58625211964"/>
    <n v="70194.702555331198"/>
    <n v="33370.371912158116"/>
  </r>
  <r>
    <x v="0"/>
    <x v="0"/>
    <x v="0"/>
    <x v="0"/>
    <x v="0"/>
    <m/>
    <x v="0"/>
    <x v="0"/>
    <x v="11"/>
    <n v="91614.159999999989"/>
    <n v="41211.559999999983"/>
    <n v="78130.399999999994"/>
    <n v="38425.660000000003"/>
    <n v="82945"/>
    <n v="40822"/>
    <n v="88833.874588199978"/>
    <n v="43262.096924453384"/>
    <n v="66329.382183908063"/>
    <n v="31683.388947927509"/>
    <n v="88833.874588199978"/>
    <n v="43262.096924453384"/>
    <n v="137692.50561170996"/>
    <n v="72546.45669787495"/>
  </r>
  <r>
    <x v="0"/>
    <x v="1"/>
    <x v="1"/>
    <x v="1"/>
    <x v="1"/>
    <m/>
    <x v="0"/>
    <x v="1"/>
    <x v="0"/>
    <n v="32104.459999999992"/>
    <n v="17044.279999999995"/>
    <n v="0"/>
    <n v="0"/>
    <n v="0"/>
    <n v="0"/>
    <n v="0"/>
    <n v="0"/>
    <n v="0"/>
    <n v="0"/>
    <n v="0"/>
    <n v="0"/>
    <n v="0"/>
    <n v="0"/>
  </r>
  <r>
    <x v="0"/>
    <x v="1"/>
    <x v="1"/>
    <x v="1"/>
    <x v="1"/>
    <m/>
    <x v="0"/>
    <x v="1"/>
    <x v="1"/>
    <n v="40688.44"/>
    <n v="17120.100000000006"/>
    <n v="0"/>
    <n v="0"/>
    <n v="0"/>
    <n v="0"/>
    <n v="0"/>
    <n v="0"/>
    <n v="0"/>
    <n v="0"/>
    <n v="0"/>
    <n v="0"/>
    <n v="0"/>
    <n v="0"/>
  </r>
  <r>
    <x v="0"/>
    <x v="1"/>
    <x v="1"/>
    <x v="1"/>
    <x v="1"/>
    <m/>
    <x v="0"/>
    <x v="1"/>
    <x v="2"/>
    <n v="36579.5"/>
    <n v="17569.950000000004"/>
    <n v="0"/>
    <n v="0"/>
    <n v="0"/>
    <n v="0"/>
    <n v="0"/>
    <n v="0"/>
    <n v="0"/>
    <n v="0"/>
    <n v="0"/>
    <n v="0"/>
    <n v="0"/>
    <n v="0"/>
  </r>
  <r>
    <x v="0"/>
    <x v="1"/>
    <x v="1"/>
    <x v="1"/>
    <x v="1"/>
    <m/>
    <x v="0"/>
    <x v="1"/>
    <x v="3"/>
    <n v="23941.91"/>
    <n v="12776.550000000001"/>
    <n v="0"/>
    <n v="0"/>
    <n v="0"/>
    <n v="0"/>
    <n v="0"/>
    <n v="0"/>
    <n v="0"/>
    <n v="0"/>
    <n v="0"/>
    <n v="0"/>
    <n v="0"/>
    <n v="0"/>
  </r>
  <r>
    <x v="0"/>
    <x v="1"/>
    <x v="1"/>
    <x v="1"/>
    <x v="1"/>
    <m/>
    <x v="0"/>
    <x v="1"/>
    <x v="4"/>
    <n v="25414.53"/>
    <n v="13384.909999999996"/>
    <n v="0"/>
    <n v="0"/>
    <n v="0"/>
    <n v="0"/>
    <n v="0"/>
    <n v="0"/>
    <n v="0"/>
    <n v="0"/>
    <n v="0"/>
    <n v="0"/>
    <n v="0"/>
    <n v="0"/>
  </r>
  <r>
    <x v="0"/>
    <x v="1"/>
    <x v="1"/>
    <x v="1"/>
    <x v="1"/>
    <m/>
    <x v="0"/>
    <x v="1"/>
    <x v="5"/>
    <n v="22676.1"/>
    <n v="11924.419999999998"/>
    <n v="0"/>
    <n v="0"/>
    <n v="0"/>
    <n v="0"/>
    <n v="0"/>
    <n v="0"/>
    <n v="0"/>
    <n v="0"/>
    <n v="0"/>
    <n v="0"/>
    <n v="0"/>
    <n v="0"/>
  </r>
  <r>
    <x v="0"/>
    <x v="1"/>
    <x v="1"/>
    <x v="1"/>
    <x v="1"/>
    <m/>
    <x v="0"/>
    <x v="1"/>
    <x v="6"/>
    <n v="25069.100000000002"/>
    <n v="13518.8"/>
    <n v="0"/>
    <n v="0"/>
    <n v="0"/>
    <n v="0"/>
    <n v="0"/>
    <n v="0"/>
    <n v="0"/>
    <n v="0"/>
    <n v="0"/>
    <n v="0"/>
    <n v="0"/>
    <n v="0"/>
  </r>
  <r>
    <x v="0"/>
    <x v="1"/>
    <x v="1"/>
    <x v="1"/>
    <x v="1"/>
    <m/>
    <x v="0"/>
    <x v="1"/>
    <x v="7"/>
    <n v="58822.37999999999"/>
    <n v="23510.899999999994"/>
    <n v="0"/>
    <n v="0"/>
    <n v="0"/>
    <n v="0"/>
    <n v="0"/>
    <n v="0"/>
    <n v="0"/>
    <n v="0"/>
    <n v="0"/>
    <n v="0"/>
    <n v="0"/>
    <n v="0"/>
  </r>
  <r>
    <x v="0"/>
    <x v="1"/>
    <x v="1"/>
    <x v="1"/>
    <x v="1"/>
    <m/>
    <x v="0"/>
    <x v="1"/>
    <x v="8"/>
    <n v="19907.599999999999"/>
    <n v="10206.119999999999"/>
    <n v="0"/>
    <n v="0"/>
    <n v="0"/>
    <n v="0"/>
    <n v="0"/>
    <n v="0"/>
    <n v="0"/>
    <n v="0"/>
    <n v="0"/>
    <n v="0"/>
    <n v="0"/>
    <n v="0"/>
  </r>
  <r>
    <x v="0"/>
    <x v="1"/>
    <x v="1"/>
    <x v="1"/>
    <x v="1"/>
    <m/>
    <x v="0"/>
    <x v="1"/>
    <x v="9"/>
    <n v="18041.59"/>
    <n v="9427.239999999998"/>
    <n v="0"/>
    <n v="0"/>
    <n v="0"/>
    <n v="0"/>
    <n v="0"/>
    <n v="0"/>
    <n v="0"/>
    <n v="0"/>
    <n v="0"/>
    <n v="0"/>
    <n v="0"/>
    <n v="0"/>
  </r>
  <r>
    <x v="0"/>
    <x v="1"/>
    <x v="1"/>
    <x v="1"/>
    <x v="1"/>
    <m/>
    <x v="0"/>
    <x v="1"/>
    <x v="10"/>
    <n v="23209.9"/>
    <n v="10993.919999999998"/>
    <n v="0"/>
    <n v="0"/>
    <n v="0"/>
    <n v="0"/>
    <n v="0"/>
    <n v="0"/>
    <n v="0"/>
    <n v="0"/>
    <n v="0"/>
    <n v="0"/>
    <n v="0"/>
    <n v="0"/>
  </r>
  <r>
    <x v="0"/>
    <x v="1"/>
    <x v="1"/>
    <x v="1"/>
    <x v="1"/>
    <m/>
    <x v="0"/>
    <x v="1"/>
    <x v="11"/>
    <n v="56174.189999999988"/>
    <n v="27076.639999999992"/>
    <n v="0"/>
    <n v="0"/>
    <n v="0"/>
    <n v="0"/>
    <n v="0"/>
    <n v="0"/>
    <n v="0"/>
    <n v="0"/>
    <n v="0"/>
    <n v="0"/>
    <n v="0"/>
    <n v="0"/>
  </r>
  <r>
    <x v="0"/>
    <x v="2"/>
    <x v="2"/>
    <x v="2"/>
    <x v="2"/>
    <m/>
    <x v="1"/>
    <x v="2"/>
    <x v="0"/>
    <n v="52917.81"/>
    <n v="24652.440000000002"/>
    <n v="26642.520000000004"/>
    <n v="12259.050000000003"/>
    <n v="33695.14929999999"/>
    <n v="15195.916232499994"/>
    <n v="36413.97"/>
    <n v="14444.453320520739"/>
    <n v="36413.97"/>
    <n v="14731.910000000011"/>
    <n v="36413.970000000038"/>
    <n v="14731.910000000025"/>
    <n v="38962.947900000043"/>
    <n v="16897.34766025799"/>
  </r>
  <r>
    <x v="0"/>
    <x v="2"/>
    <x v="2"/>
    <x v="2"/>
    <x v="2"/>
    <m/>
    <x v="1"/>
    <x v="2"/>
    <x v="1"/>
    <n v="55160.84"/>
    <n v="21346.809999999998"/>
    <n v="33022.92"/>
    <n v="13103.6"/>
    <n v="53667.52049999997"/>
    <n v="19800.589994999988"/>
    <n v="47907.939999999988"/>
    <n v="16150.185659239736"/>
    <n v="47907.94"/>
    <n v="16404.890000000014"/>
    <n v="53667.52049999997"/>
    <n v="18377.115993199564"/>
    <n v="55277.546114999976"/>
    <n v="19773.09909464404"/>
  </r>
  <r>
    <x v="0"/>
    <x v="2"/>
    <x v="2"/>
    <x v="2"/>
    <x v="2"/>
    <m/>
    <x v="1"/>
    <x v="2"/>
    <x v="2"/>
    <n v="45659.149999999994"/>
    <n v="18932.330000000002"/>
    <n v="61354.80000000001"/>
    <n v="23067.540000000008"/>
    <n v="36275.496149999984"/>
    <n v="14173.549447999994"/>
    <n v="45125.820000000007"/>
    <n v="17825.748521025675"/>
    <n v="45125.820000000007"/>
    <n v="17855.839999999982"/>
    <n v="45125.820000000029"/>
    <n v="17855.839999999989"/>
    <n v="46930.852800000022"/>
    <n v="20055.730055425262"/>
  </r>
  <r>
    <x v="0"/>
    <x v="2"/>
    <x v="2"/>
    <x v="2"/>
    <x v="2"/>
    <m/>
    <x v="1"/>
    <x v="2"/>
    <x v="3"/>
    <n v="47151.149999999994"/>
    <n v="22184.549999999996"/>
    <n v="39916.97"/>
    <n v="17661.969999999998"/>
    <n v="32349.826949999973"/>
    <n v="14449.859626499987"/>
    <n v="45550.800000000017"/>
    <n v="18577.372139467607"/>
    <n v="45550.8"/>
    <n v="18561.040000000005"/>
    <n v="45550.800000000017"/>
    <n v="18561.040000000012"/>
    <n v="48739.356000000022"/>
    <n v="21137.154333978939"/>
  </r>
  <r>
    <x v="0"/>
    <x v="2"/>
    <x v="2"/>
    <x v="2"/>
    <x v="2"/>
    <m/>
    <x v="1"/>
    <x v="2"/>
    <x v="4"/>
    <n v="38382.770000000004"/>
    <n v="18629.009999999998"/>
    <n v="37214.75"/>
    <n v="16430.5"/>
    <n v="35226.989499999974"/>
    <n v="14721.10328599999"/>
    <n v="43154.120000000054"/>
    <n v="18158.401147264296"/>
    <n v="43154.120000000039"/>
    <n v="18454.790000000026"/>
    <n v="43154.120000000039"/>
    <n v="18454.790000000026"/>
    <n v="46174.908400000044"/>
    <n v="20025.011516527655"/>
  </r>
  <r>
    <x v="0"/>
    <x v="2"/>
    <x v="2"/>
    <x v="2"/>
    <x v="2"/>
    <m/>
    <x v="1"/>
    <x v="2"/>
    <x v="5"/>
    <n v="36959.089999999997"/>
    <n v="17180.419999999991"/>
    <n v="29572.759999999995"/>
    <n v="13603.789999999997"/>
    <n v="31586.217599999982"/>
    <n v="14370.813467999993"/>
    <n v="34762.689999999995"/>
    <n v="14324.045726284232"/>
    <n v="34762.689999999981"/>
    <n v="14306.829999999994"/>
    <n v="34762.689999999988"/>
    <n v="14306.829999999998"/>
    <n v="39977.093499999988"/>
    <n v="17337.159627907386"/>
  </r>
  <r>
    <x v="0"/>
    <x v="2"/>
    <x v="2"/>
    <x v="2"/>
    <x v="2"/>
    <m/>
    <x v="1"/>
    <x v="2"/>
    <x v="6"/>
    <n v="44474.570000000007"/>
    <n v="21461.279999999999"/>
    <n v="27818.780000000002"/>
    <n v="12993.32"/>
    <n v="33588.964299999992"/>
    <n v="15504.155645999996"/>
    <n v="34877.140000000007"/>
    <n v="16601.579999999998"/>
    <n v="34877.139999999992"/>
    <n v="16601.579999999987"/>
    <n v="34877.139999999956"/>
    <n v="16601.579999999969"/>
    <n v="38713.625399999961"/>
    <n v="16789.222141294726"/>
  </r>
  <r>
    <x v="0"/>
    <x v="2"/>
    <x v="2"/>
    <x v="2"/>
    <x v="2"/>
    <m/>
    <x v="1"/>
    <x v="2"/>
    <x v="7"/>
    <n v="105408.47999999998"/>
    <n v="33647.03"/>
    <n v="56065.859999999993"/>
    <n v="20078.989999999998"/>
    <n v="58166.524199999985"/>
    <n v="20587.690478999997"/>
    <n v="61975.616781359618"/>
    <n v="22692.991840662642"/>
    <n v="70595.590000000069"/>
    <n v="22496.670000000056"/>
    <n v="70595.590000000127"/>
    <n v="25849.281234400049"/>
    <n v="72713.45770000013"/>
    <n v="26010.025872442995"/>
  </r>
  <r>
    <x v="0"/>
    <x v="2"/>
    <x v="2"/>
    <x v="2"/>
    <x v="2"/>
    <m/>
    <x v="1"/>
    <x v="2"/>
    <x v="8"/>
    <n v="32584.849999999991"/>
    <n v="12954.289999999994"/>
    <n v="32998.980000000003"/>
    <n v="13171.170000000002"/>
    <n v="31461.353264999998"/>
    <n v="13381.710649949997"/>
    <n v="34025.453556097491"/>
    <n v="14596.919575565824"/>
    <n v="33527.240000000027"/>
    <n v="15588.010000000042"/>
    <n v="33527.240000000027"/>
    <n v="15588.010000000042"/>
    <n v="39562.143200000035"/>
    <n v="16906.738682431918"/>
  </r>
  <r>
    <x v="0"/>
    <x v="2"/>
    <x v="2"/>
    <x v="2"/>
    <x v="2"/>
    <m/>
    <x v="1"/>
    <x v="2"/>
    <x v="9"/>
    <n v="28858.459999999992"/>
    <n v="12341.209999999995"/>
    <n v="28612.490000000005"/>
    <n v="12171.200000000004"/>
    <n v="33261.549539999985"/>
    <n v="14104.952928149996"/>
    <n v="35972.365827509981"/>
    <n v="15612.006769139334"/>
    <n v="36225.399999999994"/>
    <n v="16847.39"/>
    <n v="36225.4"/>
    <n v="15721.823600000003"/>
    <n v="39847.939999999995"/>
    <n v="17281.148681388659"/>
  </r>
  <r>
    <x v="0"/>
    <x v="2"/>
    <x v="2"/>
    <x v="2"/>
    <x v="2"/>
    <m/>
    <x v="1"/>
    <x v="2"/>
    <x v="10"/>
    <n v="22914.059999999998"/>
    <n v="9149.9699999999975"/>
    <n v="40963.56"/>
    <n v="16241.04999999999"/>
    <n v="45042.389144999986"/>
    <n v="16963.382039149998"/>
    <n v="47785.470643930486"/>
    <n v="19271.880310697168"/>
    <n v="45513.074712643669"/>
    <n v="19804.995787297201"/>
    <n v="47785.470643930486"/>
    <n v="19271.880310697168"/>
    <n v="51130.453589005629"/>
    <n v="20231.889603255131"/>
  </r>
  <r>
    <x v="0"/>
    <x v="2"/>
    <x v="2"/>
    <x v="2"/>
    <x v="2"/>
    <m/>
    <x v="1"/>
    <x v="2"/>
    <x v="11"/>
    <n v="96870.069999999992"/>
    <n v="40387.859999999993"/>
    <n v="72285.97"/>
    <n v="30995.78999999999"/>
    <n v="74294.337349999987"/>
    <n v="33013.410885249992"/>
    <n v="78818.862494614994"/>
    <n v="36635.00728749705"/>
    <n v="63348.132183908041"/>
    <n v="31393.608939692309"/>
    <n v="78818.862494614994"/>
    <n v="36635.00728749705"/>
    <n v="84336.18286923808"/>
    <n v="35239.868773170696"/>
  </r>
  <r>
    <x v="0"/>
    <x v="3"/>
    <x v="3"/>
    <x v="0"/>
    <x v="2"/>
    <m/>
    <x v="2"/>
    <x v="3"/>
    <x v="0"/>
    <n v="154581.06999999998"/>
    <n v="80860.679999999978"/>
    <n v="106746.95999999999"/>
    <n v="57003.509999999987"/>
    <n v="95696.713086666699"/>
    <n v="50310.312974883353"/>
    <n v="102430.84000000026"/>
    <n v="54551.41960992344"/>
    <n v="102430.84000000024"/>
    <n v="54205.550000000207"/>
    <n v="102430.84000000026"/>
    <n v="54205.550000000214"/>
    <n v="110625.30720000027"/>
    <n v="58914.874423448557"/>
  </r>
  <r>
    <x v="0"/>
    <x v="3"/>
    <x v="3"/>
    <x v="0"/>
    <x v="2"/>
    <m/>
    <x v="2"/>
    <x v="3"/>
    <x v="1"/>
    <n v="184193.67"/>
    <n v="73956.249999999956"/>
    <n v="121140.47999999998"/>
    <n v="56664.02999999997"/>
    <n v="160459.71333000029"/>
    <n v="70500.719823450127"/>
    <n v="166945.26000000015"/>
    <n v="71080.165533448017"/>
    <n v="166945.26000000007"/>
    <n v="70735.019999999917"/>
    <n v="166945.25999999995"/>
    <n v="70735.019999999873"/>
    <n v="175292.52299999999"/>
    <n v="80150.699937700818"/>
  </r>
  <r>
    <x v="0"/>
    <x v="3"/>
    <x v="3"/>
    <x v="0"/>
    <x v="2"/>
    <m/>
    <x v="2"/>
    <x v="3"/>
    <x v="2"/>
    <n v="132234.15999999997"/>
    <n v="62661.409999999996"/>
    <n v="149538.96"/>
    <n v="68379.409999999989"/>
    <n v="106547"/>
    <n v="51958"/>
    <n v="131234.78000000023"/>
    <n v="64851.978969201955"/>
    <n v="131234.78000000026"/>
    <n v="64615.070000000269"/>
    <n v="131234.78000000044"/>
    <n v="64615.070000000356"/>
    <n v="141733.56240000046"/>
    <n v="73179.347591904356"/>
  </r>
  <r>
    <x v="0"/>
    <x v="3"/>
    <x v="3"/>
    <x v="0"/>
    <x v="2"/>
    <m/>
    <x v="2"/>
    <x v="3"/>
    <x v="3"/>
    <n v="97774.209999999963"/>
    <n v="52568.109999999964"/>
    <n v="82244.179999999978"/>
    <n v="44243.179999999986"/>
    <n v="96208"/>
    <n v="52657"/>
    <n v="106312.51000000024"/>
    <n v="57237.561880739668"/>
    <n v="106312.51000000017"/>
    <n v="56933.790000000154"/>
    <n v="108438.76020000028"/>
    <n v="58072.465800000209"/>
    <n v="116029.47341400028"/>
    <n v="60936.101613352366"/>
  </r>
  <r>
    <x v="0"/>
    <x v="3"/>
    <x v="3"/>
    <x v="0"/>
    <x v="2"/>
    <m/>
    <x v="2"/>
    <x v="3"/>
    <x v="4"/>
    <n v="112517.69"/>
    <n v="59863.240000000005"/>
    <n v="98080.419999999969"/>
    <n v="53727.20999999997"/>
    <n v="101190"/>
    <n v="52606"/>
    <n v="109280.97000000018"/>
    <n v="59987.712223281225"/>
    <n v="109280.97000000016"/>
    <n v="59556.740000000165"/>
    <n v="109280.97000000016"/>
    <n v="59556.740000000165"/>
    <n v="116930.63790000019"/>
    <n v="62272.856207103287"/>
  </r>
  <r>
    <x v="0"/>
    <x v="3"/>
    <x v="3"/>
    <x v="0"/>
    <x v="2"/>
    <m/>
    <x v="2"/>
    <x v="3"/>
    <x v="5"/>
    <n v="108563.46999999999"/>
    <n v="57002.139999999985"/>
    <n v="70901.960000000006"/>
    <n v="38869.64"/>
    <n v="93855"/>
    <n v="51676"/>
    <n v="93851.150000000038"/>
    <n v="51748.306334199653"/>
    <n v="93851.150000000096"/>
    <n v="51750.610000000044"/>
    <n v="99482.219000000128"/>
    <n v="54855.646600000058"/>
    <n v="106445.97433000014"/>
    <n v="56689.119056598385"/>
  </r>
  <r>
    <x v="0"/>
    <x v="3"/>
    <x v="3"/>
    <x v="0"/>
    <x v="2"/>
    <m/>
    <x v="2"/>
    <x v="3"/>
    <x v="6"/>
    <n v="124767.52"/>
    <n v="66310.260000000009"/>
    <n v="89037.59"/>
    <n v="48986.50999999998"/>
    <n v="99727"/>
    <n v="55570"/>
    <n v="104682.02999999994"/>
    <n v="57333.400000000511"/>
    <n v="104682.03"/>
    <n v="57333.400000000009"/>
    <n v="104682.0300000008"/>
    <n v="57333.400000000453"/>
    <n v="112009.77210000086"/>
    <n v="59652.188314742372"/>
  </r>
  <r>
    <x v="0"/>
    <x v="3"/>
    <x v="3"/>
    <x v="0"/>
    <x v="2"/>
    <m/>
    <x v="2"/>
    <x v="3"/>
    <x v="7"/>
    <n v="274318.54000000004"/>
    <n v="98235.709999999963"/>
    <n v="165212.55999999994"/>
    <n v="72784.699999999968"/>
    <n v="181509"/>
    <n v="81345"/>
    <n v="180853.66678707415"/>
    <n v="79930.086573215303"/>
    <n v="215353.31000000046"/>
    <n v="97874.300000000469"/>
    <n v="215353.31000000105"/>
    <n v="95177.548887600482"/>
    <n v="223967.44240000108"/>
    <n v="104060.70959196967"/>
  </r>
  <r>
    <x v="0"/>
    <x v="3"/>
    <x v="3"/>
    <x v="0"/>
    <x v="2"/>
    <m/>
    <x v="2"/>
    <x v="3"/>
    <x v="8"/>
    <n v="100465.33"/>
    <n v="51100.38"/>
    <n v="102825.35999999999"/>
    <n v="52815.209999999992"/>
    <n v="94231"/>
    <n v="50833"/>
    <n v="102009.91334308955"/>
    <n v="54228.469933186396"/>
    <n v="88379.520000000091"/>
    <n v="47209.370000000112"/>
    <n v="90147.110400000092"/>
    <n v="48153.557400000114"/>
    <n v="97358.879232000094"/>
    <n v="50267.975656814153"/>
  </r>
  <r>
    <x v="0"/>
    <x v="3"/>
    <x v="3"/>
    <x v="0"/>
    <x v="2"/>
    <m/>
    <x v="2"/>
    <x v="3"/>
    <x v="9"/>
    <n v="68511.009999999995"/>
    <n v="36058.779999999992"/>
    <n v="85383.360000000001"/>
    <n v="46947.200000000004"/>
    <n v="99517"/>
    <n v="55286"/>
    <n v="107731.6830917723"/>
    <n v="58821.498968107677"/>
    <n v="108997.39000000022"/>
    <n v="56582.280000000275"/>
    <n v="108997.38999999994"/>
    <n v="59512.57493999997"/>
    <n v="117717.18119999993"/>
    <n v="62691.739561382361"/>
  </r>
  <r>
    <x v="0"/>
    <x v="3"/>
    <x v="3"/>
    <x v="0"/>
    <x v="2"/>
    <m/>
    <x v="2"/>
    <x v="3"/>
    <x v="10"/>
    <n v="137319.19999999995"/>
    <n v="65145.669999999984"/>
    <n v="114117.72999999998"/>
    <n v="58867.529999999962"/>
    <n v="135324"/>
    <n v="67189"/>
    <n v="145099.53789836462"/>
    <n v="71969.370797588868"/>
    <n v="198384.33908045982"/>
    <n v="80022.514810124252"/>
    <n v="190448.96551724142"/>
    <n v="94462.686896551764"/>
    <n v="205684.88275862072"/>
    <n v="101945.54922797608"/>
  </r>
  <r>
    <x v="0"/>
    <x v="3"/>
    <x v="3"/>
    <x v="0"/>
    <x v="2"/>
    <m/>
    <x v="2"/>
    <x v="3"/>
    <x v="11"/>
    <n v="292335.62"/>
    <n v="138824.82"/>
    <n v="277513.82999999996"/>
    <n v="147661.53999999998"/>
    <n v="286573.57210000081"/>
    <n v="157053.54513100046"/>
    <n v="307275.64694850484"/>
    <n v="162241.54158881059"/>
    <n v="253460.48850574726"/>
    <n v="122803.5339517831"/>
    <n v="307275.64694850484"/>
    <n v="162241.54158881059"/>
    <n v="331857.69870438537"/>
    <n v="173304.03930356851"/>
  </r>
  <r>
    <x v="0"/>
    <x v="4"/>
    <x v="4"/>
    <x v="2"/>
    <x v="0"/>
    <m/>
    <x v="1"/>
    <x v="1"/>
    <x v="0"/>
    <n v="79971.98000000001"/>
    <n v="39744.490000000005"/>
    <n v="46035.81"/>
    <n v="20589.739999999998"/>
    <n v="56689.664233333337"/>
    <n v="24966.75624216667"/>
    <n v="35077.929999999971"/>
    <n v="15635.027438471941"/>
    <n v="35077.929999999971"/>
    <n v="15553.719999999976"/>
    <n v="56689.664233333337"/>
    <n v="25136.465132899255"/>
    <n v="48186.214598333332"/>
    <n v="23442.952899454751"/>
  </r>
  <r>
    <x v="0"/>
    <x v="4"/>
    <x v="4"/>
    <x v="2"/>
    <x v="0"/>
    <m/>
    <x v="1"/>
    <x v="1"/>
    <x v="1"/>
    <n v="92854.860000000015"/>
    <n v="36279.590000000011"/>
    <n v="49648.430000000008"/>
    <n v="20143.329999999998"/>
    <n v="81619.51559999997"/>
    <n v="29392.115081999989"/>
    <n v="57001.439999999988"/>
    <n v="20851.600401796441"/>
    <n v="57001.440000000002"/>
    <n v="20801.040000000023"/>
    <n v="81619.51559999997"/>
    <n v="29784.700329960524"/>
    <n v="83251.905911999958"/>
    <n v="34834.953803741075"/>
  </r>
  <r>
    <x v="0"/>
    <x v="4"/>
    <x v="4"/>
    <x v="2"/>
    <x v="0"/>
    <m/>
    <x v="1"/>
    <x v="1"/>
    <x v="2"/>
    <n v="66643.289999999994"/>
    <n v="30617.91"/>
    <n v="82431.22"/>
    <n v="29213.659999999996"/>
    <n v="16581.590999999979"/>
    <n v="5637.7409399999933"/>
    <n v="36468.240000000049"/>
    <n v="15110.579329577949"/>
    <n v="36468.240000000027"/>
    <n v="15047.79000000003"/>
    <n v="36468.240000000034"/>
    <n v="15047.790000000034"/>
    <n v="43761.88800000005"/>
    <n v="21098.273877344476"/>
  </r>
  <r>
    <x v="0"/>
    <x v="4"/>
    <x v="4"/>
    <x v="2"/>
    <x v="0"/>
    <m/>
    <x v="1"/>
    <x v="1"/>
    <x v="3"/>
    <n v="58833.3"/>
    <n v="29745.760000000009"/>
    <n v="71834.69"/>
    <n v="32497.490000000013"/>
    <n v="48260.707689999996"/>
    <n v="21951.427125850001"/>
    <n v="0"/>
    <n v="0"/>
    <n v="0"/>
    <n v="0"/>
    <n v="46898.069999999949"/>
    <n v="0"/>
    <n v="48773.992799999949"/>
    <n v="23728.911379734989"/>
  </r>
  <r>
    <x v="0"/>
    <x v="4"/>
    <x v="4"/>
    <x v="2"/>
    <x v="0"/>
    <m/>
    <x v="1"/>
    <x v="1"/>
    <x v="4"/>
    <n v="61308.36"/>
    <n v="31723.820000000003"/>
    <n v="71752.56"/>
    <n v="32215.810000000016"/>
    <n v="63487.752060000028"/>
    <n v="25744.55695490001"/>
    <n v="23668.22"/>
    <n v="12128.236541294154"/>
    <n v="23668.22"/>
    <n v="12126.639999999998"/>
    <n v="48943.36000000011"/>
    <n v="25076.600906633503"/>
    <n v="50901.094400000104"/>
    <n v="24763.762177558052"/>
  </r>
  <r>
    <x v="0"/>
    <x v="4"/>
    <x v="4"/>
    <x v="2"/>
    <x v="0"/>
    <m/>
    <x v="1"/>
    <x v="1"/>
    <x v="5"/>
    <n v="58281.350000000006"/>
    <n v="28764.690000000002"/>
    <n v="57355.62"/>
    <n v="26264.940000000002"/>
    <n v="53472.725900000012"/>
    <n v="24595.700867250005"/>
    <n v="46898.069999999942"/>
    <n v="23456.951679802409"/>
    <n v="46898.069999999949"/>
    <n v="23470.559999999965"/>
    <n v="46898.069999999949"/>
    <n v="23470.559999999961"/>
    <n v="48773.992799999949"/>
    <n v="23728.911379734989"/>
  </r>
  <r>
    <x v="0"/>
    <x v="4"/>
    <x v="4"/>
    <x v="2"/>
    <x v="0"/>
    <m/>
    <x v="1"/>
    <x v="1"/>
    <x v="6"/>
    <n v="64893.199999999983"/>
    <n v="32788.339999999982"/>
    <n v="50462.8"/>
    <n v="23313.319999999996"/>
    <n v="56132.847849999984"/>
    <n v="25880.69459399999"/>
    <n v="48943.359999999986"/>
    <n v="25445.479999999974"/>
    <n v="48943.359999999993"/>
    <n v="25445.479999999992"/>
    <n v="48943.36000000011"/>
    <n v="25445.480000000054"/>
    <n v="50901.094400000104"/>
    <n v="24763.762177558052"/>
  </r>
  <r>
    <x v="0"/>
    <x v="4"/>
    <x v="4"/>
    <x v="2"/>
    <x v="0"/>
    <m/>
    <x v="1"/>
    <x v="1"/>
    <x v="7"/>
    <n v="149621.56"/>
    <n v="45652.119999999988"/>
    <n v="79886.689999999959"/>
    <n v="27133.969999999972"/>
    <n v="86872.071180000086"/>
    <n v="29533.968611200027"/>
    <n v="84444.939793885002"/>
    <n v="29898.575383422925"/>
    <n v="108410.29"/>
    <n v="45766.26999999999"/>
    <n v="108410.2900000002"/>
    <n v="38383.747277400071"/>
    <n v="111662.59870000021"/>
    <n v="46722.791805292625"/>
  </r>
  <r>
    <x v="0"/>
    <x v="4"/>
    <x v="4"/>
    <x v="2"/>
    <x v="0"/>
    <m/>
    <x v="1"/>
    <x v="1"/>
    <x v="8"/>
    <n v="42929.569999999992"/>
    <n v="20008.78"/>
    <n v="49667.529999999992"/>
    <n v="20287.869999999992"/>
    <n v="52498.185419999987"/>
    <n v="22933.017065299995"/>
    <n v="53553.398946941983"/>
    <n v="23509.94213770753"/>
    <n v="39564.600000000006"/>
    <n v="19791.160000000014"/>
    <n v="39564.600000000006"/>
    <n v="19791.160000000014"/>
    <n v="43521.06"/>
    <n v="20982.16702424586"/>
  </r>
  <r>
    <x v="0"/>
    <x v="4"/>
    <x v="4"/>
    <x v="2"/>
    <x v="0"/>
    <m/>
    <x v="1"/>
    <x v="1"/>
    <x v="9"/>
    <n v="35149.96"/>
    <n v="16171.920000000002"/>
    <n v="45911.979999999996"/>
    <n v="20081.689999999988"/>
    <n v="56166.663699999997"/>
    <n v="24892.582001499999"/>
    <n v="57295.61364037"/>
    <n v="27673.781388298714"/>
    <n v="44153.089999999989"/>
    <n v="21319.049999999996"/>
    <n v="57295.61364037"/>
    <n v="27673.781388298714"/>
    <n v="59014.482049581093"/>
    <n v="28710.985799700054"/>
  </r>
  <r>
    <x v="0"/>
    <x v="4"/>
    <x v="4"/>
    <x v="2"/>
    <x v="0"/>
    <m/>
    <x v="1"/>
    <x v="1"/>
    <x v="10"/>
    <n v="56380.909999999996"/>
    <n v="21836.670000000002"/>
    <n v="45726.819999999992"/>
    <n v="19022.199999999993"/>
    <n v="62735.617499999993"/>
    <n v="25515.033552999994"/>
    <n v="63362.973674999994"/>
    <n v="26422.360022475001"/>
    <n v="56206.178160919531"/>
    <n v="24278.052297468177"/>
    <n v="63362.973674999994"/>
    <n v="26422.360022475001"/>
    <n v="66531.122358749999"/>
    <n v="29737.923245896036"/>
  </r>
  <r>
    <x v="0"/>
    <x v="4"/>
    <x v="4"/>
    <x v="2"/>
    <x v="0"/>
    <m/>
    <x v="1"/>
    <x v="1"/>
    <x v="11"/>
    <n v="159343.88"/>
    <n v="70154.909999999989"/>
    <n v="122951.73000000001"/>
    <n v="56511.750000000029"/>
    <n v="124746.73050000012"/>
    <n v="58319.539233000054"/>
    <n v="125994.19780500012"/>
    <n v="59469.26136396006"/>
    <n v="89319.899425287309"/>
    <n v="44513.200600427626"/>
    <n v="125994.19780500012"/>
    <n v="59469.26136396006"/>
    <n v="132293.90769525012"/>
    <n v="63780.911300228028"/>
  </r>
  <r>
    <x v="0"/>
    <x v="5"/>
    <x v="5"/>
    <x v="1"/>
    <x v="1"/>
    <m/>
    <x v="3"/>
    <x v="1"/>
    <x v="0"/>
    <n v="69503.100000000006"/>
    <n v="36302.92"/>
    <n v="0"/>
    <n v="0"/>
    <n v="0"/>
    <n v="0"/>
    <n v="0"/>
    <n v="0"/>
    <n v="0"/>
    <n v="0"/>
    <n v="0"/>
    <n v="0"/>
    <n v="0"/>
    <n v="0"/>
  </r>
  <r>
    <x v="0"/>
    <x v="5"/>
    <x v="5"/>
    <x v="1"/>
    <x v="1"/>
    <m/>
    <x v="3"/>
    <x v="1"/>
    <x v="1"/>
    <n v="121406.45999999998"/>
    <n v="54779.01999999999"/>
    <n v="0"/>
    <n v="0"/>
    <n v="0"/>
    <n v="0"/>
    <n v="0"/>
    <n v="0"/>
    <n v="0"/>
    <n v="0"/>
    <n v="0"/>
    <n v="0"/>
    <n v="0"/>
    <n v="0"/>
  </r>
  <r>
    <x v="0"/>
    <x v="5"/>
    <x v="5"/>
    <x v="1"/>
    <x v="1"/>
    <m/>
    <x v="3"/>
    <x v="1"/>
    <x v="2"/>
    <n v="86844.03"/>
    <n v="42400.749999999985"/>
    <n v="0"/>
    <n v="0"/>
    <n v="0"/>
    <n v="0"/>
    <n v="0"/>
    <n v="0"/>
    <n v="0"/>
    <n v="0"/>
    <n v="0"/>
    <n v="0"/>
    <n v="0"/>
    <n v="0"/>
  </r>
  <r>
    <x v="0"/>
    <x v="5"/>
    <x v="5"/>
    <x v="1"/>
    <x v="1"/>
    <m/>
    <x v="3"/>
    <x v="1"/>
    <x v="3"/>
    <n v="79351.409999999989"/>
    <n v="42141.219999999987"/>
    <n v="0"/>
    <n v="0"/>
    <n v="0"/>
    <n v="0"/>
    <n v="0"/>
    <n v="0"/>
    <n v="0"/>
    <n v="0"/>
    <n v="0"/>
    <n v="0"/>
    <n v="0"/>
    <n v="0"/>
  </r>
  <r>
    <x v="0"/>
    <x v="5"/>
    <x v="5"/>
    <x v="1"/>
    <x v="1"/>
    <m/>
    <x v="3"/>
    <x v="1"/>
    <x v="4"/>
    <n v="73874.23"/>
    <n v="38979.839999999997"/>
    <n v="0"/>
    <n v="0"/>
    <n v="0"/>
    <n v="0"/>
    <n v="0"/>
    <n v="0"/>
    <n v="0"/>
    <n v="0"/>
    <n v="0"/>
    <n v="0"/>
    <n v="0"/>
    <n v="0"/>
  </r>
  <r>
    <x v="0"/>
    <x v="5"/>
    <x v="5"/>
    <x v="1"/>
    <x v="1"/>
    <m/>
    <x v="3"/>
    <x v="1"/>
    <x v="5"/>
    <n v="60937.220000000008"/>
    <n v="31550.890000000003"/>
    <n v="0"/>
    <n v="0"/>
    <n v="0"/>
    <n v="0"/>
    <n v="0"/>
    <n v="0"/>
    <n v="0"/>
    <n v="0"/>
    <n v="0"/>
    <n v="0"/>
    <n v="0"/>
    <n v="0"/>
  </r>
  <r>
    <x v="0"/>
    <x v="5"/>
    <x v="5"/>
    <x v="1"/>
    <x v="1"/>
    <m/>
    <x v="3"/>
    <x v="1"/>
    <x v="6"/>
    <n v="65127.270000000004"/>
    <n v="34913.97"/>
    <n v="0"/>
    <n v="0"/>
    <n v="0"/>
    <n v="0"/>
    <n v="0"/>
    <n v="0"/>
    <n v="0"/>
    <n v="0"/>
    <n v="0"/>
    <n v="0"/>
    <n v="0"/>
    <n v="0"/>
  </r>
  <r>
    <x v="0"/>
    <x v="5"/>
    <x v="5"/>
    <x v="1"/>
    <x v="1"/>
    <m/>
    <x v="3"/>
    <x v="1"/>
    <x v="7"/>
    <n v="172018.37"/>
    <n v="63741.95999999997"/>
    <n v="0"/>
    <n v="0"/>
    <n v="0"/>
    <n v="0"/>
    <n v="0"/>
    <n v="0"/>
    <n v="0"/>
    <n v="0"/>
    <n v="0"/>
    <n v="0"/>
    <n v="0"/>
    <n v="0"/>
  </r>
  <r>
    <x v="0"/>
    <x v="5"/>
    <x v="5"/>
    <x v="1"/>
    <x v="1"/>
    <m/>
    <x v="3"/>
    <x v="1"/>
    <x v="8"/>
    <n v="56408.52"/>
    <n v="28783.829999999994"/>
    <n v="0"/>
    <n v="0"/>
    <n v="0"/>
    <n v="0"/>
    <n v="0"/>
    <n v="0"/>
    <n v="0"/>
    <n v="0"/>
    <n v="0"/>
    <n v="0"/>
    <n v="0"/>
    <n v="0"/>
  </r>
  <r>
    <x v="0"/>
    <x v="5"/>
    <x v="5"/>
    <x v="1"/>
    <x v="1"/>
    <m/>
    <x v="3"/>
    <x v="1"/>
    <x v="9"/>
    <n v="32481.559999999998"/>
    <n v="16722.439999999995"/>
    <n v="0"/>
    <n v="0"/>
    <n v="0"/>
    <n v="0"/>
    <n v="0"/>
    <n v="0"/>
    <n v="0"/>
    <n v="0"/>
    <n v="0"/>
    <n v="0"/>
    <n v="0"/>
    <n v="0"/>
  </r>
  <r>
    <x v="0"/>
    <x v="5"/>
    <x v="5"/>
    <x v="1"/>
    <x v="1"/>
    <m/>
    <x v="3"/>
    <x v="1"/>
    <x v="10"/>
    <n v="49222.990000000005"/>
    <n v="23525.410000000011"/>
    <n v="0"/>
    <n v="0"/>
    <n v="0"/>
    <n v="0"/>
    <n v="0"/>
    <n v="0"/>
    <n v="0"/>
    <n v="0"/>
    <n v="0"/>
    <n v="0"/>
    <n v="0"/>
    <n v="0"/>
  </r>
  <r>
    <x v="0"/>
    <x v="5"/>
    <x v="5"/>
    <x v="1"/>
    <x v="1"/>
    <m/>
    <x v="3"/>
    <x v="1"/>
    <x v="11"/>
    <n v="124315.05999999997"/>
    <n v="60727.759999999951"/>
    <n v="0"/>
    <n v="0"/>
    <n v="0"/>
    <n v="0"/>
    <n v="0"/>
    <n v="0"/>
    <n v="0"/>
    <n v="0"/>
    <n v="0"/>
    <n v="0"/>
    <n v="0"/>
    <n v="0"/>
  </r>
  <r>
    <x v="0"/>
    <x v="6"/>
    <x v="6"/>
    <x v="0"/>
    <x v="2"/>
    <m/>
    <x v="0"/>
    <x v="3"/>
    <x v="0"/>
    <n v="135827.82999999996"/>
    <n v="69454.539999999979"/>
    <n v="103612.24999999999"/>
    <n v="53083.719999999987"/>
    <n v="98138.769250000041"/>
    <n v="50735.266751250027"/>
    <n v="94913.910000000207"/>
    <n v="50819.602668677529"/>
    <n v="94913.910000000178"/>
    <n v="50530.260000000155"/>
    <n v="98138.769250000041"/>
    <n v="52247.110315890612"/>
    <n v="105008.48309750007"/>
    <n v="56012.902416944809"/>
  </r>
  <r>
    <x v="0"/>
    <x v="6"/>
    <x v="6"/>
    <x v="0"/>
    <x v="2"/>
    <m/>
    <x v="0"/>
    <x v="3"/>
    <x v="1"/>
    <n v="190515.53999999998"/>
    <n v="80627.089999999953"/>
    <n v="121764.35999999999"/>
    <n v="57884.799999999988"/>
    <n v="178031.03730000049"/>
    <n v="80056.851285000215"/>
    <n v="148645.06000000023"/>
    <n v="65252.332206180006"/>
    <n v="148645.06000000014"/>
    <n v="64901.670000000187"/>
    <n v="178031.03730000049"/>
    <n v="77732.22758026635"/>
    <n v="181591.65804600052"/>
    <n v="82697.522403446565"/>
  </r>
  <r>
    <x v="0"/>
    <x v="6"/>
    <x v="6"/>
    <x v="0"/>
    <x v="2"/>
    <m/>
    <x v="0"/>
    <x v="3"/>
    <x v="2"/>
    <n v="150942.49999999997"/>
    <n v="72471.689999999988"/>
    <n v="185107.82999999996"/>
    <n v="84895.269999999975"/>
    <n v="126020"/>
    <n v="60760"/>
    <n v="134091.3500000003"/>
    <n v="67230.985144134611"/>
    <n v="134091.3500000005"/>
    <n v="66824.070000000618"/>
    <n v="134091.35000000076"/>
    <n v="66824.070000000749"/>
    <n v="140795.91750000083"/>
    <n v="72733.420704556207"/>
  </r>
  <r>
    <x v="0"/>
    <x v="6"/>
    <x v="6"/>
    <x v="0"/>
    <x v="2"/>
    <m/>
    <x v="0"/>
    <x v="3"/>
    <x v="3"/>
    <n v="115738.35999999999"/>
    <n v="60947.519999999975"/>
    <n v="97141.309999999969"/>
    <n v="53382.109999999964"/>
    <n v="102674"/>
    <n v="56851"/>
    <n v="113550.52000000021"/>
    <n v="62067.616916005463"/>
    <n v="113550.52000000014"/>
    <n v="61471.54000000011"/>
    <n v="113550.52000000028"/>
    <n v="61471.54000000019"/>
    <n v="121839.70796000031"/>
    <n v="64059.071260570854"/>
  </r>
  <r>
    <x v="0"/>
    <x v="6"/>
    <x v="6"/>
    <x v="0"/>
    <x v="2"/>
    <m/>
    <x v="0"/>
    <x v="3"/>
    <x v="4"/>
    <n v="127710.82"/>
    <n v="68314.599999999991"/>
    <n v="87829.619999999981"/>
    <n v="47921.169999999984"/>
    <n v="102819"/>
    <n v="54294"/>
    <n v="116412.75000000006"/>
    <n v="64813.086312459396"/>
    <n v="116412.7500000001"/>
    <n v="64375.170000000115"/>
    <n v="116412.7500000001"/>
    <n v="64375.170000000115"/>
    <n v="124910.88075000014"/>
    <n v="66629.102410402847"/>
  </r>
  <r>
    <x v="0"/>
    <x v="6"/>
    <x v="6"/>
    <x v="0"/>
    <x v="2"/>
    <m/>
    <x v="0"/>
    <x v="3"/>
    <x v="5"/>
    <n v="110108.99999999999"/>
    <n v="58795.769999999975"/>
    <n v="62420.279999999984"/>
    <n v="34330.779999999992"/>
    <n v="93237"/>
    <n v="51771"/>
    <n v="104821.81000000026"/>
    <n v="58544.498789649995"/>
    <n v="104821.81000000019"/>
    <n v="58546.610000000204"/>
    <n v="104821.81000000019"/>
    <n v="58546.610000000204"/>
    <n v="113207.55480000022"/>
    <n v="60386.394820937152"/>
  </r>
  <r>
    <x v="0"/>
    <x v="6"/>
    <x v="6"/>
    <x v="0"/>
    <x v="2"/>
    <m/>
    <x v="0"/>
    <x v="3"/>
    <x v="6"/>
    <n v="137226.85999999999"/>
    <n v="73495.659999999974"/>
    <n v="107678.10999999997"/>
    <n v="58772.569999999978"/>
    <n v="99268"/>
    <n v="54927"/>
    <n v="110063.78999999996"/>
    <n v="60118.900000000525"/>
    <n v="110063.79000000024"/>
    <n v="60118.900000000205"/>
    <n v="110063.79000000058"/>
    <n v="60118.900000000394"/>
    <n v="118868.89320000063"/>
    <n v="63406.22699063045"/>
  </r>
  <r>
    <x v="0"/>
    <x v="6"/>
    <x v="6"/>
    <x v="0"/>
    <x v="2"/>
    <m/>
    <x v="0"/>
    <x v="3"/>
    <x v="7"/>
    <n v="310102.00999999995"/>
    <n v="111519.78999999991"/>
    <n v="180852.11999999994"/>
    <n v="78190.629999999946"/>
    <n v="193060"/>
    <n v="85214"/>
    <n v="193205.75587585563"/>
    <n v="87396.623670443296"/>
    <n v="222848.35000000044"/>
    <n v="100206.73000000053"/>
    <n v="222848.35000000047"/>
    <n v="100805.45112250022"/>
    <n v="230425.19390000051"/>
    <n v="106698.78445789809"/>
  </r>
  <r>
    <x v="0"/>
    <x v="6"/>
    <x v="6"/>
    <x v="0"/>
    <x v="2"/>
    <m/>
    <x v="0"/>
    <x v="3"/>
    <x v="8"/>
    <n v="81249.359999999986"/>
    <n v="41123.279999999999"/>
    <n v="107783.14999999998"/>
    <n v="54667.629999999976"/>
    <n v="96184"/>
    <n v="51836"/>
    <n v="100658.11965095707"/>
    <n v="53585.757792774602"/>
    <n v="90033.040000000023"/>
    <n v="48036.130000000019"/>
    <n v="90033.040000000023"/>
    <n v="48036.130000000019"/>
    <n v="102637.66560000004"/>
    <n v="53021.342129599143"/>
  </r>
  <r>
    <x v="0"/>
    <x v="6"/>
    <x v="6"/>
    <x v="0"/>
    <x v="2"/>
    <m/>
    <x v="0"/>
    <x v="3"/>
    <x v="9"/>
    <n v="73679.03"/>
    <n v="38602.46"/>
    <n v="105478.66999999998"/>
    <n v="57433.679999999993"/>
    <n v="103136"/>
    <n v="57370"/>
    <n v="107933.71929249783"/>
    <n v="59082.735286248491"/>
    <n v="110522.87000000017"/>
    <n v="57440.100000000246"/>
    <n v="110522.87"/>
    <n v="60500.03200195785"/>
    <n v="118812.08525"/>
    <n v="63375.924884876411"/>
  </r>
  <r>
    <x v="0"/>
    <x v="6"/>
    <x v="6"/>
    <x v="0"/>
    <x v="2"/>
    <m/>
    <x v="0"/>
    <x v="3"/>
    <x v="10"/>
    <n v="110038.84999999999"/>
    <n v="52502.960000000014"/>
    <n v="110509.34999999998"/>
    <n v="58933.099999999955"/>
    <n v="128922"/>
    <n v="66011"/>
    <n v="133596.99254646007"/>
    <n v="66299.583445055454"/>
    <n v="170853.73563218393"/>
    <n v="68430.868046354852"/>
    <n v="162311.04885057473"/>
    <n v="80549.380058692725"/>
    <n v="174484.37751436786"/>
    <n v="86399.993295884298"/>
  </r>
  <r>
    <x v="0"/>
    <x v="6"/>
    <x v="6"/>
    <x v="0"/>
    <x v="2"/>
    <m/>
    <x v="0"/>
    <x v="3"/>
    <x v="11"/>
    <n v="274236.61999999994"/>
    <n v="129177.58999999992"/>
    <n v="241072.48999999993"/>
    <n v="129653.02000000002"/>
    <n v="252836"/>
    <n v="141574"/>
    <n v="262003.99838440589"/>
    <n v="138430.87400410394"/>
    <n v="235560.34482758629"/>
    <n v="114110.84533174857"/>
    <n v="262003.99838440589"/>
    <n v="138430.87400410394"/>
    <n v="281654.2982632363"/>
    <n v="147222.37765064329"/>
  </r>
  <r>
    <x v="0"/>
    <x v="7"/>
    <x v="7"/>
    <x v="1"/>
    <x v="1"/>
    <m/>
    <x v="1"/>
    <x v="1"/>
    <x v="0"/>
    <n v="48921.109999999993"/>
    <n v="25056.009999999995"/>
    <n v="0"/>
    <n v="0"/>
    <n v="0"/>
    <n v="0"/>
    <n v="0"/>
    <n v="0"/>
    <n v="0"/>
    <n v="0"/>
    <n v="0"/>
    <n v="0"/>
    <n v="0"/>
    <n v="0"/>
  </r>
  <r>
    <x v="0"/>
    <x v="7"/>
    <x v="7"/>
    <x v="1"/>
    <x v="1"/>
    <m/>
    <x v="1"/>
    <x v="1"/>
    <x v="1"/>
    <n v="77774.290000000008"/>
    <n v="30267.000000000004"/>
    <n v="0"/>
    <n v="0"/>
    <n v="0"/>
    <n v="0"/>
    <n v="0"/>
    <n v="0"/>
    <n v="0"/>
    <n v="0"/>
    <n v="0"/>
    <n v="0"/>
    <n v="0"/>
    <n v="0"/>
  </r>
  <r>
    <x v="0"/>
    <x v="7"/>
    <x v="7"/>
    <x v="1"/>
    <x v="1"/>
    <m/>
    <x v="1"/>
    <x v="1"/>
    <x v="2"/>
    <n v="43125.75"/>
    <n v="20148.579999999998"/>
    <n v="0"/>
    <n v="0"/>
    <n v="0"/>
    <n v="0"/>
    <n v="0"/>
    <n v="0"/>
    <n v="0"/>
    <n v="0"/>
    <n v="0"/>
    <n v="0"/>
    <n v="0"/>
    <n v="0"/>
  </r>
  <r>
    <x v="0"/>
    <x v="7"/>
    <x v="7"/>
    <x v="1"/>
    <x v="1"/>
    <m/>
    <x v="1"/>
    <x v="1"/>
    <x v="3"/>
    <n v="36140.639999999999"/>
    <n v="18475.240000000002"/>
    <n v="0"/>
    <n v="0"/>
    <n v="0"/>
    <n v="0"/>
    <n v="0"/>
    <n v="0"/>
    <n v="0"/>
    <n v="0"/>
    <n v="0"/>
    <n v="0"/>
    <n v="0"/>
    <n v="0"/>
  </r>
  <r>
    <x v="0"/>
    <x v="7"/>
    <x v="7"/>
    <x v="1"/>
    <x v="1"/>
    <m/>
    <x v="1"/>
    <x v="1"/>
    <x v="4"/>
    <n v="38122.699999999997"/>
    <n v="20029.12999999999"/>
    <n v="0"/>
    <n v="0"/>
    <n v="0"/>
    <n v="0"/>
    <n v="0"/>
    <n v="0"/>
    <n v="0"/>
    <n v="0"/>
    <n v="0"/>
    <n v="0"/>
    <n v="0"/>
    <n v="0"/>
  </r>
  <r>
    <x v="0"/>
    <x v="7"/>
    <x v="7"/>
    <x v="1"/>
    <x v="1"/>
    <m/>
    <x v="1"/>
    <x v="1"/>
    <x v="5"/>
    <n v="34543.99"/>
    <n v="18214.919999999998"/>
    <n v="0"/>
    <n v="0"/>
    <n v="0"/>
    <n v="0"/>
    <n v="0"/>
    <n v="0"/>
    <n v="0"/>
    <n v="0"/>
    <n v="0"/>
    <n v="0"/>
    <n v="0"/>
    <n v="0"/>
  </r>
  <r>
    <x v="0"/>
    <x v="7"/>
    <x v="7"/>
    <x v="1"/>
    <x v="1"/>
    <m/>
    <x v="1"/>
    <x v="1"/>
    <x v="6"/>
    <n v="32186.21"/>
    <n v="17365.759999999998"/>
    <n v="0"/>
    <n v="0"/>
    <n v="0"/>
    <n v="0"/>
    <n v="0"/>
    <n v="0"/>
    <n v="0"/>
    <n v="0"/>
    <n v="0"/>
    <n v="0"/>
    <n v="0"/>
    <n v="0"/>
  </r>
  <r>
    <x v="0"/>
    <x v="7"/>
    <x v="7"/>
    <x v="1"/>
    <x v="1"/>
    <m/>
    <x v="1"/>
    <x v="1"/>
    <x v="7"/>
    <n v="124969.85999999999"/>
    <n v="35660.399999999994"/>
    <n v="0"/>
    <n v="0"/>
    <n v="0"/>
    <n v="0"/>
    <n v="0"/>
    <n v="0"/>
    <n v="0"/>
    <n v="0"/>
    <n v="0"/>
    <n v="0"/>
    <n v="0"/>
    <n v="0"/>
  </r>
  <r>
    <x v="0"/>
    <x v="7"/>
    <x v="7"/>
    <x v="1"/>
    <x v="1"/>
    <m/>
    <x v="1"/>
    <x v="1"/>
    <x v="8"/>
    <n v="32128.070000000003"/>
    <n v="15881.840000000002"/>
    <n v="0"/>
    <n v="0"/>
    <n v="0"/>
    <n v="0"/>
    <n v="0"/>
    <n v="0"/>
    <n v="0"/>
    <n v="0"/>
    <n v="0"/>
    <n v="0"/>
    <n v="0"/>
    <n v="0"/>
  </r>
  <r>
    <x v="0"/>
    <x v="7"/>
    <x v="7"/>
    <x v="1"/>
    <x v="1"/>
    <m/>
    <x v="1"/>
    <x v="1"/>
    <x v="9"/>
    <n v="27901.439999999995"/>
    <n v="14322.679999999997"/>
    <n v="0"/>
    <n v="0"/>
    <n v="0"/>
    <n v="0"/>
    <n v="0"/>
    <n v="0"/>
    <n v="0"/>
    <n v="0"/>
    <n v="0"/>
    <n v="0"/>
    <n v="0"/>
    <n v="0"/>
  </r>
  <r>
    <x v="0"/>
    <x v="7"/>
    <x v="7"/>
    <x v="1"/>
    <x v="1"/>
    <m/>
    <x v="1"/>
    <x v="1"/>
    <x v="10"/>
    <n v="51539.55"/>
    <n v="23008.91"/>
    <n v="0"/>
    <n v="0"/>
    <n v="0"/>
    <n v="0"/>
    <n v="0"/>
    <n v="0"/>
    <n v="0"/>
    <n v="0"/>
    <n v="0"/>
    <n v="0"/>
    <n v="0"/>
    <n v="0"/>
  </r>
  <r>
    <x v="0"/>
    <x v="7"/>
    <x v="7"/>
    <x v="1"/>
    <x v="1"/>
    <m/>
    <x v="1"/>
    <x v="1"/>
    <x v="11"/>
    <n v="98214.51999999999"/>
    <n v="47435.209999999992"/>
    <n v="0"/>
    <n v="0"/>
    <n v="0"/>
    <n v="0"/>
    <n v="0"/>
    <n v="0"/>
    <n v="0"/>
    <n v="0"/>
    <n v="0"/>
    <n v="0"/>
    <n v="0"/>
    <n v="0"/>
  </r>
  <r>
    <x v="0"/>
    <x v="8"/>
    <x v="8"/>
    <x v="0"/>
    <x v="2"/>
    <m/>
    <x v="1"/>
    <x v="4"/>
    <x v="0"/>
    <n v="176554.77"/>
    <n v="91532.58"/>
    <n v="144928.28"/>
    <n v="75178.339999999982"/>
    <n v="161725.81395666677"/>
    <n v="83804.151380133393"/>
    <n v="157566.82000000041"/>
    <n v="83404.83729115632"/>
    <n v="157566.82000000044"/>
    <n v="83685.950000000434"/>
    <n v="161725.81395666677"/>
    <n v="85894.850073682697"/>
    <n v="169812.10465450014"/>
    <n v="90120.370946009571"/>
  </r>
  <r>
    <x v="0"/>
    <x v="8"/>
    <x v="8"/>
    <x v="0"/>
    <x v="2"/>
    <m/>
    <x v="1"/>
    <x v="4"/>
    <x v="1"/>
    <n v="229786.89"/>
    <n v="92988.239999999991"/>
    <n v="199848.80999999991"/>
    <n v="91074.639999999941"/>
    <n v="269677.14236000064"/>
    <n v="116773.49400270027"/>
    <n v="267256.82000000129"/>
    <n v="115041.45647579357"/>
    <n v="267256.82000000123"/>
    <n v="115197.93000000127"/>
    <n v="275070.68520720064"/>
    <n v="118566.00531111364"/>
    <n v="283322.80576341669"/>
    <n v="129810.65563025718"/>
  </r>
  <r>
    <x v="0"/>
    <x v="8"/>
    <x v="8"/>
    <x v="0"/>
    <x v="2"/>
    <m/>
    <x v="1"/>
    <x v="4"/>
    <x v="2"/>
    <n v="155700.96999999997"/>
    <n v="73452.069999999978"/>
    <n v="264480.37999999989"/>
    <n v="113949.72999999986"/>
    <n v="181771.51140000031"/>
    <n v="87174.03089700015"/>
    <n v="187181.10000000053"/>
    <n v="92806.376232285038"/>
    <n v="187181.10000000027"/>
    <n v="89901.20000000023"/>
    <n v="187181.10000000053"/>
    <n v="89901.200000000346"/>
    <n v="190924.72200000056"/>
    <n v="99940.116407165217"/>
  </r>
  <r>
    <x v="0"/>
    <x v="8"/>
    <x v="8"/>
    <x v="0"/>
    <x v="2"/>
    <m/>
    <x v="1"/>
    <x v="4"/>
    <x v="3"/>
    <n v="134994.70000000001"/>
    <n v="70725.66"/>
    <n v="157376.70000000007"/>
    <n v="87818.070000000065"/>
    <n v="160429.92162000039"/>
    <n v="88097.380115300199"/>
    <n v="154514.72000000023"/>
    <n v="82966.227274293095"/>
    <n v="154514.72000000003"/>
    <n v="82984.560000000027"/>
    <n v="154514.72000000015"/>
    <n v="82984.560000000085"/>
    <n v="165330.75040000016"/>
    <n v="87262.402723171574"/>
  </r>
  <r>
    <x v="0"/>
    <x v="8"/>
    <x v="8"/>
    <x v="0"/>
    <x v="2"/>
    <m/>
    <x v="1"/>
    <x v="4"/>
    <x v="4"/>
    <n v="155327.45999999996"/>
    <n v="81521.930000000008"/>
    <n v="163107.02000000002"/>
    <n v="89875.950000000012"/>
    <n v="164749.9112300002"/>
    <n v="86649.893493700132"/>
    <n v="137834.11000000016"/>
    <n v="75144.501355167507"/>
    <n v="137834.11000000019"/>
    <n v="75370.470000000205"/>
    <n v="144725.8155000002"/>
    <n v="79138.993500000215"/>
    <n v="154856.62258500021"/>
    <n v="82183.400878287095"/>
  </r>
  <r>
    <x v="0"/>
    <x v="8"/>
    <x v="8"/>
    <x v="0"/>
    <x v="2"/>
    <m/>
    <x v="1"/>
    <x v="4"/>
    <x v="5"/>
    <n v="149671.63999999998"/>
    <n v="77639.150000000009"/>
    <n v="154727.09999999998"/>
    <n v="84892.939999999988"/>
    <n v="150823.93465000013"/>
    <n v="83484.980591500076"/>
    <n v="130458.40000000034"/>
    <n v="71764.267871204458"/>
    <n v="130458.40000000049"/>
    <n v="71763.010000000504"/>
    <n v="140895.07200000057"/>
    <n v="77504.050800000579"/>
    <n v="150757.72704000061"/>
    <n v="80008.090774594064"/>
  </r>
  <r>
    <x v="0"/>
    <x v="8"/>
    <x v="8"/>
    <x v="0"/>
    <x v="2"/>
    <m/>
    <x v="1"/>
    <x v="4"/>
    <x v="6"/>
    <n v="179136.52999999997"/>
    <n v="94929.299999999959"/>
    <n v="174253.13"/>
    <n v="94769.50999999998"/>
    <n v="160495.25165000011"/>
    <n v="88449.759005000073"/>
    <n v="155783.38000000012"/>
    <n v="86026.450000000565"/>
    <n v="155783.38000000059"/>
    <n v="86026.450000000608"/>
    <n v="155783.38000000111"/>
    <n v="86026.450000000899"/>
    <n v="165130.38280000119"/>
    <n v="87635.751189061644"/>
  </r>
  <r>
    <x v="0"/>
    <x v="8"/>
    <x v="8"/>
    <x v="0"/>
    <x v="2"/>
    <m/>
    <x v="1"/>
    <x v="4"/>
    <x v="7"/>
    <n v="424244.14999999991"/>
    <n v="145540.39999999997"/>
    <n v="272748.00999999989"/>
    <n v="112067.11999999994"/>
    <n v="291177.54986000044"/>
    <n v="123072.94218150017"/>
    <n v="271758.61821887933"/>
    <n v="122269.63750903819"/>
    <n v="359367.37000000174"/>
    <n v="150054.50000000175"/>
    <n v="359367.37000000104"/>
    <n v="161686.56711040047"/>
    <n v="370148.39110000106"/>
    <n v="169591.73194585176"/>
  </r>
  <r>
    <x v="0"/>
    <x v="8"/>
    <x v="8"/>
    <x v="0"/>
    <x v="2"/>
    <m/>
    <x v="1"/>
    <x v="4"/>
    <x v="8"/>
    <n v="102432.13999999998"/>
    <n v="52209.859999999986"/>
    <n v="165338.41"/>
    <n v="82690.960000000006"/>
    <n v="150942.36665250018"/>
    <n v="79656.053068187597"/>
    <n v="155466.2980590339"/>
    <n v="83081.189682747703"/>
    <n v="127915.93000000028"/>
    <n v="67651.420000000304"/>
    <n v="136870.04510000031"/>
    <n v="72387.019400000325"/>
    <n v="143029.19712950033"/>
    <n v="75491.530588772686"/>
  </r>
  <r>
    <x v="0"/>
    <x v="8"/>
    <x v="8"/>
    <x v="0"/>
    <x v="2"/>
    <m/>
    <x v="1"/>
    <x v="4"/>
    <x v="9"/>
    <n v="89612.180000000022"/>
    <n v="47104.959999999999"/>
    <n v="135279.73000000001"/>
    <n v="73226.430000000008"/>
    <n v="159830.91028750013"/>
    <n v="87952.839355562581"/>
    <n v="164621.24245745433"/>
    <n v="89372.872530151973"/>
    <n v="162556.16000000079"/>
    <n v="85156.420000000813"/>
    <n v="164621.24245745433"/>
    <n v="89372.872530151973"/>
    <n v="174498.51700490154"/>
    <n v="92607.479979157913"/>
  </r>
  <r>
    <x v="0"/>
    <x v="8"/>
    <x v="8"/>
    <x v="0"/>
    <x v="2"/>
    <m/>
    <x v="1"/>
    <x v="4"/>
    <x v="10"/>
    <n v="146048.97999999992"/>
    <n v="64762.54999999993"/>
    <n v="207269.88"/>
    <n v="107760.37000000002"/>
    <n v="218251.84760000015"/>
    <n v="108954.52783100006"/>
    <n v="224793.12828738164"/>
    <n v="110957.88812265158"/>
    <n v="279482.04022988508"/>
    <n v="115791.73791641822"/>
    <n v="273892.39942528738"/>
    <n v="135193.28835632186"/>
    <n v="295803.79137931042"/>
    <n v="146257.03142363075"/>
  </r>
  <r>
    <x v="0"/>
    <x v="8"/>
    <x v="8"/>
    <x v="0"/>
    <x v="2"/>
    <m/>
    <x v="1"/>
    <x v="4"/>
    <x v="11"/>
    <n v="298421.40999999997"/>
    <n v="140510.78999999998"/>
    <n v="356036.86999999994"/>
    <n v="191891.77999999994"/>
    <n v="362760.00025000074"/>
    <n v="198931.45648250042"/>
    <n v="369858.30655489262"/>
    <n v="194101.63928000766"/>
    <n v="305103.37643678172"/>
    <n v="151803.39657904525"/>
    <n v="369858.30655489262"/>
    <n v="194101.63928000766"/>
    <n v="399446.97107928409"/>
    <n v="209091.71096319886"/>
  </r>
  <r>
    <x v="0"/>
    <x v="9"/>
    <x v="9"/>
    <x v="0"/>
    <x v="0"/>
    <m/>
    <x v="3"/>
    <x v="1"/>
    <x v="0"/>
    <n v="39576.179999999993"/>
    <n v="20058.37"/>
    <n v="17595.439999999999"/>
    <n v="8175.57"/>
    <n v="488"/>
    <n v="24700.644933333326"/>
    <n v="20503.21"/>
    <n v="9248.7707561065381"/>
    <n v="20503.210000000006"/>
    <n v="9174.0900000000038"/>
    <n v="24700.644933333326"/>
    <n v="11052.217661353709"/>
    <n v="24700.644933333329"/>
    <n v="12119.553829210578"/>
  </r>
  <r>
    <x v="0"/>
    <x v="9"/>
    <x v="9"/>
    <x v="0"/>
    <x v="0"/>
    <m/>
    <x v="3"/>
    <x v="1"/>
    <x v="1"/>
    <n v="58222.479999999996"/>
    <n v="23955.489999999994"/>
    <n v="24341.790000000008"/>
    <n v="10071.700000000004"/>
    <n v="729"/>
    <n v="39095.044799999981"/>
    <n v="34120.409999999989"/>
    <n v="12892.678984937756"/>
    <n v="34120.409999999996"/>
    <n v="12496.799999999992"/>
    <n v="39095.044799999981"/>
    <n v="14318.789131098938"/>
    <n v="39095.044799999989"/>
    <n v="16467.609582661993"/>
  </r>
  <r>
    <x v="0"/>
    <x v="9"/>
    <x v="9"/>
    <x v="0"/>
    <x v="0"/>
    <m/>
    <x v="3"/>
    <x v="1"/>
    <x v="2"/>
    <n v="40761.620000000003"/>
    <n v="19205.690000000002"/>
    <n v="40478.03"/>
    <n v="15584.02"/>
    <n v="1264"/>
    <n v="28691.249999999989"/>
    <n v="25309.830000000009"/>
    <n v="11798.475268902508"/>
    <n v="25309.83000000002"/>
    <n v="10921.610000000022"/>
    <n v="25309.83"/>
    <n v="10921.610000000015"/>
    <n v="0"/>
    <n v="0"/>
  </r>
  <r>
    <x v="0"/>
    <x v="9"/>
    <x v="9"/>
    <x v="0"/>
    <x v="0"/>
    <m/>
    <x v="3"/>
    <x v="1"/>
    <x v="3"/>
    <n v="38640.49"/>
    <n v="19993.079999999998"/>
    <n v="20820.219999999998"/>
    <n v="9592.09"/>
    <n v="591"/>
    <n v="23205.348699999995"/>
    <n v="22165.960000000014"/>
    <n v="10752.413353807904"/>
    <n v="22165.96"/>
    <n v="10677.560000000003"/>
    <n v="22165.960000000006"/>
    <n v="10677.560000000007"/>
    <n v="14186.214400000004"/>
    <n v="6960.5708481523598"/>
  </r>
  <r>
    <x v="0"/>
    <x v="9"/>
    <x v="9"/>
    <x v="0"/>
    <x v="0"/>
    <m/>
    <x v="3"/>
    <x v="1"/>
    <x v="4"/>
    <n v="36604.400000000001"/>
    <n v="19277.550000000003"/>
    <n v="21879.649999999998"/>
    <n v="10363.309999999996"/>
    <n v="610"/>
    <n v="26109.824499999988"/>
    <n v="18454.550000000003"/>
    <n v="9282.8381655652847"/>
    <n v="18454.550000000003"/>
    <n v="9136.4500000000044"/>
    <n v="18454.550000000003"/>
    <n v="9136.4500000000044"/>
    <n v="23651.564803719011"/>
    <n v="11604.814917075615"/>
  </r>
  <r>
    <x v="0"/>
    <x v="9"/>
    <x v="9"/>
    <x v="0"/>
    <x v="0"/>
    <m/>
    <x v="3"/>
    <x v="1"/>
    <x v="5"/>
    <n v="36116.559999999998"/>
    <n v="18345.3"/>
    <n v="19823.7"/>
    <n v="9380.15"/>
    <n v="513"/>
    <n v="22076.606799999998"/>
    <n v="20955.28"/>
    <n v="10792.100000000011"/>
    <n v="20955.28"/>
    <n v="10792.100000000004"/>
    <n v="20955.280000000002"/>
    <n v="10792.100000000006"/>
    <n v="26856.529305785127"/>
    <n v="13177.354415875559"/>
  </r>
  <r>
    <x v="0"/>
    <x v="9"/>
    <x v="9"/>
    <x v="0"/>
    <x v="0"/>
    <m/>
    <x v="3"/>
    <x v="1"/>
    <x v="6"/>
    <n v="31177.72"/>
    <n v="15913.809999999998"/>
    <n v="24422.18"/>
    <n v="11649.29"/>
    <n v="55"/>
    <n v="2369.9625000000005"/>
    <n v="22247.319999999992"/>
    <n v="11265.475781015324"/>
    <n v="22231.510000000002"/>
    <n v="11257.470000000007"/>
    <n v="22231.510000000002"/>
    <n v="11257.470000000007"/>
    <n v="28492.160440082651"/>
    <n v="13979.888909624766"/>
  </r>
  <r>
    <x v="0"/>
    <x v="9"/>
    <x v="9"/>
    <x v="0"/>
    <x v="0"/>
    <m/>
    <x v="3"/>
    <x v="1"/>
    <x v="7"/>
    <n v="75558.990000000005"/>
    <n v="26517.789999999994"/>
    <n v="54327.139999999985"/>
    <n v="17385.139999999992"/>
    <n v="0"/>
    <n v="0"/>
    <n v="37534.672992469634"/>
    <n v="13388.617856413919"/>
    <n v="54039.919999999976"/>
    <n v="23047.069999999978"/>
    <n v="54039.92000000002"/>
    <n v="19276.039464000009"/>
    <n v="64410.113656363668"/>
    <n v="27130.819526977062"/>
  </r>
  <r>
    <x v="0"/>
    <x v="9"/>
    <x v="9"/>
    <x v="0"/>
    <x v="0"/>
    <m/>
    <x v="3"/>
    <x v="1"/>
    <x v="8"/>
    <n v="31906.879999999997"/>
    <n v="14982.149999999998"/>
    <n v="24013.050000000003"/>
    <n v="9844.4399999999987"/>
    <n v="0"/>
    <n v="0"/>
    <n v="22824.681000000019"/>
    <n v="10873.678028400009"/>
    <n v="16383.620000000003"/>
    <n v="8395.5599999999977"/>
    <n v="16383.620000000003"/>
    <n v="8395.5599999999977"/>
    <n v="20997.436954545461"/>
    <n v="10208.482335795245"/>
  </r>
  <r>
    <x v="0"/>
    <x v="9"/>
    <x v="9"/>
    <x v="0"/>
    <x v="0"/>
    <m/>
    <x v="3"/>
    <x v="1"/>
    <x v="9"/>
    <n v="16997.72"/>
    <n v="8429.0400000000009"/>
    <n v="19824.68"/>
    <n v="8831.6799999999985"/>
    <n v="0"/>
    <n v="0"/>
    <n v="0"/>
    <n v="0"/>
    <n v="14915.830000000011"/>
    <n v="8000.8200000000079"/>
    <n v="21891.750000000004"/>
    <n v="11742.688890594762"/>
    <n v="28056.720092975207"/>
    <n v="13766.236887970181"/>
  </r>
  <r>
    <x v="0"/>
    <x v="9"/>
    <x v="9"/>
    <x v="0"/>
    <x v="0"/>
    <m/>
    <x v="3"/>
    <x v="1"/>
    <x v="10"/>
    <n v="21970.969999999994"/>
    <n v="9565.3399999999947"/>
    <n v="20032.600000000002"/>
    <n v="8834.3000000000029"/>
    <n v="0"/>
    <n v="0"/>
    <n v="4028.3599999999988"/>
    <n v="1699.5650839999994"/>
    <n v="14411.063218390804"/>
    <n v="5556.7082808420819"/>
    <n v="21148.89"/>
    <n v="8922.7166909999996"/>
    <n v="27104.66212190083"/>
    <n v="12206.281718227747"/>
  </r>
  <r>
    <x v="0"/>
    <x v="9"/>
    <x v="9"/>
    <x v="0"/>
    <x v="0"/>
    <m/>
    <x v="3"/>
    <x v="1"/>
    <x v="11"/>
    <n v="62216.039999999994"/>
    <n v="28727.88"/>
    <n v="46750"/>
    <n v="22477.810000000005"/>
    <n v="0"/>
    <n v="0"/>
    <n v="52594.553000000036"/>
    <n v="25476.801473200016"/>
    <n v="53921.752873563215"/>
    <n v="25464.280253656405"/>
    <n v="52594.553000000036"/>
    <n v="25476.801473200016"/>
    <n v="69106.742370808395"/>
    <n v="33598.146302519606"/>
  </r>
  <r>
    <x v="0"/>
    <x v="10"/>
    <x v="10"/>
    <x v="0"/>
    <x v="2"/>
    <m/>
    <x v="2"/>
    <x v="3"/>
    <x v="0"/>
    <n v="184192.27999999997"/>
    <n v="96747.37000000001"/>
    <n v="127888.13999999998"/>
    <n v="66100.379999999976"/>
    <n v="118946.80936666674"/>
    <n v="60926.214278166706"/>
    <n v="120471.05000000031"/>
    <n v="63830.858235186453"/>
    <n v="120471.05000000025"/>
    <n v="63875.020000000346"/>
    <n v="118946.80936666674"/>
    <n v="63066.851556718815"/>
    <n v="124894.14983500008"/>
    <n v="66488.883982145882"/>
  </r>
  <r>
    <x v="0"/>
    <x v="10"/>
    <x v="10"/>
    <x v="0"/>
    <x v="2"/>
    <m/>
    <x v="2"/>
    <x v="3"/>
    <x v="1"/>
    <n v="222471.28999999995"/>
    <n v="92564.599999999948"/>
    <n v="143465.46999999997"/>
    <n v="66400.089999999982"/>
    <n v="166417.17350000044"/>
    <n v="72873.211542500198"/>
    <n v="155139.09000000014"/>
    <n v="66469.130477665443"/>
    <n v="155139.09000000029"/>
    <n v="66560.440000000352"/>
    <n v="166417.17350000044"/>
    <n v="71399.15730920175"/>
    <n v="172241.77457250046"/>
    <n v="78288.126245289459"/>
  </r>
  <r>
    <x v="0"/>
    <x v="10"/>
    <x v="10"/>
    <x v="0"/>
    <x v="2"/>
    <m/>
    <x v="2"/>
    <x v="3"/>
    <x v="2"/>
    <n v="175453.88999999996"/>
    <n v="82866.859999999971"/>
    <n v="169492.65999999997"/>
    <n v="76154.969999999972"/>
    <n v="127973.44559000016"/>
    <n v="62133.869524800073"/>
    <n v="147056.85000000024"/>
    <n v="70577.271645035697"/>
    <n v="147056.85000000024"/>
    <n v="70452.780000000261"/>
    <n v="147056.85000000073"/>
    <n v="70452.780000000494"/>
    <n v="142645.14450000072"/>
    <n v="73544.048931629572"/>
  </r>
  <r>
    <x v="0"/>
    <x v="10"/>
    <x v="10"/>
    <x v="0"/>
    <x v="2"/>
    <m/>
    <x v="2"/>
    <x v="3"/>
    <x v="3"/>
    <n v="142722.31999999998"/>
    <n v="75545.349999999977"/>
    <n v="105008.55999999995"/>
    <n v="56227.399999999951"/>
    <n v="110487.1597100002"/>
    <n v="59670.384197200117"/>
    <n v="112061.14000000014"/>
    <n v="58259.960911908725"/>
    <n v="112061.14000000014"/>
    <n v="57850.210000000101"/>
    <n v="114302.36280000015"/>
    <n v="59007.214200000104"/>
    <n v="121160.50456800015"/>
    <n v="63576.645158727217"/>
  </r>
  <r>
    <x v="0"/>
    <x v="10"/>
    <x v="10"/>
    <x v="0"/>
    <x v="2"/>
    <m/>
    <x v="2"/>
    <x v="3"/>
    <x v="4"/>
    <n v="142144.21999999997"/>
    <n v="74575.869999999981"/>
    <n v="109594.16999999998"/>
    <n v="59737.499999999985"/>
    <n v="119314.02867500008"/>
    <n v="62089.01617687504"/>
    <n v="122843.78000000029"/>
    <n v="67250.038507052726"/>
    <n v="122843.78000000032"/>
    <n v="66668.06000000026"/>
    <n v="122843.78000000032"/>
    <n v="66668.06000000026"/>
    <n v="126529.09340000033"/>
    <n v="67359.2656065396"/>
  </r>
  <r>
    <x v="0"/>
    <x v="10"/>
    <x v="10"/>
    <x v="0"/>
    <x v="2"/>
    <m/>
    <x v="2"/>
    <x v="3"/>
    <x v="5"/>
    <n v="136098.87999999998"/>
    <n v="71815.600000000006"/>
    <n v="93187.829999999987"/>
    <n v="50335.82"/>
    <n v="108981.66592500008"/>
    <n v="59587.891014125053"/>
    <n v="101039.94000000029"/>
    <n v="55178.920000000682"/>
    <n v="101039.94000000026"/>
    <n v="55178.920000000275"/>
    <n v="113164.73280000032"/>
    <n v="61800.390400000324"/>
    <n v="119954.61676800034"/>
    <n v="63859.264889085047"/>
  </r>
  <r>
    <x v="0"/>
    <x v="10"/>
    <x v="10"/>
    <x v="0"/>
    <x v="2"/>
    <m/>
    <x v="2"/>
    <x v="3"/>
    <x v="6"/>
    <n v="162218.91999999998"/>
    <n v="86552.789999999979"/>
    <n v="106292.26999999997"/>
    <n v="57801.979999999974"/>
    <n v="115795.13635000009"/>
    <n v="63559.754897500039"/>
    <n v="121890.86999999997"/>
    <n v="65766.300000000585"/>
    <n v="121890.87000000024"/>
    <n v="65766.300000000309"/>
    <n v="121890.87000000068"/>
    <n v="65766.300000000541"/>
    <n v="129204.32220000072"/>
    <n v="68783.455430834103"/>
  </r>
  <r>
    <x v="0"/>
    <x v="10"/>
    <x v="10"/>
    <x v="0"/>
    <x v="2"/>
    <m/>
    <x v="2"/>
    <x v="3"/>
    <x v="7"/>
    <n v="364380.30999999994"/>
    <n v="125024.10999999993"/>
    <n v="176175.66999999995"/>
    <n v="72906.709999999963"/>
    <n v="185435.14030000006"/>
    <n v="78418.353629000019"/>
    <n v="203299.41857455921"/>
    <n v="91661.608852711521"/>
    <n v="246967.59000000113"/>
    <n v="109386.72000000108"/>
    <n v="246967.59000000046"/>
    <n v="111350.27730330022"/>
    <n v="255611.45565000054"/>
    <n v="118132.29605145907"/>
  </r>
  <r>
    <x v="0"/>
    <x v="10"/>
    <x v="10"/>
    <x v="0"/>
    <x v="2"/>
    <m/>
    <x v="2"/>
    <x v="3"/>
    <x v="8"/>
    <n v="128255.26999999999"/>
    <n v="65226.319999999978"/>
    <n v="122310.29999999999"/>
    <n v="61008.149999999994"/>
    <n v="109237.64375000002"/>
    <n v="57530.294932250021"/>
    <n v="113750.25081331252"/>
    <n v="60014.632329103697"/>
    <n v="110107.60000000031"/>
    <n v="57700.780000000319"/>
    <n v="112309.75200000031"/>
    <n v="58854.795600000318"/>
    <n v="117925.23960000034"/>
    <n v="60799.12233827576"/>
  </r>
  <r>
    <x v="0"/>
    <x v="10"/>
    <x v="10"/>
    <x v="0"/>
    <x v="2"/>
    <m/>
    <x v="2"/>
    <x v="3"/>
    <x v="9"/>
    <n v="86888.239999999991"/>
    <n v="45294.32999999998"/>
    <n v="103284.38999999998"/>
    <n v="55580.319999999978"/>
    <n v="116415.56315000003"/>
    <n v="63300.244576750032"/>
    <n v="121224.69006372654"/>
    <n v="65921.9864566545"/>
    <n v="122257.95000000046"/>
    <n v="63561.690000000468"/>
    <n v="122257.95000000001"/>
    <n v="66483.87321000002"/>
    <n v="129593.42700000003"/>
    <n v="68990.599992354633"/>
  </r>
  <r>
    <x v="0"/>
    <x v="10"/>
    <x v="10"/>
    <x v="0"/>
    <x v="2"/>
    <m/>
    <x v="2"/>
    <x v="3"/>
    <x v="10"/>
    <n v="130168.70999999998"/>
    <n v="61143.129999999961"/>
    <n v="112447.40999999997"/>
    <n v="58052.189999999988"/>
    <n v="144939.41755000019"/>
    <n v="72508.615749000091"/>
    <n v="150926.86488899071"/>
    <n v="74859.724984939385"/>
    <n v="184777.01149425289"/>
    <n v="76553.99509889372"/>
    <n v="181081.47126436784"/>
    <n v="89816.409747126439"/>
    <n v="191946.3595402299"/>
    <n v="94861.110919495288"/>
  </r>
  <r>
    <x v="0"/>
    <x v="10"/>
    <x v="10"/>
    <x v="0"/>
    <x v="2"/>
    <m/>
    <x v="2"/>
    <x v="3"/>
    <x v="11"/>
    <n v="329098.03999999992"/>
    <n v="152019.14999999991"/>
    <n v="278893.5799999999"/>
    <n v="147880.08999999994"/>
    <n v="283808.43895000091"/>
    <n v="153276.88779650049"/>
    <n v="295532.56556302548"/>
    <n v="156041.19461727751"/>
    <n v="247261.7816091954"/>
    <n v="122649.24665340426"/>
    <n v="295532.56556302548"/>
    <n v="156041.19461727751"/>
    <n v="314742.18232462212"/>
    <n v="164194.17632770652"/>
  </r>
  <r>
    <x v="0"/>
    <x v="11"/>
    <x v="11"/>
    <x v="0"/>
    <x v="2"/>
    <m/>
    <x v="3"/>
    <x v="5"/>
    <x v="0"/>
    <n v="42878.869999999995"/>
    <n v="21849.509999999995"/>
    <n v="35725.599999999991"/>
    <n v="18774.97"/>
    <n v="52455.215916666675"/>
    <n v="27428.384919833337"/>
    <n v="36931.470000000052"/>
    <n v="19181.503194349061"/>
    <n v="36931.470000000023"/>
    <n v="19315.669999999998"/>
    <n v="52455.215916666675"/>
    <n v="27434.803987631152"/>
    <n v="53766.596314583352"/>
    <n v="28719.617608439949"/>
  </r>
  <r>
    <x v="0"/>
    <x v="11"/>
    <x v="11"/>
    <x v="0"/>
    <x v="2"/>
    <m/>
    <x v="3"/>
    <x v="5"/>
    <x v="1"/>
    <n v="90872.83"/>
    <n v="39185.770000000004"/>
    <n v="62284.37999999999"/>
    <n v="29304.829999999991"/>
    <n v="94779.165800000177"/>
    <n v="41414.682372000083"/>
    <n v="76323.640000000116"/>
    <n v="35061.819761756116"/>
    <n v="76323.64000000013"/>
    <n v="34735.830000000104"/>
    <n v="94779.165800000177"/>
    <n v="43135.167436597942"/>
    <n v="94779.165800000177"/>
    <n v="43253.615999867732"/>
  </r>
  <r>
    <x v="0"/>
    <x v="11"/>
    <x v="11"/>
    <x v="0"/>
    <x v="2"/>
    <m/>
    <x v="3"/>
    <x v="5"/>
    <x v="2"/>
    <n v="57294.55999999999"/>
    <n v="27126.299999999992"/>
    <n v="95374.809999999983"/>
    <n v="43503.409999999982"/>
    <n v="58293.049609999995"/>
    <n v="28283.778563799999"/>
    <n v="52417.840000000026"/>
    <n v="26084.624829164502"/>
    <n v="52417.840000000011"/>
    <n v="26012.720000000023"/>
    <n v="52417.84000000004"/>
    <n v="26012.720000000038"/>
    <n v="53728.286000000044"/>
    <n v="28437.9288702337"/>
  </r>
  <r>
    <x v="0"/>
    <x v="11"/>
    <x v="11"/>
    <x v="0"/>
    <x v="2"/>
    <m/>
    <x v="3"/>
    <x v="5"/>
    <x v="3"/>
    <n v="46334.44"/>
    <n v="23602.98"/>
    <n v="45970.689999999988"/>
    <n v="25035.099999999984"/>
    <n v="53085.621749999984"/>
    <n v="28963.448720399992"/>
    <n v="51189.710000000057"/>
    <n v="27560.084836635924"/>
    <n v="51189.710000000036"/>
    <n v="27554.050000000025"/>
    <n v="51189.710000000065"/>
    <n v="27554.050000000039"/>
    <n v="52469.452750000077"/>
    <n v="28026.743785069884"/>
  </r>
  <r>
    <x v="0"/>
    <x v="11"/>
    <x v="11"/>
    <x v="0"/>
    <x v="2"/>
    <m/>
    <x v="3"/>
    <x v="5"/>
    <x v="4"/>
    <n v="44216.1"/>
    <n v="23106.629999999994"/>
    <n v="54336.32999999998"/>
    <n v="29261.269999999979"/>
    <n v="54487.133614999992"/>
    <n v="27313.282074300005"/>
    <n v="52432.580000000031"/>
    <n v="28805.56289512966"/>
    <n v="52432.58"/>
    <n v="28834.480000000007"/>
    <n v="52432.58"/>
    <n v="28834.480000000003"/>
    <n v="53743.394500000009"/>
    <n v="28707.224277109155"/>
  </r>
  <r>
    <x v="0"/>
    <x v="11"/>
    <x v="11"/>
    <x v="0"/>
    <x v="2"/>
    <m/>
    <x v="3"/>
    <x v="5"/>
    <x v="5"/>
    <n v="38408.089999999989"/>
    <n v="19445.339999999993"/>
    <n v="53099.119999999981"/>
    <n v="29011.249999999996"/>
    <n v="48032.612124999978"/>
    <n v="26276.565301999995"/>
    <n v="50943.139999999992"/>
    <n v="28473.130313505335"/>
    <n v="50943.139999999978"/>
    <n v="28475.159999999985"/>
    <n v="50943.139999999978"/>
    <n v="28475.159999999985"/>
    <n v="52216.718499999966"/>
    <n v="27891.744891442868"/>
  </r>
  <r>
    <x v="0"/>
    <x v="11"/>
    <x v="11"/>
    <x v="0"/>
    <x v="2"/>
    <m/>
    <x v="3"/>
    <x v="5"/>
    <x v="6"/>
    <n v="37061.47"/>
    <n v="19920.760000000006"/>
    <n v="48348.689999999995"/>
    <n v="26369.229999999985"/>
    <n v="50820.215449999982"/>
    <n v="27828.610882999994"/>
    <n v="45723.619999999966"/>
    <n v="25532.819999999963"/>
    <n v="45723.619999999966"/>
    <n v="25532.819999999967"/>
    <n v="45723.620000000054"/>
    <n v="25532.820000000014"/>
    <n v="46866.710500000052"/>
    <n v="25034.019193816424"/>
  </r>
  <r>
    <x v="0"/>
    <x v="11"/>
    <x v="11"/>
    <x v="0"/>
    <x v="2"/>
    <m/>
    <x v="3"/>
    <x v="5"/>
    <x v="7"/>
    <n v="122414.06"/>
    <n v="46406.009999999987"/>
    <n v="87056.56"/>
    <n v="37098.409999999989"/>
    <n v="93525.56269999998"/>
    <n v="40470.572985500003"/>
    <n v="86867.540054057346"/>
    <n v="38360.705687871727"/>
    <n v="115859.30999999998"/>
    <n v="52655.509999999966"/>
    <n v="115859.31000000011"/>
    <n v="51163.471296000054"/>
    <n v="117597.19965000011"/>
    <n v="53666.901089362364"/>
  </r>
  <r>
    <x v="0"/>
    <x v="11"/>
    <x v="11"/>
    <x v="0"/>
    <x v="2"/>
    <m/>
    <x v="3"/>
    <x v="5"/>
    <x v="8"/>
    <n v="33048.299999999996"/>
    <n v="16869.45"/>
    <n v="52120.479999999996"/>
    <n v="26383.359999999997"/>
    <n v="48588.145399999979"/>
    <n v="25764.400963999993"/>
    <n v="49064.309224919976"/>
    <n v="26004.083889207588"/>
    <n v="44763.28999999995"/>
    <n v="24134.059999999954"/>
    <n v="44763.28999999995"/>
    <n v="24134.059999999954"/>
    <n v="45882.372249999949"/>
    <n v="24285.152860507809"/>
  </r>
  <r>
    <x v="0"/>
    <x v="11"/>
    <x v="11"/>
    <x v="0"/>
    <x v="2"/>
    <m/>
    <x v="3"/>
    <x v="5"/>
    <x v="9"/>
    <n v="27908.229999999996"/>
    <n v="14769.92"/>
    <n v="43521.719999999994"/>
    <n v="23701.309999999994"/>
    <n v="51520.716199999988"/>
    <n v="27977.207693499997"/>
    <n v="52025.619218759988"/>
    <n v="28405.988093442957"/>
    <n v="34183.26999999996"/>
    <n v="18212.619999999981"/>
    <n v="52025.619218759988"/>
    <n v="28405.988093442957"/>
    <n v="52025.619218759995"/>
    <n v="27789.668534398646"/>
  </r>
  <r>
    <x v="0"/>
    <x v="11"/>
    <x v="11"/>
    <x v="0"/>
    <x v="2"/>
    <m/>
    <x v="3"/>
    <x v="5"/>
    <x v="10"/>
    <n v="31650.990000000005"/>
    <n v="15439.99"/>
    <n v="38497.149999999994"/>
    <n v="19926.459999999995"/>
    <n v="63918.263350000052"/>
    <n v="31911.605954250022"/>
    <n v="64544.662330830055"/>
    <n v="30774.894999339769"/>
    <n v="25451.005747126434"/>
    <n v="10019.920212443481"/>
    <n v="64544.662330830055"/>
    <n v="30774.894999339769"/>
    <n v="61317.429214288568"/>
    <n v="29970.437472643342"/>
  </r>
  <r>
    <x v="0"/>
    <x v="11"/>
    <x v="11"/>
    <x v="0"/>
    <x v="2"/>
    <m/>
    <x v="3"/>
    <x v="5"/>
    <x v="11"/>
    <n v="88233.290000000008"/>
    <n v="41709.169999999984"/>
    <n v="100462.68"/>
    <n v="53348.789999999986"/>
    <n v="104646.89695000011"/>
    <n v="57331.496631250062"/>
    <n v="104605.03819122011"/>
    <n v="55231.460164964235"/>
    <n v="129268.9224137931"/>
    <n v="61593.478428853472"/>
    <n v="104605.03819122011"/>
    <n v="55231.460164964235"/>
    <n v="97282.685517834689"/>
    <n v="51490.905387554973"/>
  </r>
  <r>
    <x v="0"/>
    <x v="12"/>
    <x v="12"/>
    <x v="0"/>
    <x v="2"/>
    <m/>
    <x v="3"/>
    <x v="0"/>
    <x v="0"/>
    <n v="64275.38"/>
    <n v="32638.550000000003"/>
    <n v="39899.61"/>
    <n v="18896.079999999998"/>
    <n v="57460.804033333327"/>
    <n v="26649.738788166665"/>
    <n v="41134.299999999988"/>
    <n v="19536.282747498804"/>
    <n v="41134.299999999996"/>
    <n v="19560.88"/>
    <n v="57460.804033333327"/>
    <n v="27324.736105866621"/>
    <n v="60908.452275333337"/>
    <n v="32375.79930762378"/>
  </r>
  <r>
    <x v="0"/>
    <x v="12"/>
    <x v="12"/>
    <x v="0"/>
    <x v="2"/>
    <m/>
    <x v="3"/>
    <x v="0"/>
    <x v="1"/>
    <n v="106328.05000000002"/>
    <n v="45828.85000000002"/>
    <n v="58945.74"/>
    <n v="24158.510000000002"/>
    <n v="91307.573100000009"/>
    <n v="33740.606110500004"/>
    <n v="77123.990000000005"/>
    <n v="31473.052738288519"/>
    <n v="77123.990000000049"/>
    <n v="31526.400000000067"/>
    <n v="91307.573100000009"/>
    <n v="37324.301719605588"/>
    <n v="94959.876024000027"/>
    <n v="41481.738800117688"/>
  </r>
  <r>
    <x v="0"/>
    <x v="12"/>
    <x v="12"/>
    <x v="0"/>
    <x v="2"/>
    <m/>
    <x v="3"/>
    <x v="0"/>
    <x v="2"/>
    <n v="70023.329999999987"/>
    <n v="33447.469999999994"/>
    <n v="98046.69"/>
    <n v="38560.799999999988"/>
    <n v="66000.83924999999"/>
    <n v="28182.85657249999"/>
    <n v="63137.77000000007"/>
    <n v="30340.561448451397"/>
    <n v="63137.770000000091"/>
    <n v="30133.360000000073"/>
    <n v="63137.77000000015"/>
    <n v="30133.360000000102"/>
    <n v="66926.036200000162"/>
    <n v="35178.259573902098"/>
  </r>
  <r>
    <x v="0"/>
    <x v="12"/>
    <x v="12"/>
    <x v="0"/>
    <x v="2"/>
    <m/>
    <x v="3"/>
    <x v="0"/>
    <x v="3"/>
    <n v="53633.41"/>
    <n v="27522.589999999997"/>
    <n v="60066.369999999995"/>
    <n v="27806.460000000006"/>
    <n v="54627.02954999997"/>
    <n v="25718.247300599985"/>
    <n v="55591.510000000024"/>
    <n v="28267.510595663844"/>
    <n v="55591.510000000009"/>
    <n v="28105.08"/>
    <n v="55591.510000000053"/>
    <n v="28105.08000000002"/>
    <n v="59482.915700000056"/>
    <n v="31618.057412294769"/>
  </r>
  <r>
    <x v="0"/>
    <x v="12"/>
    <x v="12"/>
    <x v="0"/>
    <x v="2"/>
    <m/>
    <x v="3"/>
    <x v="0"/>
    <x v="4"/>
    <n v="59761.31"/>
    <n v="31295.449999999997"/>
    <n v="58758.960000000006"/>
    <n v="28670.799999999996"/>
    <n v="60609.146849999983"/>
    <n v="27497.69647974999"/>
    <n v="54861.140000000029"/>
    <n v="29108.393186881749"/>
    <n v="54861.140000000021"/>
    <n v="29124.180000000011"/>
    <n v="54861.140000000021"/>
    <n v="29124.180000000008"/>
    <n v="58701.419800000025"/>
    <n v="31202.654402154938"/>
  </r>
  <r>
    <x v="0"/>
    <x v="12"/>
    <x v="12"/>
    <x v="0"/>
    <x v="2"/>
    <m/>
    <x v="3"/>
    <x v="0"/>
    <x v="5"/>
    <n v="55900.12999999999"/>
    <n v="29602.869999999995"/>
    <n v="52913.439999999981"/>
    <n v="26091.689999999988"/>
    <n v="52675.85334999999"/>
    <n v="25982.142848750002"/>
    <n v="63614.539999999979"/>
    <n v="34141.320152725879"/>
    <n v="63614.539999999979"/>
    <n v="34127.879999999976"/>
    <n v="63614.539999999964"/>
    <n v="34127.879999999968"/>
    <n v="68067.557799999966"/>
    <n v="36181.21144715658"/>
  </r>
  <r>
    <x v="0"/>
    <x v="12"/>
    <x v="12"/>
    <x v="0"/>
    <x v="2"/>
    <m/>
    <x v="3"/>
    <x v="0"/>
    <x v="6"/>
    <n v="61790.380000000005"/>
    <n v="33036.339999999997"/>
    <n v="53927.299999999996"/>
    <n v="26304.720000000001"/>
    <n v="55702.629700000012"/>
    <n v="27262.655867500005"/>
    <n v="51661.50999999998"/>
    <n v="26956.350000000017"/>
    <n v="51661.50999999998"/>
    <n v="26956.349999999966"/>
    <n v="51661.510000000024"/>
    <n v="26956.349999999988"/>
    <n v="55277.815700000036"/>
    <n v="29382.842617260085"/>
  </r>
  <r>
    <x v="0"/>
    <x v="12"/>
    <x v="12"/>
    <x v="0"/>
    <x v="2"/>
    <m/>
    <x v="3"/>
    <x v="0"/>
    <x v="7"/>
    <n v="160288.19"/>
    <n v="65662.579999999973"/>
    <n v="113980.59000000001"/>
    <n v="41172.759999999995"/>
    <n v="120026.25019999995"/>
    <n v="42937.074750999986"/>
    <n v="99731.790244123375"/>
    <n v="41249.068444969431"/>
    <n v="124377.05000000008"/>
    <n v="54208.570000000065"/>
    <n v="124377.04999999996"/>
    <n v="51442.347879999987"/>
    <n v="129352.13199999997"/>
    <n v="56505.458700327392"/>
  </r>
  <r>
    <x v="0"/>
    <x v="12"/>
    <x v="12"/>
    <x v="0"/>
    <x v="2"/>
    <m/>
    <x v="3"/>
    <x v="0"/>
    <x v="8"/>
    <n v="45348.939999999995"/>
    <n v="22566.229999999996"/>
    <n v="52734.889999999992"/>
    <n v="23771.99"/>
    <n v="52671.10870499997"/>
    <n v="24548.087830449986"/>
    <n v="50788.11656879622"/>
    <n v="25394.05828439811"/>
    <n v="51987.230000000025"/>
    <n v="27690.690000000046"/>
    <n v="51987.230000000025"/>
    <n v="27690.690000000042"/>
    <n v="55106.463800000027"/>
    <n v="28965.55059623022"/>
  </r>
  <r>
    <x v="0"/>
    <x v="12"/>
    <x v="12"/>
    <x v="0"/>
    <x v="2"/>
    <m/>
    <x v="3"/>
    <x v="0"/>
    <x v="9"/>
    <n v="32800.699999999997"/>
    <n v="16921.919999999998"/>
    <n v="53211.059999999983"/>
    <n v="25679.299999999988"/>
    <n v="56474.04149499999"/>
    <n v="27580.055496049994"/>
    <n v="56747.940596250737"/>
    <n v="29622.424991242886"/>
    <n v="33945.320000000014"/>
    <n v="18138.750000000029"/>
    <n v="56747.940596250737"/>
    <n v="29622.424991242886"/>
    <n v="60436.556735007034"/>
    <n v="32124.963918822508"/>
  </r>
  <r>
    <x v="0"/>
    <x v="12"/>
    <x v="12"/>
    <x v="0"/>
    <x v="2"/>
    <m/>
    <x v="3"/>
    <x v="0"/>
    <x v="10"/>
    <n v="51694.25"/>
    <n v="23174.639999999999"/>
    <n v="44792.969999999994"/>
    <n v="20557.389999999992"/>
    <n v="73951.458599999998"/>
    <n v="33035.192611999999"/>
    <n v="73559.515869420007"/>
    <n v="34205.174879280305"/>
    <n v="30655.028735632175"/>
    <n v="11827.76979657321"/>
    <n v="73559.515869420007"/>
    <n v="34205.174879280305"/>
    <n v="78340.884400932307"/>
    <n v="37313.654948105788"/>
  </r>
  <r>
    <x v="0"/>
    <x v="12"/>
    <x v="12"/>
    <x v="0"/>
    <x v="2"/>
    <m/>
    <x v="3"/>
    <x v="0"/>
    <x v="11"/>
    <n v="126269.83999999998"/>
    <n v="60306.929999999964"/>
    <n v="116754.80999999998"/>
    <n v="58783.039999999994"/>
    <n v="120161.65920000001"/>
    <n v="61788.477752500003"/>
    <n v="119524.80240624001"/>
    <n v="58985.489987479443"/>
    <n v="145647.29885057476"/>
    <n v="69938.728461794919"/>
    <n v="119524.80240624001"/>
    <n v="58985.489987479443"/>
    <n v="127891.53857467683"/>
    <n v="67223.490239896841"/>
  </r>
  <r>
    <x v="0"/>
    <x v="13"/>
    <x v="13"/>
    <x v="0"/>
    <x v="2"/>
    <m/>
    <x v="0"/>
    <x v="1"/>
    <x v="0"/>
    <n v="0"/>
    <n v="0"/>
    <n v="32841.960000000006"/>
    <n v="14938.620000000006"/>
    <n v="34247.699429999993"/>
    <n v="15603.638314199996"/>
    <n v="26355.550000000021"/>
    <n v="11849.980751396723"/>
    <n v="26355.550000000014"/>
    <n v="11841.53000000001"/>
    <n v="34247.699429999993"/>
    <n v="15387.467164651391"/>
    <n v="36302.561395799996"/>
    <n v="17506.572560817942"/>
  </r>
  <r>
    <x v="0"/>
    <x v="13"/>
    <x v="13"/>
    <x v="0"/>
    <x v="2"/>
    <m/>
    <x v="0"/>
    <x v="1"/>
    <x v="1"/>
    <n v="0"/>
    <n v="0"/>
    <n v="36055.17"/>
    <n v="14918.630000000003"/>
    <n v="53695.029719999991"/>
    <n v="20567.328747299998"/>
    <n v="49501.989999999947"/>
    <n v="17663.966036902664"/>
    <n v="49501.989999999962"/>
    <n v="17513.329999999969"/>
    <n v="53695.029719999991"/>
    <n v="18996.787297766543"/>
    <n v="57453.68180039998"/>
    <n v="23417.637081792243"/>
  </r>
  <r>
    <x v="0"/>
    <x v="13"/>
    <x v="13"/>
    <x v="0"/>
    <x v="2"/>
    <m/>
    <x v="0"/>
    <x v="1"/>
    <x v="2"/>
    <n v="0"/>
    <n v="0"/>
    <n v="56281.97"/>
    <n v="22229.410000000003"/>
    <n v="38903.263149999992"/>
    <n v="15555.909241249998"/>
    <n v="39650.869999999981"/>
    <n v="17411.903825750836"/>
    <n v="39650.87000000001"/>
    <n v="17287.55999999999"/>
    <n v="39650.869999999966"/>
    <n v="17287.559999999972"/>
    <n v="40840.396099999962"/>
    <n v="19498.210849742449"/>
  </r>
  <r>
    <x v="0"/>
    <x v="13"/>
    <x v="13"/>
    <x v="0"/>
    <x v="2"/>
    <m/>
    <x v="0"/>
    <x v="1"/>
    <x v="3"/>
    <n v="0"/>
    <n v="0"/>
    <n v="28703.459999999995"/>
    <n v="12976.209999999995"/>
    <n v="31889.75598999998"/>
    <n v="14559.355856749989"/>
    <n v="30498.910000000014"/>
    <n v="13847.41683669295"/>
    <n v="30498.910000000025"/>
    <n v="13819.960000000025"/>
    <n v="34463.768300000018"/>
    <n v="15616.554800000022"/>
    <n v="36531.594398000016"/>
    <n v="17617.021595752994"/>
  </r>
  <r>
    <x v="0"/>
    <x v="13"/>
    <x v="13"/>
    <x v="0"/>
    <x v="2"/>
    <m/>
    <x v="0"/>
    <x v="1"/>
    <x v="4"/>
    <n v="0"/>
    <n v="0"/>
    <n v="24551.379999999997"/>
    <n v="11434.399999999998"/>
    <n v="36903.350209999982"/>
    <n v="15984.21914949999"/>
    <n v="34525.729999999996"/>
    <n v="16051.431946346856"/>
    <n v="34525.73000000001"/>
    <n v="15997.69000000001"/>
    <n v="35216.244600000013"/>
    <n v="16317.643800000011"/>
    <n v="36977.056830000016"/>
    <n v="17831.841710066707"/>
  </r>
  <r>
    <x v="0"/>
    <x v="13"/>
    <x v="13"/>
    <x v="0"/>
    <x v="2"/>
    <m/>
    <x v="0"/>
    <x v="1"/>
    <x v="5"/>
    <n v="0"/>
    <n v="0"/>
    <n v="19872.32"/>
    <n v="9490.6400000000012"/>
    <n v="31168.211749999988"/>
    <n v="14322.261177499995"/>
    <n v="34484.159999999996"/>
    <n v="15340.289999999975"/>
    <n v="34484.160000000011"/>
    <n v="15340.290000000012"/>
    <n v="35173.843200000003"/>
    <n v="15647.095800000008"/>
    <n v="36932.535360000002"/>
    <n v="17810.3716452806"/>
  </r>
  <r>
    <x v="0"/>
    <x v="13"/>
    <x v="13"/>
    <x v="0"/>
    <x v="2"/>
    <m/>
    <x v="0"/>
    <x v="1"/>
    <x v="6"/>
    <n v="0"/>
    <n v="0"/>
    <n v="39912.629999999997"/>
    <n v="18778.769999999997"/>
    <n v="33764.825499999992"/>
    <n v="16020.558759999996"/>
    <n v="36938.569999999992"/>
    <n v="18752.830000000005"/>
    <n v="36938.569999999992"/>
    <n v="18752.829999999987"/>
    <n v="37677.341399999968"/>
    <n v="19127.886599999973"/>
    <n v="39561.208469999969"/>
    <n v="19078.024801683208"/>
  </r>
  <r>
    <x v="0"/>
    <x v="13"/>
    <x v="13"/>
    <x v="0"/>
    <x v="2"/>
    <m/>
    <x v="0"/>
    <x v="1"/>
    <x v="7"/>
    <n v="0"/>
    <n v="0"/>
    <n v="69921.049999999988"/>
    <n v="25228.589999999989"/>
    <n v="75669.200400000031"/>
    <n v="27106.659282500004"/>
    <n v="69045.085553623867"/>
    <n v="25644.725676326976"/>
    <n v="83338.309999999954"/>
    <n v="32467.499999999971"/>
    <n v="85005.076200000025"/>
    <n v="31572.585402204008"/>
    <n v="90955.431534000032"/>
    <n v="37072.668270080925"/>
  </r>
  <r>
    <x v="0"/>
    <x v="13"/>
    <x v="13"/>
    <x v="0"/>
    <x v="2"/>
    <m/>
    <x v="0"/>
    <x v="1"/>
    <x v="8"/>
    <n v="0"/>
    <n v="0"/>
    <n v="42263.259999999995"/>
    <n v="18132.909999999996"/>
    <n v="31994.676209999991"/>
    <n v="14344.337359099995"/>
    <n v="32308.224036857991"/>
    <n v="14493.469302934496"/>
    <n v="30020.729999999996"/>
    <n v="14568.779999999995"/>
    <n v="31521.766499999998"/>
    <n v="15297.218999999996"/>
    <n v="35619.596144999996"/>
    <n v="17005.672381759392"/>
  </r>
  <r>
    <x v="0"/>
    <x v="13"/>
    <x v="13"/>
    <x v="0"/>
    <x v="2"/>
    <m/>
    <x v="0"/>
    <x v="1"/>
    <x v="9"/>
    <n v="0"/>
    <n v="0"/>
    <n v="37954.709999999992"/>
    <n v="17063.759999999995"/>
    <n v="34003.840964999989"/>
    <n v="15584.893985149994"/>
    <n v="34337.078606456991"/>
    <n v="16389.087618861922"/>
    <n v="39113.930000000037"/>
    <n v="19913.700000000055"/>
    <n v="39113.929999999993"/>
    <n v="18669.078788999996"/>
    <n v="41069.626499999991"/>
    <n v="19805.44536593289"/>
  </r>
  <r>
    <x v="0"/>
    <x v="13"/>
    <x v="13"/>
    <x v="0"/>
    <x v="2"/>
    <m/>
    <x v="0"/>
    <x v="1"/>
    <x v="10"/>
    <n v="0"/>
    <n v="0"/>
    <n v="33359.58"/>
    <n v="14751.999999999996"/>
    <n v="40645.603574999986"/>
    <n v="17165.137449499995"/>
    <n v="40629.345333569981"/>
    <n v="16442.696056495774"/>
    <n v="44616.666666666657"/>
    <n v="18099.177546582941"/>
    <n v="44616.666666666657"/>
    <n v="18056.364999999998"/>
    <n v="46847.499999999993"/>
    <n v="20561.182721872559"/>
  </r>
  <r>
    <x v="0"/>
    <x v="13"/>
    <x v="13"/>
    <x v="0"/>
    <x v="2"/>
    <m/>
    <x v="0"/>
    <x v="1"/>
    <x v="11"/>
    <n v="0"/>
    <n v="0"/>
    <n v="72635.799999999988"/>
    <n v="34724.859999999986"/>
    <n v="74788.409150000036"/>
    <n v="36849.741793250018"/>
    <n v="74758.493786340026"/>
    <n v="35076.685284550746"/>
    <n v="74281.321839080469"/>
    <n v="36289.488516287434"/>
    <n v="74758.493786340026"/>
    <n v="35076.685284550746"/>
    <n v="79991.588351383834"/>
    <n v="38189.954183159491"/>
  </r>
  <r>
    <x v="0"/>
    <x v="14"/>
    <x v="14"/>
    <x v="0"/>
    <x v="2"/>
    <m/>
    <x v="3"/>
    <x v="3"/>
    <x v="0"/>
    <n v="113652.45"/>
    <n v="60163.049999999981"/>
    <n v="77482.739999999976"/>
    <n v="41439.819999999978"/>
    <n v="105478.7076833334"/>
    <n v="55990.42332333338"/>
    <n v="79863.210000000079"/>
    <n v="41840.567913876373"/>
    <n v="79863.210000000021"/>
    <n v="42047.450000000004"/>
    <n v="105478.7076833334"/>
    <n v="55533.839516087275"/>
    <n v="116026.57845166676"/>
    <n v="62115.702287470049"/>
  </r>
  <r>
    <x v="0"/>
    <x v="14"/>
    <x v="14"/>
    <x v="0"/>
    <x v="2"/>
    <m/>
    <x v="3"/>
    <x v="3"/>
    <x v="1"/>
    <n v="186993.06999999995"/>
    <n v="78054.849999999948"/>
    <n v="112654.69"/>
    <n v="48446.50999999998"/>
    <n v="158514.81670000023"/>
    <n v="67172.22290500009"/>
    <n v="156474.53000000026"/>
    <n v="67084.403194584476"/>
    <n v="156474.53000000038"/>
    <n v="67127.220000000438"/>
    <n v="158514.81670000023"/>
    <n v="68002.498386674386"/>
    <n v="164062.83528450027"/>
    <n v="75086.218237758265"/>
  </r>
  <r>
    <x v="0"/>
    <x v="14"/>
    <x v="14"/>
    <x v="0"/>
    <x v="2"/>
    <m/>
    <x v="3"/>
    <x v="3"/>
    <x v="2"/>
    <n v="171021.19"/>
    <n v="84480.889999999985"/>
    <n v="154824.17999999996"/>
    <n v="70193.919999999969"/>
    <n v="126646.83438000016"/>
    <n v="60401.59043390007"/>
    <n v="131580.32000000021"/>
    <n v="65351.841105882893"/>
    <n v="131580.32000000024"/>
    <n v="65306.690000000162"/>
    <n v="131580.32000000024"/>
    <n v="65306.690000000162"/>
    <n v="138159.33600000024"/>
    <n v="71649.54816468533"/>
  </r>
  <r>
    <x v="0"/>
    <x v="14"/>
    <x v="14"/>
    <x v="0"/>
    <x v="2"/>
    <m/>
    <x v="3"/>
    <x v="3"/>
    <x v="3"/>
    <n v="118049.61999999997"/>
    <n v="63700.609999999971"/>
    <n v="116950.53999999996"/>
    <n v="64126.619999999966"/>
    <n v="116602.97988000032"/>
    <n v="64305.633605400173"/>
    <n v="117591.31000000019"/>
    <n v="64340.522461145607"/>
    <n v="117591.31000000008"/>
    <n v="63687.259999999995"/>
    <n v="117591.31000000006"/>
    <n v="63687.25999999998"/>
    <n v="125822.70170000006"/>
    <n v="66401.779979899438"/>
  </r>
  <r>
    <x v="0"/>
    <x v="14"/>
    <x v="14"/>
    <x v="0"/>
    <x v="2"/>
    <m/>
    <x v="3"/>
    <x v="3"/>
    <x v="4"/>
    <n v="134617.96"/>
    <n v="72573.219999999987"/>
    <n v="126459.80999999997"/>
    <n v="69097.919999999984"/>
    <n v="113029.55294000015"/>
    <n v="57833.363082700082"/>
    <n v="127137.16000000019"/>
    <n v="71689.723422395444"/>
    <n v="127137.16000000012"/>
    <n v="70469.940000000075"/>
    <n v="127137.16000000012"/>
    <n v="70469.940000000075"/>
    <n v="136036.76120000015"/>
    <n v="72828.30426970571"/>
  </r>
  <r>
    <x v="0"/>
    <x v="14"/>
    <x v="14"/>
    <x v="0"/>
    <x v="2"/>
    <m/>
    <x v="3"/>
    <x v="3"/>
    <x v="5"/>
    <n v="127612.72"/>
    <n v="68701.78"/>
    <n v="115679.51999999999"/>
    <n v="63062.76999999999"/>
    <n v="104242.31160000015"/>
    <n v="56780.395127000083"/>
    <n v="118591.62000000045"/>
    <n v="65889.097163563332"/>
    <n v="118591.62000000021"/>
    <n v="65891.210000000225"/>
    <n v="118591.62000000023"/>
    <n v="65891.210000000239"/>
    <n v="128078.94960000025"/>
    <n v="68568.029918762215"/>
  </r>
  <r>
    <x v="0"/>
    <x v="14"/>
    <x v="14"/>
    <x v="0"/>
    <x v="2"/>
    <m/>
    <x v="3"/>
    <x v="3"/>
    <x v="6"/>
    <n v="124910.83000000003"/>
    <n v="68025.94"/>
    <n v="116468.86999999997"/>
    <n v="64109.089999999982"/>
    <n v="110658.3802000001"/>
    <n v="61046.067263000063"/>
    <n v="113713.79999999999"/>
    <n v="62916.770000000484"/>
    <n v="113713.8000000001"/>
    <n v="62916.770000000091"/>
    <n v="113713.80000000048"/>
    <n v="62916.770000000302"/>
    <n v="122810.90400000055"/>
    <n v="65747.742045990788"/>
  </r>
  <r>
    <x v="0"/>
    <x v="14"/>
    <x v="14"/>
    <x v="0"/>
    <x v="2"/>
    <m/>
    <x v="3"/>
    <x v="3"/>
    <x v="7"/>
    <n v="294431.77999999997"/>
    <n v="110532.7699999999"/>
    <n v="210868.24999999994"/>
    <n v="87432.139999999956"/>
    <n v="222889.73328000045"/>
    <n v="93739.278717000183"/>
    <n v="198890.16105272394"/>
    <n v="88426.565604041069"/>
    <n v="243138.04000000059"/>
    <n v="107393.44000000058"/>
    <n v="243138.04000000015"/>
    <n v="108099.17258400009"/>
    <n v="252863.56160000016"/>
    <n v="117653.39913859352"/>
  </r>
  <r>
    <x v="0"/>
    <x v="14"/>
    <x v="14"/>
    <x v="0"/>
    <x v="2"/>
    <m/>
    <x v="3"/>
    <x v="3"/>
    <x v="8"/>
    <n v="101336.37999999999"/>
    <n v="52175.179999999993"/>
    <n v="96459.469999999987"/>
    <n v="49144.62999999999"/>
    <n v="103031.54421000005"/>
    <n v="55293.288378450037"/>
    <n v="106982.2887727325"/>
    <n v="56914.577627093691"/>
    <n v="110291.6500000003"/>
    <n v="59485.860000000306"/>
    <n v="110291.6500000003"/>
    <n v="59485.860000000299"/>
    <n v="119114.98200000032"/>
    <n v="61773.130119448695"/>
  </r>
  <r>
    <x v="0"/>
    <x v="14"/>
    <x v="14"/>
    <x v="0"/>
    <x v="2"/>
    <m/>
    <x v="3"/>
    <x v="3"/>
    <x v="9"/>
    <n v="73520.239999999991"/>
    <n v="39592.609999999986"/>
    <n v="101269.28999999996"/>
    <n v="55284.44999999999"/>
    <n v="109798.79515500007"/>
    <n v="60801.649111800041"/>
    <n v="106707.95907138682"/>
    <n v="58262.545652977213"/>
    <n v="87377.830000000598"/>
    <n v="47290.620000000621"/>
    <n v="122237.90999999995"/>
    <n v="66741.898859999972"/>
    <n v="130794.56369999996"/>
    <n v="70021.854371868074"/>
  </r>
  <r>
    <x v="0"/>
    <x v="14"/>
    <x v="14"/>
    <x v="0"/>
    <x v="2"/>
    <m/>
    <x v="3"/>
    <x v="3"/>
    <x v="10"/>
    <n v="108872.21999999996"/>
    <n v="53394.769999999968"/>
    <n v="102587.80999999997"/>
    <n v="53668.50999999998"/>
    <n v="144424.68465500028"/>
    <n v="71076.712285250134"/>
    <n v="149962.64918809629"/>
    <n v="74381.473997295761"/>
    <n v="54834.770114942541"/>
    <n v="21390.113561973238"/>
    <n v="149962.64918809629"/>
    <n v="74381.473997295761"/>
    <n v="160460.03463126303"/>
    <n v="79792.627820136768"/>
  </r>
  <r>
    <x v="0"/>
    <x v="14"/>
    <x v="14"/>
    <x v="0"/>
    <x v="2"/>
    <m/>
    <x v="3"/>
    <x v="3"/>
    <x v="11"/>
    <n v="234707.94999999992"/>
    <n v="115814.28999999995"/>
    <n v="216928.40999999995"/>
    <n v="117217.81999999998"/>
    <n v="223548.6808000005"/>
    <n v="123050.27357500029"/>
    <n v="232120.65496527651"/>
    <n v="122559.70582166601"/>
    <n v="260479.31034482762"/>
    <n v="123703.49943774495"/>
    <n v="232120.65496527651"/>
    <n v="122559.70582166601"/>
    <n v="248369.10081284586"/>
    <n v="130317.82253775994"/>
  </r>
  <r>
    <x v="0"/>
    <x v="15"/>
    <x v="15"/>
    <x v="2"/>
    <x v="0"/>
    <m/>
    <x v="3"/>
    <x v="5"/>
    <x v="0"/>
    <n v="57905.36"/>
    <n v="30545.14"/>
    <n v="20789.12"/>
    <n v="10988.120000000003"/>
    <n v="29404.465983333321"/>
    <n v="15183.30946516666"/>
    <n v="19622.639999999992"/>
    <n v="10285.088919733262"/>
    <n v="19622.639999999992"/>
    <n v="10389.739999999994"/>
    <n v="31462.778602166654"/>
    <n v="16658.823142761365"/>
    <n v="35867.56760646998"/>
    <n v="18981.417596862171"/>
  </r>
  <r>
    <x v="0"/>
    <x v="15"/>
    <x v="15"/>
    <x v="2"/>
    <x v="0"/>
    <m/>
    <x v="3"/>
    <x v="5"/>
    <x v="1"/>
    <n v="96968.150000000009"/>
    <n v="42265.169999999991"/>
    <n v="44468.640000000007"/>
    <n v="20301.900000000005"/>
    <n v="62335.834900000016"/>
    <n v="25997.354039500009"/>
    <n v="39888.809999999939"/>
    <n v="17219.246725880446"/>
    <n v="39888.809999999969"/>
    <n v="17328.159999999974"/>
    <n v="66699.343343000015"/>
    <n v="28974.965493892607"/>
    <n v="74703.264544160018"/>
    <n v="33518.617296561992"/>
  </r>
  <r>
    <x v="0"/>
    <x v="15"/>
    <x v="15"/>
    <x v="2"/>
    <x v="0"/>
    <m/>
    <x v="3"/>
    <x v="5"/>
    <x v="2"/>
    <n v="61975.209999999992"/>
    <n v="29548.070000000003"/>
    <n v="62443.349999999991"/>
    <n v="27515.139999999996"/>
    <n v="32851.443625"/>
    <n v="15500.780681875001"/>
    <n v="28552.469999999998"/>
    <n v="13547.395129480687"/>
    <n v="28552.470000000008"/>
    <n v="13742.380000000019"/>
    <n v="30551.14290000001"/>
    <n v="14704.346600000021"/>
    <n v="34522.791477000021"/>
    <n v="18096.018598109946"/>
  </r>
  <r>
    <x v="0"/>
    <x v="15"/>
    <x v="15"/>
    <x v="2"/>
    <x v="0"/>
    <m/>
    <x v="3"/>
    <x v="5"/>
    <x v="3"/>
    <n v="43162.130000000005"/>
    <n v="22433.049999999996"/>
    <n v="26856.27"/>
    <n v="14720.809999999998"/>
    <n v="30628.381174999984"/>
    <n v="16728.106868124993"/>
    <n v="31541.330000000024"/>
    <n v="16049.907897812913"/>
    <n v="31541.330000000016"/>
    <n v="16109.400000000016"/>
    <n v="33749.223100000032"/>
    <n v="17237.058000000023"/>
    <n v="38136.622103000045"/>
    <n v="20182.220266873886"/>
  </r>
  <r>
    <x v="0"/>
    <x v="15"/>
    <x v="15"/>
    <x v="2"/>
    <x v="0"/>
    <m/>
    <x v="3"/>
    <x v="5"/>
    <x v="4"/>
    <n v="47194.75"/>
    <n v="24248.45"/>
    <n v="31512.219999999994"/>
    <n v="17507.669999999998"/>
    <n v="31204.414249999987"/>
    <n v="16017.529221499995"/>
    <n v="26199.359999999997"/>
    <n v="14158.503261109359"/>
    <n v="26199.359999999993"/>
    <n v="14186.340000000004"/>
    <n v="28033.315199999994"/>
    <n v="15179.383800000005"/>
    <n v="31677.646175999995"/>
    <n v="16764.076035193331"/>
  </r>
  <r>
    <x v="0"/>
    <x v="15"/>
    <x v="15"/>
    <x v="2"/>
    <x v="0"/>
    <m/>
    <x v="3"/>
    <x v="5"/>
    <x v="5"/>
    <n v="41270.089999999997"/>
    <n v="21722.820000000003"/>
    <n v="27114.92"/>
    <n v="15080.739999999994"/>
    <n v="27617.667349999989"/>
    <n v="15237.897918499995"/>
    <n v="0"/>
    <n v="0"/>
    <n v="0"/>
    <n v="0"/>
    <n v="29012.964400000015"/>
    <n v="0"/>
    <n v="30639.859600000014"/>
    <n v="16214.870675309376"/>
  </r>
  <r>
    <x v="0"/>
    <x v="15"/>
    <x v="15"/>
    <x v="2"/>
    <x v="0"/>
    <m/>
    <x v="3"/>
    <x v="5"/>
    <x v="6"/>
    <n v="39675.55999999999"/>
    <n v="20994.829999999994"/>
    <n v="27589.609999999997"/>
    <n v="15334.380000000001"/>
    <n v="3285.5501999999969"/>
    <n v="1823.4803609999985"/>
    <n v="0"/>
    <n v="0"/>
    <n v="0"/>
    <n v="0"/>
    <n v="29796.77880000004"/>
    <n v="0"/>
    <n v="31176.259300000049"/>
    <n v="16498.737895307186"/>
  </r>
  <r>
    <x v="0"/>
    <x v="15"/>
    <x v="15"/>
    <x v="2"/>
    <x v="0"/>
    <m/>
    <x v="3"/>
    <x v="5"/>
    <x v="7"/>
    <n v="113658.72"/>
    <n v="45074.759999999995"/>
    <n v="60138.239999999991"/>
    <n v="25927.179999999993"/>
    <n v="56846.708600000034"/>
    <n v="24679.270482000014"/>
    <n v="0"/>
    <n v="0"/>
    <n v="43377.35"/>
    <n v="18814.560000000005"/>
    <n v="46847.538000000059"/>
    <n v="20319.724800000033"/>
    <n v="52469.242560000072"/>
    <n v="23542.431136586947"/>
  </r>
  <r>
    <x v="0"/>
    <x v="15"/>
    <x v="15"/>
    <x v="2"/>
    <x v="0"/>
    <m/>
    <x v="3"/>
    <x v="5"/>
    <x v="8"/>
    <n v="34599.289999999994"/>
    <n v="17377.519999999997"/>
    <n v="26133.85"/>
    <n v="13183.499999999998"/>
    <n v="28933.791939999981"/>
    <n v="15480.689563299991"/>
    <n v="33123.405012911979"/>
    <n v="17290.417416740056"/>
    <n v="24453.45"/>
    <n v="13281.760000000002"/>
    <n v="26409.726000000002"/>
    <n v="14344.300800000003"/>
    <n v="29578.893120000004"/>
    <n v="15504.545754002267"/>
  </r>
  <r>
    <x v="0"/>
    <x v="15"/>
    <x v="15"/>
    <x v="2"/>
    <x v="0"/>
    <m/>
    <x v="3"/>
    <x v="5"/>
    <x v="9"/>
    <n v="26143.08"/>
    <n v="13883.62"/>
    <n v="21151.23"/>
    <n v="11547.609999999999"/>
    <n v="29753.913059999981"/>
    <n v="16443.597597699991"/>
    <n v="34062.279671087977"/>
    <n v="18376.599882551967"/>
    <n v="20914.389999999989"/>
    <n v="11124.919999999991"/>
    <n v="37090.764000000003"/>
    <n v="20010.467178000006"/>
    <n v="42283.470960000006"/>
    <n v="22376.767461414849"/>
  </r>
  <r>
    <x v="0"/>
    <x v="15"/>
    <x v="15"/>
    <x v="2"/>
    <x v="0"/>
    <m/>
    <x v="3"/>
    <x v="5"/>
    <x v="10"/>
    <n v="39446.619999999995"/>
    <n v="19267.930000000004"/>
    <n v="21287.56"/>
    <n v="10949.740000000002"/>
    <n v="37545.907549999989"/>
    <n v="18560.481231249993"/>
    <n v="40992.621863089989"/>
    <n v="19446.899811849893"/>
    <n v="27054.597701149414"/>
    <n v="10793.130924960813"/>
    <n v="44272.031612137202"/>
    <n v="21002.651796797891"/>
    <n v="50470.116037836407"/>
    <n v="24338.678592048353"/>
  </r>
  <r>
    <x v="0"/>
    <x v="15"/>
    <x v="15"/>
    <x v="2"/>
    <x v="0"/>
    <m/>
    <x v="3"/>
    <x v="5"/>
    <x v="11"/>
    <n v="83204.649999999994"/>
    <n v="40607.78"/>
    <n v="62037.03"/>
    <n v="32903.1"/>
    <n v="65246.640550000018"/>
    <n v="35767.113506250011"/>
    <n v="71236.282152490021"/>
    <n v="37327.811847904777"/>
    <n v="90573.448275862072"/>
    <n v="43117.013339023324"/>
    <n v="76935.184724689228"/>
    <n v="40314.036795737164"/>
    <n v="88475.462433392633"/>
    <n v="46376.713619398775"/>
  </r>
  <r>
    <x v="0"/>
    <x v="16"/>
    <x v="16"/>
    <x v="3"/>
    <x v="3"/>
    <m/>
    <x v="3"/>
    <x v="6"/>
    <x v="8"/>
    <n v="0"/>
    <n v="0"/>
    <n v="0"/>
    <n v="0"/>
    <n v="0"/>
    <n v="0"/>
    <n v="0"/>
    <n v="0"/>
    <n v="0"/>
    <n v="0"/>
    <n v="0"/>
    <n v="0"/>
    <n v="0"/>
    <n v="0"/>
  </r>
  <r>
    <x v="0"/>
    <x v="16"/>
    <x v="16"/>
    <x v="3"/>
    <x v="3"/>
    <m/>
    <x v="3"/>
    <x v="6"/>
    <x v="9"/>
    <n v="0"/>
    <n v="0"/>
    <n v="0"/>
    <n v="0"/>
    <n v="0"/>
    <n v="0"/>
    <n v="0"/>
    <n v="0"/>
    <n v="0"/>
    <n v="0"/>
    <n v="0"/>
    <n v="0"/>
    <n v="0"/>
    <n v="0"/>
  </r>
  <r>
    <x v="0"/>
    <x v="16"/>
    <x v="16"/>
    <x v="3"/>
    <x v="3"/>
    <m/>
    <x v="3"/>
    <x v="6"/>
    <x v="10"/>
    <n v="0"/>
    <n v="0"/>
    <n v="0"/>
    <n v="0"/>
    <n v="0"/>
    <n v="0"/>
    <n v="0"/>
    <n v="0"/>
    <n v="0"/>
    <n v="0"/>
    <n v="0"/>
    <n v="0"/>
    <n v="264022.40301724139"/>
    <n v="131411.4763696077"/>
  </r>
  <r>
    <x v="0"/>
    <x v="16"/>
    <x v="16"/>
    <x v="3"/>
    <x v="3"/>
    <m/>
    <x v="3"/>
    <x v="6"/>
    <x v="11"/>
    <n v="0"/>
    <n v="0"/>
    <n v="0"/>
    <n v="0"/>
    <n v="0"/>
    <n v="0"/>
    <n v="0"/>
    <n v="0"/>
    <n v="0"/>
    <n v="0"/>
    <n v="0"/>
    <n v="0"/>
    <n v="465209.9998673813"/>
    <n v="245139.88897356391"/>
  </r>
  <r>
    <x v="0"/>
    <x v="17"/>
    <x v="17"/>
    <x v="0"/>
    <x v="2"/>
    <m/>
    <x v="1"/>
    <x v="0"/>
    <x v="0"/>
    <n v="0"/>
    <n v="0"/>
    <n v="50886.789999999994"/>
    <n v="25080.219999999994"/>
    <n v="53222.782583333334"/>
    <n v="26424.169125166663"/>
    <n v="50177.870000000046"/>
    <n v="25840.5514678256"/>
    <n v="50177.870000000024"/>
    <n v="25740.890000000025"/>
    <n v="53222.782583333334"/>
    <n v="27302.908472828753"/>
    <n v="56948.37736416667"/>
    <n v="30158.279807986964"/>
  </r>
  <r>
    <x v="0"/>
    <x v="17"/>
    <x v="17"/>
    <x v="0"/>
    <x v="2"/>
    <m/>
    <x v="1"/>
    <x v="0"/>
    <x v="1"/>
    <n v="0"/>
    <n v="0"/>
    <n v="60119.11"/>
    <n v="28700.370000000003"/>
    <n v="75023.705999999976"/>
    <n v="33643.374087499986"/>
    <n v="76026.619999999923"/>
    <n v="33585.220238058777"/>
    <n v="76026.619999999923"/>
    <n v="33619.739999999932"/>
    <n v="82108.749600000097"/>
    <n v="36309.319200000005"/>
    <n v="87035.274576000098"/>
    <n v="37814.186615970408"/>
  </r>
  <r>
    <x v="0"/>
    <x v="17"/>
    <x v="17"/>
    <x v="0"/>
    <x v="2"/>
    <m/>
    <x v="1"/>
    <x v="0"/>
    <x v="2"/>
    <n v="0"/>
    <n v="0"/>
    <n v="77944.03"/>
    <n v="34146.250000000007"/>
    <n v="57089.565049999983"/>
    <n v="26650.745052749993"/>
    <n v="70367.210000000094"/>
    <n v="31437.526873038627"/>
    <n v="70367.21000000005"/>
    <n v="31228.540000000066"/>
    <n v="71774.554200000159"/>
    <n v="31853.110800000115"/>
    <n v="76081.027452000169"/>
    <n v="39838.181333270957"/>
  </r>
  <r>
    <x v="0"/>
    <x v="17"/>
    <x v="17"/>
    <x v="0"/>
    <x v="2"/>
    <m/>
    <x v="1"/>
    <x v="0"/>
    <x v="3"/>
    <n v="0"/>
    <n v="0"/>
    <n v="56022.55999999999"/>
    <n v="28953.479999999992"/>
    <n v="50147.406680000022"/>
    <n v="26107.654634150014"/>
    <n v="64337.990000000034"/>
    <n v="33299.28928162036"/>
    <n v="64337.990000000049"/>
    <n v="33323.630000000019"/>
    <n v="69485.029200000063"/>
    <n v="35989.520400000023"/>
    <n v="75738.681828000088"/>
    <n v="40109.103447329602"/>
  </r>
  <r>
    <x v="0"/>
    <x v="17"/>
    <x v="17"/>
    <x v="0"/>
    <x v="2"/>
    <m/>
    <x v="1"/>
    <x v="0"/>
    <x v="4"/>
    <n v="0"/>
    <n v="0"/>
    <n v="52199.68"/>
    <n v="26762.279999999995"/>
    <n v="55359.422669999949"/>
    <n v="26832.245688599978"/>
    <n v="54310.919999999976"/>
    <n v="29234.978272488555"/>
    <n v="54310.919999999955"/>
    <n v="28907.92999999996"/>
    <n v="57026.465999999957"/>
    <n v="30353.326499999959"/>
    <n v="62158.847939999949"/>
    <n v="32917.600386208367"/>
  </r>
  <r>
    <x v="0"/>
    <x v="17"/>
    <x v="17"/>
    <x v="0"/>
    <x v="2"/>
    <m/>
    <x v="1"/>
    <x v="0"/>
    <x v="5"/>
    <n v="0"/>
    <n v="0"/>
    <n v="45228.480000000003"/>
    <n v="23653.299999999988"/>
    <n v="48651.291700000002"/>
    <n v="25645.726647"/>
    <n v="53547.290000000023"/>
    <n v="28685.760004354499"/>
    <n v="53547.290000000023"/>
    <n v="28684.420000000027"/>
    <n v="56760.127400000027"/>
    <n v="30405.485200000028"/>
    <n v="64138.943962000041"/>
    <n v="33966.204273484982"/>
  </r>
  <r>
    <x v="0"/>
    <x v="17"/>
    <x v="17"/>
    <x v="0"/>
    <x v="2"/>
    <m/>
    <x v="1"/>
    <x v="0"/>
    <x v="6"/>
    <n v="0"/>
    <n v="0"/>
    <n v="46267.899999999994"/>
    <n v="24024.340000000004"/>
    <n v="51495.504899999985"/>
    <n v="27066.351343499988"/>
    <n v="58164.76999999996"/>
    <n v="31418.389999999898"/>
    <n v="58164.769999999968"/>
    <n v="31418.38999999997"/>
    <n v="61073.00849999996"/>
    <n v="32989.309499999967"/>
    <n v="67485.674392499961"/>
    <n v="35738.539806760949"/>
  </r>
  <r>
    <x v="0"/>
    <x v="17"/>
    <x v="17"/>
    <x v="0"/>
    <x v="2"/>
    <m/>
    <x v="1"/>
    <x v="0"/>
    <x v="7"/>
    <n v="0"/>
    <n v="0"/>
    <n v="78366.650000000009"/>
    <n v="29200.790000000005"/>
    <n v="80223.091199999995"/>
    <n v="32742.429844999999"/>
    <n v="95733.274264570413"/>
    <n v="39863.335403767123"/>
    <n v="120555.47000000002"/>
    <n v="54568.930000000008"/>
    <n v="120555.47000000009"/>
    <n v="50199.297708000042"/>
    <n v="127788.79820000009"/>
    <n v="55520.356385454208"/>
  </r>
  <r>
    <x v="0"/>
    <x v="17"/>
    <x v="17"/>
    <x v="0"/>
    <x v="2"/>
    <m/>
    <x v="1"/>
    <x v="0"/>
    <x v="8"/>
    <n v="0"/>
    <n v="0"/>
    <n v="54052.95"/>
    <n v="26408.009999999995"/>
    <n v="48968.960249999996"/>
    <n v="25035.388505499999"/>
    <n v="51446.789638649992"/>
    <n v="26068.08830990396"/>
    <n v="53268.19999999999"/>
    <n v="26426.220000000008"/>
    <n v="55931.609999999993"/>
    <n v="27747.53100000001"/>
    <n v="63762.035399999986"/>
    <n v="33387.608100406389"/>
  </r>
  <r>
    <x v="0"/>
    <x v="17"/>
    <x v="17"/>
    <x v="0"/>
    <x v="2"/>
    <m/>
    <x v="1"/>
    <x v="0"/>
    <x v="9"/>
    <n v="0"/>
    <n v="0"/>
    <n v="52370.499999999985"/>
    <n v="26852.409999999982"/>
    <n v="51362.820324999986"/>
    <n v="26601.757142125"/>
    <n v="53961.779033444982"/>
    <n v="28319.14163675193"/>
    <n v="62793.780000000086"/>
    <n v="32072.750000000113"/>
    <n v="63421.717800000159"/>
    <n v="33283.717501440085"/>
    <n v="70080.998169000173"/>
    <n v="37112.951234561602"/>
  </r>
  <r>
    <x v="0"/>
    <x v="17"/>
    <x v="17"/>
    <x v="0"/>
    <x v="2"/>
    <m/>
    <x v="1"/>
    <x v="0"/>
    <x v="10"/>
    <n v="0"/>
    <n v="0"/>
    <n v="59375.77"/>
    <n v="29617.170000000002"/>
    <n v="71413.012125000052"/>
    <n v="32047.96057887502"/>
    <n v="76129.841575856306"/>
    <n v="36199.739669319679"/>
    <n v="89151.293103448261"/>
    <n v="37123.775420914433"/>
    <n v="90934.318965517232"/>
    <n v="43239.268668103454"/>
    <n v="100482.42245689654"/>
    <n v="47638.288272571619"/>
  </r>
  <r>
    <x v="0"/>
    <x v="17"/>
    <x v="17"/>
    <x v="0"/>
    <x v="2"/>
    <m/>
    <x v="1"/>
    <x v="0"/>
    <x v="11"/>
    <n v="0"/>
    <n v="0"/>
    <n v="109868.87999999999"/>
    <n v="57167.539999999979"/>
    <n v="115908.04030000011"/>
    <n v="62437.504475500049"/>
    <n v="121772.98713918011"/>
    <n v="61452.73795978725"/>
    <n v="125218.10344827586"/>
    <n v="62094.669229955114"/>
    <n v="126470.28448275861"/>
    <n v="63823.229064224135"/>
    <n v="139749.66435344826"/>
    <n v="73176.883333875885"/>
  </r>
  <r>
    <x v="0"/>
    <x v="18"/>
    <x v="18"/>
    <x v="2"/>
    <x v="2"/>
    <m/>
    <x v="1"/>
    <x v="0"/>
    <x v="0"/>
    <n v="74452.560000000012"/>
    <n v="39858.460000000006"/>
    <n v="47856.17"/>
    <n v="24088.979999999996"/>
    <n v="56967.328933333323"/>
    <n v="28487.176995833332"/>
    <n v="49556.250000000051"/>
    <n v="23900.431334664103"/>
    <n v="49556.250000000022"/>
    <n v="23969.190000000013"/>
    <n v="59246.022090666658"/>
    <n v="28655.904355866041"/>
    <n v="62800.783416106657"/>
    <n v="33189.686367900475"/>
  </r>
  <r>
    <x v="0"/>
    <x v="18"/>
    <x v="18"/>
    <x v="2"/>
    <x v="2"/>
    <m/>
    <x v="1"/>
    <x v="0"/>
    <x v="1"/>
    <n v="98344.080000000016"/>
    <n v="42476.590000000026"/>
    <n v="51117.580000000009"/>
    <n v="22407.040000000005"/>
    <n v="73494.302499999991"/>
    <n v="28957.719645000001"/>
    <n v="86032.410000000033"/>
    <n v="34900.40422461171"/>
    <n v="86032.409999999945"/>
    <n v="34974.339999999909"/>
    <n v="86032.410000000222"/>
    <n v="34974.340000000026"/>
    <n v="88613.38230000023"/>
    <n v="36839.962728963219"/>
  </r>
  <r>
    <x v="0"/>
    <x v="18"/>
    <x v="18"/>
    <x v="2"/>
    <x v="2"/>
    <m/>
    <x v="1"/>
    <x v="0"/>
    <x v="2"/>
    <n v="59187.7"/>
    <n v="27931.579999999994"/>
    <n v="71784.2"/>
    <n v="28961.880000000008"/>
    <n v="60910.267006666676"/>
    <n v="27634.460428333332"/>
    <n v="72328.180000000008"/>
    <n v="33118.004691061775"/>
    <n v="72328.180000000022"/>
    <n v="33432.21000000005"/>
    <n v="72328.180000000109"/>
    <n v="33432.210000000094"/>
    <n v="75221.307200000127"/>
    <n v="39223.737421782622"/>
  </r>
  <r>
    <x v="0"/>
    <x v="18"/>
    <x v="18"/>
    <x v="2"/>
    <x v="2"/>
    <m/>
    <x v="1"/>
    <x v="0"/>
    <x v="3"/>
    <n v="62558.200000000012"/>
    <n v="32396.700000000008"/>
    <n v="6769.6299999999992"/>
    <n v="3122.32"/>
    <n v="53672.220436000003"/>
    <n v="27438.419297519999"/>
    <n v="68187.250000000029"/>
    <n v="33130.883413027543"/>
    <n v="68187.250000000029"/>
    <n v="33165.160000000025"/>
    <n v="68187.250000000058"/>
    <n v="33165.16000000004"/>
    <n v="73642.230000000069"/>
    <n v="38919.299795007551"/>
  </r>
  <r>
    <x v="0"/>
    <x v="18"/>
    <x v="18"/>
    <x v="2"/>
    <x v="2"/>
    <m/>
    <x v="1"/>
    <x v="0"/>
    <x v="4"/>
    <n v="53013.100000000006"/>
    <n v="27393.200000000004"/>
    <n v="0"/>
    <n v="0"/>
    <n v="60010.5"/>
    <n v="28517.694999999996"/>
    <n v="59849.539999999964"/>
    <n v="30534.203336948842"/>
    <n v="59849.539999999979"/>
    <n v="30586.689999999966"/>
    <n v="59849.539999999979"/>
    <n v="30586.689999999966"/>
    <n v="64637.503199999992"/>
    <n v="34160.37734112014"/>
  </r>
  <r>
    <x v="0"/>
    <x v="18"/>
    <x v="18"/>
    <x v="2"/>
    <x v="2"/>
    <m/>
    <x v="1"/>
    <x v="0"/>
    <x v="5"/>
    <n v="48255.530000000006"/>
    <n v="24679.710000000006"/>
    <n v="14995.43"/>
    <n v="7842.25"/>
    <n v="52640.103700000007"/>
    <n v="27313.401821000007"/>
    <n v="49478.670000000013"/>
    <n v="25664.95130503218"/>
    <n v="49478.670000000027"/>
    <n v="25645.659999999996"/>
    <n v="53692.905774000006"/>
    <n v="27829.972104990698"/>
    <n v="57988.338235920011"/>
    <n v="30646.349525510952"/>
  </r>
  <r>
    <x v="0"/>
    <x v="18"/>
    <x v="18"/>
    <x v="2"/>
    <x v="2"/>
    <m/>
    <x v="1"/>
    <x v="0"/>
    <x v="6"/>
    <n v="61957.04"/>
    <n v="32999.290000000008"/>
    <n v="73371.709999999992"/>
    <n v="38232.829999999987"/>
    <n v="56809.355599999995"/>
    <n v="29734.010264999997"/>
    <n v="55693.619999999981"/>
    <n v="29029.459999999868"/>
    <n v="55693.619999999988"/>
    <n v="29029.46"/>
    <n v="55693.619999999952"/>
    <n v="29029.459999999977"/>
    <n v="60149.109599999952"/>
    <n v="31788.299036098761"/>
  </r>
  <r>
    <x v="0"/>
    <x v="18"/>
    <x v="18"/>
    <x v="2"/>
    <x v="2"/>
    <m/>
    <x v="1"/>
    <x v="0"/>
    <x v="7"/>
    <n v="152250.19"/>
    <n v="56649.619999999995"/>
    <n v="105040.54"/>
    <n v="43458.289999999994"/>
    <n v="111768.23296000004"/>
    <n v="46520.159671500027"/>
    <n v="96746.741045355055"/>
    <n v="41194.762337112181"/>
    <n v="140612.63"/>
    <n v="55855.120000000024"/>
    <n v="140612.63000000018"/>
    <n v="59872.857854000074"/>
    <n v="146237.13520000019"/>
    <n v="60796.354574520607"/>
  </r>
  <r>
    <x v="0"/>
    <x v="18"/>
    <x v="18"/>
    <x v="2"/>
    <x v="2"/>
    <m/>
    <x v="1"/>
    <x v="0"/>
    <x v="8"/>
    <n v="43713.899999999987"/>
    <n v="21323.059999999994"/>
    <n v="57255.72"/>
    <n v="27992.39"/>
    <n v="53054.803240000016"/>
    <n v="27574.666635900012"/>
    <n v="52205.926388160013"/>
    <n v="25669.654005058281"/>
    <n v="50891.64999999998"/>
    <n v="26467.46999999999"/>
    <n v="52927.315999999977"/>
    <n v="27526.168799999989"/>
    <n v="55838.318379999975"/>
    <n v="29116.584379312859"/>
  </r>
  <r>
    <x v="0"/>
    <x v="18"/>
    <x v="18"/>
    <x v="2"/>
    <x v="2"/>
    <m/>
    <x v="1"/>
    <x v="0"/>
    <x v="9"/>
    <n v="35830.25"/>
    <n v="17956.789999999997"/>
    <n v="64514.819999999992"/>
    <n v="32842.869999999995"/>
    <n v="56770.718900000007"/>
    <n v="29130.503132000009"/>
    <n v="58480.936806862504"/>
    <n v="30222.948141786543"/>
    <n v="53563.100000000035"/>
    <n v="27641.860000000037"/>
    <n v="58480.936806862504"/>
    <n v="30222.948141786543"/>
    <n v="63159.411751411506"/>
    <n v="33379.21842982628"/>
  </r>
  <r>
    <x v="0"/>
    <x v="18"/>
    <x v="18"/>
    <x v="2"/>
    <x v="2"/>
    <m/>
    <x v="1"/>
    <x v="0"/>
    <x v="10"/>
    <n v="38660.949999999997"/>
    <n v="17215.419999999995"/>
    <n v="67786.699999999983"/>
    <n v="32506.779999999992"/>
    <n v="77586.792600000103"/>
    <n v="35983.206468500044"/>
    <n v="79924.094727075106"/>
    <n v="36405.425148182716"/>
    <n v="66999.856321839077"/>
    <n v="28663.918594560993"/>
    <n v="79924.094727075106"/>
    <n v="36405.425148182716"/>
    <n v="86318.022305241117"/>
    <n v="39940.967154690159"/>
  </r>
  <r>
    <x v="0"/>
    <x v="18"/>
    <x v="18"/>
    <x v="2"/>
    <x v="2"/>
    <m/>
    <x v="1"/>
    <x v="0"/>
    <x v="11"/>
    <n v="137182.29999999999"/>
    <n v="58517.089999999967"/>
    <n v="143034.68"/>
    <n v="71477.219999999972"/>
    <n v="141984.04850000006"/>
    <n v="72662.819136500024"/>
    <n v="146988.98620962506"/>
    <n v="71605.684632018849"/>
    <n v="139439.08045977011"/>
    <n v="70176.345687392211"/>
    <n v="146988.98620962506"/>
    <n v="71605.684632018849"/>
    <n v="158748.10510639506"/>
    <n v="82778.327347371334"/>
  </r>
  <r>
    <x v="0"/>
    <x v="19"/>
    <x v="19"/>
    <x v="0"/>
    <x v="2"/>
    <m/>
    <x v="2"/>
    <x v="2"/>
    <x v="0"/>
    <n v="47205.180000000008"/>
    <n v="18512.370000000003"/>
    <n v="27576.320000000003"/>
    <n v="11518.730000000003"/>
    <n v="31186.294433333325"/>
    <n v="12743.338195666664"/>
    <n v="30556.169999999991"/>
    <n v="11317.021144479218"/>
    <n v="30556.169999999987"/>
    <n v="11422.25999999998"/>
    <n v="31186.294433333325"/>
    <n v="11657.808012394402"/>
    <n v="33057.472099333318"/>
    <n v="13252.900629811622"/>
  </r>
  <r>
    <x v="0"/>
    <x v="19"/>
    <x v="19"/>
    <x v="0"/>
    <x v="2"/>
    <m/>
    <x v="2"/>
    <x v="2"/>
    <x v="1"/>
    <n v="53901.41"/>
    <n v="16862.190000000002"/>
    <n v="30306.340000000004"/>
    <n v="10886.280000000004"/>
    <n v="44871.799499999972"/>
    <n v="15290.296499999993"/>
    <n v="39264.989999999962"/>
    <n v="12117.960979005185"/>
    <n v="39264.989999999962"/>
    <n v="12089.359999999957"/>
    <n v="44871.799499999972"/>
    <n v="13815.649462875663"/>
    <n v="45769.23548999997"/>
    <n v="15526.254237363199"/>
  </r>
  <r>
    <x v="0"/>
    <x v="19"/>
    <x v="19"/>
    <x v="0"/>
    <x v="2"/>
    <m/>
    <x v="2"/>
    <x v="2"/>
    <x v="2"/>
    <n v="41856.35"/>
    <n v="16042.329999999996"/>
    <n v="43145.91"/>
    <n v="15939.380000000003"/>
    <n v="32165"/>
    <n v="12274"/>
    <n v="37231.669999999991"/>
    <n v="13329.591465008532"/>
    <n v="37231.669999999991"/>
    <n v="13198.409999999985"/>
    <n v="37231.67000000002"/>
    <n v="13198.409999999996"/>
    <n v="37603.986700000023"/>
    <n v="14495.806424161432"/>
  </r>
  <r>
    <x v="0"/>
    <x v="19"/>
    <x v="19"/>
    <x v="0"/>
    <x v="2"/>
    <m/>
    <x v="2"/>
    <x v="2"/>
    <x v="3"/>
    <n v="46038.06"/>
    <n v="14084.789999999999"/>
    <n v="24059.909999999996"/>
    <n v="9893.2100000000009"/>
    <n v="29891"/>
    <n v="12733"/>
    <n v="35406.429999999971"/>
    <n v="13083.124800707599"/>
    <n v="35406.429999999986"/>
    <n v="13104.109999999975"/>
    <n v="35406.429999999978"/>
    <n v="13104.109999999971"/>
    <n v="37176.751499999977"/>
    <n v="14904.339687203006"/>
  </r>
  <r>
    <x v="0"/>
    <x v="19"/>
    <x v="19"/>
    <x v="0"/>
    <x v="2"/>
    <m/>
    <x v="2"/>
    <x v="2"/>
    <x v="4"/>
    <n v="30632.73"/>
    <n v="11967.740000000002"/>
    <n v="29465.370000000003"/>
    <n v="11648.2"/>
    <n v="33331"/>
    <n v="12789"/>
    <n v="32201.939999999973"/>
    <n v="12753.794806022615"/>
    <n v="32201.939999999973"/>
    <n v="12623.769999999975"/>
    <n v="32201.939999999973"/>
    <n v="12623.769999999975"/>
    <n v="33812.036999999982"/>
    <n v="13555.409352112878"/>
  </r>
  <r>
    <x v="0"/>
    <x v="19"/>
    <x v="19"/>
    <x v="0"/>
    <x v="2"/>
    <m/>
    <x v="2"/>
    <x v="2"/>
    <x v="5"/>
    <n v="28335.590000000004"/>
    <n v="11051.040000000005"/>
    <n v="23360.559999999998"/>
    <n v="9556.6899999999969"/>
    <n v="30638"/>
    <n v="12618"/>
    <n v="33488.539999999972"/>
    <n v="13065.27748989562"/>
    <n v="33488.54"/>
    <n v="13074.299999999992"/>
    <n v="33488.539999999994"/>
    <n v="13074.29999999999"/>
    <n v="35162.966999999997"/>
    <n v="14097.003730353092"/>
  </r>
  <r>
    <x v="0"/>
    <x v="19"/>
    <x v="19"/>
    <x v="0"/>
    <x v="2"/>
    <m/>
    <x v="2"/>
    <x v="2"/>
    <x v="6"/>
    <n v="33989.360000000001"/>
    <n v="14151.470000000001"/>
    <n v="30960.320000000003"/>
    <n v="12444.020000000004"/>
    <n v="32145"/>
    <n v="13199"/>
    <n v="30517.10999999999"/>
    <n v="12896.120000000024"/>
    <n v="30517.109999999993"/>
    <n v="12896.119999999988"/>
    <n v="30517.110000000015"/>
    <n v="12896.119999999997"/>
    <n v="34484.334300000017"/>
    <n v="13824.936594964907"/>
  </r>
  <r>
    <x v="0"/>
    <x v="19"/>
    <x v="19"/>
    <x v="0"/>
    <x v="2"/>
    <m/>
    <x v="2"/>
    <x v="2"/>
    <x v="7"/>
    <n v="81211.259999999995"/>
    <n v="15947.599999999991"/>
    <n v="54810.710000000006"/>
    <n v="15952.800000000005"/>
    <n v="58698"/>
    <n v="17659"/>
    <n v="53996.996845068017"/>
    <n v="18234.78583457947"/>
    <n v="61822.620000000024"/>
    <n v="17808.950000000041"/>
    <n v="61822.620000000083"/>
    <n v="20877.498774000029"/>
    <n v="63677.298600000082"/>
    <n v="21601.189458978519"/>
  </r>
  <r>
    <x v="0"/>
    <x v="19"/>
    <x v="19"/>
    <x v="0"/>
    <x v="2"/>
    <m/>
    <x v="2"/>
    <x v="2"/>
    <x v="8"/>
    <n v="35173.56"/>
    <n v="11344.98"/>
    <n v="38286.759999999995"/>
    <n v="13626.699999999997"/>
    <n v="30397"/>
    <n v="11260"/>
    <n v="30700.999229399975"/>
    <n v="11862.866102240152"/>
    <n v="23372.590000000018"/>
    <n v="9760.7600000000166"/>
    <n v="23372.590000000018"/>
    <n v="9760.7600000000166"/>
    <n v="29215.737500000025"/>
    <n v="11262.254683733156"/>
  </r>
  <r>
    <x v="0"/>
    <x v="19"/>
    <x v="19"/>
    <x v="0"/>
    <x v="2"/>
    <m/>
    <x v="2"/>
    <x v="2"/>
    <x v="9"/>
    <n v="26544.67"/>
    <n v="7972.88"/>
    <n v="35196.099999999991"/>
    <n v="12799.099999999993"/>
    <n v="32241"/>
    <n v="11925"/>
    <n v="32563.295375099973"/>
    <n v="13494.22960344143"/>
    <n v="23736.179999999993"/>
    <n v="10220.249999999993"/>
    <n v="32563.295375099973"/>
    <n v="13494.22960344143"/>
    <n v="33865.82719010397"/>
    <n v="13576.974099779152"/>
  </r>
  <r>
    <x v="0"/>
    <x v="19"/>
    <x v="19"/>
    <x v="0"/>
    <x v="2"/>
    <m/>
    <x v="2"/>
    <x v="2"/>
    <x v="10"/>
    <n v="36367.759999999995"/>
    <n v="11343.679999999998"/>
    <n v="34637.549999999996"/>
    <n v="12642.759999999993"/>
    <n v="41230"/>
    <n v="14610"/>
    <n v="41642.757176499981"/>
    <n v="15740.962212716993"/>
    <n v="30815.229885057466"/>
    <n v="12219.319672507425"/>
    <n v="30815.229885057473"/>
    <n v="11648.156896551725"/>
    <n v="32355.991379310348"/>
    <n v="11774.324759721569"/>
  </r>
  <r>
    <x v="0"/>
    <x v="19"/>
    <x v="19"/>
    <x v="0"/>
    <x v="2"/>
    <m/>
    <x v="2"/>
    <x v="2"/>
    <x v="11"/>
    <n v="90357.78"/>
    <n v="32406.38"/>
    <n v="81058.800000000017"/>
    <n v="33231.500000000015"/>
    <n v="82514.689700000032"/>
    <n v="34473.622421500011"/>
    <n v="83339.83659700003"/>
    <n v="37336.24679545602"/>
    <n v="51078.591954022988"/>
    <n v="23245.517622838695"/>
    <n v="83339.83659700003"/>
    <n v="37336.24679545602"/>
    <n v="87506.828426850028"/>
    <n v="34542.205924589536"/>
  </r>
  <r>
    <x v="0"/>
    <x v="20"/>
    <x v="20"/>
    <x v="0"/>
    <x v="2"/>
    <m/>
    <x v="0"/>
    <x v="0"/>
    <x v="0"/>
    <n v="83482.00999999998"/>
    <n v="42321.219999999987"/>
    <n v="69748.17"/>
    <n v="33144.17"/>
    <n v="65081.243083333342"/>
    <n v="31000.56630633333"/>
    <n v="50447.08"/>
    <n v="25533.641037126039"/>
    <n v="50447.079999999958"/>
    <n v="25557.409999999945"/>
    <n v="65081.243083333342"/>
    <n v="32971.343689077985"/>
    <n v="68986.117668333362"/>
    <n v="36843.450950634797"/>
  </r>
  <r>
    <x v="0"/>
    <x v="20"/>
    <x v="20"/>
    <x v="0"/>
    <x v="2"/>
    <m/>
    <x v="0"/>
    <x v="0"/>
    <x v="1"/>
    <n v="116052.8"/>
    <n v="47369.239999999991"/>
    <n v="68356.890000000014"/>
    <n v="31007.190000000013"/>
    <n v="99920.456699999995"/>
    <n v="42364.432819499998"/>
    <n v="80492.750000000029"/>
    <n v="35149.948729991273"/>
    <n v="80492.749999999971"/>
    <n v="34977.929999999978"/>
    <n v="99920.456699999995"/>
    <n v="43420.192999004626"/>
    <n v="106914.88866900001"/>
    <n v="47654.957783460923"/>
  </r>
  <r>
    <x v="0"/>
    <x v="20"/>
    <x v="20"/>
    <x v="0"/>
    <x v="2"/>
    <m/>
    <x v="0"/>
    <x v="0"/>
    <x v="2"/>
    <n v="75501.920000000013"/>
    <n v="35745.660000000011"/>
    <n v="103397.8"/>
    <n v="43202.42"/>
    <n v="71059.190799999982"/>
    <n v="31477.962591999985"/>
    <n v="74960.180000000139"/>
    <n v="34667.549835096004"/>
    <n v="74960.180000000139"/>
    <n v="34582.250000000087"/>
    <n v="74960.180000000226"/>
    <n v="34582.250000000131"/>
    <n v="78708.189000000231"/>
    <n v="41601.142523662696"/>
  </r>
  <r>
    <x v="0"/>
    <x v="20"/>
    <x v="20"/>
    <x v="0"/>
    <x v="2"/>
    <m/>
    <x v="0"/>
    <x v="0"/>
    <x v="3"/>
    <n v="47659.539999999994"/>
    <n v="24403.589999999993"/>
    <n v="57155.1"/>
    <n v="28708.949999999997"/>
    <n v="60550.84310000002"/>
    <n v="29561.144543500013"/>
    <n v="61373.680000000109"/>
    <n v="31199.448757112754"/>
    <n v="61373.680000000066"/>
    <n v="31004.070000000058"/>
    <n v="61373.680000000058"/>
    <n v="31004.070000000051"/>
    <n v="64442.364000000067"/>
    <n v="34416.766117957959"/>
  </r>
  <r>
    <x v="0"/>
    <x v="20"/>
    <x v="20"/>
    <x v="0"/>
    <x v="2"/>
    <m/>
    <x v="0"/>
    <x v="0"/>
    <x v="4"/>
    <n v="23482.629999999997"/>
    <n v="12441.18"/>
    <n v="47664.69"/>
    <n v="23839.829999999994"/>
    <n v="63970.856499999994"/>
    <n v="30170.524169999993"/>
    <n v="60695.029999999984"/>
    <n v="31565.036143760732"/>
    <n v="60695.029999999984"/>
    <n v="31542.799999999988"/>
    <n v="60695.029999999984"/>
    <n v="31542.799999999988"/>
    <n v="63729.781499999983"/>
    <n v="34036.196819751378"/>
  </r>
  <r>
    <x v="0"/>
    <x v="20"/>
    <x v="20"/>
    <x v="0"/>
    <x v="2"/>
    <m/>
    <x v="0"/>
    <x v="0"/>
    <x v="5"/>
    <n v="5897.97"/>
    <n v="3134.7299999999996"/>
    <n v="39592.929999999993"/>
    <n v="19710.119999999992"/>
    <n v="58604.030000000006"/>
    <n v="29299.107422500001"/>
    <n v="65115.970000000016"/>
    <n v="33493.13827277151"/>
    <n v="65115.969999999965"/>
    <n v="33479.079999999973"/>
    <n v="65115.96999999995"/>
    <n v="33479.079999999965"/>
    <n v="68371.768499999947"/>
    <n v="36515.345177834584"/>
  </r>
  <r>
    <x v="0"/>
    <x v="20"/>
    <x v="20"/>
    <x v="0"/>
    <x v="2"/>
    <m/>
    <x v="0"/>
    <x v="0"/>
    <x v="6"/>
    <n v="108068.16999999998"/>
    <n v="54421.200000000004"/>
    <n v="71219.459999999992"/>
    <n v="36158.879999999997"/>
    <n v="62227.53620000001"/>
    <n v="31360.155402500004"/>
    <n v="65912.560000000012"/>
    <n v="34910.079999999914"/>
    <n v="65912.560000000056"/>
    <n v="34910.080000000031"/>
    <n v="65912.560000000085"/>
    <n v="34910.080000000045"/>
    <n v="69208.188000000082"/>
    <n v="36962.052165616784"/>
  </r>
  <r>
    <x v="0"/>
    <x v="20"/>
    <x v="20"/>
    <x v="0"/>
    <x v="2"/>
    <m/>
    <x v="0"/>
    <x v="0"/>
    <x v="7"/>
    <n v="205173.06"/>
    <n v="78437.889999999985"/>
    <n v="123949.23"/>
    <n v="49838.739999999991"/>
    <n v="129440.1394"/>
    <n v="53253.962929500005"/>
    <n v="122877.06464421879"/>
    <n v="51834.460949517255"/>
    <n v="145958.08000000016"/>
    <n v="59605.550000000134"/>
    <n v="145958.08000000037"/>
    <n v="61570.956467200151"/>
    <n v="156175.1456000004"/>
    <n v="69611.632795459707"/>
  </r>
  <r>
    <x v="0"/>
    <x v="20"/>
    <x v="20"/>
    <x v="0"/>
    <x v="2"/>
    <m/>
    <x v="0"/>
    <x v="0"/>
    <x v="8"/>
    <n v="69670.430000000008"/>
    <n v="34064.020000000004"/>
    <n v="71309.489999999991"/>
    <n v="33061.679999999986"/>
    <n v="59171.908519999997"/>
    <n v="29057.169114400003"/>
    <n v="57899.712486819997"/>
    <n v="29499.903512034787"/>
    <n v="56693.089999999982"/>
    <n v="29206.27999999997"/>
    <n v="56693.089999999982"/>
    <n v="29206.279999999966"/>
    <n v="60094.675399999986"/>
    <n v="31762.986647153557"/>
  </r>
  <r>
    <x v="0"/>
    <x v="20"/>
    <x v="20"/>
    <x v="0"/>
    <x v="2"/>
    <m/>
    <x v="0"/>
    <x v="0"/>
    <x v="9"/>
    <n v="48245.119999999988"/>
    <n v="24173.079999999994"/>
    <n v="63530.689999999988"/>
    <n v="31631.509999999987"/>
    <n v="63344.860679999998"/>
    <n v="31638.4771191"/>
    <n v="64592.754435396004"/>
    <n v="34104.974341889087"/>
    <n v="61151.780000000079"/>
    <n v="31903.320000000109"/>
    <n v="64592.754435396004"/>
    <n v="34104.974341889087"/>
    <n v="67822.392157165814"/>
    <n v="36221.939474995044"/>
  </r>
  <r>
    <x v="0"/>
    <x v="20"/>
    <x v="20"/>
    <x v="0"/>
    <x v="2"/>
    <m/>
    <x v="0"/>
    <x v="0"/>
    <x v="10"/>
    <n v="72958.84"/>
    <n v="31995.86"/>
    <n v="77017.52"/>
    <n v="36631.620000000017"/>
    <n v="87890.100500000044"/>
    <n v="40194.02427200001"/>
    <n v="89621.535479850034"/>
    <n v="42346.175514229137"/>
    <n v="97362.212643678155"/>
    <n v="40063.243782841586"/>
    <n v="92494.102011494237"/>
    <n v="43703.463200431026"/>
    <n v="97118.807112068942"/>
    <n v="46863.453687886533"/>
  </r>
  <r>
    <x v="0"/>
    <x v="20"/>
    <x v="20"/>
    <x v="0"/>
    <x v="2"/>
    <m/>
    <x v="0"/>
    <x v="0"/>
    <x v="11"/>
    <n v="179823.06999999995"/>
    <n v="83775.53999999995"/>
    <n v="157911.32999999996"/>
    <n v="81048.099999999948"/>
    <n v="164670.04020000019"/>
    <n v="85580.943373500108"/>
    <n v="167914.0399919402"/>
    <n v="83998.998505968077"/>
    <n v="134622.91666666669"/>
    <n v="67023.890590472918"/>
    <n v="167914.0399919402"/>
    <n v="83998.998505968077"/>
    <n v="180507.5929913357"/>
    <n v="95407.125967995962"/>
  </r>
  <r>
    <x v="0"/>
    <x v="21"/>
    <x v="21"/>
    <x v="1"/>
    <x v="1"/>
    <m/>
    <x v="3"/>
    <x v="7"/>
    <x v="0"/>
    <n v="28993.260000000002"/>
    <n v="14572.96"/>
    <n v="13869.81"/>
    <n v="6533.07"/>
    <n v="0"/>
    <n v="0"/>
    <n v="0"/>
    <n v="0"/>
    <n v="0"/>
    <n v="0"/>
    <n v="0"/>
    <n v="0"/>
    <n v="0"/>
    <n v="0"/>
  </r>
  <r>
    <x v="0"/>
    <x v="21"/>
    <x v="21"/>
    <x v="1"/>
    <x v="1"/>
    <m/>
    <x v="3"/>
    <x v="7"/>
    <x v="1"/>
    <n v="40939.9"/>
    <n v="15757.889999999996"/>
    <n v="14951.560000000001"/>
    <n v="5969.6200000000008"/>
    <n v="0"/>
    <n v="0"/>
    <n v="0"/>
    <n v="0"/>
    <n v="0"/>
    <n v="0"/>
    <n v="0"/>
    <n v="0"/>
    <n v="0"/>
    <n v="0"/>
  </r>
  <r>
    <x v="0"/>
    <x v="21"/>
    <x v="21"/>
    <x v="1"/>
    <x v="1"/>
    <m/>
    <x v="3"/>
    <x v="7"/>
    <x v="2"/>
    <n v="29756.659999999996"/>
    <n v="13848.119999999995"/>
    <n v="22370.74"/>
    <n v="8558.0500000000029"/>
    <n v="0"/>
    <n v="0"/>
    <n v="0"/>
    <n v="0"/>
    <n v="0"/>
    <n v="0"/>
    <n v="0"/>
    <n v="0"/>
    <n v="0"/>
    <n v="0"/>
  </r>
  <r>
    <x v="0"/>
    <x v="21"/>
    <x v="21"/>
    <x v="1"/>
    <x v="1"/>
    <m/>
    <x v="3"/>
    <x v="7"/>
    <x v="3"/>
    <n v="22203.119999999995"/>
    <n v="11111.060000000001"/>
    <n v="11816.560000000001"/>
    <n v="5405.2500000000018"/>
    <n v="0"/>
    <n v="0"/>
    <n v="0"/>
    <n v="0"/>
    <n v="0"/>
    <n v="0"/>
    <n v="0"/>
    <n v="0"/>
    <n v="0"/>
    <n v="0"/>
  </r>
  <r>
    <x v="0"/>
    <x v="21"/>
    <x v="21"/>
    <x v="1"/>
    <x v="1"/>
    <m/>
    <x v="3"/>
    <x v="7"/>
    <x v="4"/>
    <n v="22434.44"/>
    <n v="11330.41"/>
    <n v="3097.32"/>
    <n v="1413.19"/>
    <n v="0"/>
    <n v="0"/>
    <n v="0"/>
    <n v="0"/>
    <n v="0"/>
    <n v="0"/>
    <n v="0"/>
    <n v="0"/>
    <n v="0"/>
    <n v="0"/>
  </r>
  <r>
    <x v="0"/>
    <x v="21"/>
    <x v="21"/>
    <x v="1"/>
    <x v="1"/>
    <m/>
    <x v="3"/>
    <x v="7"/>
    <x v="5"/>
    <n v="20745.46"/>
    <n v="10159.479999999998"/>
    <n v="0"/>
    <n v="0"/>
    <n v="0"/>
    <n v="0"/>
    <n v="0"/>
    <n v="0"/>
    <n v="0"/>
    <n v="0"/>
    <n v="0"/>
    <n v="0"/>
    <n v="0"/>
    <n v="0"/>
  </r>
  <r>
    <x v="0"/>
    <x v="21"/>
    <x v="21"/>
    <x v="1"/>
    <x v="1"/>
    <m/>
    <x v="3"/>
    <x v="7"/>
    <x v="6"/>
    <n v="20979.850000000002"/>
    <n v="10688.89"/>
    <n v="0"/>
    <n v="0"/>
    <n v="0"/>
    <n v="0"/>
    <n v="0"/>
    <n v="0"/>
    <n v="0"/>
    <n v="0"/>
    <n v="0"/>
    <n v="0"/>
    <n v="0"/>
    <n v="0"/>
  </r>
  <r>
    <x v="0"/>
    <x v="21"/>
    <x v="21"/>
    <x v="1"/>
    <x v="1"/>
    <m/>
    <x v="3"/>
    <x v="7"/>
    <x v="7"/>
    <n v="61519.039999999994"/>
    <n v="21744.019999999997"/>
    <n v="0"/>
    <n v="0"/>
    <n v="0"/>
    <n v="0"/>
    <n v="0"/>
    <n v="0"/>
    <n v="0"/>
    <n v="0"/>
    <n v="0"/>
    <n v="0"/>
    <n v="0"/>
    <n v="0"/>
  </r>
  <r>
    <x v="0"/>
    <x v="21"/>
    <x v="21"/>
    <x v="1"/>
    <x v="1"/>
    <m/>
    <x v="3"/>
    <x v="7"/>
    <x v="8"/>
    <n v="11586.080000000002"/>
    <n v="5560.43"/>
    <n v="0"/>
    <n v="0"/>
    <n v="0"/>
    <n v="0"/>
    <n v="0"/>
    <n v="0"/>
    <n v="0"/>
    <n v="0"/>
    <n v="0"/>
    <n v="0"/>
    <n v="0"/>
    <n v="0"/>
  </r>
  <r>
    <x v="0"/>
    <x v="21"/>
    <x v="21"/>
    <x v="1"/>
    <x v="1"/>
    <m/>
    <x v="3"/>
    <x v="7"/>
    <x v="9"/>
    <n v="10859.259999999998"/>
    <n v="5172.829999999999"/>
    <n v="0"/>
    <n v="0"/>
    <n v="0"/>
    <n v="0"/>
    <n v="0"/>
    <n v="0"/>
    <n v="0"/>
    <n v="0"/>
    <n v="0"/>
    <n v="0"/>
    <n v="0"/>
    <n v="0"/>
  </r>
  <r>
    <x v="0"/>
    <x v="21"/>
    <x v="21"/>
    <x v="1"/>
    <x v="1"/>
    <m/>
    <x v="3"/>
    <x v="7"/>
    <x v="10"/>
    <n v="16673.190000000002"/>
    <n v="7055.6099999999988"/>
    <n v="0"/>
    <n v="0"/>
    <n v="0"/>
    <n v="0"/>
    <n v="0"/>
    <n v="0"/>
    <n v="0"/>
    <n v="0"/>
    <n v="0"/>
    <n v="0"/>
    <n v="0"/>
    <n v="0"/>
  </r>
  <r>
    <x v="0"/>
    <x v="21"/>
    <x v="21"/>
    <x v="1"/>
    <x v="1"/>
    <m/>
    <x v="3"/>
    <x v="7"/>
    <x v="11"/>
    <n v="45007.009999999995"/>
    <n v="20367.839999999989"/>
    <n v="0"/>
    <n v="0"/>
    <n v="0"/>
    <n v="0"/>
    <n v="0"/>
    <n v="0"/>
    <n v="0"/>
    <n v="0"/>
    <n v="0"/>
    <n v="0"/>
    <n v="0"/>
    <n v="0"/>
  </r>
  <r>
    <x v="0"/>
    <x v="22"/>
    <x v="22"/>
    <x v="0"/>
    <x v="2"/>
    <m/>
    <x v="3"/>
    <x v="3"/>
    <x v="0"/>
    <n v="109484.68"/>
    <n v="57279.09"/>
    <n v="92287.479999999981"/>
    <n v="48467.909999999989"/>
    <n v="99288.833066666673"/>
    <n v="51902.115297333345"/>
    <n v="70926.910000000149"/>
    <n v="36452.844877962161"/>
    <n v="70926.910000000091"/>
    <n v="36508.870000000024"/>
    <n v="99288.833066666673"/>
    <n v="51107.867223915899"/>
    <n v="102267.49805866669"/>
    <n v="54408.508533900553"/>
  </r>
  <r>
    <x v="0"/>
    <x v="22"/>
    <x v="22"/>
    <x v="0"/>
    <x v="2"/>
    <m/>
    <x v="3"/>
    <x v="3"/>
    <x v="1"/>
    <n v="190367.42999999996"/>
    <n v="83717.239999999962"/>
    <n v="120264.77999999998"/>
    <n v="55228.17"/>
    <n v="167875.37130000003"/>
    <n v="71434.774299000012"/>
    <n v="153257.57000000007"/>
    <n v="62452.946613088519"/>
    <n v="153257.57000000024"/>
    <n v="62630.620000000301"/>
    <n v="167875.37130000003"/>
    <n v="68604.367061602519"/>
    <n v="171232.87872600002"/>
    <n v="76405.633896352971"/>
  </r>
  <r>
    <x v="0"/>
    <x v="22"/>
    <x v="22"/>
    <x v="0"/>
    <x v="2"/>
    <m/>
    <x v="3"/>
    <x v="3"/>
    <x v="2"/>
    <n v="118641.72"/>
    <n v="56974.35000000002"/>
    <n v="183938.62999999995"/>
    <n v="80960.469999999972"/>
    <n v="106453.12872000012"/>
    <n v="51090.39059950006"/>
    <n v="114282.00000000017"/>
    <n v="55679.720551461549"/>
    <n v="114282.00000000022"/>
    <n v="55799.890000000174"/>
    <n v="114282.00000000023"/>
    <n v="55799.890000000181"/>
    <n v="118853.28000000026"/>
    <n v="61032.693146228048"/>
  </r>
  <r>
    <x v="0"/>
    <x v="22"/>
    <x v="22"/>
    <x v="0"/>
    <x v="2"/>
    <m/>
    <x v="3"/>
    <x v="3"/>
    <x v="3"/>
    <n v="91354.709999999992"/>
    <n v="49106.76"/>
    <n v="92381.28"/>
    <n v="50381.84"/>
    <n v="93997.339280000102"/>
    <n v="51455.996932000053"/>
    <n v="93168.340000000069"/>
    <n v="49795.148872770238"/>
    <n v="93168.34000000004"/>
    <n v="49797.840000000026"/>
    <n v="93168.34000000004"/>
    <n v="49797.840000000018"/>
    <n v="96895.073600000032"/>
    <n v="50735.084810699758"/>
  </r>
  <r>
    <x v="0"/>
    <x v="22"/>
    <x v="22"/>
    <x v="0"/>
    <x v="2"/>
    <m/>
    <x v="3"/>
    <x v="3"/>
    <x v="4"/>
    <n v="119535.52"/>
    <n v="64030.090000000011"/>
    <n v="98629.65"/>
    <n v="54139.8"/>
    <n v="100180.8507000001"/>
    <n v="52851.926069750043"/>
    <n v="85688.610000000015"/>
    <n v="47155.086349188889"/>
    <n v="85688.610000000015"/>
    <n v="47177.410000000047"/>
    <n v="85688.610000000015"/>
    <n v="47177.410000000047"/>
    <n v="89116.154400000043"/>
    <n v="47411.710848732328"/>
  </r>
  <r>
    <x v="0"/>
    <x v="22"/>
    <x v="22"/>
    <x v="0"/>
    <x v="2"/>
    <m/>
    <x v="3"/>
    <x v="3"/>
    <x v="5"/>
    <n v="95719.11"/>
    <n v="51392.560000000005"/>
    <n v="94332.07"/>
    <n v="51556.45"/>
    <n v="92141.501650000064"/>
    <n v="50732.221667500031"/>
    <n v="95213.170000000027"/>
    <n v="52512.979764931202"/>
    <n v="95213.169999999955"/>
    <n v="52517.630000000005"/>
    <n v="95213.169999999969"/>
    <n v="52517.630000000012"/>
    <n v="99021.696799999976"/>
    <n v="52681.67245368076"/>
  </r>
  <r>
    <x v="0"/>
    <x v="22"/>
    <x v="22"/>
    <x v="0"/>
    <x v="2"/>
    <m/>
    <x v="3"/>
    <x v="3"/>
    <x v="6"/>
    <n v="102601.28000000001"/>
    <n v="54973.69"/>
    <n v="95023.209999999992"/>
    <n v="51767.749999999985"/>
    <n v="97507.016200000027"/>
    <n v="53465.948824000006"/>
    <n v="100686.31999999993"/>
    <n v="54445.550000000716"/>
    <n v="100686.31999999998"/>
    <n v="54445.549999999959"/>
    <n v="100686.3200000006"/>
    <n v="54445.550000000301"/>
    <n v="104713.77280000063"/>
    <n v="55709.979310703755"/>
  </r>
  <r>
    <x v="0"/>
    <x v="22"/>
    <x v="22"/>
    <x v="0"/>
    <x v="2"/>
    <m/>
    <x v="3"/>
    <x v="3"/>
    <x v="7"/>
    <n v="269760.5"/>
    <n v="99620.279999999955"/>
    <n v="183761.69999999995"/>
    <n v="72536.779999999955"/>
    <n v="193389.02898000024"/>
    <n v="79895.229739500079"/>
    <n v="176448.55197037209"/>
    <n v="75837.587636865937"/>
    <n v="263339.09000000049"/>
    <n v="118272.79000000047"/>
    <n v="263339.09000000026"/>
    <n v="113183.14088200012"/>
    <n v="271239.26270000025"/>
    <n v="123311.30836978261"/>
  </r>
  <r>
    <x v="0"/>
    <x v="22"/>
    <x v="22"/>
    <x v="0"/>
    <x v="2"/>
    <m/>
    <x v="3"/>
    <x v="3"/>
    <x v="8"/>
    <n v="68028.990000000005"/>
    <n v="34894.729999999996"/>
    <n v="94631.03"/>
    <n v="48308.95"/>
    <n v="92378.541320000018"/>
    <n v="49615.471924000005"/>
    <n v="93466.760536749614"/>
    <n v="48976.582521256802"/>
    <n v="93935.100000000108"/>
    <n v="50038.61000000011"/>
    <n v="93935.100000000108"/>
    <n v="50038.610000000102"/>
    <n v="94874.451000000132"/>
    <n v="48719.254994896604"/>
  </r>
  <r>
    <x v="0"/>
    <x v="22"/>
    <x v="22"/>
    <x v="0"/>
    <x v="2"/>
    <m/>
    <x v="3"/>
    <x v="3"/>
    <x v="9"/>
    <n v="55540.009999999995"/>
    <n v="29867.129999999997"/>
    <n v="69407.899999999994"/>
    <n v="37771.599999999999"/>
    <n v="97388.088669999983"/>
    <n v="53022.531146249996"/>
    <n v="84601.032627628985"/>
    <n v="45625.336896080313"/>
    <n v="72666.590000000273"/>
    <n v="38448.50000000032"/>
    <n v="107218.31999999999"/>
    <n v="57822.839975999996"/>
    <n v="111507.0528"/>
    <n v="59324.150380393061"/>
  </r>
  <r>
    <x v="0"/>
    <x v="22"/>
    <x v="22"/>
    <x v="0"/>
    <x v="2"/>
    <m/>
    <x v="3"/>
    <x v="3"/>
    <x v="10"/>
    <n v="83140.989999999991"/>
    <n v="39271.69999999999"/>
    <n v="80339.849999999977"/>
    <n v="41179.179999999986"/>
    <n v="134683.89443000019"/>
    <n v="68084.748215750093"/>
    <n v="136270.47070638559"/>
    <n v="67181.342058248105"/>
    <n v="69509.626436781618"/>
    <n v="26619.713968383025"/>
    <n v="136270.47070638559"/>
    <n v="67181.342058248105"/>
    <n v="141721.28953464102"/>
    <n v="69437.267343257801"/>
  </r>
  <r>
    <x v="0"/>
    <x v="22"/>
    <x v="22"/>
    <x v="0"/>
    <x v="2"/>
    <m/>
    <x v="3"/>
    <x v="3"/>
    <x v="11"/>
    <n v="244533.26999999996"/>
    <n v="119910.16999999994"/>
    <n v="262795.90999999992"/>
    <n v="139760.36999999997"/>
    <n v="262440.78935000056"/>
    <n v="142245.02354525033"/>
    <n v="265532.34184854355"/>
    <n v="139138.94712863682"/>
    <n v="275222.08333333343"/>
    <n v="130227.34954087921"/>
    <n v="265532.34184854355"/>
    <n v="139138.94712863682"/>
    <n v="277481.29723172804"/>
    <n v="144357.78754365462"/>
  </r>
  <r>
    <x v="0"/>
    <x v="23"/>
    <x v="23"/>
    <x v="2"/>
    <x v="0"/>
    <m/>
    <x v="1"/>
    <x v="5"/>
    <x v="0"/>
    <n v="29433.630000000005"/>
    <n v="15783.550000000007"/>
    <n v="14761.010000000006"/>
    <n v="7787.2300000000032"/>
    <n v="32163.165499999996"/>
    <n v="16675.967012500001"/>
    <n v="21128.160000000014"/>
    <n v="11729.137816629278"/>
    <n v="21128.160000000014"/>
    <n v="11431.500000000025"/>
    <n v="21128.160000000022"/>
    <n v="11431.500000000029"/>
    <n v="0"/>
    <n v="0"/>
  </r>
  <r>
    <x v="0"/>
    <x v="23"/>
    <x v="23"/>
    <x v="2"/>
    <x v="0"/>
    <m/>
    <x v="1"/>
    <x v="5"/>
    <x v="1"/>
    <n v="35853.100000000006"/>
    <n v="15441.820000000007"/>
    <n v="19742.150000000001"/>
    <n v="8822.4699999999957"/>
    <n v="41709.812999999987"/>
    <n v="18827.169714999996"/>
    <n v="35604.090000000004"/>
    <n v="16655.233437294875"/>
    <n v="35604.090000000011"/>
    <n v="16087.540000000015"/>
    <n v="35604.089999999975"/>
    <n v="16087.539999999999"/>
    <n v="0"/>
    <n v="0"/>
  </r>
  <r>
    <x v="0"/>
    <x v="23"/>
    <x v="23"/>
    <x v="2"/>
    <x v="0"/>
    <m/>
    <x v="1"/>
    <x v="5"/>
    <x v="2"/>
    <n v="40890.67"/>
    <n v="19179.629999999994"/>
    <n v="27844.91"/>
    <n v="12093.57"/>
    <n v="34470.605059999994"/>
    <n v="16739.311769199998"/>
    <n v="30904.429999999997"/>
    <n v="16202.906382347446"/>
    <n v="30904.429999999993"/>
    <n v="15671.029999999995"/>
    <n v="30904.429999999993"/>
    <n v="15671.029999999995"/>
    <n v="0"/>
    <n v="0"/>
  </r>
  <r>
    <x v="0"/>
    <x v="23"/>
    <x v="23"/>
    <x v="2"/>
    <x v="0"/>
    <m/>
    <x v="1"/>
    <x v="5"/>
    <x v="3"/>
    <n v="24650.010000000002"/>
    <n v="13090.469999999998"/>
    <n v="16661.02"/>
    <n v="9334.3799999999992"/>
    <n v="22561.187539999992"/>
    <n v="12396.743449799997"/>
    <n v="24529.670000000006"/>
    <n v="13327.262059109191"/>
    <n v="24529.670000000002"/>
    <n v="13291.170000000002"/>
    <n v="24529.670000000002"/>
    <n v="13291.170000000002"/>
    <n v="0"/>
    <n v="0"/>
  </r>
  <r>
    <x v="0"/>
    <x v="23"/>
    <x v="23"/>
    <x v="2"/>
    <x v="0"/>
    <m/>
    <x v="1"/>
    <x v="5"/>
    <x v="4"/>
    <n v="24895.310000000005"/>
    <n v="13253.940000000006"/>
    <n v="17009.05"/>
    <n v="9187.8799999999992"/>
    <n v="31981"/>
    <n v="16702"/>
    <n v="28817.940000000002"/>
    <n v="16182.248769494259"/>
    <n v="28817.94"/>
    <n v="16014.039999999997"/>
    <n v="28817.94"/>
    <n v="16014.039999999995"/>
    <n v="0"/>
    <n v="0"/>
  </r>
  <r>
    <x v="0"/>
    <x v="23"/>
    <x v="23"/>
    <x v="2"/>
    <x v="0"/>
    <m/>
    <x v="1"/>
    <x v="5"/>
    <x v="5"/>
    <n v="28059.899999999994"/>
    <n v="14813.409999999996"/>
    <n v="13271.670000000002"/>
    <n v="7245.2100000000028"/>
    <n v="29910"/>
    <n v="16591"/>
    <n v="21020.749999999989"/>
    <n v="11807.375192136633"/>
    <n v="21020.749999999989"/>
    <n v="11807.939999999995"/>
    <n v="21020.749999999993"/>
    <n v="11807.939999999999"/>
    <n v="0"/>
    <n v="0"/>
  </r>
  <r>
    <x v="0"/>
    <x v="23"/>
    <x v="23"/>
    <x v="2"/>
    <x v="0"/>
    <m/>
    <x v="1"/>
    <x v="5"/>
    <x v="6"/>
    <n v="24677.480000000003"/>
    <n v="13471.210000000003"/>
    <n v="13410.289999999999"/>
    <n v="7266.0899999999983"/>
    <n v="30833"/>
    <n v="17131"/>
    <n v="20975.170000000013"/>
    <n v="11767.239999999971"/>
    <n v="20975.170000000013"/>
    <n v="11767.240000000013"/>
    <n v="20975.17"/>
    <n v="11767.240000000005"/>
    <n v="0"/>
    <n v="0"/>
  </r>
  <r>
    <x v="0"/>
    <x v="23"/>
    <x v="23"/>
    <x v="2"/>
    <x v="0"/>
    <m/>
    <x v="1"/>
    <x v="5"/>
    <x v="7"/>
    <n v="56498.940000000017"/>
    <n v="20440.180000000008"/>
    <n v="27352.62"/>
    <n v="9858.4599999999955"/>
    <n v="57582"/>
    <n v="25790"/>
    <n v="35597.056920740215"/>
    <n v="16550.495644728955"/>
    <n v="45247.75999999998"/>
    <n v="19579.389999999985"/>
    <n v="45247.759999999966"/>
    <n v="21037.493534399982"/>
    <n v="0"/>
    <n v="0"/>
  </r>
  <r>
    <x v="0"/>
    <x v="23"/>
    <x v="23"/>
    <x v="2"/>
    <x v="0"/>
    <m/>
    <x v="1"/>
    <x v="5"/>
    <x v="8"/>
    <n v="18107.590000000004"/>
    <n v="9350.0300000000025"/>
    <n v="17789.190000000002"/>
    <n v="8536.7700000000023"/>
    <n v="28941"/>
    <n v="15564"/>
    <n v="17794.881300000005"/>
    <n v="9705.3282610200004"/>
    <n v="17863.150000000001"/>
    <n v="9492.3599999999988"/>
    <n v="17863.150000000001"/>
    <n v="9492.3599999999988"/>
    <n v="0"/>
    <n v="0"/>
  </r>
  <r>
    <x v="0"/>
    <x v="23"/>
    <x v="23"/>
    <x v="2"/>
    <x v="0"/>
    <m/>
    <x v="1"/>
    <x v="5"/>
    <x v="9"/>
    <n v="18250.409999999996"/>
    <n v="9892.239999999998"/>
    <n v="18624.669999999998"/>
    <n v="9852.6299999999974"/>
    <n v="30390"/>
    <n v="16690"/>
    <n v="21125.263320000002"/>
    <n v="11876.623038503996"/>
    <n v="15616.98"/>
    <n v="8038.489999999998"/>
    <n v="21125.263320000002"/>
    <n v="11876.623038503996"/>
    <n v="0"/>
    <n v="0"/>
  </r>
  <r>
    <x v="0"/>
    <x v="23"/>
    <x v="23"/>
    <x v="2"/>
    <x v="0"/>
    <m/>
    <x v="1"/>
    <x v="5"/>
    <x v="10"/>
    <n v="27951.140000000003"/>
    <n v="13912.810000000001"/>
    <n v="26006.990000000005"/>
    <n v="13468.510000000004"/>
    <n v="51742"/>
    <n v="25524"/>
    <n v="30038.073450000007"/>
    <n v="14581.682375568003"/>
    <n v="0"/>
    <n v="0"/>
    <n v="0"/>
    <n v="0"/>
    <n v="0"/>
    <n v="0"/>
  </r>
  <r>
    <x v="0"/>
    <x v="23"/>
    <x v="23"/>
    <x v="2"/>
    <x v="0"/>
    <m/>
    <x v="1"/>
    <x v="5"/>
    <x v="11"/>
    <n v="50719.710000000006"/>
    <n v="24965.57"/>
    <n v="48187.66"/>
    <n v="25863.21"/>
    <n v="87816"/>
    <n v="48457"/>
    <n v="55889.063999999998"/>
    <n v="30314.228313600001"/>
    <n v="0"/>
    <n v="0"/>
    <n v="0"/>
    <n v="0"/>
    <n v="0"/>
    <n v="0"/>
  </r>
  <r>
    <x v="0"/>
    <x v="24"/>
    <x v="24"/>
    <x v="2"/>
    <x v="0"/>
    <m/>
    <x v="1"/>
    <x v="5"/>
    <x v="0"/>
    <n v="49031.469999999994"/>
    <n v="25555.929999999997"/>
    <n v="24865.309999999998"/>
    <n v="12434.479999999994"/>
    <n v="18583.417166666666"/>
    <n v="9850.1035724999983"/>
    <n v="28443.330000000027"/>
    <n v="15176.35692003608"/>
    <n v="28443.33000000002"/>
    <n v="14988.710000000021"/>
    <n v="39626.320000000043"/>
    <n v="20881.782085543469"/>
    <n v="43588.952000000048"/>
    <n v="23141.408610997532"/>
  </r>
  <r>
    <x v="0"/>
    <x v="24"/>
    <x v="24"/>
    <x v="2"/>
    <x v="0"/>
    <m/>
    <x v="1"/>
    <x v="5"/>
    <x v="1"/>
    <n v="65348.409999999989"/>
    <n v="27843.449999999983"/>
    <n v="27662.729999999996"/>
    <n v="13097.979999999994"/>
    <n v="26751.908999999992"/>
    <n v="11347.179516999997"/>
    <n v="46657.879999999976"/>
    <n v="21219.719999999983"/>
    <n v="46657.879999999983"/>
    <n v="21235.409999999989"/>
    <n v="47404.880000000063"/>
    <n v="21575.392255301809"/>
    <n v="51671.319200000071"/>
    <n v="23807.090202503015"/>
  </r>
  <r>
    <x v="0"/>
    <x v="24"/>
    <x v="24"/>
    <x v="2"/>
    <x v="0"/>
    <m/>
    <x v="1"/>
    <x v="5"/>
    <x v="2"/>
    <n v="55579.78"/>
    <n v="25387.119999999995"/>
    <n v="37750.979999999996"/>
    <n v="17851.019999999997"/>
    <n v="19061.598874999996"/>
    <n v="9042.636146249999"/>
    <n v="43449.780000000057"/>
    <n v="22021.900600991008"/>
    <n v="43449.780000000072"/>
    <n v="21920.580000000075"/>
    <n v="65595.890000000072"/>
    <n v="33093.377099175283"/>
    <n v="72155.479000000079"/>
    <n v="37990.998847942377"/>
  </r>
  <r>
    <x v="0"/>
    <x v="24"/>
    <x v="24"/>
    <x v="2"/>
    <x v="0"/>
    <m/>
    <x v="1"/>
    <x v="5"/>
    <x v="3"/>
    <n v="30986.129999999997"/>
    <n v="16213.049999999996"/>
    <n v="27580.329999999998"/>
    <n v="15392.349999999999"/>
    <n v="12545.844825"/>
    <n v="6918.1379547500001"/>
    <n v="36329.14999999998"/>
    <n v="19875.012780072077"/>
    <n v="36329.149999999987"/>
    <n v="19544.179999999986"/>
    <n v="44241.350000000137"/>
    <n v="23800.746999117851"/>
    <n v="48665.485000000153"/>
    <n v="25836.543939789452"/>
  </r>
  <r>
    <x v="0"/>
    <x v="24"/>
    <x v="24"/>
    <x v="2"/>
    <x v="0"/>
    <m/>
    <x v="1"/>
    <x v="5"/>
    <x v="4"/>
    <n v="36103.849999999991"/>
    <n v="19089.819999999989"/>
    <n v="35733.179999999993"/>
    <n v="19821.119999999992"/>
    <n v="17579"/>
    <n v="8895"/>
    <n v="40278.280000000035"/>
    <n v="22310.467866000497"/>
    <n v="40278.280000000035"/>
    <n v="21979.140000000039"/>
    <n v="52742.230000000112"/>
    <n v="28780.495519724365"/>
    <n v="58016.453000000132"/>
    <n v="30800.980143632143"/>
  </r>
  <r>
    <x v="0"/>
    <x v="24"/>
    <x v="24"/>
    <x v="2"/>
    <x v="0"/>
    <m/>
    <x v="1"/>
    <x v="5"/>
    <x v="5"/>
    <n v="43694.95"/>
    <n v="23328.85"/>
    <n v="32414.529999999995"/>
    <n v="18161.439999999995"/>
    <n v="15720"/>
    <n v="8696"/>
    <n v="31787.589999999982"/>
    <n v="17505.348589384474"/>
    <n v="31787.590000000011"/>
    <n v="17505.310000000005"/>
    <n v="45686.200000000012"/>
    <n v="25159.223889637437"/>
    <n v="51168.544000000009"/>
    <n v="27165.419914977647"/>
  </r>
  <r>
    <x v="0"/>
    <x v="24"/>
    <x v="24"/>
    <x v="2"/>
    <x v="0"/>
    <m/>
    <x v="1"/>
    <x v="5"/>
    <x v="6"/>
    <n v="37905.31"/>
    <n v="20509.149999999998"/>
    <n v="31011.78999999999"/>
    <n v="17344.919999999987"/>
    <n v="16572"/>
    <n v="9030"/>
    <n v="33620.079999999994"/>
    <n v="18414.170000000016"/>
    <n v="33620.079999999973"/>
    <n v="18414.169999999966"/>
    <n v="44422.080000000045"/>
    <n v="24330.570684947801"/>
    <n v="49752.729600000057"/>
    <n v="26413.762945850856"/>
  </r>
  <r>
    <x v="0"/>
    <x v="24"/>
    <x v="24"/>
    <x v="2"/>
    <x v="0"/>
    <m/>
    <x v="1"/>
    <x v="5"/>
    <x v="7"/>
    <n v="83701.419999999984"/>
    <n v="30531.05"/>
    <n v="52391.969999999979"/>
    <n v="24195.379999999983"/>
    <n v="33520"/>
    <n v="12406"/>
    <n v="57181.010965373389"/>
    <n v="26226.070679268509"/>
    <n v="65939.419999999955"/>
    <n v="30647.069999999956"/>
    <n v="79744.590000000113"/>
    <n v="36574.856203500058"/>
    <n v="84529.26540000012"/>
    <n v="38946.089964142375"/>
  </r>
  <r>
    <x v="0"/>
    <x v="24"/>
    <x v="24"/>
    <x v="2"/>
    <x v="0"/>
    <m/>
    <x v="1"/>
    <x v="5"/>
    <x v="8"/>
    <n v="25540.720000000001"/>
    <n v="12582.21"/>
    <n v="24333.349999999991"/>
    <n v="12627.799999999996"/>
    <n v="16975"/>
    <n v="9127"/>
    <n v="24049.201169999986"/>
    <n v="12813.414383375994"/>
    <n v="19184.140000000014"/>
    <n v="10257.250000000013"/>
    <n v="42122.539999999994"/>
    <n v="22521.803083953731"/>
    <n v="46334.793999999987"/>
    <n v="24396.000551443165"/>
  </r>
  <r>
    <x v="0"/>
    <x v="24"/>
    <x v="24"/>
    <x v="2"/>
    <x v="0"/>
    <m/>
    <x v="1"/>
    <x v="5"/>
    <x v="9"/>
    <n v="32106.789999999994"/>
    <n v="16995.219999999994"/>
    <n v="30566.729999999996"/>
    <n v="16698.549999999992"/>
    <n v="17161"/>
    <n v="9171"/>
    <n v="34071.165648000024"/>
    <n v="18633.520492891214"/>
    <n v="0"/>
    <n v="0"/>
    <n v="49191.400000000023"/>
    <n v="26902.776660000014"/>
    <n v="54602.45400000002"/>
    <n v="28988.485412018978"/>
  </r>
  <r>
    <x v="0"/>
    <x v="24"/>
    <x v="24"/>
    <x v="2"/>
    <x v="0"/>
    <m/>
    <x v="1"/>
    <x v="5"/>
    <x v="10"/>
    <n v="46448.239999999991"/>
    <n v="22811.679999999989"/>
    <n v="49851.829999999987"/>
    <n v="26317.479999999989"/>
    <n v="26886"/>
    <n v="12997"/>
    <n v="56926.553970000168"/>
    <n v="27169.905678801682"/>
    <n v="124150.83333333334"/>
    <n v="52700.22312112341"/>
    <n v="75858.820000000123"/>
    <n v="36205.897609600062"/>
    <n v="83444.702000000136"/>
    <n v="40885.749796691998"/>
  </r>
  <r>
    <x v="0"/>
    <x v="24"/>
    <x v="24"/>
    <x v="2"/>
    <x v="0"/>
    <m/>
    <x v="1"/>
    <x v="5"/>
    <x v="11"/>
    <n v="90541.599999999977"/>
    <n v="43222.909999999996"/>
    <n v="81150.869999999981"/>
    <n v="43620.319999999992"/>
    <n v="50846"/>
    <n v="27924"/>
    <n v="92884.869550000265"/>
    <n v="49117.519018040148"/>
    <n v="124245.83333333333"/>
    <n v="61113.542975215925"/>
    <n v="129338.53000000023"/>
    <n v="68394.21466400013"/>
    <n v="143565.76830000023"/>
    <n v="75589.643554154303"/>
  </r>
  <r>
    <x v="0"/>
    <x v="25"/>
    <x v="25"/>
    <x v="0"/>
    <x v="2"/>
    <m/>
    <x v="3"/>
    <x v="1"/>
    <x v="0"/>
    <n v="24307.919999999998"/>
    <n v="11991.509999999998"/>
    <n v="23138.739999999998"/>
    <n v="10960.05"/>
    <n v="24210.842066666657"/>
    <n v="11146.681565999997"/>
    <n v="17504.01999999999"/>
    <n v="8303.9306603915757"/>
    <n v="17504.01999999999"/>
    <n v="8352.9099999999853"/>
    <n v="24210.842066666657"/>
    <n v="11553.402293134968"/>
    <n v="25905.601011333318"/>
    <n v="12470.216122207743"/>
  </r>
  <r>
    <x v="0"/>
    <x v="25"/>
    <x v="25"/>
    <x v="0"/>
    <x v="2"/>
    <m/>
    <x v="3"/>
    <x v="1"/>
    <x v="1"/>
    <n v="51470.17"/>
    <n v="18431.969999999998"/>
    <n v="18712.560000000001"/>
    <n v="8231.1500000000015"/>
    <n v="43680.615599999976"/>
    <n v="17250.89284199999"/>
    <n v="36209.859999999986"/>
    <n v="13007.708569360124"/>
    <n v="36209.859999999986"/>
    <n v="13013.149999999987"/>
    <n v="43680.615599999976"/>
    <n v="15698.000569323918"/>
    <n v="45427.840223999985"/>
    <n v="18336.966127852349"/>
  </r>
  <r>
    <x v="0"/>
    <x v="25"/>
    <x v="25"/>
    <x v="0"/>
    <x v="2"/>
    <m/>
    <x v="3"/>
    <x v="1"/>
    <x v="2"/>
    <n v="37420.719999999994"/>
    <n v="16809.98"/>
    <n v="49498.53"/>
    <n v="19246.470000000008"/>
    <n v="27305.212920000005"/>
    <n v="11144.459254700003"/>
    <n v="25026.01"/>
    <n v="10571.308201852798"/>
    <n v="25026.009999999995"/>
    <n v="10663.619999999995"/>
    <n v="25026.010000000006"/>
    <n v="10663.62"/>
    <n v="26027.050400000007"/>
    <n v="12398.172004524306"/>
  </r>
  <r>
    <x v="0"/>
    <x v="25"/>
    <x v="25"/>
    <x v="0"/>
    <x v="2"/>
    <m/>
    <x v="3"/>
    <x v="1"/>
    <x v="3"/>
    <n v="28843.199999999997"/>
    <n v="15342.21"/>
    <n v="21342.340000000004"/>
    <n v="10073.84"/>
    <n v="23194.17132999999"/>
    <n v="10897.188420049995"/>
    <n v="26084.290000000015"/>
    <n v="11912.011735938308"/>
    <n v="26084.290000000015"/>
    <n v="11909.670000000018"/>
    <n v="26084.290000000008"/>
    <n v="11909.670000000016"/>
    <n v="27910.190300000006"/>
    <n v="13435.16812833955"/>
  </r>
  <r>
    <x v="0"/>
    <x v="25"/>
    <x v="25"/>
    <x v="0"/>
    <x v="2"/>
    <m/>
    <x v="3"/>
    <x v="1"/>
    <x v="4"/>
    <n v="27704.01"/>
    <n v="14529.16"/>
    <n v="20195.96"/>
    <n v="9488.1200000000008"/>
    <n v="25464.042549999987"/>
    <n v="10939.886576749996"/>
    <n v="26868.729999999989"/>
    <n v="12937.24474282031"/>
    <n v="26868.729999999992"/>
    <n v="12935.009999999998"/>
    <n v="26868.729999999992"/>
    <n v="12935.009999999998"/>
    <n v="28749.541099999988"/>
    <n v="13839.207620562436"/>
  </r>
  <r>
    <x v="0"/>
    <x v="25"/>
    <x v="25"/>
    <x v="0"/>
    <x v="2"/>
    <m/>
    <x v="3"/>
    <x v="1"/>
    <x v="5"/>
    <n v="24066.039999999997"/>
    <n v="12256.949999999997"/>
    <n v="19248.259999999998"/>
    <n v="9562.01"/>
    <n v="22228.425999999985"/>
    <n v="10821.210369999993"/>
    <n v="23241.999999999989"/>
    <n v="11627.13000000001"/>
    <n v="23242"/>
    <n v="11627.130000000005"/>
    <n v="23242"/>
    <n v="11627.130000000005"/>
    <n v="24868.939999999995"/>
    <n v="11971.197132023444"/>
  </r>
  <r>
    <x v="0"/>
    <x v="25"/>
    <x v="25"/>
    <x v="0"/>
    <x v="2"/>
    <m/>
    <x v="3"/>
    <x v="1"/>
    <x v="6"/>
    <n v="22128.62"/>
    <n v="11666.049999999997"/>
    <n v="24011.800000000003"/>
    <n v="11649.730000000003"/>
    <n v="23600.143399999994"/>
    <n v="11442.270962499995"/>
    <n v="20775.199999999993"/>
    <n v="10513.010000000006"/>
    <n v="20775.199999999993"/>
    <n v="10513.009999999998"/>
    <n v="20775.199999999993"/>
    <n v="10513.009999999998"/>
    <n v="22437.215999999989"/>
    <n v="10800.634680440358"/>
  </r>
  <r>
    <x v="0"/>
    <x v="25"/>
    <x v="25"/>
    <x v="0"/>
    <x v="2"/>
    <m/>
    <x v="3"/>
    <x v="1"/>
    <x v="7"/>
    <n v="92608.53"/>
    <n v="32593.780000000002"/>
    <n v="55937.409999999996"/>
    <n v="20184.599999999999"/>
    <n v="59565.252400000005"/>
    <n v="21657.731342500003"/>
    <n v="40331.689408246937"/>
    <n v="15418.804860772805"/>
    <n v="56737.55000000001"/>
    <n v="22229.969999999965"/>
    <n v="56737.549999999974"/>
    <n v="21690.765364999992"/>
    <n v="59574.427499999976"/>
    <n v="24047.24181838963"/>
  </r>
  <r>
    <x v="0"/>
    <x v="25"/>
    <x v="25"/>
    <x v="0"/>
    <x v="2"/>
    <m/>
    <x v="3"/>
    <x v="1"/>
    <x v="8"/>
    <n v="19051.150000000001"/>
    <n v="9276.260000000002"/>
    <n v="24024.759999999995"/>
    <n v="10226.769999999997"/>
    <n v="22756.965459999996"/>
    <n v="10574.387586699999"/>
    <n v="22754.689763453996"/>
    <n v="10831.232327404105"/>
    <n v="16562.590000000004"/>
    <n v="8221.2300000000014"/>
    <n v="16562.590000000004"/>
    <n v="8221.2300000000014"/>
    <n v="19046.978500000008"/>
    <n v="9073.1647259374568"/>
  </r>
  <r>
    <x v="0"/>
    <x v="25"/>
    <x v="25"/>
    <x v="0"/>
    <x v="2"/>
    <m/>
    <x v="3"/>
    <x v="1"/>
    <x v="9"/>
    <n v="13135.77"/>
    <n v="6775.27"/>
    <n v="17290.660000000003"/>
    <n v="7751.9900000000007"/>
    <n v="23594.088114999988"/>
    <n v="10684.543018424994"/>
    <n v="23591.728706188489"/>
    <n v="11548.151201679266"/>
    <n v="12868.570000000005"/>
    <n v="6548.8400000000038"/>
    <n v="23591.728706188489"/>
    <n v="11548.151201679266"/>
    <n v="25243.149715621683"/>
    <n v="12151.330996773031"/>
  </r>
  <r>
    <x v="0"/>
    <x v="25"/>
    <x v="25"/>
    <x v="0"/>
    <x v="2"/>
    <m/>
    <x v="3"/>
    <x v="1"/>
    <x v="10"/>
    <n v="16164.029999999999"/>
    <n v="7500.6999999999989"/>
    <n v="14330.63"/>
    <n v="6306.79"/>
    <n v="27368.282924999989"/>
    <n v="11520.902119874996"/>
    <n v="27089.126439164989"/>
    <n v="11120.08640327723"/>
    <n v="14456.17816091954"/>
    <n v="5803.4818430617343"/>
    <n v="27089.126439164989"/>
    <n v="11120.08640327723"/>
    <n v="28985.365289906546"/>
    <n v="12644.665373278545"/>
  </r>
  <r>
    <x v="0"/>
    <x v="25"/>
    <x v="25"/>
    <x v="0"/>
    <x v="2"/>
    <m/>
    <x v="3"/>
    <x v="1"/>
    <x v="11"/>
    <n v="50033.38"/>
    <n v="24400.569999999989"/>
    <n v="44290.23"/>
    <n v="22065.5"/>
    <n v="45801.140999999981"/>
    <n v="22050.98739749999"/>
    <n v="45333.96936179998"/>
    <n v="21397.633538769594"/>
    <n v="53000.229885057473"/>
    <n v="25764.240464356815"/>
    <n v="45333.96936179998"/>
    <n v="21397.633538769594"/>
    <n v="48507.347217125978"/>
    <n v="23106.822518817233"/>
  </r>
  <r>
    <x v="0"/>
    <x v="26"/>
    <x v="26"/>
    <x v="3"/>
    <x v="3"/>
    <m/>
    <x v="3"/>
    <x v="1"/>
    <x v="5"/>
    <n v="0"/>
    <n v="0"/>
    <n v="0"/>
    <n v="0"/>
    <n v="0"/>
    <n v="0"/>
    <n v="0"/>
    <n v="0"/>
    <n v="0"/>
    <n v="0"/>
    <n v="0"/>
    <n v="0"/>
    <n v="36870.561000000009"/>
    <n v="18288.931483717875"/>
  </r>
  <r>
    <x v="0"/>
    <x v="26"/>
    <x v="26"/>
    <x v="3"/>
    <x v="3"/>
    <m/>
    <x v="3"/>
    <x v="1"/>
    <x v="6"/>
    <n v="0"/>
    <n v="0"/>
    <n v="0"/>
    <n v="0"/>
    <n v="0"/>
    <n v="0"/>
    <n v="0"/>
    <n v="0"/>
    <n v="0"/>
    <n v="0"/>
    <n v="0"/>
    <n v="0"/>
    <n v="38314.874000000018"/>
    <n v="19005.355123109835"/>
  </r>
  <r>
    <x v="0"/>
    <x v="26"/>
    <x v="26"/>
    <x v="3"/>
    <x v="3"/>
    <m/>
    <x v="3"/>
    <x v="1"/>
    <x v="7"/>
    <n v="0"/>
    <n v="0"/>
    <n v="0"/>
    <n v="0"/>
    <n v="0"/>
    <n v="0"/>
    <n v="0"/>
    <n v="0"/>
    <n v="0"/>
    <n v="0"/>
    <n v="0"/>
    <n v="0"/>
    <n v="101052.35478000029"/>
    <n v="43943.745300056689"/>
  </r>
  <r>
    <x v="0"/>
    <x v="26"/>
    <x v="26"/>
    <x v="3"/>
    <x v="3"/>
    <m/>
    <x v="3"/>
    <x v="1"/>
    <x v="8"/>
    <n v="0"/>
    <n v="0"/>
    <n v="0"/>
    <n v="0"/>
    <n v="0"/>
    <n v="0"/>
    <n v="0"/>
    <n v="0"/>
    <n v="0"/>
    <n v="0"/>
    <n v="0"/>
    <n v="0"/>
    <n v="39503.295000000013"/>
    <n v="19438.951732940171"/>
  </r>
  <r>
    <x v="0"/>
    <x v="26"/>
    <x v="26"/>
    <x v="3"/>
    <x v="3"/>
    <m/>
    <x v="3"/>
    <x v="1"/>
    <x v="9"/>
    <n v="0"/>
    <n v="0"/>
    <n v="0"/>
    <n v="0"/>
    <n v="0"/>
    <n v="0"/>
    <n v="0"/>
    <n v="0"/>
    <n v="0"/>
    <n v="0"/>
    <n v="0"/>
    <n v="0"/>
    <n v="32077.421999999991"/>
    <n v="15911.387221157394"/>
  </r>
  <r>
    <x v="0"/>
    <x v="26"/>
    <x v="26"/>
    <x v="3"/>
    <x v="3"/>
    <m/>
    <x v="3"/>
    <x v="1"/>
    <x v="10"/>
    <n v="0"/>
    <n v="0"/>
    <n v="0"/>
    <n v="0"/>
    <n v="0"/>
    <n v="0"/>
    <n v="0"/>
    <n v="0"/>
    <n v="0"/>
    <n v="0"/>
    <n v="0"/>
    <n v="0"/>
    <n v="50115.960076519994"/>
    <n v="23079.047293226184"/>
  </r>
  <r>
    <x v="0"/>
    <x v="26"/>
    <x v="26"/>
    <x v="3"/>
    <x v="3"/>
    <m/>
    <x v="3"/>
    <x v="1"/>
    <x v="11"/>
    <n v="0"/>
    <n v="0"/>
    <n v="0"/>
    <n v="0"/>
    <n v="0"/>
    <n v="0"/>
    <n v="0"/>
    <n v="0"/>
    <n v="0"/>
    <n v="0"/>
    <n v="0"/>
    <n v="0"/>
    <n v="93821.371986615064"/>
    <n v="46168.025263868112"/>
  </r>
  <r>
    <x v="0"/>
    <x v="27"/>
    <x v="27"/>
    <x v="0"/>
    <x v="2"/>
    <m/>
    <x v="1"/>
    <x v="0"/>
    <x v="0"/>
    <n v="0"/>
    <n v="0"/>
    <n v="51777.02"/>
    <n v="26070.609999999993"/>
    <n v="57943.283349999983"/>
    <n v="29292.111715999996"/>
    <n v="54494.250000000022"/>
    <n v="26426.289603105884"/>
    <n v="54494.250000000015"/>
    <n v="26560.049999999996"/>
    <n v="57943.283349999983"/>
    <n v="28241.080534921875"/>
    <n v="61419.880351"/>
    <n v="32737.554585460646"/>
  </r>
  <r>
    <x v="0"/>
    <x v="27"/>
    <x v="27"/>
    <x v="0"/>
    <x v="2"/>
    <m/>
    <x v="1"/>
    <x v="0"/>
    <x v="1"/>
    <n v="0"/>
    <n v="0"/>
    <n v="62509.57"/>
    <n v="27685.34"/>
    <n v="92470.390800000052"/>
    <n v="39019.387322000024"/>
    <n v="83330.510000000082"/>
    <n v="35789.764453334436"/>
    <n v="83330.510000000068"/>
    <n v="35822.020000000062"/>
    <n v="95244.502524000054"/>
    <n v="40943.592860583522"/>
    <n v="100006.72765020008"/>
    <n v="44801.766774317883"/>
  </r>
  <r>
    <x v="0"/>
    <x v="27"/>
    <x v="27"/>
    <x v="0"/>
    <x v="2"/>
    <m/>
    <x v="1"/>
    <x v="0"/>
    <x v="2"/>
    <n v="0"/>
    <n v="0"/>
    <n v="91716.42"/>
    <n v="38132.320000000007"/>
    <n v="64310.563175000003"/>
    <n v="29291.885501625002"/>
    <n v="71233.46000000005"/>
    <n v="34535.651643767735"/>
    <n v="71233.460000000021"/>
    <n v="34549.340000000033"/>
    <n v="71233.460000000181"/>
    <n v="34549.340000000113"/>
    <n v="75507.467600000193"/>
    <n v="39845.161985185245"/>
  </r>
  <r>
    <x v="0"/>
    <x v="27"/>
    <x v="27"/>
    <x v="0"/>
    <x v="2"/>
    <m/>
    <x v="1"/>
    <x v="0"/>
    <x v="3"/>
    <n v="0"/>
    <n v="0"/>
    <n v="56678.2"/>
    <n v="28461.039999999997"/>
    <n v="58756.714325000001"/>
    <n v="29607.526675375"/>
    <n v="64874.380000000041"/>
    <n v="33154.543892488669"/>
    <n v="64874.380000000048"/>
    <n v="32924.120000000061"/>
    <n v="64874.380000000019"/>
    <n v="32924.120000000046"/>
    <n v="69415.586600000024"/>
    <n v="36999.36474008896"/>
  </r>
  <r>
    <x v="0"/>
    <x v="27"/>
    <x v="27"/>
    <x v="0"/>
    <x v="2"/>
    <m/>
    <x v="1"/>
    <x v="0"/>
    <x v="4"/>
    <n v="59219.719999999987"/>
    <n v="28642.009999999995"/>
    <n v="61241.939999999988"/>
    <n v="31065.76999999999"/>
    <n v="63696.041900000033"/>
    <n v="30884.18948600001"/>
    <n v="63097.089999999953"/>
    <n v="33481.883484706334"/>
    <n v="63097.08999999996"/>
    <n v="32694.199999999932"/>
    <n v="63097.08999999996"/>
    <n v="32694.199999999928"/>
    <n v="67513.88629999994"/>
    <n v="35985.734999675027"/>
  </r>
  <r>
    <x v="0"/>
    <x v="27"/>
    <x v="27"/>
    <x v="0"/>
    <x v="2"/>
    <m/>
    <x v="1"/>
    <x v="0"/>
    <x v="5"/>
    <n v="55780.59"/>
    <n v="29201.389999999992"/>
    <n v="38703.099999999991"/>
    <n v="19732.289999999997"/>
    <n v="53018.528399999988"/>
    <n v="27691.350029999994"/>
    <n v="55492.849999999991"/>
    <n v="29503.239999999987"/>
    <n v="55492.849999999984"/>
    <n v="29503.239999999983"/>
    <n v="57157.635499999989"/>
    <n v="30388.337199999987"/>
    <n v="61158.669984999986"/>
    <n v="32598.326235187997"/>
  </r>
  <r>
    <x v="0"/>
    <x v="27"/>
    <x v="27"/>
    <x v="0"/>
    <x v="2"/>
    <m/>
    <x v="1"/>
    <x v="0"/>
    <x v="6"/>
    <n v="54146.939999999995"/>
    <n v="28216.53999999999"/>
    <n v="49458.13"/>
    <n v="25267.299999999996"/>
    <n v="56651.818699999982"/>
    <n v="29555.572357999994"/>
    <n v="49991.019999999982"/>
    <n v="26683.930000000022"/>
    <n v="49991.019999999968"/>
    <n v="26683.929999999949"/>
    <n v="51490.750599999999"/>
    <n v="27484.447899999966"/>
    <n v="57669.640672000016"/>
    <n v="30738.630531909901"/>
  </r>
  <r>
    <x v="0"/>
    <x v="27"/>
    <x v="27"/>
    <x v="0"/>
    <x v="2"/>
    <m/>
    <x v="1"/>
    <x v="0"/>
    <x v="7"/>
    <n v="155179.47"/>
    <n v="57855.519999999982"/>
    <n v="101721.26999999999"/>
    <n v="41003.87999999999"/>
    <n v="106281.74318000011"/>
    <n v="44941.467058700051"/>
    <n v="88044.605329223152"/>
    <n v="37658.438591415324"/>
    <n v="138514.91000000015"/>
    <n v="60743.110000000248"/>
    <n v="138514.91000000018"/>
    <n v="59245.597305200077"/>
    <n v="146825.80460000018"/>
    <n v="65776.129353509721"/>
  </r>
  <r>
    <x v="0"/>
    <x v="27"/>
    <x v="27"/>
    <x v="0"/>
    <x v="2"/>
    <m/>
    <x v="1"/>
    <x v="0"/>
    <x v="8"/>
    <n v="41194.99"/>
    <n v="19996.569999999996"/>
    <n v="67563.039999999994"/>
    <n v="32017.149999999994"/>
    <n v="53441.805920000028"/>
    <n v="27607.589934300013"/>
    <n v="55328.301668976026"/>
    <n v="28034.850455670155"/>
    <n v="46876.219999999943"/>
    <n v="24875.46999999995"/>
    <n v="50626.317599999944"/>
    <n v="26865.50759999995"/>
    <n v="58726.528415999936"/>
    <n v="30989.888973088742"/>
  </r>
  <r>
    <x v="0"/>
    <x v="27"/>
    <x v="27"/>
    <x v="0"/>
    <x v="2"/>
    <m/>
    <x v="1"/>
    <x v="0"/>
    <x v="9"/>
    <n v="27154.239999999998"/>
    <n v="13367.999999999998"/>
    <n v="61191.05999999999"/>
    <n v="30379.319999999989"/>
    <n v="56216.638900000005"/>
    <n v="28794.528464000003"/>
    <n v="54473.923094100006"/>
    <n v="28587.914839783687"/>
    <n v="62482.580000000038"/>
    <n v="32367.810000000049"/>
    <n v="63732.231600000006"/>
    <n v="33446.675143680004"/>
    <n v="68193.487812000007"/>
    <n v="36347.970996689633"/>
  </r>
  <r>
    <x v="0"/>
    <x v="27"/>
    <x v="27"/>
    <x v="0"/>
    <x v="2"/>
    <m/>
    <x v="1"/>
    <x v="0"/>
    <x v="10"/>
    <n v="67379.26999999999"/>
    <n v="30289.739999999998"/>
    <n v="74884.179999999993"/>
    <n v="36459.019999999975"/>
    <n v="83395.436500000142"/>
    <n v="37282.638392500055"/>
    <n v="85063.345230000152"/>
    <n v="40022.303930715076"/>
    <n v="97796.551724137913"/>
    <n v="41274.324166095677"/>
    <n v="97796.551724137957"/>
    <n v="46013.27758620691"/>
    <n v="105131.29310344832"/>
    <n v="50821.995314496322"/>
  </r>
  <r>
    <x v="0"/>
    <x v="27"/>
    <x v="27"/>
    <x v="0"/>
    <x v="2"/>
    <m/>
    <x v="1"/>
    <x v="0"/>
    <x v="11"/>
    <n v="115318.93999999997"/>
    <n v="53507.359999999971"/>
    <n v="138236.94"/>
    <n v="70253.669999999984"/>
    <n v="141943.56290000008"/>
    <n v="74393.293429000027"/>
    <n v="144782.43415800008"/>
    <n v="72050.978358728738"/>
    <n v="138991.52298850578"/>
    <n v="69169.767764234814"/>
    <n v="152021.5558659001"/>
    <n v="75653.527276665176"/>
    <n v="163423.17255584255"/>
    <n v="86238.129678983038"/>
  </r>
  <r>
    <x v="0"/>
    <x v="28"/>
    <x v="28"/>
    <x v="0"/>
    <x v="2"/>
    <m/>
    <x v="0"/>
    <x v="4"/>
    <x v="0"/>
    <n v="179260.50999999995"/>
    <n v="90946.819999999963"/>
    <n v="167219.47"/>
    <n v="87021.209999999992"/>
    <n v="163822.40015000018"/>
    <n v="86070.347263000105"/>
    <n v="148019.7300000003"/>
    <n v="78136.468741004603"/>
    <n v="148019.73000000024"/>
    <n v="78439.60000000021"/>
    <n v="163822.40015000018"/>
    <n v="86813.856090711473"/>
    <n v="172013.52015750017"/>
    <n v="91580.241306111071"/>
  </r>
  <r>
    <x v="0"/>
    <x v="28"/>
    <x v="28"/>
    <x v="0"/>
    <x v="2"/>
    <m/>
    <x v="0"/>
    <x v="4"/>
    <x v="1"/>
    <n v="236405.92999999993"/>
    <n v="99311.419999999969"/>
    <n v="188631.09"/>
    <n v="89707.179999999978"/>
    <n v="250434.31080000033"/>
    <n v="113507.33636550016"/>
    <n v="208087.66000000032"/>
    <n v="93885.82476302961"/>
    <n v="208087.66000000029"/>
    <n v="94018.980000000316"/>
    <n v="260451.68323200036"/>
    <n v="117678.29767875628"/>
    <n v="273474.26739360037"/>
    <n v="125916.17094074091"/>
  </r>
  <r>
    <x v="0"/>
    <x v="28"/>
    <x v="28"/>
    <x v="0"/>
    <x v="2"/>
    <m/>
    <x v="0"/>
    <x v="4"/>
    <x v="2"/>
    <n v="207166.60999999996"/>
    <n v="97997.999999999942"/>
    <n v="258667.21999999991"/>
    <n v="118497.06999999992"/>
    <n v="185582.02674000023"/>
    <n v="90802.660505700114"/>
    <n v="199569.04000000053"/>
    <n v="99981.759812413497"/>
    <n v="199569.04000000039"/>
    <n v="99787.610000000452"/>
    <n v="199569.03999999963"/>
    <n v="99787.610000000073"/>
    <n v="197573.34959999964"/>
    <n v="103766.39721722297"/>
  </r>
  <r>
    <x v="0"/>
    <x v="28"/>
    <x v="28"/>
    <x v="0"/>
    <x v="2"/>
    <m/>
    <x v="0"/>
    <x v="4"/>
    <x v="3"/>
    <n v="158359.98999999996"/>
    <n v="83587.149999999965"/>
    <n v="151188.6"/>
    <n v="81085.040000000008"/>
    <n v="153858.71743000028"/>
    <n v="83084.977764450174"/>
    <n v="159987.30000000031"/>
    <n v="87137.070990006963"/>
    <n v="159987.30000000022"/>
    <n v="86274.770000000179"/>
    <n v="163187.04600000047"/>
    <n v="88000.265400000309"/>
    <n v="177057.94491000051"/>
    <n v="93756.18647329486"/>
  </r>
  <r>
    <x v="0"/>
    <x v="28"/>
    <x v="28"/>
    <x v="0"/>
    <x v="2"/>
    <m/>
    <x v="0"/>
    <x v="4"/>
    <x v="4"/>
    <n v="176204.02"/>
    <n v="93058.349999999977"/>
    <n v="144289.37"/>
    <n v="78192.799999999988"/>
    <n v="161902.19953000025"/>
    <n v="84517.402038350134"/>
    <n v="171080.75000000064"/>
    <n v="94867.479759929833"/>
    <n v="171080.75000000047"/>
    <n v="93993.760000000329"/>
    <n v="172791.55750000046"/>
    <n v="94933.69760000032"/>
    <n v="183159.05095000053"/>
    <n v="97514.137656393796"/>
  </r>
  <r>
    <x v="0"/>
    <x v="28"/>
    <x v="28"/>
    <x v="0"/>
    <x v="2"/>
    <m/>
    <x v="0"/>
    <x v="4"/>
    <x v="5"/>
    <n v="167546.87"/>
    <n v="89907.26"/>
    <n v="106919.19"/>
    <n v="58053.62"/>
    <n v="149549.45040000012"/>
    <n v="82384.718996500073"/>
    <n v="146862.30000000042"/>
    <n v="80891.069355125481"/>
    <n v="146862.30000000042"/>
    <n v="80896.850000000355"/>
    <n v="160079.9070000005"/>
    <n v="88177.566500000408"/>
    <n v="173686.69909500054"/>
    <n v="92471.044137797086"/>
  </r>
  <r>
    <x v="0"/>
    <x v="28"/>
    <x v="28"/>
    <x v="0"/>
    <x v="2"/>
    <m/>
    <x v="0"/>
    <x v="4"/>
    <x v="6"/>
    <n v="164302.38999999996"/>
    <n v="87403.759999999951"/>
    <n v="183408.37"/>
    <n v="100202.15"/>
    <n v="159454.60525000026"/>
    <n v="89028.322773500142"/>
    <n v="163343.75000000015"/>
    <n v="89125.150000000009"/>
    <n v="163343.75000000064"/>
    <n v="89125.150000000605"/>
    <n v="166610.62499999953"/>
    <n v="90907.653000000006"/>
    <n v="180772.52812499955"/>
    <n v="96243.54953055334"/>
  </r>
  <r>
    <x v="0"/>
    <x v="28"/>
    <x v="28"/>
    <x v="0"/>
    <x v="2"/>
    <m/>
    <x v="0"/>
    <x v="4"/>
    <x v="7"/>
    <n v="383898.45999999996"/>
    <n v="139294.62999999989"/>
    <n v="255725.45999999996"/>
    <n v="111190.00999999994"/>
    <n v="265186.89010000078"/>
    <n v="118627.33698750034"/>
    <n v="280157.93369728728"/>
    <n v="144029.1937137754"/>
    <n v="352680.1100000015"/>
    <n v="158316.76000000173"/>
    <n v="356206.91110000096"/>
    <n v="183125.97299651051"/>
    <n v="374017.25665500102"/>
    <n v="172209.33169546232"/>
  </r>
  <r>
    <x v="0"/>
    <x v="28"/>
    <x v="28"/>
    <x v="0"/>
    <x v="2"/>
    <m/>
    <x v="0"/>
    <x v="4"/>
    <x v="8"/>
    <n v="128094.12999999998"/>
    <n v="65066.25999999998"/>
    <n v="168292.75000000003"/>
    <n v="84660.36"/>
    <n v="150885.86318000022"/>
    <n v="80925.722161100115"/>
    <n v="157774.25549175678"/>
    <n v="83904.349070516255"/>
    <n v="159670.37000000075"/>
    <n v="85163.3900000008"/>
    <n v="166057.18480000077"/>
    <n v="88569.925600000832"/>
    <n v="175190.32996400082"/>
    <n v="92767.242118233786"/>
  </r>
  <r>
    <x v="0"/>
    <x v="28"/>
    <x v="28"/>
    <x v="0"/>
    <x v="2"/>
    <m/>
    <x v="0"/>
    <x v="4"/>
    <x v="9"/>
    <n v="90386.189999999988"/>
    <n v="47116.359999999993"/>
    <n v="155622.03999999998"/>
    <n v="83947.919999999969"/>
    <n v="160526.54468000011"/>
    <n v="88968.511503200061"/>
    <n v="167855.06302427614"/>
    <n v="90977.444159157676"/>
    <n v="203085.41000000111"/>
    <n v="106044.8200000011"/>
    <n v="203085.41000000003"/>
    <n v="110072.29222000003"/>
    <n v="211208.82640000002"/>
    <n v="112447.87775973632"/>
  </r>
  <r>
    <x v="0"/>
    <x v="28"/>
    <x v="28"/>
    <x v="0"/>
    <x v="2"/>
    <m/>
    <x v="0"/>
    <x v="4"/>
    <x v="10"/>
    <n v="180875.24"/>
    <n v="86140.93"/>
    <n v="181271.45999999996"/>
    <n v="94797.26999999999"/>
    <n v="210484.99939000042"/>
    <n v="106115.75154070021"/>
    <n v="220094.27106715209"/>
    <n v="108506.475636106"/>
    <n v="289461.92528735637"/>
    <n v="120148.16324358866"/>
    <n v="286567.30603448278"/>
    <n v="141277.68187500004"/>
    <n v="309492.69051724143"/>
    <n v="153637.26699286734"/>
  </r>
  <r>
    <x v="0"/>
    <x v="28"/>
    <x v="28"/>
    <x v="0"/>
    <x v="2"/>
    <m/>
    <x v="0"/>
    <x v="4"/>
    <x v="11"/>
    <n v="363681.29000000004"/>
    <n v="171267.51999999996"/>
    <n v="408656.4"/>
    <n v="217481.30000000002"/>
    <n v="408498.19539999944"/>
    <n v="226391.08761299969"/>
    <n v="422918.18169761938"/>
    <n v="216534.10902918113"/>
    <n v="410406.89655172429"/>
    <n v="204052.92163566104"/>
    <n v="422917.17169761937"/>
    <n v="216533.59190918112"/>
    <n v="456750.54543342901"/>
    <n v="239887.40699382525"/>
  </r>
  <r>
    <x v="0"/>
    <x v="29"/>
    <x v="29"/>
    <x v="0"/>
    <x v="2"/>
    <m/>
    <x v="1"/>
    <x v="3"/>
    <x v="0"/>
    <n v="103021.20999999998"/>
    <n v="53350.639999999985"/>
    <n v="82232.579999999987"/>
    <n v="42855.969999999987"/>
    <n v="97929.09877333339"/>
    <n v="51322.542055133359"/>
    <n v="84799.240000000136"/>
    <n v="45263.908259680247"/>
    <n v="84799.240000000151"/>
    <n v="45392.150000000198"/>
    <n v="97929.09877333339"/>
    <n v="52420.426655757481"/>
    <n v="104784.13568746673"/>
    <n v="56088.032524790062"/>
  </r>
  <r>
    <x v="0"/>
    <x v="29"/>
    <x v="29"/>
    <x v="0"/>
    <x v="2"/>
    <m/>
    <x v="1"/>
    <x v="3"/>
    <x v="1"/>
    <n v="170921.14999999997"/>
    <n v="65066.319999999956"/>
    <n v="131326.56999999998"/>
    <n v="61168.839999999967"/>
    <n v="164296.79871000021"/>
    <n v="71474.282287200098"/>
    <n v="162805.05000000042"/>
    <n v="70697.195346580425"/>
    <n v="162805.0500000004"/>
    <n v="70664.940000000497"/>
    <n v="172511.63864550024"/>
    <n v="74878.049508820593"/>
    <n v="176824.42961163778"/>
    <n v="80724.456489785778"/>
  </r>
  <r>
    <x v="0"/>
    <x v="29"/>
    <x v="29"/>
    <x v="0"/>
    <x v="2"/>
    <m/>
    <x v="1"/>
    <x v="3"/>
    <x v="2"/>
    <n v="109707.97"/>
    <n v="51242.379999999983"/>
    <n v="162671.88999999998"/>
    <n v="73082.949999999983"/>
    <n v="111473.86610000009"/>
    <n v="53799.427446000045"/>
    <n v="129778.63000000019"/>
    <n v="64691.160062526869"/>
    <n v="129778.63000000009"/>
    <n v="64381.400000000183"/>
    <n v="129778.63000000016"/>
    <n v="64381.40000000022"/>
    <n v="133671.98890000017"/>
    <n v="69280.468383834392"/>
  </r>
  <r>
    <x v="0"/>
    <x v="29"/>
    <x v="29"/>
    <x v="0"/>
    <x v="2"/>
    <m/>
    <x v="1"/>
    <x v="3"/>
    <x v="3"/>
    <n v="84843.109999999986"/>
    <n v="45038.109999999993"/>
    <n v="82595.139999999985"/>
    <n v="45934.2"/>
    <n v="94059.44648000013"/>
    <n v="51884.916120800073"/>
    <n v="105367.54000000018"/>
    <n v="58241.276451393343"/>
    <n v="105367.5400000002"/>
    <n v="57401.180000000204"/>
    <n v="105367.54000000018"/>
    <n v="57401.180000000197"/>
    <n v="113270.10550000018"/>
    <n v="59755.83570263494"/>
  </r>
  <r>
    <x v="0"/>
    <x v="29"/>
    <x v="29"/>
    <x v="0"/>
    <x v="2"/>
    <m/>
    <x v="1"/>
    <x v="3"/>
    <x v="4"/>
    <n v="99975.040000000008"/>
    <n v="53162.91"/>
    <n v="103298.99999999997"/>
    <n v="56399.379999999976"/>
    <n v="103995.51829500012"/>
    <n v="53927.325014575057"/>
    <n v="99344.360000000102"/>
    <n v="54700.195572566729"/>
    <n v="99344.360000000102"/>
    <n v="54731.430000000058"/>
    <n v="102324.69080000011"/>
    <n v="56373.37290000006"/>
    <n v="109999.04261000014"/>
    <n v="58879.427111058452"/>
  </r>
  <r>
    <x v="0"/>
    <x v="29"/>
    <x v="29"/>
    <x v="0"/>
    <x v="2"/>
    <m/>
    <x v="1"/>
    <x v="3"/>
    <x v="5"/>
    <n v="80007.900000000009"/>
    <n v="42704.020000000004"/>
    <n v="89906.97"/>
    <n v="49165.54"/>
    <n v="91031.177325000055"/>
    <n v="49666.745674125043"/>
    <n v="93463.180000000109"/>
    <n v="52172.574199317613"/>
    <n v="93463.180000000109"/>
    <n v="52173.760000000046"/>
    <n v="100940.23440000012"/>
    <n v="56347.660800000049"/>
    <n v="108510.75198000013"/>
    <n v="58082.786544105096"/>
  </r>
  <r>
    <x v="0"/>
    <x v="29"/>
    <x v="29"/>
    <x v="0"/>
    <x v="2"/>
    <m/>
    <x v="1"/>
    <x v="3"/>
    <x v="6"/>
    <n v="89525.25"/>
    <n v="47718.909999999989"/>
    <n v="93588.289999999979"/>
    <n v="51244.929999999978"/>
    <n v="97612.725400000054"/>
    <n v="53693.363458500025"/>
    <n v="94595.379999999946"/>
    <n v="52435.470000000649"/>
    <n v="94595.380000000237"/>
    <n v="52435.470000000234"/>
    <n v="97433.241400000814"/>
    <n v="54008.53410000055"/>
    <n v="104740.73450500087"/>
    <n v="56064.801079325654"/>
  </r>
  <r>
    <x v="0"/>
    <x v="29"/>
    <x v="29"/>
    <x v="0"/>
    <x v="2"/>
    <m/>
    <x v="1"/>
    <x v="3"/>
    <x v="7"/>
    <n v="269005.47999999992"/>
    <n v="83411.319999999905"/>
    <n v="168150.88"/>
    <n v="70964.25999999998"/>
    <n v="180354.58800000016"/>
    <n v="76389.906301500072"/>
    <n v="168776.8757977472"/>
    <n v="75978.286177871865"/>
    <n v="267293.78000000096"/>
    <n v="121074.16000000111"/>
    <n v="267293.7800000009"/>
    <n v="120327.64094260042"/>
    <n v="275312.59340000094"/>
    <n v="127812.1365948014"/>
  </r>
  <r>
    <x v="0"/>
    <x v="29"/>
    <x v="29"/>
    <x v="0"/>
    <x v="2"/>
    <m/>
    <x v="1"/>
    <x v="3"/>
    <x v="8"/>
    <n v="79819.010000000009"/>
    <n v="40482.439999999995"/>
    <n v="100909.23999999998"/>
    <n v="50780.729999999996"/>
    <n v="92001.397224999979"/>
    <n v="49096.006387499991"/>
    <n v="95523.210710772983"/>
    <n v="50722.824887420458"/>
    <n v="97527.710000000225"/>
    <n v="52921.640000000232"/>
    <n v="100453.54130000023"/>
    <n v="54509.289200000239"/>
    <n v="105476.21836500026"/>
    <n v="54666.964049958871"/>
  </r>
  <r>
    <x v="0"/>
    <x v="29"/>
    <x v="29"/>
    <x v="0"/>
    <x v="2"/>
    <m/>
    <x v="1"/>
    <x v="3"/>
    <x v="9"/>
    <n v="47656.840000000004"/>
    <n v="24655.56"/>
    <n v="98707.49000000002"/>
    <n v="53713.30999999999"/>
    <n v="97288.332225000064"/>
    <n v="53309.729272250028"/>
    <n v="101012.52958257306"/>
    <n v="55152.841152084897"/>
    <n v="115756.58000000023"/>
    <n v="60774.250000000131"/>
    <n v="115756.58000000005"/>
    <n v="63203.092680000031"/>
    <n v="124438.32350000004"/>
    <n v="66608.372441184067"/>
  </r>
  <r>
    <x v="0"/>
    <x v="29"/>
    <x v="29"/>
    <x v="0"/>
    <x v="2"/>
    <m/>
    <x v="1"/>
    <x v="3"/>
    <x v="10"/>
    <n v="114426.95999999998"/>
    <n v="53218.829999999973"/>
    <n v="129413.23999999996"/>
    <n v="67787.669999999955"/>
    <n v="142001.00060000029"/>
    <n v="69666.400736250129"/>
    <n v="145977.02861680029"/>
    <n v="72404.606193932952"/>
    <n v="215571.98275862072"/>
    <n v="88210.884576887503"/>
    <n v="213416.26293103452"/>
    <n v="105854.46641379314"/>
    <n v="226221.23870689658"/>
    <n v="112357.24459197609"/>
  </r>
  <r>
    <x v="0"/>
    <x v="29"/>
    <x v="29"/>
    <x v="0"/>
    <x v="2"/>
    <m/>
    <x v="1"/>
    <x v="3"/>
    <x v="11"/>
    <n v="233933.2399999999"/>
    <n v="112196.67999999993"/>
    <n v="238460.24"/>
    <n v="127751.69"/>
    <n v="244997.5564500007"/>
    <n v="133260.88579050038"/>
    <n v="251857.48803060071"/>
    <n v="132980.75368015718"/>
    <n v="242514.87068965516"/>
    <n v="120377.90259441519"/>
    <n v="259413.21267151873"/>
    <n v="136970.17629056191"/>
    <n v="276275.07149516739"/>
    <n v="144896.18993571601"/>
  </r>
  <r>
    <x v="0"/>
    <x v="30"/>
    <x v="30"/>
    <x v="2"/>
    <x v="2"/>
    <m/>
    <x v="3"/>
    <x v="4"/>
    <x v="0"/>
    <n v="69869.760000000009"/>
    <n v="37167.089999999997"/>
    <n v="69361.739999999991"/>
    <n v="35804.969999999987"/>
    <n v="75917.019450000007"/>
    <n v="38596.467520749997"/>
    <n v="47723.300000000076"/>
    <n v="24689.391224016876"/>
    <n v="47723.300000000032"/>
    <n v="24811.380000000026"/>
    <n v="75917.019450000007"/>
    <n v="39469.316204900795"/>
    <n v="78953.700228000016"/>
    <n v="41923.533801920996"/>
  </r>
  <r>
    <x v="0"/>
    <x v="30"/>
    <x v="30"/>
    <x v="2"/>
    <x v="2"/>
    <m/>
    <x v="3"/>
    <x v="4"/>
    <x v="1"/>
    <n v="95861.949999999983"/>
    <n v="44662.379999999983"/>
    <n v="101352.61999999998"/>
    <n v="46154.929999999978"/>
    <n v="126654.50850000011"/>
    <n v="54130.360365000044"/>
    <n v="102464.69999999998"/>
    <n v="42259.027130909089"/>
    <n v="102464.70000000001"/>
    <n v="42282.120000000046"/>
    <n v="130454.14375500011"/>
    <n v="53831.980777244949"/>
    <n v="135672.30950520013"/>
    <n v="61146.379262884628"/>
  </r>
  <r>
    <x v="0"/>
    <x v="30"/>
    <x v="30"/>
    <x v="2"/>
    <x v="2"/>
    <m/>
    <x v="3"/>
    <x v="4"/>
    <x v="2"/>
    <n v="79229.08"/>
    <n v="38937.449999999983"/>
    <n v="135813.31999999998"/>
    <n v="61575.509999999973"/>
    <n v="87409.006125000073"/>
    <n v="41384.620620000023"/>
    <n v="70662.26000000014"/>
    <n v="33186.640776577216"/>
    <n v="70662.260000000068"/>
    <n v="33022.940000000031"/>
    <n v="70662.260000000271"/>
    <n v="33022.940000000126"/>
    <n v="74195.373000000298"/>
    <n v="38801.147256529781"/>
  </r>
  <r>
    <x v="0"/>
    <x v="30"/>
    <x v="30"/>
    <x v="2"/>
    <x v="2"/>
    <m/>
    <x v="3"/>
    <x v="4"/>
    <x v="3"/>
    <n v="64192.909999999989"/>
    <n v="34102.239999999991"/>
    <n v="79092.889999999985"/>
    <n v="42123.779999999977"/>
    <n v="79042.603645000039"/>
    <n v="42155.303836450017"/>
    <n v="65650.79000000011"/>
    <n v="34646.956822786247"/>
    <n v="65650.790000000066"/>
    <n v="34561.460000000094"/>
    <n v="65650.790000000125"/>
    <n v="34561.460000000123"/>
    <n v="69261.583450000137"/>
    <n v="36554.667564939351"/>
  </r>
  <r>
    <x v="0"/>
    <x v="30"/>
    <x v="30"/>
    <x v="2"/>
    <x v="2"/>
    <m/>
    <x v="3"/>
    <x v="4"/>
    <x v="4"/>
    <n v="78722.340000000011"/>
    <n v="41784.870000000003"/>
    <n v="82820.589999999982"/>
    <n v="44530.75999999998"/>
    <n v="77457.386129999999"/>
    <n v="39750.241051050012"/>
    <n v="61856.209999999992"/>
    <n v="33725.330095718549"/>
    <n v="61856.210000000028"/>
    <n v="33735.300000000017"/>
    <n v="64330.458400000032"/>
    <n v="35084.712000000021"/>
    <n v="67868.633612000034"/>
    <n v="36037.487123546176"/>
  </r>
  <r>
    <x v="0"/>
    <x v="30"/>
    <x v="30"/>
    <x v="2"/>
    <x v="2"/>
    <m/>
    <x v="3"/>
    <x v="4"/>
    <x v="5"/>
    <n v="65218.83"/>
    <n v="33933.050000000003"/>
    <n v="81649.509999999995"/>
    <n v="43121.9"/>
    <n v="70045.70689999999"/>
    <n v="37616.947488499995"/>
    <n v="63810.270000000033"/>
    <n v="35384.404034678104"/>
    <n v="63810.270000000048"/>
    <n v="35388.11000000003"/>
    <n v="65724.578100000057"/>
    <n v="36449.753300000033"/>
    <n v="69339.429895500056"/>
    <n v="36818.463537938274"/>
  </r>
  <r>
    <x v="0"/>
    <x v="30"/>
    <x v="30"/>
    <x v="2"/>
    <x v="2"/>
    <m/>
    <x v="3"/>
    <x v="4"/>
    <x v="6"/>
    <n v="75729.7"/>
    <n v="40117.719999999979"/>
    <n v="88204.229999999981"/>
    <n v="48264.399999999972"/>
    <n v="74880.978800000026"/>
    <n v="41144.54454000001"/>
    <n v="65428.229999999938"/>
    <n v="36118.920000000006"/>
    <n v="65428.23000000001"/>
    <n v="36118.92000000002"/>
    <n v="66736.794600000008"/>
    <n v="36841.298400000022"/>
    <n v="70407.318303000007"/>
    <n v="37385.500366094784"/>
  </r>
  <r>
    <x v="0"/>
    <x v="30"/>
    <x v="30"/>
    <x v="2"/>
    <x v="2"/>
    <m/>
    <x v="3"/>
    <x v="4"/>
    <x v="7"/>
    <n v="174693.19000000003"/>
    <n v="72507.480000000025"/>
    <n v="110699.69999999998"/>
    <n v="47495.669999999976"/>
    <n v="118965.1330000001"/>
    <n v="52148.097562500043"/>
    <n v="120475.10119295075"/>
    <n v="52811.465358941896"/>
    <n v="142959.53999999992"/>
    <n v="63882.269999999888"/>
    <n v="142959.54000000015"/>
    <n v="62667.743954400074"/>
    <n v="150107.51700000017"/>
    <n v="67652.206984359698"/>
  </r>
  <r>
    <x v="0"/>
    <x v="30"/>
    <x v="30"/>
    <x v="2"/>
    <x v="2"/>
    <m/>
    <x v="3"/>
    <x v="4"/>
    <x v="8"/>
    <n v="58730.400000000001"/>
    <n v="30138.720000000008"/>
    <n v="42022.380000000005"/>
    <n v="20110.039999999994"/>
    <n v="69311.993250000014"/>
    <n v="36417.238523000007"/>
    <n v="70692.878763521439"/>
    <n v="37311.701411386617"/>
    <n v="59805.989999999983"/>
    <n v="32162.159999999974"/>
    <n v="66384.648899999986"/>
    <n v="35699.997599999973"/>
    <n v="69703.881344999987"/>
    <n v="36788.102200866539"/>
  </r>
  <r>
    <x v="0"/>
    <x v="30"/>
    <x v="30"/>
    <x v="2"/>
    <x v="2"/>
    <m/>
    <x v="3"/>
    <x v="4"/>
    <x v="9"/>
    <n v="46473.48"/>
    <n v="23765.259999999995"/>
    <n v="50542.01999999999"/>
    <n v="27381.159999999989"/>
    <n v="72071.518149999989"/>
    <n v="39488.586778500008"/>
    <n v="73507.380988222896"/>
    <n v="39870.403448012104"/>
    <n v="48312.750000000116"/>
    <n v="25717.210000000119"/>
    <n v="73507.380988222896"/>
    <n v="39870.403448012104"/>
    <n v="76447.676227751814"/>
    <n v="40592.863021711368"/>
  </r>
  <r>
    <x v="0"/>
    <x v="30"/>
    <x v="30"/>
    <x v="2"/>
    <x v="2"/>
    <m/>
    <x v="3"/>
    <x v="4"/>
    <x v="10"/>
    <n v="75486.429999999993"/>
    <n v="35604.689999999995"/>
    <n v="52174.51999999999"/>
    <n v="26600.55999999999"/>
    <n v="85395.26080000012"/>
    <n v="42345.323030000058"/>
    <n v="86216.805906526512"/>
    <n v="42556.615395461486"/>
    <n v="39206.6091954023"/>
    <n v="14727.938627647678"/>
    <n v="86216.805906526512"/>
    <n v="42556.615395461486"/>
    <n v="90958.73023138546"/>
    <n v="44646.206240079599"/>
  </r>
  <r>
    <x v="0"/>
    <x v="30"/>
    <x v="30"/>
    <x v="2"/>
    <x v="2"/>
    <m/>
    <x v="3"/>
    <x v="4"/>
    <x v="11"/>
    <n v="192805.33999999997"/>
    <n v="94375.389999999985"/>
    <n v="130441.87"/>
    <n v="69169.37"/>
    <n v="133761.43600000037"/>
    <n v="73350.022452500198"/>
    <n v="135048.28789503835"/>
    <n v="70873.341487316138"/>
    <n v="183617.31321839083"/>
    <n v="85544.955869606987"/>
    <n v="135048.28789503835"/>
    <n v="70873.341487316138"/>
    <n v="142475.94372926542"/>
    <n v="74509.094699911497"/>
  </r>
  <r>
    <x v="0"/>
    <x v="31"/>
    <x v="31"/>
    <x v="1"/>
    <x v="1"/>
    <m/>
    <x v="2"/>
    <x v="7"/>
    <x v="0"/>
    <n v="21433.760000000002"/>
    <n v="9923.82"/>
    <n v="0"/>
    <n v="0"/>
    <n v="0"/>
    <n v="0"/>
    <n v="0"/>
    <n v="0"/>
    <n v="0"/>
    <n v="0"/>
    <n v="0"/>
    <n v="0"/>
    <n v="0"/>
    <n v="0"/>
  </r>
  <r>
    <x v="0"/>
    <x v="31"/>
    <x v="31"/>
    <x v="1"/>
    <x v="1"/>
    <m/>
    <x v="2"/>
    <x v="7"/>
    <x v="1"/>
    <n v="36564.58"/>
    <n v="13021.859999999999"/>
    <n v="0"/>
    <n v="0"/>
    <n v="0"/>
    <n v="0"/>
    <n v="0"/>
    <n v="0"/>
    <n v="0"/>
    <n v="0"/>
    <n v="0"/>
    <n v="0"/>
    <n v="0"/>
    <n v="0"/>
  </r>
  <r>
    <x v="0"/>
    <x v="31"/>
    <x v="31"/>
    <x v="1"/>
    <x v="1"/>
    <m/>
    <x v="2"/>
    <x v="7"/>
    <x v="2"/>
    <n v="31746.78"/>
    <n v="14141.959999999997"/>
    <n v="0"/>
    <n v="0"/>
    <n v="0"/>
    <n v="0"/>
    <n v="0"/>
    <n v="0"/>
    <n v="0"/>
    <n v="0"/>
    <n v="0"/>
    <n v="0"/>
    <n v="0"/>
    <n v="0"/>
  </r>
  <r>
    <x v="0"/>
    <x v="31"/>
    <x v="31"/>
    <x v="1"/>
    <x v="1"/>
    <m/>
    <x v="2"/>
    <x v="7"/>
    <x v="3"/>
    <n v="20840.500000000004"/>
    <n v="10133.050000000001"/>
    <n v="0"/>
    <n v="0"/>
    <n v="0"/>
    <n v="0"/>
    <n v="0"/>
    <n v="0"/>
    <n v="0"/>
    <n v="0"/>
    <n v="0"/>
    <n v="0"/>
    <n v="0"/>
    <n v="0"/>
  </r>
  <r>
    <x v="0"/>
    <x v="31"/>
    <x v="31"/>
    <x v="1"/>
    <x v="1"/>
    <m/>
    <x v="2"/>
    <x v="7"/>
    <x v="4"/>
    <n v="20273.900000000001"/>
    <n v="10083.5"/>
    <n v="0"/>
    <n v="0"/>
    <n v="0"/>
    <n v="0"/>
    <n v="0"/>
    <n v="0"/>
    <n v="0"/>
    <n v="0"/>
    <n v="0"/>
    <n v="0"/>
    <n v="0"/>
    <n v="0"/>
  </r>
  <r>
    <x v="0"/>
    <x v="31"/>
    <x v="31"/>
    <x v="1"/>
    <x v="1"/>
    <m/>
    <x v="2"/>
    <x v="7"/>
    <x v="5"/>
    <n v="23995.629999999997"/>
    <n v="11970.2"/>
    <n v="0"/>
    <n v="0"/>
    <n v="0"/>
    <n v="0"/>
    <n v="0"/>
    <n v="0"/>
    <n v="0"/>
    <n v="0"/>
    <n v="0"/>
    <n v="0"/>
    <n v="0"/>
    <n v="0"/>
  </r>
  <r>
    <x v="0"/>
    <x v="31"/>
    <x v="31"/>
    <x v="1"/>
    <x v="1"/>
    <m/>
    <x v="2"/>
    <x v="7"/>
    <x v="6"/>
    <n v="16979.869999999995"/>
    <n v="8284.7099999999973"/>
    <n v="0"/>
    <n v="0"/>
    <n v="0"/>
    <n v="0"/>
    <n v="0"/>
    <n v="0"/>
    <n v="0"/>
    <n v="0"/>
    <n v="0"/>
    <n v="0"/>
    <n v="0"/>
    <n v="0"/>
  </r>
  <r>
    <x v="0"/>
    <x v="32"/>
    <x v="32"/>
    <x v="0"/>
    <x v="2"/>
    <m/>
    <x v="2"/>
    <x v="0"/>
    <x v="0"/>
    <n v="0"/>
    <n v="0"/>
    <n v="51010.04"/>
    <n v="24230.85"/>
    <n v="56300.546416666642"/>
    <n v="26811.821706416653"/>
    <n v="48775.35"/>
    <n v="24021.730047082307"/>
    <n v="48775.349999999991"/>
    <n v="24141.539999999979"/>
    <n v="56300.546416666642"/>
    <n v="27866.163817170222"/>
    <n v="60804.590129999982"/>
    <n v="32212.052985796068"/>
  </r>
  <r>
    <x v="0"/>
    <x v="32"/>
    <x v="32"/>
    <x v="0"/>
    <x v="2"/>
    <m/>
    <x v="2"/>
    <x v="0"/>
    <x v="1"/>
    <n v="0"/>
    <n v="0"/>
    <n v="64752.009999999995"/>
    <n v="25946.249999999996"/>
    <n v="87509.340899999981"/>
    <n v="33594.722495999995"/>
    <n v="86227.339999999953"/>
    <n v="35327.407982898083"/>
    <n v="86227.339999999909"/>
    <n v="35313.909999999945"/>
    <n v="87509.340899999981"/>
    <n v="35838.946077913533"/>
    <n v="91009.714535999985"/>
    <n v="39637.135164993364"/>
  </r>
  <r>
    <x v="0"/>
    <x v="32"/>
    <x v="32"/>
    <x v="0"/>
    <x v="2"/>
    <m/>
    <x v="2"/>
    <x v="0"/>
    <x v="2"/>
    <n v="0"/>
    <n v="0"/>
    <n v="79433.39"/>
    <n v="31586.390000000003"/>
    <n v="62308.933319999989"/>
    <n v="27560.171034200001"/>
    <n v="70847.560000000056"/>
    <n v="34178.133996602446"/>
    <n v="70847.560000000056"/>
    <n v="34109.720000000081"/>
    <n v="70847.560000000201"/>
    <n v="34109.720000000154"/>
    <n v="74744.175800000216"/>
    <n v="39156.507201228407"/>
  </r>
  <r>
    <x v="0"/>
    <x v="32"/>
    <x v="32"/>
    <x v="0"/>
    <x v="2"/>
    <m/>
    <x v="2"/>
    <x v="0"/>
    <x v="3"/>
    <n v="0"/>
    <n v="0"/>
    <n v="51291.139999999992"/>
    <n v="25515.05999999999"/>
    <n v="53203.52643000002"/>
    <n v="26865.786830550009"/>
    <n v="66866.120000000083"/>
    <n v="33147.890859511768"/>
    <n v="66866.120000000083"/>
    <n v="32916.040000000088"/>
    <n v="66866.120000000155"/>
    <n v="32916.040000000125"/>
    <n v="72215.409600000174"/>
    <n v="38257.088740385407"/>
  </r>
  <r>
    <x v="0"/>
    <x v="32"/>
    <x v="32"/>
    <x v="0"/>
    <x v="2"/>
    <m/>
    <x v="2"/>
    <x v="0"/>
    <x v="4"/>
    <n v="0"/>
    <n v="0"/>
    <n v="53737.510000000009"/>
    <n v="26808.83"/>
    <n v="59194.319149999981"/>
    <n v="27600.006316499992"/>
    <n v="64396.21"/>
    <n v="33346.477360307712"/>
    <n v="64396.210000000028"/>
    <n v="33104.00999999998"/>
    <n v="64396.210000000028"/>
    <n v="33104.00999999998"/>
    <n v="69547.906800000041"/>
    <n v="36843.943098754484"/>
  </r>
  <r>
    <x v="0"/>
    <x v="32"/>
    <x v="32"/>
    <x v="0"/>
    <x v="2"/>
    <m/>
    <x v="2"/>
    <x v="0"/>
    <x v="5"/>
    <n v="0"/>
    <n v="0"/>
    <n v="44356.710000000006"/>
    <n v="21910.409999999996"/>
    <n v="52286.935849999994"/>
    <n v="26267.056105999993"/>
    <n v="50646.979999999923"/>
    <n v="26547.809999999998"/>
    <n v="50646.979999999938"/>
    <n v="26547.80999999995"/>
    <n v="50646.979999999952"/>
    <n v="26547.809999999954"/>
    <n v="54698.738399999951"/>
    <n v="28977.395552374186"/>
  </r>
  <r>
    <x v="0"/>
    <x v="32"/>
    <x v="32"/>
    <x v="0"/>
    <x v="2"/>
    <m/>
    <x v="2"/>
    <x v="0"/>
    <x v="6"/>
    <n v="0"/>
    <n v="0"/>
    <n v="63092.6"/>
    <n v="31570.89"/>
    <n v="56141.934899999978"/>
    <n v="28754.946488999991"/>
    <n v="55693.669999999969"/>
    <n v="29296.49999999992"/>
    <n v="55693.670000000006"/>
    <n v="29296.500000000011"/>
    <n v="55693.670000000049"/>
    <n v="29296.500000000036"/>
    <n v="60149.163600000044"/>
    <n v="31864.831927854306"/>
  </r>
  <r>
    <x v="0"/>
    <x v="32"/>
    <x v="32"/>
    <x v="0"/>
    <x v="2"/>
    <m/>
    <x v="2"/>
    <x v="0"/>
    <x v="7"/>
    <n v="0"/>
    <n v="0"/>
    <n v="100350.15"/>
    <n v="38082.12999999999"/>
    <n v="102039.73232"/>
    <n v="39581.825223399996"/>
    <n v="92961.286692306327"/>
    <n v="38802.041065368663"/>
    <n v="136201.94"/>
    <n v="58214.97000000003"/>
    <n v="136201.94000000018"/>
    <n v="56850.68975600008"/>
    <n v="141650.0176000002"/>
    <n v="61692.32507057226"/>
  </r>
  <r>
    <x v="0"/>
    <x v="32"/>
    <x v="32"/>
    <x v="0"/>
    <x v="2"/>
    <m/>
    <x v="2"/>
    <x v="0"/>
    <x v="8"/>
    <n v="0"/>
    <n v="0"/>
    <n v="58295.69"/>
    <n v="27825.18"/>
    <n v="53203.622780000012"/>
    <n v="27317.647947100009"/>
    <n v="55624.387616490014"/>
    <n v="27945.692338524586"/>
    <n v="48305.099999999977"/>
    <n v="24972.959999999963"/>
    <n v="48305.099999999977"/>
    <n v="24972.959999999963"/>
    <n v="51203.405999999974"/>
    <n v="26824.117254717468"/>
  </r>
  <r>
    <x v="0"/>
    <x v="32"/>
    <x v="32"/>
    <x v="0"/>
    <x v="2"/>
    <m/>
    <x v="2"/>
    <x v="0"/>
    <x v="9"/>
    <n v="0"/>
    <n v="0"/>
    <n v="56877.069999999992"/>
    <n v="27862.879999999994"/>
    <n v="56133.646874999991"/>
    <n v="28971.414827625002"/>
    <n v="54660.138644531246"/>
    <n v="28510.728316987494"/>
    <n v="63166.03000000005"/>
    <n v="33035.240000000063"/>
    <n v="63166.030000000013"/>
    <n v="32947.401248000002"/>
    <n v="69482.633000000016"/>
    <n v="36809.363421468785"/>
  </r>
  <r>
    <x v="0"/>
    <x v="32"/>
    <x v="32"/>
    <x v="0"/>
    <x v="2"/>
    <m/>
    <x v="2"/>
    <x v="0"/>
    <x v="10"/>
    <n v="0"/>
    <n v="0"/>
    <n v="59420.969999999987"/>
    <n v="28634.01"/>
    <n v="75193.114125000066"/>
    <n v="33947.888708375023"/>
    <n v="78614.40081768758"/>
    <n v="36555.696380224726"/>
    <n v="103380.31609195402"/>
    <n v="42005.907938733202"/>
    <n v="98211.300287356324"/>
    <n v="45668.254633620694"/>
    <n v="108032.43031609195"/>
    <n v="51292.919987868809"/>
  </r>
  <r>
    <x v="0"/>
    <x v="32"/>
    <x v="32"/>
    <x v="0"/>
    <x v="2"/>
    <m/>
    <x v="2"/>
    <x v="0"/>
    <x v="11"/>
    <n v="0"/>
    <n v="0"/>
    <n v="151874.21"/>
    <n v="77457.069999999978"/>
    <n v="153117.5835000001"/>
    <n v="80126.651692500047"/>
    <n v="158514.9783183751"/>
    <n v="78781.944224232429"/>
    <n v="130660.05747126436"/>
    <n v="64047.410116071704"/>
    <n v="158514.9783183751"/>
    <n v="78781.944224232429"/>
    <n v="174366.47615021258"/>
    <n v="91346.009317137999"/>
  </r>
  <r>
    <x v="0"/>
    <x v="33"/>
    <x v="33"/>
    <x v="0"/>
    <x v="0"/>
    <m/>
    <x v="3"/>
    <x v="1"/>
    <x v="0"/>
    <n v="24187.770000000004"/>
    <n v="10730.149999999998"/>
    <n v="17813.77"/>
    <n v="8064.74"/>
    <n v="20300.387649999997"/>
    <n v="8970.5214432499997"/>
    <n v="13855.250000000004"/>
    <n v="5652.4683367202797"/>
    <n v="13855.249999999996"/>
    <n v="5942.7599999999984"/>
    <n v="20300.387649999997"/>
    <n v="8707.1927039146885"/>
    <n v="20300.387649999997"/>
    <n v="9963.0942217422125"/>
  </r>
  <r>
    <x v="0"/>
    <x v="33"/>
    <x v="33"/>
    <x v="0"/>
    <x v="0"/>
    <m/>
    <x v="3"/>
    <x v="1"/>
    <x v="1"/>
    <n v="52842"/>
    <n v="19004.740000000002"/>
    <n v="21274.239999999998"/>
    <n v="8038.3299999999981"/>
    <n v="33228.583199999979"/>
    <n v="10605.491746499994"/>
    <n v="21961.199999999983"/>
    <n v="7349.8156036774462"/>
    <n v="21961.199999999983"/>
    <n v="7444.4499999999789"/>
    <n v="33228.583199999979"/>
    <n v="11263.889323135318"/>
    <n v="33228.583199999979"/>
    <n v="13893.304146440354"/>
  </r>
  <r>
    <x v="0"/>
    <x v="33"/>
    <x v="33"/>
    <x v="0"/>
    <x v="0"/>
    <m/>
    <x v="3"/>
    <x v="1"/>
    <x v="2"/>
    <n v="35848.950000000004"/>
    <n v="15487.060000000001"/>
    <n v="33473.99"/>
    <n v="11013.849999999999"/>
    <n v="21623.977749999998"/>
    <n v="7698.2071037499991"/>
    <n v="21277.160000000003"/>
    <n v="8896.9345703098334"/>
    <n v="21277.159999999996"/>
    <n v="9008.159999999998"/>
    <n v="21277.160000000011"/>
    <n v="9008.1600000000035"/>
    <n v="10638.580000000005"/>
    <n v="5171.36090513419"/>
  </r>
  <r>
    <x v="0"/>
    <x v="33"/>
    <x v="33"/>
    <x v="0"/>
    <x v="0"/>
    <m/>
    <x v="3"/>
    <x v="1"/>
    <x v="3"/>
    <n v="29283.17"/>
    <n v="14018.729999999998"/>
    <n v="15001.33"/>
    <n v="6322.6200000000008"/>
    <n v="22245.522749999989"/>
    <n v="9115.6231147499966"/>
    <n v="17232.180000000004"/>
    <n v="7666.3199999999943"/>
    <n v="17232.180000000008"/>
    <n v="7666.320000000007"/>
    <n v="17232.180000000015"/>
    <n v="7666.3200000000106"/>
    <n v="0"/>
    <n v="0"/>
  </r>
  <r>
    <x v="0"/>
    <x v="33"/>
    <x v="33"/>
    <x v="0"/>
    <x v="0"/>
    <m/>
    <x v="3"/>
    <x v="1"/>
    <x v="4"/>
    <n v="26131.389999999992"/>
    <n v="12242.339999999997"/>
    <n v="17410.680000000004"/>
    <n v="7706.8000000000011"/>
    <n v="21528.850299999995"/>
    <n v="8583.043459499997"/>
    <n v="15017.42"/>
    <n v="7062.03"/>
    <n v="15017.419999999995"/>
    <n v="7062.0299999999916"/>
    <n v="15017.419999999995"/>
    <n v="7062.0299999999916"/>
    <n v="20588.398387096764"/>
    <n v="10104.445124002867"/>
  </r>
  <r>
    <x v="0"/>
    <x v="33"/>
    <x v="33"/>
    <x v="0"/>
    <x v="0"/>
    <m/>
    <x v="3"/>
    <x v="1"/>
    <x v="5"/>
    <n v="20423.8"/>
    <n v="9603.11"/>
    <n v="17480.75"/>
    <n v="7638.2399999999989"/>
    <n v="18139.233799999995"/>
    <n v="7749.6786289999982"/>
    <n v="16472.439999999984"/>
    <n v="7929.3299999999927"/>
    <n v="16472.439999999984"/>
    <n v="7929.3299999999817"/>
    <n v="16472.439999999988"/>
    <n v="7929.3299999999836"/>
    <n v="22583.183870967725"/>
    <n v="11083.452819354439"/>
  </r>
  <r>
    <x v="0"/>
    <x v="33"/>
    <x v="33"/>
    <x v="0"/>
    <x v="0"/>
    <m/>
    <x v="3"/>
    <x v="1"/>
    <x v="6"/>
    <n v="21974.33"/>
    <n v="10308.520000000004"/>
    <n v="21129.540000000005"/>
    <n v="9246.0600000000013"/>
    <n v="20472.420299999987"/>
    <n v="8857.719417499995"/>
    <n v="15451.319999999996"/>
    <n v="7430.5999999999985"/>
    <n v="15451.319999999992"/>
    <n v="7430.5999999999949"/>
    <n v="15451.319999999985"/>
    <n v="7430.5999999999913"/>
    <n v="21183.26129032256"/>
    <n v="10396.393990006796"/>
  </r>
  <r>
    <x v="0"/>
    <x v="33"/>
    <x v="33"/>
    <x v="0"/>
    <x v="0"/>
    <m/>
    <x v="3"/>
    <x v="1"/>
    <x v="7"/>
    <n v="73010.510000000009"/>
    <n v="19650.479999999996"/>
    <n v="39274.560000000005"/>
    <n v="11675.730000000007"/>
    <n v="39947.511499999986"/>
    <n v="11488.750884999998"/>
    <n v="27660.324336351128"/>
    <n v="9217.8030850890136"/>
    <n v="41348.169999999991"/>
    <n v="15947.180000000004"/>
    <n v="41348.169999999976"/>
    <n v="13779.277652499992"/>
    <n v="52718.916749999968"/>
    <n v="22042.466880701038"/>
  </r>
  <r>
    <x v="0"/>
    <x v="33"/>
    <x v="33"/>
    <x v="0"/>
    <x v="0"/>
    <m/>
    <x v="3"/>
    <x v="1"/>
    <x v="8"/>
    <n v="23196.159999999996"/>
    <n v="9963.369999999999"/>
    <n v="17462.080000000002"/>
    <n v="6160.800000000002"/>
    <n v="18539.168099999995"/>
    <n v="7614.106085999998"/>
    <n v="17982.993056999996"/>
    <n v="7786.6359936809968"/>
    <n v="14217.239999999996"/>
    <n v="7038.2399999999961"/>
    <n v="14217.239999999996"/>
    <n v="7038.2399999999961"/>
    <n v="19491.377419354834"/>
    <n v="9474.6617662946428"/>
  </r>
  <r>
    <x v="0"/>
    <x v="33"/>
    <x v="33"/>
    <x v="0"/>
    <x v="0"/>
    <m/>
    <x v="3"/>
    <x v="1"/>
    <x v="9"/>
    <n v="12680.22"/>
    <n v="5619.6399999999994"/>
    <n v="17251.260000000002"/>
    <n v="6865.5099999999984"/>
    <n v="19378.373599999995"/>
    <n v="7960.9742489999981"/>
    <n v="18797.022391999995"/>
    <n v="8458.6600763999995"/>
    <n v="8919.8899999999976"/>
    <n v="4654.1299999999965"/>
    <n v="18797.022391999995"/>
    <n v="8458.6600763999995"/>
    <n v="18608.172580645169"/>
    <n v="9132.5830773191083"/>
  </r>
  <r>
    <x v="0"/>
    <x v="33"/>
    <x v="33"/>
    <x v="0"/>
    <x v="0"/>
    <m/>
    <x v="3"/>
    <x v="1"/>
    <x v="10"/>
    <n v="18221.5"/>
    <n v="6939.2999999999984"/>
    <n v="14408.12"/>
    <n v="5603.7900000000009"/>
    <n v="24266.261549999996"/>
    <n v="9240.8793252499981"/>
    <n v="23052.948472499997"/>
    <n v="9082.8616981649993"/>
    <n v="8452.5862068965507"/>
    <n v="3220.2210985916595"/>
    <n v="23052.948472499997"/>
    <n v="9082.8616981649993"/>
    <n v="31604.848712298386"/>
    <n v="14177.547352798019"/>
  </r>
  <r>
    <x v="0"/>
    <x v="33"/>
    <x v="33"/>
    <x v="0"/>
    <x v="0"/>
    <m/>
    <x v="3"/>
    <x v="1"/>
    <x v="11"/>
    <n v="51908.919999999991"/>
    <n v="21372.539999999986"/>
    <n v="40631.210000000006"/>
    <n v="17648.230000000003"/>
    <n v="41225.952250000017"/>
    <n v="18266.054139250005"/>
    <n v="39164.654637500018"/>
    <n v="17937.41182397501"/>
    <n v="32429.798850574709"/>
    <n v="15434.82785331063"/>
    <n v="39164.654637500018"/>
    <n v="17937.41182397501"/>
    <n v="53693.47813205648"/>
    <n v="26100.133069713651"/>
  </r>
  <r>
    <x v="0"/>
    <x v="34"/>
    <x v="34"/>
    <x v="0"/>
    <x v="2"/>
    <m/>
    <x v="3"/>
    <x v="1"/>
    <x v="0"/>
    <n v="45021.150000000009"/>
    <n v="19463.600000000002"/>
    <n v="36282.36"/>
    <n v="14658.920000000002"/>
    <n v="40178.690683333305"/>
    <n v="15847.570255666653"/>
    <n v="25052.150000000027"/>
    <n v="10171.390205229138"/>
    <n v="25052.150000000023"/>
    <n v="10272.670000000022"/>
    <n v="40178.690683333305"/>
    <n v="16475.329679167578"/>
    <n v="42589.412124333299"/>
    <n v="20783.890543036563"/>
  </r>
  <r>
    <x v="0"/>
    <x v="34"/>
    <x v="34"/>
    <x v="0"/>
    <x v="2"/>
    <m/>
    <x v="3"/>
    <x v="1"/>
    <x v="1"/>
    <n v="81612.33"/>
    <n v="29301.95"/>
    <n v="46264.660000000011"/>
    <n v="15129.180000000013"/>
    <n v="69292.915499999974"/>
    <n v="19691.879302499994"/>
    <n v="43571.349999999948"/>
    <n v="13929.254286166324"/>
    <n v="43571.349999999977"/>
    <n v="13979.509999999969"/>
    <n v="69292.915499999974"/>
    <n v="22232.063159883801"/>
    <n v="72064.632119999966"/>
    <n v="29914.528889840454"/>
  </r>
  <r>
    <x v="0"/>
    <x v="34"/>
    <x v="34"/>
    <x v="0"/>
    <x v="2"/>
    <m/>
    <x v="3"/>
    <x v="1"/>
    <x v="2"/>
    <n v="57762.549999999996"/>
    <n v="24158.30999999999"/>
    <n v="75249.42"/>
    <n v="23872.319999999992"/>
    <n v="44171.007075000001"/>
    <n v="15070.923060749998"/>
    <n v="36896.100000000013"/>
    <n v="15273.615819986835"/>
    <n v="36896.10000000002"/>
    <n v="15292.610000000033"/>
    <n v="36896.100000000028"/>
    <n v="15292.610000000037"/>
    <n v="38740.905000000028"/>
    <n v="18723.590817819655"/>
  </r>
  <r>
    <x v="0"/>
    <x v="34"/>
    <x v="34"/>
    <x v="0"/>
    <x v="2"/>
    <m/>
    <x v="3"/>
    <x v="1"/>
    <x v="3"/>
    <n v="54083.069999999992"/>
    <n v="25429.029999999995"/>
    <n v="34854.429999999993"/>
    <n v="14229.100000000002"/>
    <n v="3722.3030249999983"/>
    <n v="1526.1442402499993"/>
    <n v="36544.020000000026"/>
    <n v="17020.350000000017"/>
    <n v="36544.020000000033"/>
    <n v="17020.350000000028"/>
    <n v="36544.020000000033"/>
    <n v="17020.350000000028"/>
    <n v="39102.101400000029"/>
    <n v="19082.061830949478"/>
  </r>
  <r>
    <x v="0"/>
    <x v="34"/>
    <x v="34"/>
    <x v="0"/>
    <x v="2"/>
    <m/>
    <x v="3"/>
    <x v="1"/>
    <x v="4"/>
    <n v="48457.320000000007"/>
    <n v="23342.910000000007"/>
    <n v="37059.110000000008"/>
    <n v="14821.340000000006"/>
    <n v="41568.562724999982"/>
    <n v="15445.532997874992"/>
    <n v="30891.090000000011"/>
    <n v="15221.580000000005"/>
    <n v="30891.090000000011"/>
    <n v="15221.580000000016"/>
    <n v="30891.090000000011"/>
    <n v="15221.580000000016"/>
    <n v="33053.466300000015"/>
    <n v="16130.29134193296"/>
  </r>
  <r>
    <x v="0"/>
    <x v="34"/>
    <x v="34"/>
    <x v="0"/>
    <x v="2"/>
    <m/>
    <x v="3"/>
    <x v="1"/>
    <x v="5"/>
    <n v="40967.379999999997"/>
    <n v="18939.409999999996"/>
    <n v="32611.279999999999"/>
    <n v="13748.919999999998"/>
    <n v="37962.380474999976"/>
    <n v="15934.474769624991"/>
    <n v="28361.970000000008"/>
    <n v="13495.160109647524"/>
    <n v="28361.970000000019"/>
    <n v="13517.120000000012"/>
    <n v="28361.970000000008"/>
    <n v="13517.120000000006"/>
    <n v="30347.307900000011"/>
    <n v="14809.669685697796"/>
  </r>
  <r>
    <x v="0"/>
    <x v="34"/>
    <x v="34"/>
    <x v="0"/>
    <x v="2"/>
    <m/>
    <x v="3"/>
    <x v="1"/>
    <x v="6"/>
    <n v="45227.97"/>
    <n v="21319.449999999997"/>
    <n v="39625.14"/>
    <n v="16869.689999999999"/>
    <n v="42176.716699999961"/>
    <n v="17874.359858499985"/>
    <n v="29472.979999999992"/>
    <n v="14504.620000000012"/>
    <n v="29472.979999999989"/>
    <n v="14504.619999999992"/>
    <n v="29472.980000000014"/>
    <n v="14504.620000000004"/>
    <n v="35072.846200000015"/>
    <n v="17115.760939021584"/>
  </r>
  <r>
    <x v="0"/>
    <x v="34"/>
    <x v="34"/>
    <x v="0"/>
    <x v="2"/>
    <m/>
    <x v="3"/>
    <x v="1"/>
    <x v="7"/>
    <n v="143802.85"/>
    <n v="42365.240000000005"/>
    <n v="91904.320000000022"/>
    <n v="26554.710000000028"/>
    <n v="105868.13183999993"/>
    <n v="30627.660260199984"/>
    <n v="60222.657955105264"/>
    <n v="19774.109739558811"/>
    <n v="83583.420000000115"/>
    <n v="33599.430000000095"/>
    <n v="83583.420000000231"/>
    <n v="27444.615957000075"/>
    <n v="86926.756800000236"/>
    <n v="36083.899981112438"/>
  </r>
  <r>
    <x v="0"/>
    <x v="34"/>
    <x v="34"/>
    <x v="0"/>
    <x v="2"/>
    <m/>
    <x v="3"/>
    <x v="1"/>
    <x v="8"/>
    <n v="36836.21"/>
    <n v="15341.949999999995"/>
    <n v="40711.74"/>
    <n v="13393.929999999993"/>
    <n v="39357.899784999972"/>
    <n v="16092.008329674987"/>
    <n v="39751.478782849968"/>
    <n v="18285.680240110989"/>
    <n v="30387.150000000012"/>
    <n v="15606.870000000014"/>
    <n v="30387.150000000012"/>
    <n v="15606.870000000012"/>
    <n v="34337.479500000023"/>
    <n v="16595.402607999749"/>
  </r>
  <r>
    <x v="0"/>
    <x v="34"/>
    <x v="34"/>
    <x v="0"/>
    <x v="2"/>
    <m/>
    <x v="3"/>
    <x v="1"/>
    <x v="9"/>
    <n v="31229.559999999998"/>
    <n v="13723.169999999998"/>
    <n v="33788.01999999999"/>
    <n v="12620.769999999993"/>
    <n v="41781.493924999966"/>
    <n v="17053.200689124984"/>
    <n v="48529.205193887457"/>
    <n v="23536.664519035417"/>
    <n v="18249.290000000008"/>
    <n v="9636.9500000000044"/>
    <n v="48529.205193887457"/>
    <n v="23536.664519035417"/>
    <n v="41249.824414804338"/>
    <n v="20130.163643816471"/>
  </r>
  <r>
    <x v="0"/>
    <x v="34"/>
    <x v="34"/>
    <x v="0"/>
    <x v="2"/>
    <m/>
    <x v="3"/>
    <x v="1"/>
    <x v="10"/>
    <n v="41243.18"/>
    <n v="16004.799999999997"/>
    <n v="25850.739999999998"/>
    <n v="9646.7799999999988"/>
    <n v="47711.310049999985"/>
    <n v="17236.665662999992"/>
    <n v="38550.738520399987"/>
    <n v="15323.918561858995"/>
    <n v="17444.540229885057"/>
    <n v="6819.3976887574217"/>
    <n v="38550.738520399987"/>
    <n v="15323.918561858995"/>
    <n v="46646.393609683975"/>
    <n v="20789.249576071539"/>
  </r>
  <r>
    <x v="0"/>
    <x v="34"/>
    <x v="34"/>
    <x v="0"/>
    <x v="2"/>
    <m/>
    <x v="3"/>
    <x v="1"/>
    <x v="11"/>
    <n v="96111.689999999988"/>
    <n v="38492.619999999988"/>
    <n v="63440.45"/>
    <n v="26199.729999999992"/>
    <n v="68053.075100000031"/>
    <n v="28230.358040000017"/>
    <n v="72170.286143550038"/>
    <n v="33487.012770607224"/>
    <n v="56886.594827586203"/>
    <n v="26785.297966355924"/>
    <n v="72170.286143550038"/>
    <n v="33487.012770607224"/>
    <n v="77222.206173598548"/>
    <n v="37321.714359635247"/>
  </r>
  <r>
    <x v="0"/>
    <x v="35"/>
    <x v="35"/>
    <x v="0"/>
    <x v="2"/>
    <m/>
    <x v="0"/>
    <x v="1"/>
    <x v="0"/>
    <n v="43807.320000000007"/>
    <n v="20984.65"/>
    <n v="40623.100000000006"/>
    <n v="18691.04"/>
    <n v="38581.197350000002"/>
    <n v="17452.000923750002"/>
    <n v="34338.87000000001"/>
    <n v="16756.74877537533"/>
    <n v="34338.87000000001"/>
    <n v="16705.250000000007"/>
    <n v="38581.197350000002"/>
    <n v="18769.066863035612"/>
    <n v="41281.88116450001"/>
    <n v="20481.025796236056"/>
  </r>
  <r>
    <x v="0"/>
    <x v="35"/>
    <x v="35"/>
    <x v="0"/>
    <x v="2"/>
    <m/>
    <x v="0"/>
    <x v="1"/>
    <x v="1"/>
    <n v="80154.12"/>
    <n v="29988.879999999997"/>
    <n v="46072"/>
    <n v="19468.130000000008"/>
    <n v="72167.434449999986"/>
    <n v="28583.867993749995"/>
    <n v="52763.929999999986"/>
    <n v="19659.979146070615"/>
    <n v="52763.929999999978"/>
    <n v="19573.539999999979"/>
    <n v="72167.434449999986"/>
    <n v="26771.549520751236"/>
    <n v="75054.131827999983"/>
    <n v="32597.608958720441"/>
  </r>
  <r>
    <x v="0"/>
    <x v="35"/>
    <x v="35"/>
    <x v="0"/>
    <x v="2"/>
    <m/>
    <x v="0"/>
    <x v="1"/>
    <x v="2"/>
    <n v="49930.28"/>
    <n v="22023.279999999999"/>
    <n v="71681.310000000012"/>
    <n v="29193.130000000008"/>
    <n v="41600.356134999987"/>
    <n v="17521.793113599997"/>
    <n v="45949.160000000025"/>
    <n v="21198.502054722147"/>
    <n v="45949.160000000011"/>
    <n v="21166.770000000011"/>
    <n v="45949.160000000062"/>
    <n v="21166.770000000037"/>
    <n v="47787.126400000066"/>
    <n v="23517.901671422758"/>
  </r>
  <r>
    <x v="0"/>
    <x v="35"/>
    <x v="35"/>
    <x v="0"/>
    <x v="2"/>
    <m/>
    <x v="0"/>
    <x v="1"/>
    <x v="3"/>
    <n v="35637.409999999996"/>
    <n v="17608.449999999993"/>
    <n v="29856.94"/>
    <n v="13770.009999999998"/>
    <n v="34689.53676499999"/>
    <n v="16165.489742399997"/>
    <n v="35710.250000000015"/>
    <n v="17486.58000000002"/>
    <n v="35710.250000000029"/>
    <n v="17486.580000000027"/>
    <n v="35710.250000000029"/>
    <n v="17486.580000000027"/>
    <n v="38209.967500000028"/>
    <n v="18956.968722486759"/>
  </r>
  <r>
    <x v="0"/>
    <x v="35"/>
    <x v="35"/>
    <x v="0"/>
    <x v="2"/>
    <m/>
    <x v="0"/>
    <x v="1"/>
    <x v="4"/>
    <n v="39849.730000000003"/>
    <n v="19823.350000000002"/>
    <n v="27152.100000000002"/>
    <n v="12889"/>
    <n v="36130.436349999989"/>
    <n v="16000.831406499992"/>
    <n v="31270.959999999999"/>
    <n v="15981.287743043544"/>
    <n v="31270.959999999999"/>
    <n v="15932.110000000011"/>
    <n v="31270.959999999999"/>
    <n v="15932.110000000013"/>
    <n v="33459.927199999991"/>
    <n v="16600.348937409683"/>
  </r>
  <r>
    <x v="0"/>
    <x v="35"/>
    <x v="35"/>
    <x v="0"/>
    <x v="2"/>
    <m/>
    <x v="0"/>
    <x v="1"/>
    <x v="5"/>
    <n v="38990.710000000006"/>
    <n v="19076.280000000002"/>
    <n v="20977.22"/>
    <n v="10158.500000000002"/>
    <n v="31035.315249999981"/>
    <n v="14660.223602499993"/>
    <n v="36894.419999999984"/>
    <n v="19158.909999999989"/>
    <n v="36894.42"/>
    <n v="19158.910000000018"/>
    <n v="36894.42"/>
    <n v="19158.910000000018"/>
    <n v="39477.029399999992"/>
    <n v="19585.591419110468"/>
  </r>
  <r>
    <x v="0"/>
    <x v="35"/>
    <x v="35"/>
    <x v="0"/>
    <x v="2"/>
    <m/>
    <x v="0"/>
    <x v="1"/>
    <x v="6"/>
    <n v="41490.229999999996"/>
    <n v="20498.279999999992"/>
    <n v="36107.01999999999"/>
    <n v="17373.939999999995"/>
    <n v="32602.66759999999"/>
    <n v="15399.361303999993"/>
    <n v="35803.49"/>
    <n v="18795.400000000041"/>
    <n v="35803.489999999969"/>
    <n v="18795.399999999958"/>
    <n v="35803.490000000005"/>
    <n v="18795.399999999976"/>
    <n v="37951.699400000005"/>
    <n v="18828.835132901357"/>
  </r>
  <r>
    <x v="0"/>
    <x v="35"/>
    <x v="35"/>
    <x v="0"/>
    <x v="2"/>
    <m/>
    <x v="0"/>
    <x v="1"/>
    <x v="7"/>
    <n v="127657.23000000001"/>
    <n v="42533.139999999992"/>
    <n v="71054.049999999988"/>
    <n v="26130.989999999991"/>
    <n v="73070.621800000037"/>
    <n v="27340.728579500017"/>
    <n v="67907.011572605436"/>
    <n v="26910.869616107811"/>
    <n v="78747.749999999927"/>
    <n v="33442.719999999921"/>
    <n v="78747.750000000189"/>
    <n v="31206.945847500076"/>
    <n v="81110.182500000199"/>
    <n v="35227.880828262088"/>
  </r>
  <r>
    <x v="0"/>
    <x v="35"/>
    <x v="35"/>
    <x v="0"/>
    <x v="2"/>
    <m/>
    <x v="0"/>
    <x v="1"/>
    <x v="8"/>
    <n v="18879.599999999999"/>
    <n v="8630.7899999999972"/>
    <n v="40005.919999999998"/>
    <n v="17760.209999999992"/>
    <n v="32451.523649999988"/>
    <n v="15064.919951999993"/>
    <n v="32608.913539702487"/>
    <n v="15792.496827277915"/>
    <n v="31389.860000000022"/>
    <n v="15926.110000000022"/>
    <n v="31389.860000000022"/>
    <n v="15926.110000000022"/>
    <n v="33273.251600000025"/>
    <n v="16375.059945377036"/>
  </r>
  <r>
    <x v="0"/>
    <x v="35"/>
    <x v="35"/>
    <x v="0"/>
    <x v="2"/>
    <m/>
    <x v="0"/>
    <x v="1"/>
    <x v="9"/>
    <n v="0"/>
    <n v="0"/>
    <n v="32819.54"/>
    <n v="15128.759999999995"/>
    <n v="34634.808499999985"/>
    <n v="16265.665744499993"/>
    <n v="34802.787321224983"/>
    <n v="17590.720823639957"/>
    <n v="33968.200000000048"/>
    <n v="17589.940000000053"/>
    <n v="34802.787321224983"/>
    <n v="17590.720823639957"/>
    <n v="36890.954560498474"/>
    <n v="18302.571750317489"/>
  </r>
  <r>
    <x v="0"/>
    <x v="35"/>
    <x v="35"/>
    <x v="0"/>
    <x v="2"/>
    <m/>
    <x v="0"/>
    <x v="1"/>
    <x v="10"/>
    <n v="0"/>
    <n v="0"/>
    <n v="34301.869999999995"/>
    <n v="15646.310000000001"/>
    <n v="40290.105499999983"/>
    <n v="17083.034795499992"/>
    <n v="40076.567940849985"/>
    <n v="17260.977812124089"/>
    <n v="48653.017241379304"/>
    <n v="20264.923326508033"/>
    <n v="46220.366379310341"/>
    <n v="19907.111799568964"/>
    <n v="48993.588362068971"/>
    <n v="22548.785619767419"/>
  </r>
  <r>
    <x v="0"/>
    <x v="35"/>
    <x v="35"/>
    <x v="0"/>
    <x v="2"/>
    <m/>
    <x v="0"/>
    <x v="1"/>
    <x v="11"/>
    <n v="50874.720000000001"/>
    <n v="22377.619999999995"/>
    <n v="85321.989999999976"/>
    <n v="41656.07999999998"/>
    <n v="88837.773550000027"/>
    <n v="44085.637210500012"/>
    <n v="88366.933350185034"/>
    <n v="42875.63606150978"/>
    <n v="74920.114942528715"/>
    <n v="36825.36558679201"/>
    <n v="88366.933350185034"/>
    <n v="42875.63606150978"/>
    <n v="93668.949351196119"/>
    <n v="46098.12948507625"/>
  </r>
  <r>
    <x v="0"/>
    <x v="36"/>
    <x v="36"/>
    <x v="0"/>
    <x v="2"/>
    <m/>
    <x v="1"/>
    <x v="5"/>
    <x v="0"/>
    <n v="66544.170000000013"/>
    <n v="35210.47"/>
    <n v="35894.569999999992"/>
    <n v="18295.669999999998"/>
    <n v="43986.245616666667"/>
    <n v="22385.699937583329"/>
    <n v="33410.260000000009"/>
    <n v="18111.420132985371"/>
    <n v="33410.260000000009"/>
    <n v="17990.770000000004"/>
    <n v="43986.245616666667"/>
    <n v="23685.730911790513"/>
    <n v="45305.832985166664"/>
    <n v="24290.658742411968"/>
  </r>
  <r>
    <x v="0"/>
    <x v="36"/>
    <x v="36"/>
    <x v="0"/>
    <x v="2"/>
    <m/>
    <x v="1"/>
    <x v="5"/>
    <x v="1"/>
    <n v="106402.2"/>
    <n v="42111.729999999996"/>
    <n v="39338.699999999997"/>
    <n v="17890.309999999998"/>
    <n v="63310.271899999992"/>
    <n v="27107.944579499999"/>
    <n v="60399.52999999997"/>
    <n v="26756.659726826125"/>
    <n v="60399.529999999933"/>
    <n v="26552.349999999911"/>
    <n v="63310.271899999992"/>
    <n v="27831.946673822811"/>
    <n v="63943.374618999995"/>
    <n v="29375.014535528426"/>
  </r>
  <r>
    <x v="0"/>
    <x v="36"/>
    <x v="36"/>
    <x v="0"/>
    <x v="2"/>
    <m/>
    <x v="1"/>
    <x v="5"/>
    <x v="2"/>
    <n v="62990.44"/>
    <n v="28570.53"/>
    <n v="66753.17"/>
    <n v="28283.900000000009"/>
    <n v="45859.318174999993"/>
    <n v="21933.568797624994"/>
    <n v="52962.640000000043"/>
    <n v="26629.5448267502"/>
    <n v="52962.640000000058"/>
    <n v="26376.770000000055"/>
    <n v="52962.640000000094"/>
    <n v="26376.770000000073"/>
    <n v="54551.519200000097"/>
    <n v="28986.017906810772"/>
  </r>
  <r>
    <x v="0"/>
    <x v="36"/>
    <x v="36"/>
    <x v="0"/>
    <x v="2"/>
    <m/>
    <x v="1"/>
    <x v="5"/>
    <x v="3"/>
    <n v="40721.57"/>
    <n v="21768.329999999998"/>
    <n v="42270.64"/>
    <n v="22559.669999999991"/>
    <n v="41409.583025"/>
    <n v="22180.595631875"/>
    <n v="47610.160000000069"/>
    <n v="25994.167473330039"/>
    <n v="47610.160000000054"/>
    <n v="25756.070000000062"/>
    <n v="49038.464800000074"/>
    <n v="26528.752100000071"/>
    <n v="50509.618744000079"/>
    <n v="27080.661170528248"/>
  </r>
  <r>
    <x v="0"/>
    <x v="36"/>
    <x v="36"/>
    <x v="0"/>
    <x v="2"/>
    <m/>
    <x v="1"/>
    <x v="5"/>
    <x v="4"/>
    <n v="54979.270000000004"/>
    <n v="29424.74"/>
    <n v="40138.799999999996"/>
    <n v="20868.259999999987"/>
    <n v="47260.937299999991"/>
    <n v="23575.050724999994"/>
    <n v="48344.239999999991"/>
    <n v="27014.955145158401"/>
    <n v="48344.239999999983"/>
    <n v="26672.639999999978"/>
    <n v="49794.567199999983"/>
    <n v="27472.819199999976"/>
    <n v="51288.404215999981"/>
    <n v="27498.205907871259"/>
  </r>
  <r>
    <x v="0"/>
    <x v="36"/>
    <x v="36"/>
    <x v="0"/>
    <x v="2"/>
    <m/>
    <x v="1"/>
    <x v="5"/>
    <x v="5"/>
    <n v="50442.73"/>
    <n v="27078.820000000003"/>
    <n v="34753.58"/>
    <n v="18266.269999999997"/>
    <n v="40145.720150000001"/>
    <n v="21550.461927750002"/>
    <n v="45889.229999999981"/>
    <n v="25524.670000000038"/>
    <n v="45889.229999999989"/>
    <n v="25524.669999999976"/>
    <n v="46807.014599999988"/>
    <n v="26035.163399999972"/>
    <n v="48211.225037999997"/>
    <n v="25848.380612163179"/>
  </r>
  <r>
    <x v="0"/>
    <x v="36"/>
    <x v="36"/>
    <x v="0"/>
    <x v="2"/>
    <m/>
    <x v="1"/>
    <x v="5"/>
    <x v="6"/>
    <n v="55363.75"/>
    <n v="29496.17"/>
    <n v="47905.08"/>
    <n v="25082.670000000002"/>
    <n v="43418.736550000001"/>
    <n v="23324.12899075"/>
    <n v="40094.92"/>
    <n v="22106.440000000024"/>
    <n v="40094.919999999984"/>
    <n v="22106.439999999981"/>
    <n v="40896.818399999975"/>
    <n v="22548.568799999975"/>
    <n v="45804.436607999975"/>
    <n v="24557.984374719388"/>
  </r>
  <r>
    <x v="0"/>
    <x v="36"/>
    <x v="36"/>
    <x v="0"/>
    <x v="2"/>
    <m/>
    <x v="1"/>
    <x v="5"/>
    <x v="7"/>
    <n v="142224.19"/>
    <n v="53048.75"/>
    <n v="69673.42"/>
    <n v="28352.309999999994"/>
    <n v="76952.615500000044"/>
    <n v="32135.319914500018"/>
    <n v="71635.177683835063"/>
    <n v="32616.212751226944"/>
    <n v="108168.78999999992"/>
    <n v="48898.629999999932"/>
    <n v="108168.79000000018"/>
    <n v="49250.331774900085"/>
    <n v="109250.47790000019"/>
    <n v="50188.692658900552"/>
  </r>
  <r>
    <x v="0"/>
    <x v="36"/>
    <x v="36"/>
    <x v="0"/>
    <x v="2"/>
    <m/>
    <x v="1"/>
    <x v="5"/>
    <x v="8"/>
    <n v="45246.47"/>
    <n v="22874.46"/>
    <n v="53540.2"/>
    <n v="26139.570000000003"/>
    <n v="41825.331999999988"/>
    <n v="21528.156681999993"/>
    <n v="43726.293339399985"/>
    <n v="23000.030296524394"/>
    <n v="38708.520000000004"/>
    <n v="20863.590000000018"/>
    <n v="40643.946000000004"/>
    <n v="21906.769500000017"/>
    <n v="45114.780060000005"/>
    <n v="23971.794770492612"/>
  </r>
  <r>
    <x v="0"/>
    <x v="36"/>
    <x v="36"/>
    <x v="0"/>
    <x v="2"/>
    <m/>
    <x v="1"/>
    <x v="5"/>
    <x v="9"/>
    <n v="28680.85"/>
    <n v="15167.109999999999"/>
    <n v="46931.02"/>
    <n v="24342.45"/>
    <n v="43711.641024999975"/>
    <n v="22963.983039374991"/>
    <n v="45698.335109586224"/>
    <n v="24928.441802279285"/>
    <n v="39045.330000000016"/>
    <n v="20600.880000000019"/>
    <n v="45698.335109586224"/>
    <n v="24928.441802279285"/>
    <n v="47983.251865065547"/>
    <n v="25726.153115584788"/>
  </r>
  <r>
    <x v="0"/>
    <x v="36"/>
    <x v="36"/>
    <x v="0"/>
    <x v="2"/>
    <m/>
    <x v="1"/>
    <x v="5"/>
    <x v="10"/>
    <n v="48088.53"/>
    <n v="22206.84"/>
    <n v="62515.17"/>
    <n v="31305.449999999993"/>
    <n v="70667.147975000116"/>
    <n v="33672.085001125051"/>
    <n v="73878.969850463865"/>
    <n v="35225.49282470117"/>
    <n v="76664.080459770106"/>
    <n v="32246.763018555157"/>
    <n v="71297.594827586203"/>
    <n v="33994.6932137931"/>
    <n v="74149.498620689657"/>
    <n v="36435.08869685205"/>
  </r>
  <r>
    <x v="0"/>
    <x v="36"/>
    <x v="36"/>
    <x v="0"/>
    <x v="2"/>
    <m/>
    <x v="1"/>
    <x v="5"/>
    <x v="11"/>
    <n v="144927.30999999997"/>
    <n v="71654.949999999968"/>
    <n v="129331.34"/>
    <n v="69365.930000000008"/>
    <n v="128804.81620000009"/>
    <n v="70027.683458000058"/>
    <n v="134658.99509629011"/>
    <n v="71099.949410841189"/>
    <n v="125708.83620689655"/>
    <n v="61991.78310483072"/>
    <n v="134658.99509629011"/>
    <n v="71099.949410841189"/>
    <n v="141391.94485110461"/>
    <n v="75128.786611921008"/>
  </r>
  <r>
    <x v="0"/>
    <x v="37"/>
    <x v="37"/>
    <x v="2"/>
    <x v="0"/>
    <m/>
    <x v="0"/>
    <x v="1"/>
    <x v="0"/>
    <n v="60329.020000000004"/>
    <n v="26836.71"/>
    <n v="50056.74"/>
    <n v="20858.829999999998"/>
    <n v="45722.354883333348"/>
    <n v="18933.291470083335"/>
    <n v="37460.619999999966"/>
    <n v="17009.75591379487"/>
    <n v="37460.619999999966"/>
    <n v="17149.95999999997"/>
    <n v="45722.354883333348"/>
    <n v="20932.289891490611"/>
    <n v="48922.919725166677"/>
    <n v="23586.388815268918"/>
  </r>
  <r>
    <x v="0"/>
    <x v="37"/>
    <x v="37"/>
    <x v="2"/>
    <x v="0"/>
    <m/>
    <x v="0"/>
    <x v="1"/>
    <x v="1"/>
    <n v="75551.12000000001"/>
    <n v="28147.920000000006"/>
    <n v="44977.429999999993"/>
    <n v="17341.249999999993"/>
    <n v="60621.263100000011"/>
    <n v="21434.615673"/>
    <n v="44540.80999999999"/>
    <n v="16725.191582696953"/>
    <n v="44540.81"/>
    <n v="16701.280000000006"/>
    <n v="60621.263100000011"/>
    <n v="22730.899796989965"/>
    <n v="64864.751517000026"/>
    <n v="26303.196972513924"/>
  </r>
  <r>
    <x v="0"/>
    <x v="37"/>
    <x v="37"/>
    <x v="2"/>
    <x v="0"/>
    <m/>
    <x v="0"/>
    <x v="1"/>
    <x v="2"/>
    <n v="59349.25"/>
    <n v="25574.18"/>
    <n v="65436.630000000005"/>
    <n v="22942.119999999995"/>
    <n v="48212.16081999999"/>
    <n v="18209.618301999999"/>
    <n v="39310.460000000028"/>
    <n v="16713.786956157732"/>
    <n v="39310.460000000021"/>
    <n v="16188.60000000002"/>
    <n v="41027.320000000007"/>
    <n v="16895.627081239971"/>
    <n v="43899.232400000008"/>
    <n v="20947.441320694645"/>
  </r>
  <r>
    <x v="0"/>
    <x v="37"/>
    <x v="37"/>
    <x v="2"/>
    <x v="0"/>
    <m/>
    <x v="0"/>
    <x v="1"/>
    <x v="3"/>
    <n v="41944.93"/>
    <n v="20814.919999999998"/>
    <n v="46825.189999999988"/>
    <n v="18300.969999999994"/>
    <n v="4331.4148799999984"/>
    <n v="1732.5659519999997"/>
    <n v="34484.340000000011"/>
    <n v="14422.609882809655"/>
    <n v="34484.340000000018"/>
    <n v="14405.890000000003"/>
    <n v="39199.440000000024"/>
    <n v="16375.630813917278"/>
    <n v="41943.400800000025"/>
    <n v="20221.470121999995"/>
  </r>
  <r>
    <x v="0"/>
    <x v="37"/>
    <x v="37"/>
    <x v="2"/>
    <x v="0"/>
    <m/>
    <x v="0"/>
    <x v="1"/>
    <x v="4"/>
    <n v="46474.240000000005"/>
    <n v="22092.450000000004"/>
    <n v="38588.11"/>
    <n v="16344.250000000002"/>
    <n v="32015.241599999994"/>
    <n v="12570.114014999999"/>
    <n v="32827.35"/>
    <n v="15077.573949069858"/>
    <n v="32827.35"/>
    <n v="15038.729999999996"/>
    <n v="39199.440000000024"/>
    <n v="17957.885553089123"/>
    <n v="41943.400800000025"/>
    <n v="20221.470121999995"/>
  </r>
  <r>
    <x v="0"/>
    <x v="37"/>
    <x v="37"/>
    <x v="2"/>
    <x v="0"/>
    <m/>
    <x v="0"/>
    <x v="1"/>
    <x v="5"/>
    <n v="46930.069999999992"/>
    <n v="21664.119999999995"/>
    <n v="31444.599999999991"/>
    <n v="13959.649999999994"/>
    <n v="40657.104899999991"/>
    <n v="18113.067304499993"/>
    <n v="162.36000000000001"/>
    <n v="99.760000000000048"/>
    <n v="162.36000000000001"/>
    <n v="99.760000000000019"/>
    <n v="41027.320000000007"/>
    <n v="25208.705612219765"/>
    <n v="41943.400800000025"/>
    <n v="20221.470121999995"/>
  </r>
  <r>
    <x v="0"/>
    <x v="37"/>
    <x v="37"/>
    <x v="2"/>
    <x v="0"/>
    <m/>
    <x v="0"/>
    <x v="1"/>
    <x v="6"/>
    <n v="57387.3"/>
    <n v="27017.199999999997"/>
    <n v="48220.12999999999"/>
    <n v="20821.839999999989"/>
    <n v="44347.249599999981"/>
    <n v="19265.620288999995"/>
    <n v="16392.630000000005"/>
    <n v="7911.3000000000056"/>
    <n v="16392.629999999997"/>
    <n v="7911.3000000000029"/>
    <n v="41027.320000000007"/>
    <n v="19800.327141892438"/>
    <n v="48410.088831067624"/>
    <n v="23339.146235867429"/>
  </r>
  <r>
    <x v="0"/>
    <x v="37"/>
    <x v="37"/>
    <x v="2"/>
    <x v="0"/>
    <m/>
    <x v="0"/>
    <x v="1"/>
    <x v="7"/>
    <n v="113268.12"/>
    <n v="31425.719999999994"/>
    <n v="69956.589999999967"/>
    <n v="20241.559999999983"/>
    <n v="74077.244040000034"/>
    <n v="21948.856086000011"/>
    <n v="70004.045075201982"/>
    <n v="24013.487582146539"/>
    <n v="75093.410000000018"/>
    <n v="29294.620000000046"/>
    <n v="75093.41000000012"/>
    <n v="25759.292432300044"/>
    <n v="80349.948700000125"/>
    <n v="32582.573400186207"/>
  </r>
  <r>
    <x v="0"/>
    <x v="37"/>
    <x v="37"/>
    <x v="2"/>
    <x v="0"/>
    <m/>
    <x v="0"/>
    <x v="1"/>
    <x v="8"/>
    <n v="42700.710000000006"/>
    <n v="18453.900000000001"/>
    <n v="43881.159999999982"/>
    <n v="14840.309999999983"/>
    <n v="42568.598144999996"/>
    <n v="16672.508427774996"/>
    <n v="44722.569211136994"/>
    <n v="20766.92501319146"/>
    <n v="41027.320000000007"/>
    <n v="20110.760000000031"/>
    <n v="41027.320000000007"/>
    <n v="20110.760000000031"/>
    <n v="43899.232400000008"/>
    <n v="20947.441320694645"/>
  </r>
  <r>
    <x v="0"/>
    <x v="37"/>
    <x v="37"/>
    <x v="2"/>
    <x v="0"/>
    <m/>
    <x v="0"/>
    <x v="1"/>
    <x v="9"/>
    <n v="36790.199999999997"/>
    <n v="16533.670000000002"/>
    <n v="36114.359999999993"/>
    <n v="13514.599999999993"/>
    <n v="43064.033574999972"/>
    <n v="17160.639556624988"/>
    <n v="45243.073673894971"/>
    <n v="21166.972018331762"/>
    <n v="39199.440000000017"/>
    <n v="19256.200000000019"/>
    <n v="45243.073673894971"/>
    <n v="21166.972018331762"/>
    <n v="48410.088831067624"/>
    <n v="23339.146235867429"/>
  </r>
  <r>
    <x v="0"/>
    <x v="37"/>
    <x v="37"/>
    <x v="2"/>
    <x v="0"/>
    <m/>
    <x v="0"/>
    <x v="1"/>
    <x v="10"/>
    <n v="38172.61"/>
    <n v="14690.28"/>
    <n v="34160.909999999996"/>
    <n v="13585.599999999997"/>
    <n v="48533.28793999998"/>
    <n v="18958.11868159999"/>
    <n v="50989.072309763978"/>
    <n v="19765.913880880005"/>
    <n v="45873.706896551725"/>
    <n v="19022.040536795208"/>
    <n v="50989.072309763978"/>
    <n v="19765.913880880005"/>
    <n v="54558.307371447459"/>
    <n v="23876.514721502695"/>
  </r>
  <r>
    <x v="0"/>
    <x v="37"/>
    <x v="37"/>
    <x v="2"/>
    <x v="0"/>
    <m/>
    <x v="0"/>
    <x v="1"/>
    <x v="11"/>
    <n v="114099.69999999998"/>
    <n v="47791.929999999986"/>
    <n v="79232.439999999988"/>
    <n v="35335.24"/>
    <n v="82607.946800000034"/>
    <n v="37190.772510500006"/>
    <n v="86787.908908080048"/>
    <n v="40043.941170188133"/>
    <n v="76141.810344827565"/>
    <n v="37975.040981206257"/>
    <n v="86787.908908080048"/>
    <n v="40043.941170188133"/>
    <n v="92863.062531645672"/>
    <n v="44311.56188602616"/>
  </r>
  <r>
    <x v="0"/>
    <x v="38"/>
    <x v="38"/>
    <x v="0"/>
    <x v="2"/>
    <m/>
    <x v="1"/>
    <x v="5"/>
    <x v="0"/>
    <n v="88258.01"/>
    <n v="46723.41"/>
    <n v="41867.359999999993"/>
    <n v="21545.769999999997"/>
    <n v="44148.554133333331"/>
    <n v="22801.495056916665"/>
    <n v="39744.02000000004"/>
    <n v="20726.295821027725"/>
    <n v="39744.020000000055"/>
    <n v="20659.760000000053"/>
    <n v="44148.554133333331"/>
    <n v="22949.327540134986"/>
    <n v="48121.924005333334"/>
    <n v="25648.785442851247"/>
  </r>
  <r>
    <x v="0"/>
    <x v="38"/>
    <x v="38"/>
    <x v="0"/>
    <x v="2"/>
    <m/>
    <x v="1"/>
    <x v="5"/>
    <x v="1"/>
    <n v="117926.99999999997"/>
    <n v="52475.130000000012"/>
    <n v="57056.609999999986"/>
    <n v="25220.709999999992"/>
    <n v="78611.043650000036"/>
    <n v="33454.645054000015"/>
    <n v="75203.270000000048"/>
    <n v="34297.243087737763"/>
    <n v="75203.270000000019"/>
    <n v="34302.440000000046"/>
    <n v="82541.595832500039"/>
    <n v="37649.667874130813"/>
    <n v="85843.259665800055"/>
    <n v="39489.19861693729"/>
  </r>
  <r>
    <x v="0"/>
    <x v="38"/>
    <x v="38"/>
    <x v="0"/>
    <x v="2"/>
    <m/>
    <x v="1"/>
    <x v="5"/>
    <x v="2"/>
    <n v="82480.19"/>
    <n v="38751.149999999987"/>
    <n v="74641.5"/>
    <n v="34559.699999999997"/>
    <n v="46827.367214999977"/>
    <n v="22777.910161949989"/>
    <n v="60958.530000000042"/>
    <n v="30893.079450125784"/>
    <n v="60958.530000000057"/>
    <n v="30627.120000000083"/>
    <n v="62177.700600000033"/>
    <n v="31239.66240000007"/>
    <n v="65908.362636000034"/>
    <n v="34828.255853434843"/>
  </r>
  <r>
    <x v="0"/>
    <x v="38"/>
    <x v="38"/>
    <x v="0"/>
    <x v="2"/>
    <m/>
    <x v="1"/>
    <x v="5"/>
    <x v="3"/>
    <n v="55020.859999999986"/>
    <n v="28360.76999999999"/>
    <n v="38230.269999999997"/>
    <n v="21430.249999999996"/>
    <n v="43343"/>
    <n v="23843"/>
    <n v="53993.85000000002"/>
    <n v="29297.007806422367"/>
    <n v="53993.850000000035"/>
    <n v="29161.710000000036"/>
    <n v="55613.665500000061"/>
    <n v="30036.561300000049"/>
    <n v="60618.895395000058"/>
    <n v="32309.619241256485"/>
  </r>
  <r>
    <x v="0"/>
    <x v="38"/>
    <x v="38"/>
    <x v="0"/>
    <x v="2"/>
    <m/>
    <x v="1"/>
    <x v="5"/>
    <x v="4"/>
    <n v="59124.510000000009"/>
    <n v="31152.830000000009"/>
    <n v="45870.659999999996"/>
    <n v="25423.14"/>
    <n v="47494"/>
    <n v="24658"/>
    <n v="55132.219999999987"/>
    <n v="30681.319175437729"/>
    <n v="55132.219999999979"/>
    <n v="30274.780000000006"/>
    <n v="55132.219999999979"/>
    <n v="30274.780000000006"/>
    <n v="60094.119799999979"/>
    <n v="32029.916030713401"/>
  </r>
  <r>
    <x v="0"/>
    <x v="38"/>
    <x v="38"/>
    <x v="0"/>
    <x v="2"/>
    <m/>
    <x v="1"/>
    <x v="5"/>
    <x v="5"/>
    <n v="53445.959999999992"/>
    <n v="28505.029999999988"/>
    <n v="42101.77"/>
    <n v="23274.139999999996"/>
    <n v="43192"/>
    <n v="23721"/>
    <n v="49913.029999999984"/>
    <n v="27749.611959038994"/>
    <n v="49913.029999999948"/>
    <n v="27749.519999999968"/>
    <n v="50911.290599999949"/>
    <n v="28304.510399999966"/>
    <n v="55493.306753999939"/>
    <n v="29577.701803650347"/>
  </r>
  <r>
    <x v="0"/>
    <x v="38"/>
    <x v="38"/>
    <x v="0"/>
    <x v="2"/>
    <m/>
    <x v="1"/>
    <x v="5"/>
    <x v="6"/>
    <n v="53334.939999999995"/>
    <n v="28581.899999999994"/>
    <n v="48214.179999999986"/>
    <n v="26818.029999999984"/>
    <n v="46128"/>
    <n v="25574"/>
    <n v="47235.00999999998"/>
    <n v="26292.740000000042"/>
    <n v="47235.009999999966"/>
    <n v="26292.739999999976"/>
    <n v="50541.460700000083"/>
    <n v="28133.231800000041"/>
    <n v="55595.6067700001"/>
    <n v="29632.227286897807"/>
  </r>
  <r>
    <x v="0"/>
    <x v="38"/>
    <x v="38"/>
    <x v="0"/>
    <x v="2"/>
    <m/>
    <x v="1"/>
    <x v="5"/>
    <x v="7"/>
    <n v="161412.84999999998"/>
    <n v="61842.049999999988"/>
    <n v="64762.89"/>
    <n v="29116.55"/>
    <n v="74452"/>
    <n v="33345"/>
    <n v="83468.872434441888"/>
    <n v="36705.436653045821"/>
    <n v="115662.23999999992"/>
    <n v="51618.879999999932"/>
    <n v="115662.24000000018"/>
    <n v="50862.47004000008"/>
    <n v="119132.10720000017"/>
    <n v="54802.572283369591"/>
  </r>
  <r>
    <x v="0"/>
    <x v="38"/>
    <x v="38"/>
    <x v="0"/>
    <x v="2"/>
    <m/>
    <x v="1"/>
    <x v="5"/>
    <x v="8"/>
    <n v="50385.53"/>
    <n v="24771.599999999995"/>
    <n v="38233.93"/>
    <n v="19736.999999999996"/>
    <n v="43094"/>
    <n v="23171"/>
    <n v="44830.972482780999"/>
    <n v="23850.077360839499"/>
    <n v="41860.049999999988"/>
    <n v="22452.939999999995"/>
    <n v="50232.059999999983"/>
    <n v="26943.527999999991"/>
    <n v="56259.90719999998"/>
    <n v="29729.678661169339"/>
  </r>
  <r>
    <x v="0"/>
    <x v="38"/>
    <x v="38"/>
    <x v="0"/>
    <x v="2"/>
    <m/>
    <x v="1"/>
    <x v="5"/>
    <x v="9"/>
    <n v="40964.659999999996"/>
    <n v="21631.539999999994"/>
    <n v="38049.979999999996"/>
    <n v="20446.749999999993"/>
    <n v="45714"/>
    <n v="24685"/>
    <n v="47555.909970163993"/>
    <n v="26013.082753679708"/>
    <n v="58293.329999999922"/>
    <n v="31020.159999999938"/>
    <n v="58293.329999999994"/>
    <n v="31886.451509999999"/>
    <n v="62956.796399999992"/>
    <n v="33555.710757822271"/>
  </r>
  <r>
    <x v="0"/>
    <x v="38"/>
    <x v="38"/>
    <x v="0"/>
    <x v="2"/>
    <m/>
    <x v="1"/>
    <x v="5"/>
    <x v="10"/>
    <n v="98470.559999999983"/>
    <n v="48947.649999999972"/>
    <n v="61274.039999999994"/>
    <n v="32289.189999999988"/>
    <n v="70195"/>
    <n v="34288"/>
    <n v="73023.797559226063"/>
    <n v="34817.746676238989"/>
    <n v="100144.54022988505"/>
    <n v="41176.247759329854"/>
    <n v="100144.54022988508"/>
    <n v="47748.916781609209"/>
    <n v="108156.10344827588"/>
    <n v="53042.323222710467"/>
  </r>
  <r>
    <x v="0"/>
    <x v="38"/>
    <x v="38"/>
    <x v="0"/>
    <x v="2"/>
    <m/>
    <x v="1"/>
    <x v="5"/>
    <x v="11"/>
    <n v="132572.25999999998"/>
    <n v="64412.969999999994"/>
    <n v="116109.75"/>
    <n v="62270.49"/>
    <n v="127066.21925000026"/>
    <n v="70035.011311250142"/>
    <n v="132186.98788577528"/>
    <n v="69794.729603689368"/>
    <n v="132551.29310344826"/>
    <n v="65541.20302430127"/>
    <n v="132551.29310344826"/>
    <n v="69987.082758620701"/>
    <n v="144480.90948275864"/>
    <n v="76348.704172692058"/>
  </r>
  <r>
    <x v="0"/>
    <x v="39"/>
    <x v="39"/>
    <x v="2"/>
    <x v="2"/>
    <m/>
    <x v="0"/>
    <x v="0"/>
    <x v="0"/>
    <n v="27958.709999999995"/>
    <n v="13898.859999999997"/>
    <n v="17301.519999999997"/>
    <n v="9033.2599999999966"/>
    <n v="23273.821331034476"/>
    <n v="11813.625398948272"/>
    <n v="19709.489999999998"/>
    <n v="10415.714689540859"/>
    <n v="19709.490000000005"/>
    <n v="10215.400000000009"/>
    <n v="19709.490000000013"/>
    <n v="10215.400000000012"/>
    <n v="22074.62880000002"/>
    <n v="11795.997839231595"/>
  </r>
  <r>
    <x v="0"/>
    <x v="39"/>
    <x v="39"/>
    <x v="2"/>
    <x v="2"/>
    <m/>
    <x v="0"/>
    <x v="0"/>
    <x v="1"/>
    <n v="40916.49"/>
    <n v="17145.129999999997"/>
    <n v="16841.73"/>
    <n v="7867.5800000000008"/>
    <n v="34649.198099999994"/>
    <n v="14847.551279499996"/>
    <n v="36459.64999999998"/>
    <n v="15454.037888360082"/>
    <n v="36459.649999999994"/>
    <n v="15363.25"/>
    <n v="36459.650000000009"/>
    <n v="15363.250000000007"/>
    <n v="36824.246500000008"/>
    <n v="16592.886282544685"/>
  </r>
  <r>
    <x v="0"/>
    <x v="39"/>
    <x v="39"/>
    <x v="2"/>
    <x v="2"/>
    <m/>
    <x v="0"/>
    <x v="0"/>
    <x v="2"/>
    <n v="24075.78"/>
    <n v="11004.380000000001"/>
    <n v="28290.12"/>
    <n v="12589.700000000003"/>
    <n v="28069.485049999999"/>
    <n v="13304.401714"/>
    <n v="25786.319999999992"/>
    <n v="12329.037027255075"/>
    <n v="25786.319999999985"/>
    <n v="12238.309999999979"/>
    <n v="25786.319999999956"/>
    <n v="12238.309999999967"/>
    <n v="26688.841199999959"/>
    <n v="14121.953479675169"/>
  </r>
  <r>
    <x v="0"/>
    <x v="39"/>
    <x v="39"/>
    <x v="2"/>
    <x v="2"/>
    <m/>
    <x v="0"/>
    <x v="0"/>
    <x v="3"/>
    <n v="13733.820000000002"/>
    <n v="6770.8199999999979"/>
    <n v="16588.64"/>
    <n v="8758.75"/>
    <n v="24385.623049999995"/>
    <n v="12924.264588499998"/>
    <n v="19757.370000000006"/>
    <n v="10459.085652808613"/>
    <n v="19757.370000000003"/>
    <n v="10334.170000000009"/>
    <n v="19757.37000000001"/>
    <n v="10334.170000000013"/>
    <n v="21021.841680000012"/>
    <n v="11233.421013808786"/>
  </r>
  <r>
    <x v="0"/>
    <x v="39"/>
    <x v="39"/>
    <x v="2"/>
    <x v="2"/>
    <m/>
    <x v="0"/>
    <x v="0"/>
    <x v="4"/>
    <n v="20034.159999999996"/>
    <n v="10363.109999999999"/>
    <n v="12793.170000000002"/>
    <n v="6632.7800000000007"/>
    <n v="25627.680899999992"/>
    <n v="12506.842729999997"/>
    <n v="19822.69000000001"/>
    <n v="10746.169964867291"/>
    <n v="19822.690000000017"/>
    <n v="10229.080000000027"/>
    <n v="19822.690000000017"/>
    <n v="10229.080000000027"/>
    <n v="21210.27830000002"/>
    <n v="11334.115706457582"/>
  </r>
  <r>
    <x v="0"/>
    <x v="39"/>
    <x v="39"/>
    <x v="2"/>
    <x v="2"/>
    <m/>
    <x v="0"/>
    <x v="0"/>
    <x v="5"/>
    <n v="19162.03"/>
    <n v="10213.41"/>
    <n v="6045.77"/>
    <n v="3048.4799999999991"/>
    <n v="22127.834499999997"/>
    <n v="11612.790864999997"/>
    <n v="15849.759999999998"/>
    <n v="8489.1754064158558"/>
    <n v="15849.76"/>
    <n v="8476.5"/>
    <n v="15849.76"/>
    <n v="8476.5000000000018"/>
    <n v="16959.243200000001"/>
    <n v="9062.4942305803579"/>
  </r>
  <r>
    <x v="0"/>
    <x v="39"/>
    <x v="39"/>
    <x v="2"/>
    <x v="2"/>
    <m/>
    <x v="0"/>
    <x v="0"/>
    <x v="6"/>
    <n v="19339.309999999998"/>
    <n v="10270.029999999999"/>
    <n v="13381.73"/>
    <n v="6980.1"/>
    <n v="23946.458499999997"/>
    <n v="12720.8208175"/>
    <n v="42551.91000000004"/>
    <n v="20532.190000000017"/>
    <n v="42595.01000000006"/>
    <n v="20559.310000000063"/>
    <n v="42595.010000000089"/>
    <n v="20559.310000000078"/>
    <n v="45576.660700000102"/>
    <n v="24354.755679361293"/>
  </r>
  <r>
    <x v="0"/>
    <x v="39"/>
    <x v="39"/>
    <x v="2"/>
    <x v="2"/>
    <m/>
    <x v="0"/>
    <x v="0"/>
    <x v="7"/>
    <n v="54087.459999999992"/>
    <n v="19011.519999999997"/>
    <n v="24121.789999999997"/>
    <n v="10435.469999999999"/>
    <n v="32881.970599999971"/>
    <n v="14029.03285999999"/>
    <n v="35998.841781091003"/>
    <n v="15875.489225461133"/>
    <n v="73896.549999999959"/>
    <n v="31045.619999999995"/>
    <n v="73896.550000000163"/>
    <n v="32588.37855000007"/>
    <n v="76852.412000000171"/>
    <n v="34629.448096250257"/>
  </r>
  <r>
    <x v="0"/>
    <x v="39"/>
    <x v="39"/>
    <x v="2"/>
    <x v="2"/>
    <m/>
    <x v="0"/>
    <x v="0"/>
    <x v="8"/>
    <n v="16968.710000000003"/>
    <n v="8282.4800000000032"/>
    <n v="11792.530000000002"/>
    <n v="5641.74"/>
    <n v="22597.388149999992"/>
    <n v="11928.411118749997"/>
    <n v="22577.050500664995"/>
    <n v="11740.066260345797"/>
    <n v="14375.310000000007"/>
    <n v="7530.2500000000091"/>
    <n v="14375.310000000007"/>
    <n v="7530.2500000000091"/>
    <n v="15094.075500000006"/>
    <n v="7986.7773363537854"/>
  </r>
  <r>
    <x v="0"/>
    <x v="39"/>
    <x v="39"/>
    <x v="2"/>
    <x v="2"/>
    <m/>
    <x v="0"/>
    <x v="0"/>
    <x v="9"/>
    <n v="11224.890000000001"/>
    <n v="5927.5099999999984"/>
    <n v="10340.669999999998"/>
    <n v="5389.7300000000005"/>
    <n v="24983.00752499999"/>
    <n v="13211.189899499996"/>
    <n v="24960.522818227491"/>
    <n v="13266.517877887914"/>
    <n v="18345.670000000002"/>
    <n v="9243.14"/>
    <n v="24960.522818227491"/>
    <n v="13266.517877887914"/>
    <n v="26707.759415503413"/>
    <n v="14271.799322668352"/>
  </r>
  <r>
    <x v="0"/>
    <x v="39"/>
    <x v="39"/>
    <x v="2"/>
    <x v="2"/>
    <m/>
    <x v="0"/>
    <x v="0"/>
    <x v="10"/>
    <n v="20750.66"/>
    <n v="9441.4200000000019"/>
    <n v="29524.47"/>
    <n v="14248.399999999998"/>
    <n v="37894.970975000018"/>
    <n v="17012.815025500007"/>
    <n v="37860.865501122513"/>
    <n v="17510.650294269162"/>
    <n v="41358.620689655159"/>
    <n v="16325.203268692552"/>
    <n v="37894.970975000018"/>
    <n v="17526.42407593751"/>
    <n v="40547.618943250025"/>
    <n v="19685.944892244195"/>
  </r>
  <r>
    <x v="0"/>
    <x v="39"/>
    <x v="39"/>
    <x v="2"/>
    <x v="2"/>
    <m/>
    <x v="0"/>
    <x v="0"/>
    <x v="11"/>
    <n v="72655.059999999983"/>
    <n v="31786.619999999984"/>
    <n v="58525.890000000007"/>
    <n v="29819.730000000003"/>
    <n v="66277.647350000072"/>
    <n v="36232.764517250042"/>
    <n v="66217.997467385081"/>
    <n v="33373.870723562082"/>
    <n v="50217.456896551732"/>
    <n v="23761.372476288019"/>
    <n v="66217.997467385081"/>
    <n v="33373.870723562082"/>
    <n v="71515.437264775886"/>
    <n v="37841.196272387984"/>
  </r>
  <r>
    <x v="0"/>
    <x v="40"/>
    <x v="40"/>
    <x v="3"/>
    <x v="3"/>
    <m/>
    <x v="1"/>
    <x v="1"/>
    <x v="0"/>
    <n v="0"/>
    <n v="0"/>
    <n v="0"/>
    <n v="0"/>
    <n v="0"/>
    <n v="0"/>
    <n v="0"/>
    <n v="0"/>
    <n v="0"/>
    <n v="0"/>
    <n v="0"/>
    <n v="0"/>
    <n v="0"/>
    <n v="0"/>
  </r>
  <r>
    <x v="0"/>
    <x v="40"/>
    <x v="40"/>
    <x v="3"/>
    <x v="3"/>
    <m/>
    <x v="1"/>
    <x v="1"/>
    <x v="1"/>
    <n v="0"/>
    <n v="0"/>
    <n v="0"/>
    <n v="0"/>
    <n v="0"/>
    <n v="0"/>
    <n v="0"/>
    <n v="0"/>
    <n v="0"/>
    <n v="0"/>
    <n v="0"/>
    <n v="0"/>
    <n v="0"/>
    <n v="0"/>
  </r>
  <r>
    <x v="0"/>
    <x v="40"/>
    <x v="40"/>
    <x v="3"/>
    <x v="3"/>
    <m/>
    <x v="1"/>
    <x v="1"/>
    <x v="2"/>
    <n v="0"/>
    <n v="0"/>
    <n v="0"/>
    <n v="0"/>
    <n v="0"/>
    <n v="0"/>
    <n v="0"/>
    <n v="0"/>
    <n v="0"/>
    <n v="0"/>
    <n v="0"/>
    <n v="0"/>
    <n v="0"/>
    <n v="0"/>
  </r>
  <r>
    <x v="0"/>
    <x v="40"/>
    <x v="40"/>
    <x v="3"/>
    <x v="3"/>
    <m/>
    <x v="1"/>
    <x v="1"/>
    <x v="3"/>
    <n v="0"/>
    <n v="0"/>
    <n v="0"/>
    <n v="0"/>
    <n v="0"/>
    <n v="0"/>
    <n v="0"/>
    <n v="0"/>
    <n v="0"/>
    <n v="0"/>
    <n v="0"/>
    <n v="0"/>
    <n v="0"/>
    <n v="0"/>
  </r>
  <r>
    <x v="0"/>
    <x v="40"/>
    <x v="40"/>
    <x v="3"/>
    <x v="3"/>
    <m/>
    <x v="1"/>
    <x v="1"/>
    <x v="4"/>
    <n v="0"/>
    <n v="0"/>
    <n v="0"/>
    <n v="0"/>
    <n v="0"/>
    <n v="0"/>
    <n v="0"/>
    <n v="0"/>
    <n v="0"/>
    <n v="0"/>
    <n v="0"/>
    <n v="0"/>
    <n v="56284.864000000111"/>
    <n v="27366.210314790591"/>
  </r>
  <r>
    <x v="0"/>
    <x v="40"/>
    <x v="40"/>
    <x v="3"/>
    <x v="3"/>
    <m/>
    <x v="1"/>
    <x v="1"/>
    <x v="5"/>
    <n v="0"/>
    <n v="0"/>
    <n v="0"/>
    <n v="0"/>
    <n v="0"/>
    <n v="0"/>
    <n v="0"/>
    <n v="0"/>
    <n v="0"/>
    <n v="0"/>
    <n v="0"/>
    <n v="0"/>
    <n v="53932.780499999921"/>
    <n v="26222.606028228685"/>
  </r>
  <r>
    <x v="0"/>
    <x v="40"/>
    <x v="40"/>
    <x v="3"/>
    <x v="3"/>
    <m/>
    <x v="1"/>
    <x v="1"/>
    <x v="6"/>
    <n v="0"/>
    <n v="0"/>
    <n v="0"/>
    <n v="0"/>
    <n v="21115.418309999986"/>
    <n v="9711.7337511499936"/>
    <n v="0"/>
    <n v="0"/>
    <n v="0"/>
    <n v="0"/>
    <n v="0"/>
    <n v="0"/>
    <n v="56284.864000000111"/>
    <n v="27366.210314790591"/>
  </r>
  <r>
    <x v="0"/>
    <x v="40"/>
    <x v="40"/>
    <x v="3"/>
    <x v="3"/>
    <m/>
    <x v="1"/>
    <x v="1"/>
    <x v="7"/>
    <n v="0"/>
    <n v="0"/>
    <n v="0"/>
    <n v="0"/>
    <n v="73841.260503000085"/>
    <n v="25103.873319520026"/>
    <n v="0"/>
    <n v="0"/>
    <n v="0"/>
    <n v="0"/>
    <n v="0"/>
    <n v="0"/>
    <n v="115944.80515500021"/>
    <n v="47930.319759177735"/>
  </r>
  <r>
    <x v="0"/>
    <x v="40"/>
    <x v="40"/>
    <x v="3"/>
    <x v="3"/>
    <m/>
    <x v="1"/>
    <x v="1"/>
    <x v="8"/>
    <n v="0"/>
    <n v="0"/>
    <n v="0"/>
    <n v="0"/>
    <n v="44623.457606999989"/>
    <n v="19493.064505504997"/>
    <n v="0"/>
    <n v="0"/>
    <n v="0"/>
    <n v="0"/>
    <n v="0"/>
    <n v="0"/>
    <n v="45499.290000000008"/>
    <n v="21908.408186853263"/>
  </r>
  <r>
    <x v="0"/>
    <x v="40"/>
    <x v="40"/>
    <x v="3"/>
    <x v="3"/>
    <m/>
    <x v="1"/>
    <x v="1"/>
    <x v="9"/>
    <n v="0"/>
    <n v="0"/>
    <n v="0"/>
    <n v="0"/>
    <n v="47741.664144999995"/>
    <n v="21158.694701274999"/>
    <n v="0"/>
    <n v="0"/>
    <n v="0"/>
    <n v="0"/>
    <n v="0"/>
    <n v="0"/>
    <n v="45393.248499999987"/>
    <n v="22070.608277965275"/>
  </r>
  <r>
    <x v="0"/>
    <x v="40"/>
    <x v="40"/>
    <x v="3"/>
    <x v="3"/>
    <m/>
    <x v="1"/>
    <x v="1"/>
    <x v="10"/>
    <n v="0"/>
    <n v="0"/>
    <n v="0"/>
    <n v="0"/>
    <n v="53325.274874999996"/>
    <n v="21687.778520049993"/>
    <n v="53325.274874999996"/>
    <n v="24289.662705562499"/>
    <n v="0"/>
    <n v="0"/>
    <n v="0"/>
    <n v="0"/>
    <n v="52444.081178160908"/>
    <n v="23281.31763258456"/>
  </r>
  <r>
    <x v="0"/>
    <x v="40"/>
    <x v="40"/>
    <x v="3"/>
    <x v="3"/>
    <m/>
    <x v="1"/>
    <x v="1"/>
    <x v="11"/>
    <n v="0"/>
    <n v="0"/>
    <n v="0"/>
    <n v="0"/>
    <n v="106034.7209250001"/>
    <n v="49571.608348050046"/>
    <n v="106034.7209250001"/>
    <n v="51654.814298613805"/>
    <n v="0"/>
    <n v="0"/>
    <n v="0"/>
    <n v="0"/>
    <n v="144893.32747575018"/>
    <n v="69767.729603915475"/>
  </r>
  <r>
    <x v="0"/>
    <x v="41"/>
    <x v="41"/>
    <x v="0"/>
    <x v="0"/>
    <m/>
    <x v="3"/>
    <x v="6"/>
    <x v="0"/>
    <n v="290317.75999999995"/>
    <n v="154588.88999999993"/>
    <n v="216549.51999999993"/>
    <n v="116213.50999999995"/>
    <n v="258703.83763666693"/>
    <n v="137803.6773181835"/>
    <n v="197419.84999999998"/>
    <n v="106851.71693059881"/>
    <n v="197419.85000000044"/>
    <n v="106083.1100000006"/>
    <n v="258703.83763666693"/>
    <n v="139013.92218377622"/>
    <n v="266464.952765767"/>
    <n v="142358.52822561041"/>
  </r>
  <r>
    <x v="0"/>
    <x v="41"/>
    <x v="41"/>
    <x v="0"/>
    <x v="0"/>
    <m/>
    <x v="3"/>
    <x v="6"/>
    <x v="1"/>
    <n v="446778.6999999999"/>
    <n v="167601.14999999985"/>
    <n v="297764.65999999992"/>
    <n v="131723.41999999987"/>
    <n v="378995.01798000035"/>
    <n v="156956.82026040016"/>
    <n v="361222.84000000055"/>
    <n v="154583.75843238298"/>
    <n v="361222.84"/>
    <n v="153993.08999999973"/>
    <n v="378995.01798000035"/>
    <n v="161569.55610377711"/>
    <n v="390364.86851940042"/>
    <n v="180039.56121624817"/>
  </r>
  <r>
    <x v="0"/>
    <x v="41"/>
    <x v="41"/>
    <x v="0"/>
    <x v="0"/>
    <m/>
    <x v="3"/>
    <x v="6"/>
    <x v="2"/>
    <n v="342340.92999999993"/>
    <n v="166167.32999999996"/>
    <n v="393786.55999999982"/>
    <n v="174133.89999999982"/>
    <n v="309827.31843000068"/>
    <n v="145913.23084225031"/>
    <n v="294854.31000000081"/>
    <n v="148376.33707091433"/>
    <n v="294854.30999999959"/>
    <n v="148125.7499999993"/>
    <n v="294854.30999999802"/>
    <n v="148125.74999999852"/>
    <n v="303699.93929999793"/>
    <n v="160033.03760130468"/>
  </r>
  <r>
    <x v="0"/>
    <x v="41"/>
    <x v="41"/>
    <x v="0"/>
    <x v="0"/>
    <m/>
    <x v="3"/>
    <x v="6"/>
    <x v="3"/>
    <n v="292777.31999999995"/>
    <n v="159235.15"/>
    <n v="255730.62999999995"/>
    <n v="136689.75999999992"/>
    <n v="260140.7057700005"/>
    <n v="141215.37478875028"/>
    <n v="265827.99000000017"/>
    <n v="146910.47306618124"/>
    <n v="265827.98999999964"/>
    <n v="144802.33999999968"/>
    <n v="265827.98999999947"/>
    <n v="144802.33999999956"/>
    <n v="273802.82969999954"/>
    <n v="145478.83429787075"/>
  </r>
  <r>
    <x v="0"/>
    <x v="41"/>
    <x v="41"/>
    <x v="0"/>
    <x v="0"/>
    <m/>
    <x v="3"/>
    <x v="6"/>
    <x v="4"/>
    <n v="309640.72999999986"/>
    <n v="166056.35999999987"/>
    <n v="254554.05999999997"/>
    <n v="137947.91999999998"/>
    <n v="259821.82710000058"/>
    <n v="135796.09963700033"/>
    <n v="260690.59000000203"/>
    <n v="144929.49070249006"/>
    <n v="260690.5900000011"/>
    <n v="144629.62000000107"/>
    <n v="260690.5900000011"/>
    <n v="144629.62000000107"/>
    <n v="0"/>
    <n v="0"/>
  </r>
  <r>
    <x v="0"/>
    <x v="41"/>
    <x v="41"/>
    <x v="0"/>
    <x v="0"/>
    <m/>
    <x v="3"/>
    <x v="6"/>
    <x v="5"/>
    <n v="291598.17000000004"/>
    <n v="157094.42000000004"/>
    <n v="238500.7099999999"/>
    <n v="128609.27999999991"/>
    <n v="241786.03660000025"/>
    <n v="131420.40182100015"/>
    <n v="244802.31999999954"/>
    <n v="135948.40324007391"/>
    <n v="244802.3199999994"/>
    <n v="135941.64999999938"/>
    <n v="244802.31999999913"/>
    <n v="135941.64999999924"/>
    <n v="0"/>
    <n v="0"/>
  </r>
  <r>
    <x v="0"/>
    <x v="41"/>
    <x v="41"/>
    <x v="0"/>
    <x v="0"/>
    <m/>
    <x v="3"/>
    <x v="6"/>
    <x v="6"/>
    <n v="282218.73000000004"/>
    <n v="152287.44000000006"/>
    <n v="273787.56999999995"/>
    <n v="149489.76999999993"/>
    <n v="259293.66040000069"/>
    <n v="142322.38727500039"/>
    <n v="279587.02000000112"/>
    <n v="153101.60000000097"/>
    <n v="279587.0200000006"/>
    <n v="153101.60000000065"/>
    <n v="279587.01999999769"/>
    <n v="153101.59999999905"/>
    <n v="321525.07299999741"/>
    <n v="171774.32043060008"/>
  </r>
  <r>
    <x v="0"/>
    <x v="41"/>
    <x v="41"/>
    <x v="0"/>
    <x v="0"/>
    <m/>
    <x v="3"/>
    <x v="6"/>
    <x v="7"/>
    <n v="642420.55999999971"/>
    <n v="195012.51999999964"/>
    <n v="432221.0999999998"/>
    <n v="169945.63999999984"/>
    <n v="456786.1743000024"/>
    <n v="187712.39331600099"/>
    <n v="451921.4505666091"/>
    <n v="202334.49950916049"/>
    <n v="515771.43000000226"/>
    <n v="220558.32000000204"/>
    <n v="515771.42999999668"/>
    <n v="230921.44446635834"/>
    <n v="551617.54438499652"/>
    <n v="254410.65182668559"/>
  </r>
  <r>
    <x v="0"/>
    <x v="41"/>
    <x v="41"/>
    <x v="0"/>
    <x v="0"/>
    <m/>
    <x v="3"/>
    <x v="6"/>
    <x v="8"/>
    <n v="262080.55999999994"/>
    <n v="135526.18"/>
    <n v="230791.73999999996"/>
    <n v="116807.18999999994"/>
    <n v="244035.75385000033"/>
    <n v="131464.24491400018"/>
    <n v="255870.26773295607"/>
    <n v="135816.26035783152"/>
    <n v="259017.49000000081"/>
    <n v="138758.76000000071"/>
    <n v="259017.49000000081"/>
    <n v="138758.76000000071"/>
    <n v="297870.11350000097"/>
    <n v="158266.43183941743"/>
  </r>
  <r>
    <x v="0"/>
    <x v="41"/>
    <x v="41"/>
    <x v="0"/>
    <x v="0"/>
    <m/>
    <x v="3"/>
    <x v="6"/>
    <x v="9"/>
    <n v="174082.77999999997"/>
    <n v="92158.76999999996"/>
    <n v="238951.20999999993"/>
    <n v="130166.48999999993"/>
    <n v="258140.8301100005"/>
    <n v="141735.19636205028"/>
    <n v="270659.36966618494"/>
    <n v="148125.49001359707"/>
    <n v="170382.07000000033"/>
    <n v="90606.970000000336"/>
    <n v="270659.36966618494"/>
    <n v="148125.49001359707"/>
    <n v="287297.15150000009"/>
    <n v="153488.10125473505"/>
  </r>
  <r>
    <x v="0"/>
    <x v="41"/>
    <x v="41"/>
    <x v="0"/>
    <x v="0"/>
    <m/>
    <x v="3"/>
    <x v="6"/>
    <x v="10"/>
    <n v="281059.00999999989"/>
    <n v="130584.67999999988"/>
    <n v="250229.34"/>
    <n v="130410.99999999999"/>
    <n v="349748.40404000017"/>
    <n v="173409.54949620008"/>
    <n v="363042.35836498073"/>
    <n v="180014.89630923726"/>
    <n v="132136.78160919558"/>
    <n v="51067.046846667712"/>
    <n v="363042.35836498073"/>
    <n v="180014.89630923726"/>
    <n v="417498.71211972786"/>
    <n v="207801.01050167507"/>
  </r>
  <r>
    <x v="0"/>
    <x v="41"/>
    <x v="41"/>
    <x v="0"/>
    <x v="0"/>
    <m/>
    <x v="3"/>
    <x v="6"/>
    <x v="11"/>
    <n v="577487.91999999993"/>
    <n v="276976.98999999976"/>
    <n v="496588.48999999993"/>
    <n v="268146.86999999988"/>
    <n v="496935.49644999928"/>
    <n v="271573.86064724962"/>
    <n v="515824.03951683856"/>
    <n v="272252.57769014378"/>
    <n v="585910.5747126441"/>
    <n v="280211.12929288979"/>
    <n v="515824.03951683856"/>
    <n v="272252.57769014378"/>
    <n v="593197.6454443644"/>
    <n v="312582.28538738465"/>
  </r>
  <r>
    <x v="0"/>
    <x v="42"/>
    <x v="42"/>
    <x v="0"/>
    <x v="1"/>
    <m/>
    <x v="3"/>
    <x v="2"/>
    <x v="0"/>
    <n v="20374.660000000003"/>
    <n v="9226.3100000000031"/>
    <n v="16115.030000000002"/>
    <n v="7182.8600000000006"/>
    <n v="15889.465783333328"/>
    <n v="6858.4904406666647"/>
    <n v="13096.83"/>
    <n v="4991.5042744379698"/>
    <n v="13096.829999999998"/>
    <n v="5153.6199999999981"/>
    <n v="15889.465783333328"/>
    <n v="6252.5258898758166"/>
    <n v="16604.491743583327"/>
    <n v="7655.9136456298093"/>
  </r>
  <r>
    <x v="0"/>
    <x v="42"/>
    <x v="42"/>
    <x v="0"/>
    <x v="1"/>
    <m/>
    <x v="3"/>
    <x v="2"/>
    <x v="1"/>
    <n v="45857.109999999993"/>
    <n v="17497.329999999998"/>
    <n v="16728.46"/>
    <n v="6796.5199999999995"/>
    <n v="28005.429549999979"/>
    <n v="9883.4019599999938"/>
    <n v="22580.330000000005"/>
    <n v="7413.624655603875"/>
    <n v="22580.330000000009"/>
    <n v="7448.4100000000089"/>
    <n v="28005.429549999979"/>
    <n v="9237.9483167214785"/>
    <n v="29265.673879749975"/>
    <n v="11744.211212971037"/>
  </r>
  <r>
    <x v="0"/>
    <x v="42"/>
    <x v="42"/>
    <x v="0"/>
    <x v="1"/>
    <m/>
    <x v="3"/>
    <x v="2"/>
    <x v="2"/>
    <n v="34812.31"/>
    <n v="14939.989999999996"/>
    <n v="28596.979999999996"/>
    <n v="10808.239999999998"/>
    <n v="17270.598749999997"/>
    <n v="6727.6298325000007"/>
    <n v="20191.809999999998"/>
    <n v="8601.1643319943141"/>
    <n v="20191.809999999998"/>
    <n v="8753.6800000000021"/>
    <n v="20191.810000000016"/>
    <n v="8753.6800000000112"/>
    <n v="21100.44145000002"/>
    <n v="9623.7704578125213"/>
  </r>
  <r>
    <x v="0"/>
    <x v="42"/>
    <x v="42"/>
    <x v="0"/>
    <x v="1"/>
    <m/>
    <x v="3"/>
    <x v="2"/>
    <x v="3"/>
    <n v="23629.599999999999"/>
    <n v="11382.99"/>
    <n v="7943.71"/>
    <n v="3403.2699999999995"/>
    <n v="14751.828149999998"/>
    <n v="6539.3514689999993"/>
    <n v="16977.440000000002"/>
    <n v="7789.7899557336596"/>
    <n v="16977.440000000002"/>
    <n v="7748.5800000000017"/>
    <n v="16977.440000000006"/>
    <n v="7748.5800000000036"/>
    <n v="0"/>
    <n v="0"/>
  </r>
  <r>
    <x v="0"/>
    <x v="42"/>
    <x v="42"/>
    <x v="0"/>
    <x v="1"/>
    <m/>
    <x v="3"/>
    <x v="2"/>
    <x v="4"/>
    <n v="22831.29"/>
    <n v="10253.960000000003"/>
    <n v="8168.93"/>
    <n v="3879.1699999999996"/>
    <n v="16588.766850000004"/>
    <n v="7187.4238260000011"/>
    <n v="16122.060000000003"/>
    <n v="7709.1490702867413"/>
    <n v="16122.059999999998"/>
    <n v="7715.07"/>
    <n v="16122.059999999998"/>
    <n v="7715.07"/>
    <n v="0"/>
    <n v="0"/>
  </r>
  <r>
    <x v="0"/>
    <x v="42"/>
    <x v="42"/>
    <x v="0"/>
    <x v="1"/>
    <m/>
    <x v="3"/>
    <x v="2"/>
    <x v="5"/>
    <n v="19525.71"/>
    <n v="8958.49"/>
    <n v="12957.689999999999"/>
    <n v="5803.8499999999995"/>
    <n v="14630.657449999995"/>
    <n v="6440.5354544999964"/>
    <n v="15095.649999999998"/>
    <n v="7248.8826173852649"/>
    <n v="15095.649999999992"/>
    <n v="7247.4399999999914"/>
    <n v="15095.649999999994"/>
    <n v="7247.4399999999923"/>
    <n v="0"/>
    <n v="0"/>
  </r>
  <r>
    <x v="0"/>
    <x v="42"/>
    <x v="42"/>
    <x v="0"/>
    <x v="1"/>
    <m/>
    <x v="3"/>
    <x v="2"/>
    <x v="6"/>
    <n v="17240.7"/>
    <n v="8067.2000000000007"/>
    <n v="19451.670000000006"/>
    <n v="8995.8300000000036"/>
    <n v="16422.656199999987"/>
    <n v="7557.6201634999943"/>
    <n v="14246.249999999993"/>
    <n v="6899.4900000000043"/>
    <n v="14246.249999999989"/>
    <n v="6899.4899999999916"/>
    <n v="14246.250000000013"/>
    <n v="6899.4900000000034"/>
    <n v="0"/>
    <n v="0"/>
  </r>
  <r>
    <x v="0"/>
    <x v="42"/>
    <x v="42"/>
    <x v="0"/>
    <x v="1"/>
    <m/>
    <x v="3"/>
    <x v="2"/>
    <x v="7"/>
    <n v="57792.329999999994"/>
    <n v="16850.900000000001"/>
    <n v="39860.74"/>
    <n v="12976.689999999999"/>
    <n v="35709.913299999971"/>
    <n v="11744.30636599999"/>
    <n v="28343.736428998986"/>
    <n v="9825.3562331124976"/>
    <n v="53022.7"/>
    <n v="17036.449999999968"/>
    <n v="53022.700000000099"/>
    <n v="18380.318955000032"/>
    <n v="0"/>
    <n v="0"/>
  </r>
  <r>
    <x v="0"/>
    <x v="42"/>
    <x v="42"/>
    <x v="0"/>
    <x v="1"/>
    <m/>
    <x v="3"/>
    <x v="2"/>
    <x v="8"/>
    <n v="15849.689999999999"/>
    <n v="7042.869999999999"/>
    <n v="15922.61"/>
    <n v="6391.6800000000012"/>
    <n v="14039.641149999996"/>
    <n v="5903.8693447499973"/>
    <n v="14038.237185884997"/>
    <n v="6306.6780557588345"/>
    <n v="11982.39"/>
    <n v="5816.46"/>
    <n v="11982.39"/>
    <n v="5816.46"/>
    <n v="0"/>
    <n v="0"/>
  </r>
  <r>
    <x v="0"/>
    <x v="42"/>
    <x v="42"/>
    <x v="0"/>
    <x v="1"/>
    <m/>
    <x v="3"/>
    <x v="2"/>
    <x v="9"/>
    <n v="10730.130000000001"/>
    <n v="4735.08"/>
    <n v="13668.680000000004"/>
    <n v="5901.6500000000015"/>
    <n v="14726.261874999995"/>
    <n v="6506.2663704999968"/>
    <n v="14724.789248812496"/>
    <n v="6788.1278437025612"/>
    <n v="10788.499999999995"/>
    <n v="5500.3299999999963"/>
    <n v="14724.789248812496"/>
    <n v="6788.1278437025612"/>
    <n v="0"/>
    <n v="0"/>
  </r>
  <r>
    <x v="0"/>
    <x v="42"/>
    <x v="42"/>
    <x v="0"/>
    <x v="1"/>
    <m/>
    <x v="3"/>
    <x v="2"/>
    <x v="10"/>
    <n v="14651.420000000002"/>
    <n v="6103.9600000000009"/>
    <n v="13212.670000000002"/>
    <n v="5055.1899999999987"/>
    <n v="21072.513674999995"/>
    <n v="7974.6499157499975"/>
    <n v="21070.406423632496"/>
    <n v="8475.570983906171"/>
    <n v="7780.0287356321842"/>
    <n v="2776.0617313195157"/>
    <n v="21070.406423632496"/>
    <n v="8475.570983906171"/>
    <n v="0"/>
    <n v="0"/>
  </r>
  <r>
    <x v="0"/>
    <x v="42"/>
    <x v="42"/>
    <x v="0"/>
    <x v="1"/>
    <m/>
    <x v="3"/>
    <x v="2"/>
    <x v="11"/>
    <n v="36270.259999999995"/>
    <n v="15314.099999999999"/>
    <n v="29663.549999999996"/>
    <n v="12400.570000000003"/>
    <n v="30106.006099999995"/>
    <n v="13744.764126999999"/>
    <n v="30102.995499389996"/>
    <n v="13877.48092521879"/>
    <n v="36527.083333333314"/>
    <n v="16122.889989025844"/>
    <n v="30102.995499389996"/>
    <n v="13877.48092521879"/>
    <n v="0"/>
    <n v="0"/>
  </r>
  <r>
    <x v="0"/>
    <x v="43"/>
    <x v="43"/>
    <x v="0"/>
    <x v="2"/>
    <m/>
    <x v="2"/>
    <x v="2"/>
    <x v="0"/>
    <n v="0"/>
    <n v="0"/>
    <n v="27333.749999999996"/>
    <n v="12646.26"/>
    <n v="34069.566583333319"/>
    <n v="15189.03687616666"/>
    <n v="24658.309999999987"/>
    <n v="10505.271384081221"/>
    <n v="24658.309999999998"/>
    <n v="10609.93"/>
    <n v="34069.566583333319"/>
    <n v="14659.387305111573"/>
    <n v="35773.044912499987"/>
    <n v="16021.550724884206"/>
  </r>
  <r>
    <x v="0"/>
    <x v="43"/>
    <x v="43"/>
    <x v="0"/>
    <x v="2"/>
    <m/>
    <x v="2"/>
    <x v="2"/>
    <x v="1"/>
    <n v="0"/>
    <n v="0"/>
    <n v="29793"/>
    <n v="13376.51"/>
    <n v="47259.126699999979"/>
    <n v="19776.380384999989"/>
    <n v="44469.440000000031"/>
    <n v="15834.495312925052"/>
    <n v="44469.440000000039"/>
    <n v="15966.880000000041"/>
    <n v="47259.126699999979"/>
    <n v="16968.525012316255"/>
    <n v="49149.491767999978"/>
    <n v="18742.28870986493"/>
  </r>
  <r>
    <x v="0"/>
    <x v="43"/>
    <x v="43"/>
    <x v="0"/>
    <x v="2"/>
    <m/>
    <x v="2"/>
    <x v="2"/>
    <x v="2"/>
    <n v="0"/>
    <n v="0"/>
    <n v="49162.79"/>
    <n v="20038.46"/>
    <n v="37387.124909999962"/>
    <n v="15456.487139249988"/>
    <n v="40433.649999999987"/>
    <n v="15640.127101749384"/>
    <n v="40433.65"/>
    <n v="15725.140000000007"/>
    <n v="40433.650000000038"/>
    <n v="15725.140000000021"/>
    <n v="40837.986500000043"/>
    <n v="18063.541594634375"/>
  </r>
  <r>
    <x v="0"/>
    <x v="43"/>
    <x v="43"/>
    <x v="0"/>
    <x v="2"/>
    <m/>
    <x v="2"/>
    <x v="2"/>
    <x v="3"/>
    <n v="0"/>
    <n v="0"/>
    <n v="34698.14"/>
    <n v="16132.52"/>
    <n v="33184.993989999974"/>
    <n v="15425.288810749991"/>
    <n v="36182.890000000043"/>
    <n v="15054.816714277444"/>
    <n v="36182.890000000014"/>
    <n v="15052.30000000001"/>
    <n v="36182.890000000029"/>
    <n v="15052.300000000016"/>
    <n v="38353.863400000031"/>
    <n v="17177.413034350422"/>
  </r>
  <r>
    <x v="0"/>
    <x v="43"/>
    <x v="43"/>
    <x v="0"/>
    <x v="2"/>
    <m/>
    <x v="2"/>
    <x v="2"/>
    <x v="4"/>
    <n v="0"/>
    <n v="0"/>
    <n v="34420.980000000003"/>
    <n v="15883.019999999997"/>
    <n v="35205.617099999996"/>
    <n v="15202.2534725"/>
    <n v="38848.200000000026"/>
    <n v="18542.899999999994"/>
    <n v="38848.200000000026"/>
    <n v="18542.900000000031"/>
    <n v="38848.200000000026"/>
    <n v="18542.900000000031"/>
    <n v="40790.61000000003"/>
    <n v="18268.750362528139"/>
  </r>
  <r>
    <x v="0"/>
    <x v="43"/>
    <x v="43"/>
    <x v="0"/>
    <x v="2"/>
    <m/>
    <x v="2"/>
    <x v="2"/>
    <x v="5"/>
    <n v="0"/>
    <n v="0"/>
    <n v="34681.449999999997"/>
    <n v="16502.359999999993"/>
    <n v="31550.937999999984"/>
    <n v="14938.210009999992"/>
    <n v="31063.43"/>
    <n v="14359.440000000035"/>
    <n v="31063.430000000008"/>
    <n v="14359.440000000002"/>
    <n v="31063.430000000015"/>
    <n v="14359.440000000006"/>
    <n v="32616.601500000019"/>
    <n v="14607.885257846367"/>
  </r>
  <r>
    <x v="0"/>
    <x v="43"/>
    <x v="43"/>
    <x v="0"/>
    <x v="2"/>
    <m/>
    <x v="2"/>
    <x v="2"/>
    <x v="6"/>
    <n v="6876.8300000000008"/>
    <n v="3612.4900000000011"/>
    <n v="30752.02"/>
    <n v="14232.16"/>
    <n v="33423.38069999998"/>
    <n v="15518.79643849999"/>
    <n v="28308.649999999991"/>
    <n v="13364.170000000009"/>
    <n v="28308.649999999987"/>
    <n v="13364.169999999998"/>
    <n v="28308.649999999991"/>
    <n v="13364.17"/>
    <n v="32838.033999999985"/>
    <n v="14707.057470878972"/>
  </r>
  <r>
    <x v="0"/>
    <x v="43"/>
    <x v="43"/>
    <x v="0"/>
    <x v="2"/>
    <m/>
    <x v="2"/>
    <x v="2"/>
    <x v="7"/>
    <n v="107992.21999999999"/>
    <n v="38702.929999999993"/>
    <n v="56983.380000000005"/>
    <n v="19665.099999999999"/>
    <n v="59461.857099999994"/>
    <n v="20628.386358500004"/>
    <n v="58954.280554294783"/>
    <n v="21992.894360779668"/>
    <n v="63604.279999999962"/>
    <n v="21270.97999999996"/>
    <n v="63604.280000000013"/>
    <n v="23727.576654000004"/>
    <n v="64876.365600000005"/>
    <n v="24739.453670477476"/>
  </r>
  <r>
    <x v="0"/>
    <x v="43"/>
    <x v="43"/>
    <x v="0"/>
    <x v="2"/>
    <m/>
    <x v="2"/>
    <x v="2"/>
    <x v="8"/>
    <n v="31992.52"/>
    <n v="15571.529999999999"/>
    <n v="40097.269999999997"/>
    <n v="16164.18"/>
    <n v="31812.098999999995"/>
    <n v="13854.127826999997"/>
    <n v="32289.280484999996"/>
    <n v="13819.812047579999"/>
    <n v="34147.39"/>
    <n v="15081.750000000007"/>
    <n v="34147.39"/>
    <n v="15081.750000000007"/>
    <n v="35171.811699999991"/>
    <n v="15557.2675847179"/>
  </r>
  <r>
    <x v="0"/>
    <x v="43"/>
    <x v="43"/>
    <x v="0"/>
    <x v="2"/>
    <m/>
    <x v="2"/>
    <x v="2"/>
    <x v="9"/>
    <n v="30046.769999999997"/>
    <n v="12840.499999999996"/>
    <n v="29096.81"/>
    <n v="12875.740000000002"/>
    <n v="33058.463299999981"/>
    <n v="14628.061491499991"/>
    <n v="33554.340249499983"/>
    <n v="15971.865958761995"/>
    <n v="35924.980000000018"/>
    <n v="15278.210000000021"/>
    <n v="35924.979999999996"/>
    <n v="17100.29048"/>
    <n v="37721.228999999992"/>
    <n v="16894.077239069389"/>
  </r>
  <r>
    <x v="0"/>
    <x v="43"/>
    <x v="43"/>
    <x v="0"/>
    <x v="2"/>
    <m/>
    <x v="2"/>
    <x v="2"/>
    <x v="10"/>
    <n v="21134.319999999996"/>
    <n v="9253.4800000000014"/>
    <n v="29931.29"/>
    <n v="12691.11"/>
    <n v="36687.75524999998"/>
    <n v="14641.904642499994"/>
    <n v="37238.071578749979"/>
    <n v="15044.180917814992"/>
    <n v="30636.637931034486"/>
    <n v="12224.113470202015"/>
    <n v="37238.071578749979"/>
    <n v="15044.180917814992"/>
    <n v="39472.355873474975"/>
    <n v="16365.216321740463"/>
  </r>
  <r>
    <x v="0"/>
    <x v="43"/>
    <x v="43"/>
    <x v="0"/>
    <x v="2"/>
    <m/>
    <x v="2"/>
    <x v="2"/>
    <x v="11"/>
    <n v="59088.919999999991"/>
    <n v="23899.759999999984"/>
    <n v="69476.460000000006"/>
    <n v="31480.660000000003"/>
    <n v="72681.269250000012"/>
    <n v="33094.591545000003"/>
    <n v="73771.488288750013"/>
    <n v="34229.970565980009"/>
    <n v="49252.155172413775"/>
    <n v="23405.370279139788"/>
    <n v="73771.488288750013"/>
    <n v="34229.970565980009"/>
    <n v="78197.777586075026"/>
    <n v="33938.246732442793"/>
  </r>
  <r>
    <x v="1"/>
    <x v="44"/>
    <x v="44"/>
    <x v="0"/>
    <x v="1"/>
    <m/>
    <x v="0"/>
    <x v="8"/>
    <x v="0"/>
    <n v="52671.330000000016"/>
    <n v="10863.36000000001"/>
    <n v="56226.840000000011"/>
    <n v="10923.930000000013"/>
    <n v="58244.800683333342"/>
    <n v="11829"/>
    <n v="56839.659999999974"/>
    <n v="16857.91438936233"/>
    <n v="56839.659999999974"/>
    <n v="16900.809999999954"/>
    <n v="58244.800683333342"/>
    <n v="17318.617138752848"/>
    <n v="61157.040717500015"/>
    <n v="14213.77564211603"/>
  </r>
  <r>
    <x v="1"/>
    <x v="44"/>
    <x v="44"/>
    <x v="0"/>
    <x v="1"/>
    <m/>
    <x v="0"/>
    <x v="8"/>
    <x v="1"/>
    <n v="82597.66"/>
    <n v="1154.0800000000045"/>
    <n v="53422.8"/>
    <n v="6533.5600000000049"/>
    <n v="70224.149250000017"/>
    <n v="8631"/>
    <n v="90031.769999999931"/>
    <n v="19010.070844016256"/>
    <n v="90031.76999999996"/>
    <n v="19169.809999999998"/>
    <n v="90031.770000000033"/>
    <n v="19169.810000000012"/>
    <n v="94533.358500000031"/>
    <n v="21017.244486686424"/>
  </r>
  <r>
    <x v="1"/>
    <x v="44"/>
    <x v="44"/>
    <x v="0"/>
    <x v="1"/>
    <m/>
    <x v="0"/>
    <x v="8"/>
    <x v="2"/>
    <n v="50161.01"/>
    <n v="4603.2500000000009"/>
    <n v="79525.039999999994"/>
    <n v="8967.7900000000027"/>
    <n v="60545.770090000013"/>
    <n v="10834"/>
    <n v="83897.330000000016"/>
    <n v="16546.334575126886"/>
    <n v="83897.329999999973"/>
    <n v="16574.819999999992"/>
    <n v="83897.330000000075"/>
    <n v="16574.820000000011"/>
    <n v="88092.196500000078"/>
    <n v="21066.351731751183"/>
  </r>
  <r>
    <x v="1"/>
    <x v="44"/>
    <x v="44"/>
    <x v="0"/>
    <x v="1"/>
    <m/>
    <x v="0"/>
    <x v="8"/>
    <x v="3"/>
    <n v="62777.170000000013"/>
    <n v="2881.0300000000152"/>
    <n v="58007.69"/>
    <n v="11716.070000000003"/>
    <n v="59834.953560000009"/>
    <n v="12467"/>
    <n v="81374.51999999999"/>
    <n v="20271.022255675325"/>
    <n v="81374.520000000077"/>
    <n v="20228.210000000152"/>
    <n v="81374.52000000012"/>
    <n v="20228.210000000163"/>
    <n v="85443.24600000013"/>
    <n v="21007.525426963621"/>
  </r>
  <r>
    <x v="1"/>
    <x v="44"/>
    <x v="44"/>
    <x v="0"/>
    <x v="1"/>
    <m/>
    <x v="0"/>
    <x v="8"/>
    <x v="4"/>
    <n v="43225.53"/>
    <n v="8286.2200000000048"/>
    <n v="47556.179999999993"/>
    <n v="10321.499999999989"/>
    <n v="57773.227874999975"/>
    <n v="12295"/>
    <n v="71366.879999999946"/>
    <n v="18927.078455067174"/>
    <n v="71366.879999999961"/>
    <n v="18730.639999999941"/>
    <n v="71366.879999999961"/>
    <n v="18730.639999999941"/>
    <n v="74935.223999999958"/>
    <n v="18927.940107759408"/>
  </r>
  <r>
    <x v="1"/>
    <x v="44"/>
    <x v="44"/>
    <x v="0"/>
    <x v="1"/>
    <m/>
    <x v="0"/>
    <x v="8"/>
    <x v="5"/>
    <n v="38086.550000000003"/>
    <n v="7462.6600000000026"/>
    <n v="27691.73"/>
    <n v="7088.15"/>
    <n v="58860.815574999971"/>
    <n v="13955"/>
    <n v="69033.16000000012"/>
    <n v="19050.996592627485"/>
    <n v="69033.160000000062"/>
    <n v="19059.280000000072"/>
    <n v="69033.160000000047"/>
    <n v="19059.280000000068"/>
    <n v="0"/>
    <n v="0"/>
  </r>
  <r>
    <x v="1"/>
    <x v="44"/>
    <x v="44"/>
    <x v="0"/>
    <x v="1"/>
    <m/>
    <x v="0"/>
    <x v="8"/>
    <x v="6"/>
    <n v="48262.880000000005"/>
    <n v="10676.560000000009"/>
    <n v="57451.829999999987"/>
    <n v="12932.359999999995"/>
    <n v="56337.896099999969"/>
    <n v="13327"/>
    <n v="72187.63"/>
    <n v="23728.989999999932"/>
    <n v="72187.629999999961"/>
    <n v="23728.989999999998"/>
    <n v="72187.63000000015"/>
    <n v="23728.990000000063"/>
    <n v="0"/>
    <n v="0"/>
  </r>
  <r>
    <x v="1"/>
    <x v="44"/>
    <x v="44"/>
    <x v="0"/>
    <x v="1"/>
    <m/>
    <x v="0"/>
    <x v="8"/>
    <x v="7"/>
    <n v="120964.12000000002"/>
    <n v="9287.6800000000439"/>
    <n v="93370.98000000001"/>
    <n v="8491.2400000000234"/>
    <n v="101953.5156999999"/>
    <n v="13320"/>
    <n v="107514.78243801305"/>
    <n v="22260.935703790601"/>
    <n v="120705.11000000026"/>
    <n v="11440.8200000004"/>
    <n v="120705.11000000019"/>
    <n v="24991.993025500036"/>
    <n v="0"/>
    <n v="0"/>
  </r>
  <r>
    <x v="1"/>
    <x v="44"/>
    <x v="44"/>
    <x v="0"/>
    <x v="1"/>
    <m/>
    <x v="0"/>
    <x v="8"/>
    <x v="8"/>
    <n v="47634.659999999996"/>
    <n v="9146.6299999999956"/>
    <n v="59148.039999999979"/>
    <n v="7822.9399999999896"/>
    <n v="53347.900750000008"/>
    <n v="11506"/>
    <n v="58191.890138100011"/>
    <n v="13197.920683321083"/>
    <n v="61925.210000000079"/>
    <n v="15538.63000000007"/>
    <n v="61925.210000000079"/>
    <n v="15538.630000000068"/>
    <n v="0"/>
    <n v="0"/>
  </r>
  <r>
    <x v="1"/>
    <x v="44"/>
    <x v="44"/>
    <x v="0"/>
    <x v="1"/>
    <m/>
    <x v="0"/>
    <x v="8"/>
    <x v="9"/>
    <n v="52823.260000000024"/>
    <n v="5276.3000000000247"/>
    <n v="62839.86"/>
    <n v="12470.289999999999"/>
    <n v="63033.414439999979"/>
    <n v="13321"/>
    <n v="68756.84847115197"/>
    <n v="15786.572408976494"/>
    <n v="53592.860000000073"/>
    <n v="14135.52000000012"/>
    <n v="68756.84847115197"/>
    <n v="15786.572408976494"/>
    <n v="0"/>
    <n v="0"/>
  </r>
  <r>
    <x v="1"/>
    <x v="44"/>
    <x v="44"/>
    <x v="0"/>
    <x v="1"/>
    <m/>
    <x v="0"/>
    <x v="8"/>
    <x v="10"/>
    <n v="42059.709999999992"/>
    <n v="3685.4499999999894"/>
    <n v="70138.399999999994"/>
    <n v="12131.289999999994"/>
    <n v="75487.111109999983"/>
    <n v="14279"/>
    <n v="81578.920976576977"/>
    <n v="17824.994233382073"/>
    <n v="44794.683908045983"/>
    <n v="15651.293561789458"/>
    <n v="81578.920976576977"/>
    <n v="17824.994233382073"/>
    <n v="0"/>
    <n v="0"/>
  </r>
  <r>
    <x v="1"/>
    <x v="44"/>
    <x v="44"/>
    <x v="0"/>
    <x v="1"/>
    <m/>
    <x v="0"/>
    <x v="8"/>
    <x v="11"/>
    <n v="115201.84"/>
    <n v="13036.040000000034"/>
    <n v="141676.30999999997"/>
    <n v="38913.089999999982"/>
    <n v="139696.31450000024"/>
    <n v="35546"/>
    <n v="150969.80708015026"/>
    <n v="34421.116014274259"/>
    <n v="99236.637931034449"/>
    <n v="32128.421989852959"/>
    <n v="150969.80708015026"/>
    <n v="34421.116014274259"/>
    <n v="0"/>
    <n v="0"/>
  </r>
  <r>
    <x v="1"/>
    <x v="45"/>
    <x v="45"/>
    <x v="0"/>
    <x v="1"/>
    <m/>
    <x v="3"/>
    <x v="8"/>
    <x v="0"/>
    <n v="71280.910000000018"/>
    <n v="15647.080000000013"/>
    <n v="73729.840000000011"/>
    <n v="17036.580000000002"/>
    <n v="106111.00979333326"/>
    <n v="24344.591499533315"/>
    <n v="59564.510000000053"/>
    <n v="16992.754170468263"/>
    <n v="59564.509999999966"/>
    <n v="17288.339999999967"/>
    <n v="59564.510000000235"/>
    <n v="17288.340000000044"/>
    <n v="60160.155100000236"/>
    <n v="13113.620113793942"/>
  </r>
  <r>
    <x v="1"/>
    <x v="45"/>
    <x v="45"/>
    <x v="0"/>
    <x v="1"/>
    <m/>
    <x v="3"/>
    <x v="8"/>
    <x v="1"/>
    <n v="94631.920000000013"/>
    <n v="9641.59"/>
    <n v="86652.770000000019"/>
    <n v="15222.720000000034"/>
    <n v="104312.92384000002"/>
    <n v="17339.021716300005"/>
    <n v="94546.540000000037"/>
    <n v="17946.969125978758"/>
    <n v="94546.54"/>
    <n v="17622.710000000036"/>
    <n v="94546.540000000154"/>
    <n v="17622.710000000065"/>
    <n v="94546.540000000154"/>
    <n v="19589.919759044962"/>
  </r>
  <r>
    <x v="1"/>
    <x v="45"/>
    <x v="45"/>
    <x v="0"/>
    <x v="1"/>
    <m/>
    <x v="3"/>
    <x v="8"/>
    <x v="2"/>
    <n v="77847.24000000002"/>
    <n v="7193.9200000000128"/>
    <n v="115610.05000000005"/>
    <n v="17037.990000000034"/>
    <n v="108933.1872999999"/>
    <n v="20576.707887999986"/>
    <n v="104897.81000000004"/>
    <n v="22207.909433714674"/>
    <n v="104897.81000000011"/>
    <n v="20546.750000000175"/>
    <n v="104897.81000000027"/>
    <n v="20546.750000000207"/>
    <n v="106995.76620000027"/>
    <n v="24091.704823754746"/>
  </r>
  <r>
    <x v="1"/>
    <x v="45"/>
    <x v="45"/>
    <x v="0"/>
    <x v="1"/>
    <m/>
    <x v="3"/>
    <x v="8"/>
    <x v="3"/>
    <n v="90230.46"/>
    <n v="9966.7600000000166"/>
    <n v="115190.1"/>
    <n v="25934.71000000001"/>
    <n v="107106.36784000001"/>
    <n v="22882.1643358"/>
    <n v="98134.180000000168"/>
    <n v="26323.061716187101"/>
    <n v="98134.180000000211"/>
    <n v="26373.860000000088"/>
    <n v="98134.180000000197"/>
    <n v="26373.860000000081"/>
    <n v="100096.8636000002"/>
    <n v="23257.662677861423"/>
  </r>
  <r>
    <x v="1"/>
    <x v="45"/>
    <x v="45"/>
    <x v="0"/>
    <x v="1"/>
    <m/>
    <x v="3"/>
    <x v="8"/>
    <x v="4"/>
    <n v="91034.229999999981"/>
    <n v="20020.5"/>
    <n v="110822.20999999999"/>
    <n v="30745.109999999979"/>
    <n v="107161.94310999998"/>
    <n v="22098.899650949996"/>
    <n v="97509.800000000119"/>
    <n v="28064.929021799235"/>
    <n v="97509.800000000105"/>
    <n v="28089.110000000219"/>
    <n v="97509.800000000105"/>
    <n v="28089.110000000219"/>
    <n v="0"/>
    <n v="0"/>
  </r>
  <r>
    <x v="1"/>
    <x v="45"/>
    <x v="45"/>
    <x v="0"/>
    <x v="1"/>
    <m/>
    <x v="3"/>
    <x v="8"/>
    <x v="5"/>
    <n v="75640.950000000012"/>
    <n v="16772.89"/>
    <n v="101896.81999999998"/>
    <n v="28837.949999999983"/>
    <n v="105377.63464999992"/>
    <n v="24528.479049249985"/>
    <n v="86055.559999999852"/>
    <n v="26212.256615879793"/>
    <n v="86055.559999999881"/>
    <n v="26215.44999999999"/>
    <n v="86055.559999999881"/>
    <n v="26215.44999999999"/>
    <n v="0"/>
    <n v="0"/>
  </r>
  <r>
    <x v="1"/>
    <x v="45"/>
    <x v="45"/>
    <x v="0"/>
    <x v="1"/>
    <m/>
    <x v="3"/>
    <x v="8"/>
    <x v="6"/>
    <n v="80941.73"/>
    <n v="19325.320000000003"/>
    <n v="107466.77"/>
    <n v="30142.800000000017"/>
    <n v="103285.55759999991"/>
    <n v="25930.587755499979"/>
    <n v="79957.609999999928"/>
    <n v="25298.8500000001"/>
    <n v="79957.609999999986"/>
    <n v="25298.849999999984"/>
    <n v="79957.610000000306"/>
    <n v="25298.850000000082"/>
    <n v="0"/>
    <n v="0"/>
  </r>
  <r>
    <x v="1"/>
    <x v="45"/>
    <x v="45"/>
    <x v="0"/>
    <x v="1"/>
    <m/>
    <x v="3"/>
    <x v="8"/>
    <x v="7"/>
    <n v="175479.7"/>
    <n v="20497.020000000051"/>
    <n v="122406.73000000001"/>
    <n v="20036.360000000022"/>
    <n v="130933.99423999985"/>
    <n v="21923.623788399978"/>
    <n v="138090.17110724773"/>
    <n v="29093.524413662206"/>
    <n v="127599.82000000012"/>
    <n v="10782.850000000122"/>
    <n v="127599.82000000031"/>
    <n v="26883.365040265846"/>
    <n v="0"/>
    <n v="0"/>
  </r>
  <r>
    <x v="1"/>
    <x v="45"/>
    <x v="45"/>
    <x v="0"/>
    <x v="1"/>
    <m/>
    <x v="3"/>
    <x v="8"/>
    <x v="8"/>
    <n v="97705.930000000022"/>
    <n v="15863.940000000002"/>
    <n v="89690.760000000009"/>
    <n v="16687.43"/>
    <n v="64975.07046000001"/>
    <n v="15172.510254600003"/>
    <n v="38985.042276000007"/>
    <n v="9350.9683583884653"/>
    <n v="88872.530000000072"/>
    <n v="23748.039999999994"/>
    <n v="88872.530000000072"/>
    <n v="23748.039999999994"/>
    <n v="0"/>
    <n v="0"/>
  </r>
  <r>
    <x v="1"/>
    <x v="45"/>
    <x v="45"/>
    <x v="0"/>
    <x v="1"/>
    <m/>
    <x v="3"/>
    <x v="8"/>
    <x v="9"/>
    <n v="84622.690000000031"/>
    <n v="12178.080000000053"/>
    <n v="86405.83"/>
    <n v="17707.430000000008"/>
    <n v="112589.05811999999"/>
    <n v="23932.328295599997"/>
    <n v="103581.93347039999"/>
    <n v="22914.958522037818"/>
    <n v="55497.850000000079"/>
    <n v="18119.200000000063"/>
    <n v="103581.93347039999"/>
    <n v="22914.958522037818"/>
    <n v="0"/>
    <n v="0"/>
  </r>
  <r>
    <x v="1"/>
    <x v="45"/>
    <x v="45"/>
    <x v="0"/>
    <x v="1"/>
    <m/>
    <x v="3"/>
    <x v="8"/>
    <x v="10"/>
    <n v="75798.080000000002"/>
    <n v="8665.1499999999978"/>
    <n v="76520.36"/>
    <n v="13530.140000000012"/>
    <n v="120716.53208"/>
    <n v="24849.520666400003"/>
    <n v="108644.878872"/>
    <n v="21493.066119835676"/>
    <n v="18890.804597701146"/>
    <n v="6720.6516820172228"/>
    <n v="108644.878872"/>
    <n v="21493.066119835676"/>
    <n v="0"/>
    <n v="0"/>
  </r>
  <r>
    <x v="1"/>
    <x v="45"/>
    <x v="45"/>
    <x v="0"/>
    <x v="1"/>
    <m/>
    <x v="3"/>
    <x v="8"/>
    <x v="11"/>
    <n v="174668.97000000003"/>
    <n v="31190.000000000047"/>
    <n v="186469.13"/>
    <n v="48745.589999999953"/>
    <n v="190847.27230000019"/>
    <n v="49439.405845500056"/>
    <n v="171762.54507000017"/>
    <n v="35986.983920221021"/>
    <n v="112545.25862068964"/>
    <n v="36185.96452351207"/>
    <n v="171762.54507000017"/>
    <n v="35986.983920221021"/>
    <n v="0"/>
    <n v="0"/>
  </r>
  <r>
    <x v="1"/>
    <x v="46"/>
    <x v="46"/>
    <x v="3"/>
    <x v="3"/>
    <m/>
    <x v="3"/>
    <x v="8"/>
    <x v="0"/>
    <n v="0"/>
    <n v="0"/>
    <n v="0"/>
    <n v="0"/>
    <n v="0"/>
    <n v="0"/>
    <n v="0"/>
    <n v="0"/>
    <n v="0"/>
    <n v="0"/>
    <n v="100098.06000000019"/>
    <n v="0"/>
    <n v="105102.96300000019"/>
    <n v="27213.817248082465"/>
  </r>
  <r>
    <x v="1"/>
    <x v="46"/>
    <x v="46"/>
    <x v="3"/>
    <x v="3"/>
    <m/>
    <x v="3"/>
    <x v="8"/>
    <x v="1"/>
    <n v="0"/>
    <n v="0"/>
    <n v="0"/>
    <n v="0"/>
    <n v="44172.638212499995"/>
    <n v="7877"/>
    <n v="0"/>
    <n v="0"/>
    <n v="0"/>
    <n v="0"/>
    <n v="129738.67999999993"/>
    <n v="0"/>
    <n v="136225.61399999994"/>
    <n v="33989.626598992414"/>
  </r>
  <r>
    <x v="1"/>
    <x v="46"/>
    <x v="46"/>
    <x v="3"/>
    <x v="3"/>
    <m/>
    <x v="3"/>
    <x v="8"/>
    <x v="2"/>
    <n v="0"/>
    <n v="0"/>
    <n v="0"/>
    <n v="0"/>
    <n v="125273.16539499989"/>
    <n v="26145"/>
    <n v="44265.350000000013"/>
    <n v="10625.745399287023"/>
    <n v="44265.350000000042"/>
    <n v="10622.470000000038"/>
    <n v="100098.06000000019"/>
    <n v="24020.789159200249"/>
    <n v="105102.96300000018"/>
    <n v="27873.54876810874"/>
  </r>
  <r>
    <x v="1"/>
    <x v="46"/>
    <x v="46"/>
    <x v="3"/>
    <x v="3"/>
    <m/>
    <x v="3"/>
    <x v="8"/>
    <x v="3"/>
    <n v="0"/>
    <n v="0"/>
    <n v="0"/>
    <n v="0"/>
    <n v="123172.32301599998"/>
    <n v="26440"/>
    <n v="141584.12000000014"/>
    <n v="40621.173440013416"/>
    <n v="141584.12000000017"/>
    <n v="40618.100000000268"/>
    <n v="141584.12000000011"/>
    <n v="40618.100000000246"/>
    <n v="148663.32600000012"/>
    <n v="40359.01775028347"/>
  </r>
  <r>
    <x v="1"/>
    <x v="46"/>
    <x v="46"/>
    <x v="3"/>
    <x v="3"/>
    <m/>
    <x v="3"/>
    <x v="8"/>
    <x v="4"/>
    <n v="0"/>
    <n v="0"/>
    <n v="0"/>
    <n v="0"/>
    <n v="123236.23457649995"/>
    <n v="25413.734598592488"/>
    <n v="104451.31000000027"/>
    <n v="31822.816887308796"/>
    <n v="104451.31000000019"/>
    <n v="31819.820000000269"/>
    <n v="104451.31000000019"/>
    <n v="31819.820000000273"/>
    <n v="135786.70300000024"/>
    <n v="37715.614393005191"/>
  </r>
  <r>
    <x v="1"/>
    <x v="46"/>
    <x v="46"/>
    <x v="3"/>
    <x v="3"/>
    <m/>
    <x v="3"/>
    <x v="8"/>
    <x v="5"/>
    <n v="0"/>
    <n v="0"/>
    <n v="0"/>
    <n v="0"/>
    <n v="121184.27984749989"/>
    <n v="28207.750906637477"/>
    <n v="120142.45000000006"/>
    <n v="39053.293660625881"/>
    <n v="120142.45000000017"/>
    <n v="39055.760000000242"/>
    <n v="120142.45000000007"/>
    <n v="39055.760000000206"/>
    <n v="156185.18500000006"/>
    <n v="43381.421606209638"/>
  </r>
  <r>
    <x v="1"/>
    <x v="46"/>
    <x v="46"/>
    <x v="3"/>
    <x v="3"/>
    <m/>
    <x v="3"/>
    <x v="8"/>
    <x v="6"/>
    <n v="0"/>
    <n v="0"/>
    <n v="0"/>
    <n v="0"/>
    <n v="118778.39123999988"/>
    <n v="29820.175918824971"/>
    <n v="100098.05999999998"/>
    <n v="35804.280000000137"/>
    <n v="100098.05999999988"/>
    <n v="35804.279999999912"/>
    <n v="100098.06000000019"/>
    <n v="35804.280000000021"/>
    <n v="130127.47800000024"/>
    <n v="36552.134132025509"/>
  </r>
  <r>
    <x v="1"/>
    <x v="46"/>
    <x v="46"/>
    <x v="3"/>
    <x v="3"/>
    <m/>
    <x v="3"/>
    <x v="8"/>
    <x v="7"/>
    <n v="0"/>
    <n v="0"/>
    <n v="0"/>
    <n v="0"/>
    <n v="150574.09337599983"/>
    <n v="27050"/>
    <n v="184120.22814299693"/>
    <n v="37183.080073478231"/>
    <n v="162173.34999999998"/>
    <n v="22499.600000000093"/>
    <n v="162173.34999999992"/>
    <n v="32750.908032499981"/>
    <n v="210825.35499999989"/>
    <n v="52602.993546059675"/>
  </r>
  <r>
    <x v="1"/>
    <x v="46"/>
    <x v="46"/>
    <x v="3"/>
    <x v="3"/>
    <m/>
    <x v="3"/>
    <x v="8"/>
    <x v="8"/>
    <n v="0"/>
    <n v="0"/>
    <n v="0"/>
    <n v="0"/>
    <n v="96451.331029000023"/>
    <n v="22446.286792790001"/>
    <n v="96919.119984490666"/>
    <n v="19926.571068811281"/>
    <n v="84944.220000000103"/>
    <n v="24323.390000000087"/>
    <n v="84944.220000000103"/>
    <n v="24323.39000000009"/>
    <n v="110427.48600000014"/>
    <n v="29285.62457711724"/>
  </r>
  <r>
    <x v="1"/>
    <x v="46"/>
    <x v="46"/>
    <x v="3"/>
    <x v="3"/>
    <m/>
    <x v="3"/>
    <x v="8"/>
    <x v="9"/>
    <n v="0"/>
    <n v="0"/>
    <n v="0"/>
    <n v="0"/>
    <n v="129477.41683799998"/>
    <n v="27522.177539939996"/>
    <n v="128791.18652875858"/>
    <n v="31837.181309909123"/>
    <n v="62054.210000000043"/>
    <n v="18839.94999999999"/>
    <n v="128791.18652875858"/>
    <n v="31837.181309909123"/>
    <n v="167428.54248738615"/>
    <n v="45453.385848184917"/>
  </r>
  <r>
    <x v="1"/>
    <x v="46"/>
    <x v="46"/>
    <x v="3"/>
    <x v="3"/>
    <m/>
    <x v="3"/>
    <x v="8"/>
    <x v="10"/>
    <n v="0"/>
    <n v="0"/>
    <n v="0"/>
    <n v="0"/>
    <n v="138824.01189199998"/>
    <n v="28576.948766359994"/>
    <n v="138088.24462897237"/>
    <n v="32726.913977066448"/>
    <n v="22858.620689655174"/>
    <n v="7827.593258344551"/>
    <n v="138088.24462897237"/>
    <n v="32726.913977066448"/>
    <n v="179514.7180176641"/>
    <n v="49297.939620750411"/>
  </r>
  <r>
    <x v="1"/>
    <x v="46"/>
    <x v="46"/>
    <x v="3"/>
    <x v="3"/>
    <m/>
    <x v="3"/>
    <x v="8"/>
    <x v="11"/>
    <n v="0"/>
    <n v="0"/>
    <n v="0"/>
    <n v="0"/>
    <n v="219474.36314500018"/>
    <n v="56855.316722325049"/>
    <n v="218311.14902033168"/>
    <n v="53813.698233511757"/>
    <n v="166062.06896551725"/>
    <n v="50370.969517966099"/>
    <n v="218311.14902033168"/>
    <n v="53813.698233511757"/>
    <n v="283804.49372643116"/>
    <n v="77937.769951801631"/>
  </r>
  <r>
    <x v="1"/>
    <x v="47"/>
    <x v="47"/>
    <x v="0"/>
    <x v="2"/>
    <m/>
    <x v="1"/>
    <x v="8"/>
    <x v="0"/>
    <n v="49714.13"/>
    <n v="11982.170000000002"/>
    <n v="43773.03"/>
    <n v="9735.7600000000057"/>
    <n v="49118.961899999995"/>
    <n v="13435"/>
    <n v="42478.809999999976"/>
    <n v="10415.49038501086"/>
    <n v="42478.80999999999"/>
    <n v="10533.200000000019"/>
    <n v="49610.151518999992"/>
    <n v="12301.513342297767"/>
    <n v="51594.557579759989"/>
    <n v="11013.627197502934"/>
  </r>
  <r>
    <x v="1"/>
    <x v="47"/>
    <x v="47"/>
    <x v="0"/>
    <x v="2"/>
    <m/>
    <x v="1"/>
    <x v="8"/>
    <x v="1"/>
    <n v="69682.660000000018"/>
    <n v="9496.1800000000148"/>
    <n v="45895.78"/>
    <n v="8187.0299999999952"/>
    <n v="61618.503900000003"/>
    <n v="11418"/>
    <n v="64207.479999999981"/>
    <n v="12336.943635706339"/>
    <n v="64207.479999999967"/>
    <n v="12583.199999999953"/>
    <n v="66133.704400000104"/>
    <n v="12960.69599999998"/>
    <n v="66133.704400000104"/>
    <n v="13420.526463207814"/>
  </r>
  <r>
    <x v="1"/>
    <x v="47"/>
    <x v="47"/>
    <x v="0"/>
    <x v="2"/>
    <m/>
    <x v="1"/>
    <x v="8"/>
    <x v="2"/>
    <n v="53416.930000000022"/>
    <n v="10708.500000000013"/>
    <n v="66760.509999999995"/>
    <n v="10368.960000000003"/>
    <n v="51567.836740000028"/>
    <n v="11183"/>
    <n v="56650.460000000006"/>
    <n v="10232.688276102734"/>
    <n v="56650.459999999992"/>
    <n v="10299.010000000017"/>
    <n v="60049.487600000008"/>
    <n v="10916.95060000002"/>
    <n v="62451.46710400001"/>
    <n v="13769.801029724233"/>
  </r>
  <r>
    <x v="1"/>
    <x v="47"/>
    <x v="47"/>
    <x v="0"/>
    <x v="2"/>
    <m/>
    <x v="1"/>
    <x v="8"/>
    <x v="3"/>
    <n v="55190.16"/>
    <n v="11360.949999999995"/>
    <n v="39896.83"/>
    <n v="8714.5799999999981"/>
    <n v="49743.923160000006"/>
    <n v="12181.477668600002"/>
    <n v="65037.370000000024"/>
    <n v="15601.524373356511"/>
    <n v="65037.370000000039"/>
    <n v="15712.240000000136"/>
    <n v="68939.612200000061"/>
    <n v="16654.974400000148"/>
    <n v="71007.800566000049"/>
    <n v="16155.067082172984"/>
  </r>
  <r>
    <x v="1"/>
    <x v="47"/>
    <x v="47"/>
    <x v="0"/>
    <x v="2"/>
    <m/>
    <x v="1"/>
    <x v="8"/>
    <x v="4"/>
    <n v="45796.75"/>
    <n v="11646.200000000004"/>
    <n v="40705.780000000006"/>
    <n v="10040.09"/>
    <n v="50851.312199999993"/>
    <n v="12515"/>
    <n v="52226.44999999999"/>
    <n v="13258.83716953932"/>
    <n v="52226.45"/>
    <n v="13226.179999999949"/>
    <n v="55360.036999999997"/>
    <n v="14019.750799999947"/>
    <n v="57020.838109999997"/>
    <n v="13373.341720911048"/>
  </r>
  <r>
    <x v="1"/>
    <x v="47"/>
    <x v="47"/>
    <x v="0"/>
    <x v="2"/>
    <m/>
    <x v="1"/>
    <x v="8"/>
    <x v="5"/>
    <n v="36937.949999999997"/>
    <n v="9337.0000000000036"/>
    <n v="39764.700000000012"/>
    <n v="10475.120000000006"/>
    <n v="50205.0409"/>
    <n v="11573"/>
    <n v="44158.46"/>
    <n v="10346.347690028531"/>
    <n v="44158.46"/>
    <n v="10352.590000000018"/>
    <n v="46807.967600000004"/>
    <n v="10973.74540000002"/>
    <n v="48680.286303999994"/>
    <n v="11417.196333720778"/>
  </r>
  <r>
    <x v="1"/>
    <x v="47"/>
    <x v="47"/>
    <x v="0"/>
    <x v="2"/>
    <m/>
    <x v="1"/>
    <x v="8"/>
    <x v="6"/>
    <n v="44610.81"/>
    <n v="12129.389999999996"/>
    <n v="41877.130000000005"/>
    <n v="10022.480000000003"/>
    <n v="46537.391899999988"/>
    <n v="11715"/>
    <n v="47004.039999999972"/>
    <n v="14450.170000000016"/>
    <n v="47004.039999999943"/>
    <n v="14450.169999999933"/>
    <n v="49824.282399999996"/>
    <n v="15317.180199999944"/>
    <n v="51817.253696000007"/>
    <n v="12334.882375134912"/>
  </r>
  <r>
    <x v="1"/>
    <x v="47"/>
    <x v="47"/>
    <x v="0"/>
    <x v="2"/>
    <m/>
    <x v="1"/>
    <x v="8"/>
    <x v="7"/>
    <n v="117748.26000000004"/>
    <n v="13724.080000000011"/>
    <n v="66435.569999999992"/>
    <n v="7215.5099999999902"/>
    <n v="69659.841799999995"/>
    <n v="12528"/>
    <n v="76716.761726248747"/>
    <n v="15009.634431740569"/>
    <n v="98005.470000000045"/>
    <n v="9177.5400000000809"/>
    <n v="103885.79820000019"/>
    <n v="20325.256417830038"/>
    <n v="103885.79820000022"/>
    <n v="21081.566752437466"/>
  </r>
  <r>
    <x v="1"/>
    <x v="47"/>
    <x v="47"/>
    <x v="0"/>
    <x v="2"/>
    <m/>
    <x v="1"/>
    <x v="8"/>
    <x v="8"/>
    <n v="45212.29"/>
    <n v="7777.0799999999954"/>
    <n v="55985.48"/>
    <n v="8644.2000000000044"/>
    <n v="44838.262749999994"/>
    <n v="10874"/>
    <n v="46418.811511937492"/>
    <n v="9283.7623023874967"/>
    <n v="39067.97"/>
    <n v="10076.109999999993"/>
    <n v="41412.048200000005"/>
    <n v="10680.676599999993"/>
    <n v="43068.530128000013"/>
    <n v="9496.0954162637936"/>
  </r>
  <r>
    <x v="1"/>
    <x v="47"/>
    <x v="47"/>
    <x v="0"/>
    <x v="2"/>
    <m/>
    <x v="1"/>
    <x v="8"/>
    <x v="9"/>
    <n v="40574.769999999997"/>
    <n v="6407.9599999999973"/>
    <n v="48265.259999999995"/>
    <n v="6957.6099999999942"/>
    <n v="52142.76079999996"/>
    <n v="12316"/>
    <n v="53980.793118199952"/>
    <n v="10364.312278694391"/>
    <n v="37982.049999999996"/>
    <n v="10395.249999999985"/>
    <n v="55600.216911745949"/>
    <n v="10675.241647055222"/>
    <n v="58102.226672774501"/>
    <n v="13218.904994104754"/>
  </r>
  <r>
    <x v="1"/>
    <x v="47"/>
    <x v="47"/>
    <x v="0"/>
    <x v="2"/>
    <m/>
    <x v="1"/>
    <x v="8"/>
    <x v="10"/>
    <n v="24178.040000000005"/>
    <n v="2931.9900000000043"/>
    <n v="50026.50999999998"/>
    <n v="6115.1599999999853"/>
    <n v="58451.982249999943"/>
    <n v="12257"/>
    <n v="60217.23211394994"/>
    <n v="10267.038075428465"/>
    <n v="34247.557471264357"/>
    <n v="11317.231894207369"/>
    <n v="62023.74907736844"/>
    <n v="10575.049217691319"/>
    <n v="64814.817785850028"/>
    <n v="14973.695793824441"/>
  </r>
  <r>
    <x v="1"/>
    <x v="47"/>
    <x v="47"/>
    <x v="0"/>
    <x v="2"/>
    <m/>
    <x v="1"/>
    <x v="8"/>
    <x v="11"/>
    <n v="92170.680000000022"/>
    <n v="14269.06000000003"/>
    <n v="86898.770000000019"/>
    <n v="23648.580000000009"/>
    <n v="87316.255099999995"/>
    <n v="22220"/>
    <n v="89953.206004020001"/>
    <n v="17046.132537761794"/>
    <n v="57614.942528735628"/>
    <n v="17907.583620610425"/>
    <n v="92651.802184140601"/>
    <n v="17557.516513894647"/>
    <n v="96821.133282426934"/>
    <n v="22367.882001527385"/>
  </r>
  <r>
    <x v="1"/>
    <x v="48"/>
    <x v="48"/>
    <x v="0"/>
    <x v="2"/>
    <m/>
    <x v="1"/>
    <x v="8"/>
    <x v="0"/>
    <n v="49926.590000000004"/>
    <n v="10577.079999999994"/>
    <n v="34978.300000000003"/>
    <n v="7983.480000000005"/>
    <n v="57693.266766666668"/>
    <n v="13116"/>
    <n v="42241.099999999933"/>
    <n v="10823.794785792979"/>
    <n v="42241.099999999933"/>
    <n v="10297.289999999935"/>
    <n v="57693.266766666668"/>
    <n v="14064.12946025852"/>
    <n v="60000.997437333324"/>
    <n v="10487.756455050247"/>
  </r>
  <r>
    <x v="1"/>
    <x v="48"/>
    <x v="48"/>
    <x v="0"/>
    <x v="2"/>
    <m/>
    <x v="1"/>
    <x v="8"/>
    <x v="1"/>
    <n v="85843.64"/>
    <n v="1628.0799999999986"/>
    <n v="56445"/>
    <n v="9419.6900000000096"/>
    <n v="74455.276499999964"/>
    <n v="11505"/>
    <n v="61097.420000000013"/>
    <n v="10624.183434951176"/>
    <n v="61097.420000000027"/>
    <n v="10555.320000000051"/>
    <n v="74455.276499999964"/>
    <n v="12863.051650069399"/>
    <n v="75944.382029999964"/>
    <n v="12366.650306184194"/>
  </r>
  <r>
    <x v="1"/>
    <x v="48"/>
    <x v="48"/>
    <x v="0"/>
    <x v="2"/>
    <m/>
    <x v="1"/>
    <x v="8"/>
    <x v="2"/>
    <n v="53205.960000000006"/>
    <n v="3929.0500000000038"/>
    <n v="70929.61"/>
    <n v="11627.910000000007"/>
    <n v="60001.99319999999"/>
    <n v="12302"/>
    <n v="70698.779999999897"/>
    <n v="12220.221746954399"/>
    <n v="70698.779999999941"/>
    <n v="12395.619999999915"/>
    <n v="73526.731199999937"/>
    <n v="12891.444799999912"/>
    <n v="75732.53313599994"/>
    <n v="13841.096744125827"/>
  </r>
  <r>
    <x v="1"/>
    <x v="48"/>
    <x v="48"/>
    <x v="0"/>
    <x v="2"/>
    <m/>
    <x v="1"/>
    <x v="8"/>
    <x v="3"/>
    <n v="59533.03"/>
    <n v="4059.0500000000061"/>
    <n v="54698.43"/>
    <n v="13017.89"/>
    <n v="59538.565509999964"/>
    <n v="12647"/>
    <n v="62666.130000000012"/>
    <n v="12200.141528304162"/>
    <n v="62666.129999999961"/>
    <n v="11612.349999999977"/>
    <n v="65172.775199999967"/>
    <n v="12076.843999999977"/>
    <n v="67779.68620799997"/>
    <n v="12927.805811339615"/>
  </r>
  <r>
    <x v="1"/>
    <x v="48"/>
    <x v="48"/>
    <x v="0"/>
    <x v="2"/>
    <m/>
    <x v="1"/>
    <x v="8"/>
    <x v="4"/>
    <n v="47208.99"/>
    <n v="7815.9800000000041"/>
    <n v="57634.729999999996"/>
    <n v="15499.280000000004"/>
    <n v="56182.007990000013"/>
    <n v="12890"/>
    <n v="56840.879999999932"/>
    <n v="13067.433974461552"/>
    <n v="56840.879999999932"/>
    <n v="12349.659999999931"/>
    <n v="59114.515199999929"/>
    <n v="12843.646399999927"/>
    <n v="61479.095807999925"/>
    <n v="12216.056457399287"/>
  </r>
  <r>
    <x v="1"/>
    <x v="48"/>
    <x v="48"/>
    <x v="0"/>
    <x v="2"/>
    <m/>
    <x v="1"/>
    <x v="8"/>
    <x v="5"/>
    <n v="41464.9"/>
    <n v="7827.3900000000031"/>
    <n v="43574.909999999989"/>
    <n v="11630.879999999994"/>
    <n v="44057.172899999969"/>
    <n v="9830.5227809999924"/>
    <n v="56261.560000000012"/>
    <n v="12556.919999999962"/>
    <n v="56261.560000000005"/>
    <n v="12556.919999999998"/>
    <n v="58512.022400000016"/>
    <n v="13059.196800000002"/>
    <n v="60852.50329600001"/>
    <n v="12091.550893324635"/>
  </r>
  <r>
    <x v="1"/>
    <x v="48"/>
    <x v="48"/>
    <x v="0"/>
    <x v="2"/>
    <m/>
    <x v="1"/>
    <x v="8"/>
    <x v="6"/>
    <n v="47143.29"/>
    <n v="10001.640000000001"/>
    <n v="71455"/>
    <n v="17057.049999999996"/>
    <n v="60750.283599999995"/>
    <n v="15409.226822499999"/>
    <n v="51283.890000000029"/>
    <n v="13425.030000000083"/>
    <n v="51283.890000000043"/>
    <n v="13425.030000000013"/>
    <n v="53335.245599999995"/>
    <n v="13962.031200000001"/>
    <n v="55468.655423999997"/>
    <n v="11242.804909258964"/>
  </r>
  <r>
    <x v="1"/>
    <x v="48"/>
    <x v="48"/>
    <x v="0"/>
    <x v="2"/>
    <m/>
    <x v="1"/>
    <x v="8"/>
    <x v="7"/>
    <n v="124943.53000000003"/>
    <n v="5559.7600000000384"/>
    <n v="109050.76000000001"/>
    <n v="13468.479999999996"/>
    <n v="116418.81206"/>
    <n v="19238"/>
    <n v="93594.449306023482"/>
    <n v="15897.017214628086"/>
    <n v="93008.560000000085"/>
    <n v="-499.44999999992433"/>
    <n v="96728.90240000021"/>
    <n v="16429.404072640034"/>
    <n v="96728.902400000225"/>
    <n v="15751.165241021899"/>
  </r>
  <r>
    <x v="1"/>
    <x v="48"/>
    <x v="48"/>
    <x v="0"/>
    <x v="2"/>
    <m/>
    <x v="1"/>
    <x v="8"/>
    <x v="8"/>
    <n v="54532.410000000011"/>
    <n v="8230.7700000000095"/>
    <n v="56047.039999999994"/>
    <n v="9810.01"/>
    <n v="60113.646960000005"/>
    <n v="13120"/>
    <n v="67724.259271762508"/>
    <n v="14723.253965681168"/>
    <n v="50050.270000000004"/>
    <n v="10575.640000000014"/>
    <n v="71110.472235350637"/>
    <n v="15025.668284927624"/>
    <n v="73243.786402411148"/>
    <n v="13386.246194635163"/>
  </r>
  <r>
    <x v="1"/>
    <x v="48"/>
    <x v="48"/>
    <x v="0"/>
    <x v="2"/>
    <m/>
    <x v="1"/>
    <x v="8"/>
    <x v="9"/>
    <n v="48378.570000000007"/>
    <n v="6034.9800000000023"/>
    <n v="50055.079999999987"/>
    <n v="9771.1599999999889"/>
    <n v="67731.03237500001"/>
    <n v="14569"/>
    <n v="48571.826743680002"/>
    <n v="9811.5090022233599"/>
    <n v="48181.950000000063"/>
    <n v="11494.690000000061"/>
    <n v="49543.263278553604"/>
    <n v="10007.739182267827"/>
    <n v="51524.993809695756"/>
    <n v="9827.5036617623446"/>
  </r>
  <r>
    <x v="1"/>
    <x v="48"/>
    <x v="48"/>
    <x v="0"/>
    <x v="2"/>
    <m/>
    <x v="1"/>
    <x v="8"/>
    <x v="10"/>
    <n v="41577.17"/>
    <n v="5022.2599999999984"/>
    <n v="66584.539999999964"/>
    <n v="8037.9999999999673"/>
    <n v="84950.041655000037"/>
    <n v="17461"/>
    <n v="87515.532912981042"/>
    <n v="17459.348816139718"/>
    <n v="31373.275862068967"/>
    <n v="10224.023601514966"/>
    <n v="87515.532912981042"/>
    <n v="17459.348816139718"/>
    <n v="91016.154229500273"/>
    <n v="17722.454052883542"/>
  </r>
  <r>
    <x v="1"/>
    <x v="48"/>
    <x v="48"/>
    <x v="0"/>
    <x v="2"/>
    <m/>
    <x v="1"/>
    <x v="8"/>
    <x v="11"/>
    <n v="94329.81"/>
    <n v="11863.470000000023"/>
    <n v="111007.13999999997"/>
    <n v="28899.039999999975"/>
    <n v="120144.97075000017"/>
    <n v="30530"/>
    <n v="123773.34886665018"/>
    <n v="24692.783098896711"/>
    <n v="79882.614942528729"/>
    <n v="19656.776507008421"/>
    <n v="123773.34886665018"/>
    <n v="24692.783098896711"/>
    <n v="128724.28282131618"/>
    <n v="25064.893228061057"/>
  </r>
  <r>
    <x v="1"/>
    <x v="49"/>
    <x v="49"/>
    <x v="0"/>
    <x v="0"/>
    <m/>
    <x v="3"/>
    <x v="8"/>
    <x v="0"/>
    <n v="58241.56"/>
    <n v="15428.910000000002"/>
    <n v="43180.6"/>
    <n v="8093.4499999999962"/>
    <n v="67069.224644827584"/>
    <n v="14164"/>
    <n v="48646.749999999978"/>
    <n v="10674.720905451451"/>
    <n v="48646.749999999971"/>
    <n v="11193.599999999955"/>
    <n v="67069.224644827584"/>
    <n v="15432.604911619777"/>
    <n v="70422.685877068972"/>
    <n v="13803.223687668726"/>
  </r>
  <r>
    <x v="1"/>
    <x v="49"/>
    <x v="49"/>
    <x v="0"/>
    <x v="0"/>
    <m/>
    <x v="3"/>
    <x v="8"/>
    <x v="1"/>
    <n v="65599.260000000009"/>
    <n v="5519.4200000000037"/>
    <n v="42489.539999999994"/>
    <n v="5595.2899999999972"/>
    <n v="69923.495499999946"/>
    <n v="11184"/>
    <n v="70868.630000000077"/>
    <n v="9284.5363731280431"/>
    <n v="70868.63"/>
    <n v="9907.4999999999272"/>
    <n v="69923.495499999946"/>
    <n v="9775.3693230170302"/>
    <n v="73419.670274999939"/>
    <n v="13567.408185130766"/>
  </r>
  <r>
    <x v="1"/>
    <x v="49"/>
    <x v="49"/>
    <x v="0"/>
    <x v="0"/>
    <m/>
    <x v="3"/>
    <x v="8"/>
    <x v="2"/>
    <n v="53591.35"/>
    <n v="8229.2600000000075"/>
    <n v="79994.13"/>
    <n v="9312.8699999999917"/>
    <n v="68833.915099999998"/>
    <n v="12916"/>
    <n v="85992.580000000016"/>
    <n v="16131.913834459965"/>
    <n v="85992.579999999973"/>
    <n v="16553.880000000005"/>
    <n v="85992.579999999958"/>
    <n v="16553.88"/>
    <n v="0"/>
    <n v="0"/>
  </r>
  <r>
    <x v="1"/>
    <x v="49"/>
    <x v="49"/>
    <x v="0"/>
    <x v="0"/>
    <m/>
    <x v="3"/>
    <x v="8"/>
    <x v="3"/>
    <n v="65813.810000000027"/>
    <n v="7653.4500000000262"/>
    <n v="64262.470000000008"/>
    <n v="12193.310000000009"/>
    <n v="64498.585780000001"/>
    <n v="13805"/>
    <n v="78894.880000000019"/>
    <n v="17493.397858732325"/>
    <n v="78894.879999999961"/>
    <n v="17477.279999999933"/>
    <n v="78894.880000000034"/>
    <n v="17477.279999999948"/>
    <n v="47336.928000000022"/>
    <n v="9985.9978428140585"/>
  </r>
  <r>
    <x v="1"/>
    <x v="49"/>
    <x v="49"/>
    <x v="0"/>
    <x v="0"/>
    <m/>
    <x v="3"/>
    <x v="8"/>
    <x v="4"/>
    <n v="50266.64"/>
    <n v="11006.870000000003"/>
    <n v="66626.299999999988"/>
    <n v="15429.05000000001"/>
    <n v="65897.138220000008"/>
    <n v="14345"/>
    <n v="79217.610000000044"/>
    <n v="17314.397272976945"/>
    <n v="79217.610000000073"/>
    <n v="17254.890000000087"/>
    <n v="79217.610000000073"/>
    <n v="17254.890000000087"/>
    <n v="95061.132000000085"/>
    <n v="20764.295127302317"/>
  </r>
  <r>
    <x v="1"/>
    <x v="49"/>
    <x v="49"/>
    <x v="0"/>
    <x v="0"/>
    <m/>
    <x v="3"/>
    <x v="8"/>
    <x v="5"/>
    <n v="41116.840000000004"/>
    <n v="8768.6200000000044"/>
    <n v="54932.45"/>
    <n v="12951.360000000004"/>
    <n v="65619.531500000026"/>
    <n v="14305.467293000002"/>
    <n v="73378.660000000018"/>
    <n v="19206.324086606524"/>
    <n v="73378.660000000047"/>
    <n v="19215.900000000016"/>
    <n v="73378.660000000062"/>
    <n v="19215.900000000023"/>
    <n v="88054.39200000008"/>
    <n v="19233.806123234135"/>
  </r>
  <r>
    <x v="1"/>
    <x v="49"/>
    <x v="49"/>
    <x v="0"/>
    <x v="0"/>
    <m/>
    <x v="3"/>
    <x v="8"/>
    <x v="6"/>
    <n v="48343.460000000006"/>
    <n v="11740.610000000004"/>
    <n v="73868.539999999979"/>
    <n v="16924.359999999993"/>
    <n v="64213.050699999971"/>
    <n v="14944"/>
    <n v="64426.490000000013"/>
    <n v="17868.879999999848"/>
    <n v="64426.490000000034"/>
    <n v="17868.880000000019"/>
    <n v="64426.49"/>
    <n v="17868.880000000008"/>
    <n v="77311.788"/>
    <n v="17176.249414000536"/>
  </r>
  <r>
    <x v="1"/>
    <x v="49"/>
    <x v="49"/>
    <x v="0"/>
    <x v="0"/>
    <m/>
    <x v="3"/>
    <x v="8"/>
    <x v="7"/>
    <n v="90848.76999999999"/>
    <n v="7467.9299999999985"/>
    <n v="102243.32999999999"/>
    <n v="15994.900000000023"/>
    <n v="105819.53389999995"/>
    <n v="17054"/>
    <n v="124281.15399652296"/>
    <n v="22786.949585262486"/>
    <n v="118946.09999999995"/>
    <n v="7355.1499999999942"/>
    <n v="118946.09999999998"/>
    <n v="21808.767434999998"/>
    <n v="142735.32"/>
    <n v="26376.423942272471"/>
  </r>
  <r>
    <x v="1"/>
    <x v="49"/>
    <x v="49"/>
    <x v="0"/>
    <x v="0"/>
    <m/>
    <x v="3"/>
    <x v="8"/>
    <x v="8"/>
    <n v="47577.61"/>
    <n v="7476.9200000000064"/>
    <n v="66529.66"/>
    <n v="12625.000000000004"/>
    <n v="60796.318175000008"/>
    <n v="13144"/>
    <n v="63860.452611020002"/>
    <n v="12069.62554348278"/>
    <n v="57137.09000000004"/>
    <n v="12938.71000000005"/>
    <n v="57137.09000000004"/>
    <n v="12938.71000000005"/>
    <n v="68564.508000000031"/>
    <n v="13951.544541512696"/>
  </r>
  <r>
    <x v="1"/>
    <x v="49"/>
    <x v="49"/>
    <x v="0"/>
    <x v="0"/>
    <m/>
    <x v="3"/>
    <x v="8"/>
    <x v="9"/>
    <n v="45835.43"/>
    <n v="4061.0600000000004"/>
    <n v="68079.570000000007"/>
    <n v="14093.809999999998"/>
    <n v="70540.57282500001"/>
    <n v="14768"/>
    <n v="74095.817695380014"/>
    <n v="14908.078520310461"/>
    <n v="37747.219999999972"/>
    <n v="7566.319999999967"/>
    <n v="74095.817695380014"/>
    <n v="14908.078520310461"/>
    <n v="60914.484000000019"/>
    <n v="12850.261550984709"/>
  </r>
  <r>
    <x v="1"/>
    <x v="49"/>
    <x v="49"/>
    <x v="0"/>
    <x v="0"/>
    <m/>
    <x v="3"/>
    <x v="8"/>
    <x v="10"/>
    <n v="30305.380000000005"/>
    <n v="3162.9599999999996"/>
    <n v="58754.659999999989"/>
    <n v="9493.409999999998"/>
    <n v="84921.755049999978"/>
    <n v="17132.452696249999"/>
    <n v="87486.392052509967"/>
    <n v="17409.792018449483"/>
    <n v="13851.293103448275"/>
    <n v="3393.4467949090072"/>
    <n v="87486.392052509967"/>
    <n v="17409.792018449483"/>
    <n v="104983.67046301195"/>
    <n v="22539.297646344217"/>
  </r>
  <r>
    <x v="1"/>
    <x v="49"/>
    <x v="49"/>
    <x v="0"/>
    <x v="0"/>
    <m/>
    <x v="3"/>
    <x v="8"/>
    <x v="11"/>
    <n v="90758.60000000002"/>
    <n v="12062.429999999998"/>
    <n v="129899.92"/>
    <n v="31063.360000000011"/>
    <n v="130180.2875500001"/>
    <n v="30481"/>
    <n v="134111.73223401009"/>
    <n v="26688.234714568011"/>
    <n v="100574.13793103452"/>
    <n v="30226.712497390927"/>
    <n v="134111.73223401009"/>
    <n v="26688.234714568011"/>
    <n v="160934.07868081215"/>
    <n v="34551.479147464139"/>
  </r>
  <r>
    <x v="1"/>
    <x v="50"/>
    <x v="50"/>
    <x v="3"/>
    <x v="3"/>
    <m/>
    <x v="0"/>
    <x v="8"/>
    <x v="7"/>
    <n v="0"/>
    <n v="0"/>
    <n v="0"/>
    <n v="0"/>
    <n v="0"/>
    <n v="0"/>
    <n v="0"/>
    <n v="0"/>
    <n v="0"/>
    <n v="0"/>
    <n v="0"/>
    <n v="0"/>
    <n v="168987.15400000027"/>
    <n v="34013.773655016535"/>
  </r>
  <r>
    <x v="1"/>
    <x v="50"/>
    <x v="50"/>
    <x v="3"/>
    <x v="3"/>
    <m/>
    <x v="0"/>
    <x v="8"/>
    <x v="8"/>
    <n v="0"/>
    <n v="0"/>
    <n v="0"/>
    <n v="0"/>
    <n v="0"/>
    <n v="0"/>
    <n v="0"/>
    <n v="0"/>
    <n v="0"/>
    <n v="0"/>
    <n v="0"/>
    <n v="0"/>
    <n v="86695.294000000111"/>
    <n v="19012.471177373121"/>
  </r>
  <r>
    <x v="1"/>
    <x v="50"/>
    <x v="50"/>
    <x v="3"/>
    <x v="3"/>
    <m/>
    <x v="0"/>
    <x v="8"/>
    <x v="9"/>
    <n v="0"/>
    <n v="0"/>
    <n v="0"/>
    <n v="0"/>
    <n v="0"/>
    <n v="0"/>
    <n v="0"/>
    <n v="0"/>
    <n v="0"/>
    <n v="0"/>
    <n v="0"/>
    <n v="0"/>
    <n v="65404.164000000004"/>
    <n v="14814.764352740865"/>
  </r>
  <r>
    <x v="1"/>
    <x v="50"/>
    <x v="50"/>
    <x v="3"/>
    <x v="3"/>
    <m/>
    <x v="0"/>
    <x v="8"/>
    <x v="10"/>
    <n v="0"/>
    <n v="0"/>
    <n v="0"/>
    <n v="0"/>
    <n v="0"/>
    <n v="0"/>
    <n v="0"/>
    <n v="0"/>
    <n v="0"/>
    <n v="0"/>
    <n v="0"/>
    <n v="0"/>
    <n v="114210.48936720779"/>
    <n v="26281.595428138098"/>
  </r>
  <r>
    <x v="1"/>
    <x v="50"/>
    <x v="50"/>
    <x v="3"/>
    <x v="3"/>
    <m/>
    <x v="0"/>
    <x v="8"/>
    <x v="11"/>
    <n v="0"/>
    <n v="0"/>
    <n v="0"/>
    <n v="0"/>
    <n v="0"/>
    <n v="0"/>
    <n v="0"/>
    <n v="0"/>
    <n v="0"/>
    <n v="0"/>
    <n v="0"/>
    <n v="0"/>
    <n v="211357.72991221037"/>
    <n v="48636.674082558471"/>
  </r>
  <r>
    <x v="1"/>
    <x v="51"/>
    <x v="51"/>
    <x v="0"/>
    <x v="0"/>
    <m/>
    <x v="1"/>
    <x v="8"/>
    <x v="0"/>
    <n v="42786.740000000005"/>
    <n v="11406.720000000005"/>
    <n v="50578.359999999993"/>
    <n v="11823.169999999995"/>
    <n v="66713.498433333312"/>
    <n v="14312"/>
    <n v="46071.499999999985"/>
    <n v="11649.340812031911"/>
    <n v="46071.499999999985"/>
    <n v="11735.589999999967"/>
    <n v="66713.498433333312"/>
    <n v="16993.635220890141"/>
    <n v="70049.173354999977"/>
    <n v="14649.679448667306"/>
  </r>
  <r>
    <x v="1"/>
    <x v="51"/>
    <x v="51"/>
    <x v="0"/>
    <x v="0"/>
    <m/>
    <x v="1"/>
    <x v="8"/>
    <x v="1"/>
    <n v="42301.130000000005"/>
    <n v="4873.1400000000049"/>
    <n v="56004.91"/>
    <n v="8173.3600000000042"/>
    <n v="68528.616000000024"/>
    <n v="12338"/>
    <n v="93786.099999999991"/>
    <n v="14674.24139753764"/>
    <n v="93786.099999999977"/>
    <n v="14891.290000000008"/>
    <n v="93786.100000000151"/>
    <n v="14891.290000000037"/>
    <n v="98475.405000000173"/>
    <n v="19544.803070355461"/>
  </r>
  <r>
    <x v="1"/>
    <x v="51"/>
    <x v="51"/>
    <x v="0"/>
    <x v="0"/>
    <m/>
    <x v="1"/>
    <x v="8"/>
    <x v="2"/>
    <n v="53900.36"/>
    <n v="8585.0500000000065"/>
    <n v="73968.37"/>
    <n v="11232.029999999988"/>
    <n v="68891.844370000021"/>
    <n v="14930"/>
    <n v="90810.52999999997"/>
    <n v="15904.656276662303"/>
    <n v="90810.529999999882"/>
    <n v="16116.839999999909"/>
    <n v="90810.53"/>
    <n v="16116.839999999929"/>
    <n v="61297.107749999996"/>
    <n v="13254.952088757638"/>
  </r>
  <r>
    <x v="1"/>
    <x v="51"/>
    <x v="51"/>
    <x v="0"/>
    <x v="0"/>
    <m/>
    <x v="1"/>
    <x v="8"/>
    <x v="3"/>
    <n v="57750.180000000015"/>
    <n v="5775.6900000000178"/>
    <n v="60452.38"/>
    <n v="15139.239999999996"/>
    <n v="68254.255789999967"/>
    <n v="13975"/>
    <n v="92018.650000000023"/>
    <n v="21453.435156900028"/>
    <n v="92018.650000000023"/>
    <n v="21509.440000000031"/>
    <n v="92018.650000000052"/>
    <n v="21509.440000000039"/>
    <n v="124225.17750000006"/>
    <n v="27745.434300440102"/>
  </r>
  <r>
    <x v="1"/>
    <x v="51"/>
    <x v="51"/>
    <x v="0"/>
    <x v="0"/>
    <m/>
    <x v="1"/>
    <x v="8"/>
    <x v="4"/>
    <n v="45037.74"/>
    <n v="9636.7400000000052"/>
    <n v="63665.86"/>
    <n v="17477.659999999993"/>
    <n v="66535.79724"/>
    <n v="13499"/>
    <n v="78298.48000000004"/>
    <n v="20342.189999999984"/>
    <n v="78298.480000000069"/>
    <n v="20342.190000000002"/>
    <n v="78298.480000000069"/>
    <n v="20342.190000000002"/>
    <n v="105702.94800000009"/>
    <n v="24359.747504751354"/>
  </r>
  <r>
    <x v="1"/>
    <x v="51"/>
    <x v="51"/>
    <x v="0"/>
    <x v="0"/>
    <m/>
    <x v="1"/>
    <x v="8"/>
    <x v="5"/>
    <n v="33509.980000000003"/>
    <n v="7372.8700000000044"/>
    <n v="56766.17"/>
    <n v="16938.949999999997"/>
    <n v="64755.04354999998"/>
    <n v="13148"/>
    <n v="74890.9399999999"/>
    <n v="20154.070654880397"/>
    <n v="74890.939999999988"/>
    <n v="20189.739999999991"/>
    <n v="74890.939999999988"/>
    <n v="20189.739999999991"/>
    <n v="101102.76899999997"/>
    <n v="23299.614357692277"/>
  </r>
  <r>
    <x v="1"/>
    <x v="51"/>
    <x v="51"/>
    <x v="0"/>
    <x v="0"/>
    <m/>
    <x v="1"/>
    <x v="8"/>
    <x v="6"/>
    <n v="35767.79"/>
    <n v="9088.3500000000022"/>
    <n v="68322.099999999991"/>
    <n v="18376.979999999981"/>
    <n v="64363.792749999993"/>
    <n v="14229"/>
    <n v="73325.529999999955"/>
    <n v="21085.590000000244"/>
    <n v="73325.530000000086"/>
    <n v="21085.590000000098"/>
    <n v="73325.529999999984"/>
    <n v="21085.590000000069"/>
    <n v="98989.465499999991"/>
    <n v="23164.344930973326"/>
  </r>
  <r>
    <x v="1"/>
    <x v="51"/>
    <x v="51"/>
    <x v="0"/>
    <x v="0"/>
    <m/>
    <x v="1"/>
    <x v="8"/>
    <x v="7"/>
    <n v="73374.499999999985"/>
    <n v="6883.8100000000013"/>
    <n v="93273.039999999979"/>
    <n v="7909.7799999999825"/>
    <n v="102130.41679999999"/>
    <n v="18263"/>
    <n v="121212.48352747301"/>
    <n v="19206.118014928099"/>
    <n v="143733.60000000003"/>
    <n v="7582.6599999999744"/>
    <n v="143733.59999999977"/>
    <n v="22774.588919999966"/>
    <n v="194040.35999999969"/>
    <n v="38511.957619274253"/>
  </r>
  <r>
    <x v="1"/>
    <x v="51"/>
    <x v="51"/>
    <x v="0"/>
    <x v="0"/>
    <m/>
    <x v="1"/>
    <x v="8"/>
    <x v="8"/>
    <n v="33259.270000000004"/>
    <n v="6446.7900000000009"/>
    <n v="65615.960000000006"/>
    <n v="10972.980000000003"/>
    <n v="61612.730879999996"/>
    <n v="13992"/>
    <n v="65962.589680128003"/>
    <n v="12598.854628904448"/>
    <n v="68561.920000000042"/>
    <n v="17132.550000000032"/>
    <n v="68561.920000000042"/>
    <n v="17132.550000000032"/>
    <n v="92558.592000000062"/>
    <n v="20014.96885247195"/>
  </r>
  <r>
    <x v="1"/>
    <x v="51"/>
    <x v="51"/>
    <x v="0"/>
    <x v="0"/>
    <m/>
    <x v="1"/>
    <x v="8"/>
    <x v="9"/>
    <n v="32305.679999999993"/>
    <n v="4604.6299999999965"/>
    <n v="71381.119999999995"/>
    <n v="16105.279999999988"/>
    <n v="69739.854019999999"/>
    <n v="14678"/>
    <n v="74663.487713812006"/>
    <n v="15709.197814986046"/>
    <n v="67374.310000000143"/>
    <n v="16052.970000000161"/>
    <n v="74663.487713812006"/>
    <n v="15709.197814986046"/>
    <n v="77623.636499999993"/>
    <n v="17337.077314073413"/>
  </r>
  <r>
    <x v="1"/>
    <x v="51"/>
    <x v="51"/>
    <x v="0"/>
    <x v="0"/>
    <m/>
    <x v="1"/>
    <x v="8"/>
    <x v="10"/>
    <n v="41311.56"/>
    <n v="5559.3300000000008"/>
    <n v="93044.76999999996"/>
    <n v="14725.459999999954"/>
    <n v="98365.494399999996"/>
    <n v="18641"/>
    <n v="104316.60681119999"/>
    <n v="19767.996990722397"/>
    <n v="52636.637931034493"/>
    <n v="19604.754424852097"/>
    <n v="104316.60681119999"/>
    <n v="19767.996990722397"/>
    <n v="140827.41919511999"/>
    <n v="31953.929718791744"/>
  </r>
  <r>
    <x v="1"/>
    <x v="51"/>
    <x v="51"/>
    <x v="0"/>
    <x v="0"/>
    <m/>
    <x v="1"/>
    <x v="8"/>
    <x v="11"/>
    <n v="98130.61"/>
    <n v="16413.510000000009"/>
    <n v="142629.68"/>
    <n v="36653.099999999977"/>
    <n v="147524.34440000023"/>
    <n v="33917"/>
    <n v="156449.56723620027"/>
    <n v="29647.192991259955"/>
    <n v="134526.00574712644"/>
    <n v="45554.743833742607"/>
    <n v="156449.56723620027"/>
    <n v="29647.192991259955"/>
    <n v="211206.91576887039"/>
    <n v="47923.13159733823"/>
  </r>
  <r>
    <x v="1"/>
    <x v="52"/>
    <x v="52"/>
    <x v="0"/>
    <x v="2"/>
    <m/>
    <x v="2"/>
    <x v="8"/>
    <x v="0"/>
    <n v="55894.340000000004"/>
    <n v="9629.3299999999945"/>
    <n v="73091.400000000023"/>
    <n v="11550.270000000019"/>
    <n v="81996.346999999994"/>
    <n v="16673"/>
    <n v="71059.880000000048"/>
    <n v="16169.809251399318"/>
    <n v="71059.879999999961"/>
    <n v="16244.699999999917"/>
    <n v="82816.310469999997"/>
    <n v="18932.288074395889"/>
    <n v="85300.799784100018"/>
    <n v="17135.975232997233"/>
  </r>
  <r>
    <x v="1"/>
    <x v="52"/>
    <x v="52"/>
    <x v="0"/>
    <x v="2"/>
    <m/>
    <x v="2"/>
    <x v="8"/>
    <x v="1"/>
    <n v="73161.109999999986"/>
    <n v="-1593.8499999999976"/>
    <n v="66182.200000000012"/>
    <n v="8946.4900000000089"/>
    <n v="86962.971500000072"/>
    <n v="14713"/>
    <n v="89248.279999999984"/>
    <n v="12796.280194368044"/>
    <n v="89248.279999999941"/>
    <n v="13037.699999999997"/>
    <n v="91033.245600000067"/>
    <n v="13298.454000000016"/>
    <n v="91033.245600000067"/>
    <n v="17286.304383404706"/>
  </r>
  <r>
    <x v="1"/>
    <x v="52"/>
    <x v="52"/>
    <x v="0"/>
    <x v="2"/>
    <m/>
    <x v="2"/>
    <x v="8"/>
    <x v="2"/>
    <n v="49383.76"/>
    <n v="4180.7000000000053"/>
    <n v="88293.419999999984"/>
    <n v="9995.7899999999936"/>
    <n v="82824.34090000001"/>
    <n v="17078"/>
    <n v="86502.499999999956"/>
    <n v="14422.966867593534"/>
    <n v="86502.499999999956"/>
    <n v="14503.539999999935"/>
    <n v="89962.599999999846"/>
    <n v="15083.681599999916"/>
    <n v="93561.103999999847"/>
    <n v="19481.416743421054"/>
  </r>
  <r>
    <x v="1"/>
    <x v="52"/>
    <x v="52"/>
    <x v="0"/>
    <x v="2"/>
    <m/>
    <x v="2"/>
    <x v="8"/>
    <x v="3"/>
    <n v="55907.330000000009"/>
    <n v="2007.6900000000187"/>
    <n v="73019.470000000016"/>
    <n v="14864.800000000021"/>
    <n v="79249.784379999997"/>
    <n v="16665"/>
    <n v="82324.619999999879"/>
    <n v="18478.301710410233"/>
    <n v="82324.619999999879"/>
    <n v="18452.66999999994"/>
    <n v="85617.604799999783"/>
    <n v="19190.77679999992"/>
    <n v="88186.132943999764"/>
    <n v="19008.859984504477"/>
  </r>
  <r>
    <x v="1"/>
    <x v="52"/>
    <x v="52"/>
    <x v="0"/>
    <x v="2"/>
    <m/>
    <x v="2"/>
    <x v="8"/>
    <x v="4"/>
    <n v="39288.410000000003"/>
    <n v="5657.48"/>
    <n v="74036.83"/>
    <n v="17669.910000000011"/>
    <n v="76942.468819999936"/>
    <n v="16279"/>
    <n v="82777.419999999955"/>
    <n v="19365.88294041247"/>
    <n v="82777.419999999955"/>
    <n v="19310.849999999919"/>
    <n v="86088.516799999954"/>
    <n v="20083.283999999916"/>
    <n v="89532.057471999957"/>
    <n v="19955.475031957114"/>
  </r>
  <r>
    <x v="1"/>
    <x v="52"/>
    <x v="52"/>
    <x v="0"/>
    <x v="2"/>
    <m/>
    <x v="2"/>
    <x v="8"/>
    <x v="5"/>
    <n v="40008.849999999991"/>
    <n v="6466.0499999999984"/>
    <n v="65689.460000000021"/>
    <n v="15720.420000000015"/>
    <n v="49175.247599999981"/>
    <n v="10323"/>
    <n v="73770.740000000034"/>
    <n v="18170.510093004203"/>
    <n v="73770.740000000034"/>
    <n v="18166.380000000019"/>
    <n v="76721.569599999988"/>
    <n v="18893.035200000009"/>
    <n v="80174.040231999985"/>
    <n v="17869.700565757164"/>
  </r>
  <r>
    <x v="1"/>
    <x v="52"/>
    <x v="52"/>
    <x v="0"/>
    <x v="2"/>
    <m/>
    <x v="2"/>
    <x v="8"/>
    <x v="6"/>
    <n v="39689.58"/>
    <n v="7625.9600000000028"/>
    <n v="80226.87000000001"/>
    <n v="18596.900000000009"/>
    <n v="79097.133999999991"/>
    <n v="18500"/>
    <n v="72456.700000000041"/>
    <n v="20557.550000000087"/>
    <n v="72456.700000000055"/>
    <n v="20557.550000000047"/>
    <n v="75354.968000000124"/>
    <n v="21379.852000000068"/>
    <n v="78745.941560000123"/>
    <n v="17840.100041666494"/>
  </r>
  <r>
    <x v="1"/>
    <x v="52"/>
    <x v="52"/>
    <x v="0"/>
    <x v="2"/>
    <m/>
    <x v="2"/>
    <x v="8"/>
    <x v="7"/>
    <n v="143088.74000000005"/>
    <n v="1937.1200000000208"/>
    <n v="133482.73000000001"/>
    <n v="15607.929999999998"/>
    <n v="142200.56426000007"/>
    <n v="26187"/>
    <n v="130418.49493462288"/>
    <n v="20482.224629482524"/>
    <n v="133231.56000000011"/>
    <n v="7427.1300000001938"/>
    <n v="138560.82240000021"/>
    <n v="21760.977157920031"/>
    <n v="142717.64707200023"/>
    <n v="27100.656160389837"/>
  </r>
  <r>
    <x v="1"/>
    <x v="52"/>
    <x v="52"/>
    <x v="0"/>
    <x v="2"/>
    <m/>
    <x v="2"/>
    <x v="8"/>
    <x v="8"/>
    <n v="54633.78"/>
    <n v="7787.3699999999944"/>
    <n v="90480.09"/>
    <n v="12924.030000000015"/>
    <n v="74950.140794999985"/>
    <n v="16671"/>
    <n v="76456.638624979474"/>
    <n v="14603.217977371078"/>
    <n v="65086.699999999917"/>
    <n v="13473.539999999884"/>
    <n v="77985.771397479068"/>
    <n v="16143.765321560049"/>
    <n v="81105.202253378244"/>
    <n v="16887.832417598627"/>
  </r>
  <r>
    <x v="1"/>
    <x v="52"/>
    <x v="52"/>
    <x v="0"/>
    <x v="2"/>
    <m/>
    <x v="2"/>
    <x v="8"/>
    <x v="9"/>
    <n v="48905.44000000001"/>
    <n v="2740.6400000000076"/>
    <n v="87231.62"/>
    <n v="14862.919999999993"/>
    <n v="84748.237744999948"/>
    <n v="17899"/>
    <n v="86451.677323674448"/>
    <n v="18189.432908901104"/>
    <n v="60508.140000000014"/>
    <n v="13668.85000000002"/>
    <n v="88180.710870147945"/>
    <n v="18553.221567079127"/>
    <n v="92148.842859304597"/>
    <n v="19863.037341244581"/>
  </r>
  <r>
    <x v="1"/>
    <x v="52"/>
    <x v="52"/>
    <x v="0"/>
    <x v="2"/>
    <m/>
    <x v="2"/>
    <x v="8"/>
    <x v="10"/>
    <n v="36800.94"/>
    <n v="3615.3499999999976"/>
    <n v="78034.219999999987"/>
    <n v="12525.020000000006"/>
    <n v="96624.935899999997"/>
    <n v="18845"/>
    <n v="97591.185258999991"/>
    <n v="19420.645866540999"/>
    <n v="37902.442528735628"/>
    <n v="10561.277232804276"/>
    <n v="99543.008964179986"/>
    <n v="19809.058783871817"/>
    <n v="104022.44436756807"/>
    <n v="22803.811259730403"/>
  </r>
  <r>
    <x v="1"/>
    <x v="52"/>
    <x v="52"/>
    <x v="0"/>
    <x v="2"/>
    <m/>
    <x v="2"/>
    <x v="8"/>
    <x v="11"/>
    <n v="105364.14"/>
    <n v="13810.219999999998"/>
    <n v="179066.02999999997"/>
    <n v="41632.940000000017"/>
    <n v="179486.95520000026"/>
    <n v="42177"/>
    <n v="181281.82475200025"/>
    <n v="37797.260460792051"/>
    <n v="102726.00574712643"/>
    <n v="31331.005160452369"/>
    <n v="184907.46124704025"/>
    <n v="38553.20567000789"/>
    <n v="193228.29700315706"/>
    <n v="42359.527712395546"/>
  </r>
  <r>
    <x v="1"/>
    <x v="53"/>
    <x v="53"/>
    <x v="0"/>
    <x v="2"/>
    <m/>
    <x v="0"/>
    <x v="8"/>
    <x v="0"/>
    <n v="50574.06"/>
    <n v="11974.470000000003"/>
    <n v="55391.23000000001"/>
    <n v="12642.980000000005"/>
    <n v="69738.141499999983"/>
    <n v="16480"/>
    <n v="60167.090000000026"/>
    <n v="14753.046365126409"/>
    <n v="60167.089999999982"/>
    <n v="14959.639999999963"/>
    <n v="71132.90432999999"/>
    <n v="17686.124439976051"/>
    <n v="74689.549546499969"/>
    <n v="15841.162758824215"/>
  </r>
  <r>
    <x v="1"/>
    <x v="53"/>
    <x v="53"/>
    <x v="0"/>
    <x v="2"/>
    <m/>
    <x v="0"/>
    <x v="8"/>
    <x v="1"/>
    <n v="64341.790000000008"/>
    <n v="6313.8400000000056"/>
    <n v="62385.67"/>
    <n v="11174.000000000009"/>
    <n v="80718.311099999948"/>
    <n v="14632"/>
    <n v="91587.349999999962"/>
    <n v="14641.519723573496"/>
    <n v="91587.349999999933"/>
    <n v="15161.059999999969"/>
    <n v="98914.338000000091"/>
    <n v="16373.944799999992"/>
    <n v="100892.62476000009"/>
    <n v="20307.690974233192"/>
  </r>
  <r>
    <x v="1"/>
    <x v="53"/>
    <x v="53"/>
    <x v="0"/>
    <x v="2"/>
    <m/>
    <x v="0"/>
    <x v="8"/>
    <x v="2"/>
    <n v="48323.28"/>
    <n v="8813.3799999999974"/>
    <n v="89902.73"/>
    <n v="17485.489999999987"/>
    <n v="73187.658849999993"/>
    <n v="15576"/>
    <n v="83176.170000000013"/>
    <n v="16730.208478124641"/>
    <n v="83176.169999999984"/>
    <n v="16918.179999999935"/>
    <n v="89830.263600000151"/>
    <n v="18271.634399999963"/>
    <n v="92525.171508000145"/>
    <n v="20290.976306941822"/>
  </r>
  <r>
    <x v="1"/>
    <x v="53"/>
    <x v="53"/>
    <x v="0"/>
    <x v="2"/>
    <m/>
    <x v="0"/>
    <x v="8"/>
    <x v="3"/>
    <n v="68882.89"/>
    <n v="6899.4400000000005"/>
    <n v="60920.80999999999"/>
    <n v="14740.839999999998"/>
    <n v="69036.887349999946"/>
    <n v="16797"/>
    <n v="90055.420000000071"/>
    <n v="23622.521368361795"/>
    <n v="90055.420000000056"/>
    <n v="23348.679999999978"/>
    <n v="97259.853599999973"/>
    <n v="25216.57439999995"/>
    <n v="102122.84627999998"/>
    <n v="23131.950783277018"/>
  </r>
  <r>
    <x v="1"/>
    <x v="53"/>
    <x v="53"/>
    <x v="0"/>
    <x v="2"/>
    <m/>
    <x v="0"/>
    <x v="8"/>
    <x v="4"/>
    <n v="37464.120000000003"/>
    <n v="8036.4900000000007"/>
    <n v="57380.60000000002"/>
    <n v="15205.660000000011"/>
    <n v="67986.471500000029"/>
    <n v="16388"/>
    <n v="86442.900000000081"/>
    <n v="22497.28121084423"/>
    <n v="86442.900000000052"/>
    <n v="22008.340000000113"/>
    <n v="93358.332000000068"/>
    <n v="23769.007200000124"/>
    <n v="98959.83192000007"/>
    <n v="23128.874629701328"/>
  </r>
  <r>
    <x v="1"/>
    <x v="53"/>
    <x v="53"/>
    <x v="0"/>
    <x v="2"/>
    <m/>
    <x v="0"/>
    <x v="8"/>
    <x v="5"/>
    <n v="41789.540000000008"/>
    <n v="10490.980000000007"/>
    <n v="41927.279999999999"/>
    <n v="11686.459999999995"/>
    <n v="67390.890299999999"/>
    <n v="16955"/>
    <n v="78541.850000000079"/>
    <n v="20384.560404228869"/>
    <n v="78541.850000000064"/>
    <n v="20373.870000000017"/>
    <n v="84825.198000000091"/>
    <n v="22003.779600000023"/>
    <n v="90762.961860000083"/>
    <n v="21213.103591135361"/>
  </r>
  <r>
    <x v="1"/>
    <x v="53"/>
    <x v="53"/>
    <x v="0"/>
    <x v="2"/>
    <m/>
    <x v="0"/>
    <x v="8"/>
    <x v="6"/>
    <n v="42686.530000000006"/>
    <n v="10520.230000000007"/>
    <n v="75777.330000000016"/>
    <n v="19602.500000000011"/>
    <n v="69036.680299999949"/>
    <n v="20271"/>
    <n v="80962.240000000034"/>
    <n v="25348.680000000022"/>
    <n v="80962.240000000107"/>
    <n v="25348.680000000088"/>
    <n v="87439.219200000225"/>
    <n v="27376.574400000125"/>
    <n v="93559.96454400025"/>
    <n v="22204.046030861064"/>
  </r>
  <r>
    <x v="1"/>
    <x v="53"/>
    <x v="53"/>
    <x v="0"/>
    <x v="2"/>
    <m/>
    <x v="0"/>
    <x v="8"/>
    <x v="7"/>
    <n v="95505.98000000001"/>
    <n v="8335.3699999999953"/>
    <n v="111130.9"/>
    <n v="17404.980000000021"/>
    <n v="116304.46405999997"/>
    <n v="21139"/>
    <n v="137523.73289704189"/>
    <n v="25338.747786279964"/>
    <n v="142105.9000000002"/>
    <n v="9989.9700000001467"/>
    <n v="153474.3720000007"/>
    <n v="28277.653041000125"/>
    <n v="153474.37200000073"/>
    <n v="30891.357286565246"/>
  </r>
  <r>
    <x v="1"/>
    <x v="53"/>
    <x v="53"/>
    <x v="0"/>
    <x v="2"/>
    <m/>
    <x v="0"/>
    <x v="8"/>
    <x v="8"/>
    <n v="41091.350000000006"/>
    <n v="7519.0200000000095"/>
    <n v="74490.69"/>
    <n v="14975.710000000003"/>
    <n v="66486.496565000009"/>
    <n v="16904"/>
    <n v="73530.740876061755"/>
    <n v="14030.598602712711"/>
    <n v="79510.450000000201"/>
    <n v="17912.510000000169"/>
    <n v="85871.286000000226"/>
    <n v="19345.510800000186"/>
    <n v="85871.286000000226"/>
    <n v="18831.764386645562"/>
  </r>
  <r>
    <x v="1"/>
    <x v="53"/>
    <x v="53"/>
    <x v="0"/>
    <x v="2"/>
    <m/>
    <x v="0"/>
    <x v="8"/>
    <x v="9"/>
    <n v="46903.080000000016"/>
    <n v="4375.1900000000078"/>
    <n v="85805.900000000009"/>
    <n v="14676.070000000012"/>
    <n v="77913.631075000012"/>
    <n v="18041"/>
    <n v="86168.580287396253"/>
    <n v="19784.30603398618"/>
    <n v="82560.349999999948"/>
    <n v="19972.049999999901"/>
    <n v="89165.177999999985"/>
    <n v="20472.324868799995"/>
    <n v="89165.177999999985"/>
    <n v="20196.896034634639"/>
  </r>
  <r>
    <x v="1"/>
    <x v="53"/>
    <x v="53"/>
    <x v="0"/>
    <x v="2"/>
    <m/>
    <x v="0"/>
    <x v="8"/>
    <x v="10"/>
    <n v="39637.919999999998"/>
    <n v="4818.7000000000016"/>
    <n v="90620.619999999981"/>
    <n v="15387.989999999989"/>
    <n v="96986.238749999975"/>
    <n v="19599"/>
    <n v="102853.90619437497"/>
    <n v="21496.466394624371"/>
    <n v="54577.011494252874"/>
    <n v="17630.036527837288"/>
    <n v="106968.06244214997"/>
    <n v="22356.325050409345"/>
    <n v="104828.70119330697"/>
    <n v="24122.701244730924"/>
  </r>
  <r>
    <x v="1"/>
    <x v="53"/>
    <x v="53"/>
    <x v="0"/>
    <x v="2"/>
    <m/>
    <x v="0"/>
    <x v="8"/>
    <x v="11"/>
    <n v="100814.57999999999"/>
    <n v="13672.590000000022"/>
    <n v="157404.21000000002"/>
    <n v="39256.070000000036"/>
    <n v="155462.68385000018"/>
    <n v="41003"/>
    <n v="164868.17622292519"/>
    <n v="36023.696504709158"/>
    <n v="129824.56896551723"/>
    <n v="40017.503272224596"/>
    <n v="171462.90327184219"/>
    <n v="37464.644364897526"/>
    <n v="168033.64520640537"/>
    <n v="38667.133869212048"/>
  </r>
  <r>
    <x v="2"/>
    <x v="54"/>
    <x v="54"/>
    <x v="0"/>
    <x v="2"/>
    <m/>
    <x v="4"/>
    <x v="9"/>
    <x v="0"/>
    <n v="0"/>
    <n v="0"/>
    <n v="6405.2300000000005"/>
    <n v="3607.3800000000006"/>
    <n v="68493.502296666658"/>
    <n v="35543.281497333315"/>
    <n v="35255.659999999982"/>
    <n v="19402.238755959275"/>
    <n v="35255.659999999989"/>
    <n v="19418.349999999988"/>
    <n v="68493.502296666658"/>
    <n v="37725.312767438663"/>
    <n v="82192.202755999984"/>
    <n v="42883.913142782076"/>
  </r>
  <r>
    <x v="2"/>
    <x v="54"/>
    <x v="54"/>
    <x v="0"/>
    <x v="2"/>
    <m/>
    <x v="4"/>
    <x v="9"/>
    <x v="1"/>
    <n v="0"/>
    <n v="0"/>
    <n v="33712.869999999995"/>
    <n v="18359.759999999998"/>
    <n v="69435.064770000085"/>
    <n v="30518.474572500032"/>
    <n v="49757.070000000022"/>
    <n v="29837.477329441994"/>
    <n v="49757.070000000029"/>
    <n v="29865.490000000034"/>
    <n v="69435.064770000085"/>
    <n v="41676.735236576249"/>
    <n v="83322.077724000104"/>
    <n v="42289.771402646969"/>
  </r>
  <r>
    <x v="2"/>
    <x v="54"/>
    <x v="54"/>
    <x v="0"/>
    <x v="2"/>
    <m/>
    <x v="4"/>
    <x v="9"/>
    <x v="2"/>
    <n v="0"/>
    <n v="0"/>
    <n v="67526.439999999988"/>
    <n v="37744.939999999995"/>
    <n v="94479"/>
    <n v="47624"/>
    <n v="63680.95"/>
    <n v="39193.572963818398"/>
    <n v="63680.949999999983"/>
    <n v="39193.579999999987"/>
    <n v="63680.949999999961"/>
    <n v="39193.579999999973"/>
    <n v="76417.139999999956"/>
    <n v="39870.764920466776"/>
  </r>
  <r>
    <x v="2"/>
    <x v="54"/>
    <x v="54"/>
    <x v="0"/>
    <x v="2"/>
    <m/>
    <x v="4"/>
    <x v="9"/>
    <x v="3"/>
    <n v="0"/>
    <n v="0"/>
    <n v="0"/>
    <n v="0"/>
    <n v="107879"/>
    <n v="58606"/>
    <n v="91793.290000000183"/>
    <n v="55449.260000000155"/>
    <n v="91793.29000000027"/>
    <n v="55449.260000000257"/>
    <n v="91793.290000000197"/>
    <n v="55449.260000000213"/>
    <n v="110151.94800000024"/>
    <n v="57471.954907491847"/>
  </r>
  <r>
    <x v="2"/>
    <x v="54"/>
    <x v="54"/>
    <x v="0"/>
    <x v="2"/>
    <m/>
    <x v="4"/>
    <x v="9"/>
    <x v="4"/>
    <n v="0"/>
    <n v="0"/>
    <n v="64247.59"/>
    <n v="35833.64"/>
    <n v="123253"/>
    <n v="64727"/>
    <n v="78710.440000000119"/>
    <n v="46216.23000000004"/>
    <n v="78710.440000000061"/>
    <n v="46217.570000000094"/>
    <n v="78710.440000000061"/>
    <n v="46217.570000000094"/>
    <n v="94452.528000000093"/>
    <n v="49280.757432583989"/>
  </r>
  <r>
    <x v="2"/>
    <x v="54"/>
    <x v="54"/>
    <x v="0"/>
    <x v="2"/>
    <m/>
    <x v="4"/>
    <x v="9"/>
    <x v="5"/>
    <n v="59284.799999999974"/>
    <n v="34572.159999999974"/>
    <n v="126116.24999999997"/>
    <n v="71025.77999999997"/>
    <n v="131297"/>
    <n v="68909"/>
    <n v="83714.360000000044"/>
    <n v="48947.407429308514"/>
    <n v="84084.539999999964"/>
    <n v="49163.849999999969"/>
    <n v="84084.53999999995"/>
    <n v="49163.849999999962"/>
    <n v="100901.44799999993"/>
    <n v="52645.491748875989"/>
  </r>
  <r>
    <x v="2"/>
    <x v="54"/>
    <x v="54"/>
    <x v="0"/>
    <x v="2"/>
    <m/>
    <x v="4"/>
    <x v="9"/>
    <x v="6"/>
    <n v="98155.770000000019"/>
    <n v="57673.790000000008"/>
    <n v="130076.40000000002"/>
    <n v="69826.320000000022"/>
    <n v="141784"/>
    <n v="62621"/>
    <n v="62201.05999999999"/>
    <n v="36498.599999999919"/>
    <n v="62355.189999999959"/>
    <n v="36590.789999999979"/>
    <n v="62355.189999999959"/>
    <n v="36590.789999999979"/>
    <n v="74826.227999999945"/>
    <n v="39040.704041962948"/>
  </r>
  <r>
    <x v="2"/>
    <x v="54"/>
    <x v="54"/>
    <x v="0"/>
    <x v="2"/>
    <m/>
    <x v="4"/>
    <x v="9"/>
    <x v="7"/>
    <n v="60316.830000000016"/>
    <n v="35222.290000000008"/>
    <n v="94992.900000000023"/>
    <n v="52906.920000000013"/>
    <n v="109365"/>
    <n v="63949"/>
    <n v="100616.00837999996"/>
    <n v="59474.122553417968"/>
    <n v="51753.959999999977"/>
    <n v="30034.969999999979"/>
    <n v="51753.959999999985"/>
    <n v="30034.969999999983"/>
    <n v="62104.751999999971"/>
    <n v="31521.006638815175"/>
  </r>
  <r>
    <x v="2"/>
    <x v="54"/>
    <x v="54"/>
    <x v="0"/>
    <x v="2"/>
    <m/>
    <x v="4"/>
    <x v="9"/>
    <x v="8"/>
    <n v="70204.36"/>
    <n v="41529.590000000011"/>
    <n v="108010.31000000004"/>
    <n v="64156.180000000044"/>
    <n v="106635"/>
    <n v="61302"/>
    <n v="123610.92099803992"/>
    <n v="63684.346498190163"/>
    <n v="80118.01999999999"/>
    <n v="42854.390000000014"/>
    <n v="80118.01999999999"/>
    <n v="42854.390000000014"/>
    <n v="96141.623999999953"/>
    <n v="50162.045969999752"/>
  </r>
  <r>
    <x v="2"/>
    <x v="54"/>
    <x v="54"/>
    <x v="0"/>
    <x v="2"/>
    <m/>
    <x v="4"/>
    <x v="9"/>
    <x v="9"/>
    <n v="50446.27"/>
    <n v="28379.360000000001"/>
    <n v="97760.489999999991"/>
    <n v="57965.960000000006"/>
    <n v="118808"/>
    <n v="62207"/>
    <n v="137722.33404468017"/>
    <n v="70954.546499819233"/>
    <n v="91318.749999999985"/>
    <n v="54850.859999999942"/>
    <n v="92201.699999999968"/>
    <n v="55381.206361913552"/>
    <n v="110642.03999999995"/>
    <n v="57727.661191728483"/>
  </r>
  <r>
    <x v="2"/>
    <x v="54"/>
    <x v="54"/>
    <x v="0"/>
    <x v="2"/>
    <m/>
    <x v="4"/>
    <x v="9"/>
    <x v="10"/>
    <n v="63460.84"/>
    <n v="34348.369999999995"/>
    <n v="81165.51999999999"/>
    <n v="47961.229999999989"/>
    <n v="112387"/>
    <n v="59823"/>
    <n v="140000"/>
    <n v="69412"/>
    <n v="68422"/>
    <n v="34888.377800000002"/>
    <n v="70274.508702975858"/>
    <n v="42164.705221785516"/>
    <n v="84329.410443571018"/>
    <n v="43200.360825390613"/>
  </r>
  <r>
    <x v="2"/>
    <x v="54"/>
    <x v="54"/>
    <x v="0"/>
    <x v="2"/>
    <m/>
    <x v="4"/>
    <x v="9"/>
    <x v="11"/>
    <n v="102289.91"/>
    <n v="56479"/>
    <n v="101278.61000000002"/>
    <n v="58705.14"/>
    <n v="103193"/>
    <n v="69119"/>
    <n v="155000"/>
    <n v="79856"/>
    <n v="160526.32"/>
    <n v="81852.370568000013"/>
    <n v="155000"/>
    <n v="84634.443970634311"/>
    <n v="185999.99999999997"/>
    <n v="97045.797254474921"/>
  </r>
  <r>
    <x v="2"/>
    <x v="55"/>
    <x v="55"/>
    <x v="1"/>
    <x v="1"/>
    <m/>
    <x v="4"/>
    <x v="9"/>
    <x v="0"/>
    <n v="45357.140000000014"/>
    <n v="27637.020000000015"/>
    <n v="0"/>
    <n v="0"/>
    <n v="0"/>
    <n v="0"/>
    <n v="0"/>
    <n v="0"/>
    <n v="0"/>
    <n v="0"/>
    <n v="0"/>
    <n v="0"/>
    <n v="0"/>
    <n v="0"/>
  </r>
  <r>
    <x v="2"/>
    <x v="55"/>
    <x v="55"/>
    <x v="1"/>
    <x v="1"/>
    <m/>
    <x v="4"/>
    <x v="9"/>
    <x v="1"/>
    <n v="32569.829999999994"/>
    <n v="19483.969999999994"/>
    <n v="0"/>
    <n v="0"/>
    <n v="0"/>
    <n v="0"/>
    <n v="0"/>
    <n v="0"/>
    <n v="0"/>
    <n v="0"/>
    <n v="0"/>
    <n v="0"/>
    <n v="0"/>
    <n v="0"/>
  </r>
  <r>
    <x v="2"/>
    <x v="55"/>
    <x v="55"/>
    <x v="1"/>
    <x v="1"/>
    <m/>
    <x v="4"/>
    <x v="9"/>
    <x v="2"/>
    <n v="27554.539999999994"/>
    <n v="16436.939999999995"/>
    <n v="0"/>
    <n v="0"/>
    <n v="0"/>
    <n v="0"/>
    <n v="0"/>
    <n v="0"/>
    <n v="0"/>
    <n v="0"/>
    <n v="0"/>
    <n v="0"/>
    <n v="0"/>
    <n v="0"/>
  </r>
  <r>
    <x v="2"/>
    <x v="55"/>
    <x v="55"/>
    <x v="1"/>
    <x v="1"/>
    <m/>
    <x v="4"/>
    <x v="9"/>
    <x v="3"/>
    <n v="29315.329999999998"/>
    <n v="17314.21"/>
    <n v="0"/>
    <n v="0"/>
    <n v="0"/>
    <n v="0"/>
    <n v="0"/>
    <n v="0"/>
    <n v="0"/>
    <n v="0"/>
    <n v="0"/>
    <n v="0"/>
    <n v="0"/>
    <n v="0"/>
  </r>
  <r>
    <x v="2"/>
    <x v="55"/>
    <x v="55"/>
    <x v="1"/>
    <x v="1"/>
    <m/>
    <x v="4"/>
    <x v="9"/>
    <x v="4"/>
    <n v="9259.5800000000036"/>
    <n v="5592.0100000000029"/>
    <n v="0"/>
    <n v="0"/>
    <n v="0"/>
    <n v="0"/>
    <n v="0"/>
    <n v="0"/>
    <n v="0"/>
    <n v="0"/>
    <n v="0"/>
    <n v="0"/>
    <n v="0"/>
    <n v="0"/>
  </r>
  <r>
    <x v="2"/>
    <x v="56"/>
    <x v="56"/>
    <x v="1"/>
    <x v="1"/>
    <m/>
    <x v="4"/>
    <x v="9"/>
    <x v="0"/>
    <n v="30825.049999999988"/>
    <n v="16953.499999999985"/>
    <n v="0"/>
    <n v="0"/>
    <n v="0"/>
    <n v="0"/>
    <n v="0"/>
    <n v="0"/>
    <n v="0"/>
    <n v="0"/>
    <n v="0"/>
    <n v="0"/>
    <n v="0"/>
    <n v="0"/>
  </r>
  <r>
    <x v="2"/>
    <x v="56"/>
    <x v="56"/>
    <x v="1"/>
    <x v="1"/>
    <m/>
    <x v="4"/>
    <x v="9"/>
    <x v="1"/>
    <n v="24511.15"/>
    <n v="13595.120000000003"/>
    <n v="0"/>
    <n v="0"/>
    <n v="0"/>
    <n v="0"/>
    <n v="0"/>
    <n v="0"/>
    <n v="0"/>
    <n v="0"/>
    <n v="0"/>
    <n v="0"/>
    <n v="0"/>
    <n v="0"/>
  </r>
  <r>
    <x v="2"/>
    <x v="56"/>
    <x v="56"/>
    <x v="1"/>
    <x v="1"/>
    <m/>
    <x v="4"/>
    <x v="9"/>
    <x v="2"/>
    <n v="17978.5"/>
    <n v="9529.25"/>
    <n v="0"/>
    <n v="0"/>
    <n v="0"/>
    <n v="0"/>
    <n v="0"/>
    <n v="0"/>
    <n v="0"/>
    <n v="0"/>
    <n v="0"/>
    <n v="0"/>
    <n v="0"/>
    <n v="0"/>
  </r>
  <r>
    <x v="2"/>
    <x v="56"/>
    <x v="56"/>
    <x v="1"/>
    <x v="1"/>
    <m/>
    <x v="4"/>
    <x v="9"/>
    <x v="3"/>
    <n v="18304.62"/>
    <n v="9673.9599999999991"/>
    <n v="0"/>
    <n v="0"/>
    <n v="0"/>
    <n v="0"/>
    <n v="0"/>
    <n v="0"/>
    <n v="0"/>
    <n v="0"/>
    <n v="0"/>
    <n v="0"/>
    <n v="0"/>
    <n v="0"/>
  </r>
  <r>
    <x v="2"/>
    <x v="56"/>
    <x v="56"/>
    <x v="1"/>
    <x v="1"/>
    <m/>
    <x v="4"/>
    <x v="9"/>
    <x v="4"/>
    <n v="3260.7799999999997"/>
    <n v="1833.2299999999998"/>
    <n v="0"/>
    <n v="0"/>
    <n v="0"/>
    <n v="0"/>
    <n v="0"/>
    <n v="0"/>
    <n v="0"/>
    <n v="0"/>
    <n v="0"/>
    <n v="0"/>
    <n v="0"/>
    <n v="0"/>
  </r>
  <r>
    <x v="3"/>
    <x v="57"/>
    <x v="57"/>
    <x v="3"/>
    <x v="3"/>
    <m/>
    <x v="0"/>
    <x v="10"/>
    <x v="0"/>
    <n v="0"/>
    <n v="0"/>
    <n v="0"/>
    <n v="0"/>
    <n v="0"/>
    <n v="0"/>
    <n v="0"/>
    <n v="0"/>
    <n v="0"/>
    <n v="0"/>
    <n v="0"/>
    <n v="0"/>
    <n v="0"/>
    <n v="0"/>
  </r>
  <r>
    <x v="3"/>
    <x v="57"/>
    <x v="57"/>
    <x v="3"/>
    <x v="3"/>
    <m/>
    <x v="0"/>
    <x v="10"/>
    <x v="1"/>
    <n v="0"/>
    <n v="0"/>
    <n v="0"/>
    <n v="0"/>
    <n v="0"/>
    <n v="0"/>
    <n v="0"/>
    <n v="0"/>
    <n v="0"/>
    <n v="0"/>
    <n v="0"/>
    <n v="0"/>
    <n v="0"/>
    <n v="0"/>
  </r>
  <r>
    <x v="3"/>
    <x v="57"/>
    <x v="57"/>
    <x v="3"/>
    <x v="3"/>
    <m/>
    <x v="0"/>
    <x v="10"/>
    <x v="2"/>
    <n v="0"/>
    <n v="0"/>
    <n v="0"/>
    <n v="0"/>
    <n v="0"/>
    <n v="0"/>
    <n v="0"/>
    <n v="0"/>
    <n v="0"/>
    <n v="0"/>
    <n v="0"/>
    <n v="0"/>
    <n v="0"/>
    <n v="0"/>
  </r>
  <r>
    <x v="3"/>
    <x v="57"/>
    <x v="57"/>
    <x v="3"/>
    <x v="3"/>
    <m/>
    <x v="0"/>
    <x v="10"/>
    <x v="3"/>
    <n v="0"/>
    <n v="0"/>
    <n v="0"/>
    <n v="0"/>
    <n v="0"/>
    <n v="0"/>
    <n v="0"/>
    <n v="0"/>
    <n v="0"/>
    <n v="0"/>
    <n v="0"/>
    <n v="0"/>
    <n v="0"/>
    <n v="0"/>
  </r>
  <r>
    <x v="3"/>
    <x v="57"/>
    <x v="57"/>
    <x v="3"/>
    <x v="3"/>
    <m/>
    <x v="0"/>
    <x v="10"/>
    <x v="4"/>
    <n v="0"/>
    <n v="0"/>
    <n v="0"/>
    <n v="0"/>
    <n v="0"/>
    <n v="0"/>
    <n v="0"/>
    <n v="0"/>
    <n v="0"/>
    <n v="0"/>
    <n v="0"/>
    <n v="0"/>
    <n v="0"/>
    <n v="0"/>
  </r>
  <r>
    <x v="3"/>
    <x v="57"/>
    <x v="57"/>
    <x v="3"/>
    <x v="3"/>
    <m/>
    <x v="0"/>
    <x v="10"/>
    <x v="5"/>
    <n v="0"/>
    <n v="0"/>
    <n v="0"/>
    <n v="0"/>
    <n v="0"/>
    <n v="0"/>
    <n v="0"/>
    <n v="0"/>
    <n v="0"/>
    <n v="0"/>
    <n v="0"/>
    <n v="0"/>
    <n v="0"/>
    <n v="0"/>
  </r>
  <r>
    <x v="3"/>
    <x v="57"/>
    <x v="57"/>
    <x v="3"/>
    <x v="3"/>
    <m/>
    <x v="0"/>
    <x v="10"/>
    <x v="6"/>
    <n v="0"/>
    <n v="0"/>
    <n v="0"/>
    <n v="0"/>
    <n v="0"/>
    <n v="0"/>
    <n v="0"/>
    <n v="0"/>
    <n v="0"/>
    <n v="0"/>
    <n v="0"/>
    <n v="0"/>
    <n v="27636.839999999986"/>
    <n v="14328.834114841478"/>
  </r>
  <r>
    <x v="3"/>
    <x v="57"/>
    <x v="57"/>
    <x v="3"/>
    <x v="3"/>
    <m/>
    <x v="0"/>
    <x v="10"/>
    <x v="7"/>
    <n v="0"/>
    <n v="0"/>
    <n v="0"/>
    <n v="0"/>
    <n v="0"/>
    <n v="0"/>
    <n v="0"/>
    <n v="0"/>
    <n v="0"/>
    <n v="0"/>
    <n v="0"/>
    <n v="0"/>
    <n v="42637.848000000005"/>
    <n v="19647.308903880174"/>
  </r>
  <r>
    <x v="3"/>
    <x v="57"/>
    <x v="57"/>
    <x v="3"/>
    <x v="3"/>
    <m/>
    <x v="0"/>
    <x v="10"/>
    <x v="8"/>
    <n v="0"/>
    <n v="0"/>
    <n v="0"/>
    <n v="0"/>
    <n v="0"/>
    <n v="0"/>
    <n v="0"/>
    <n v="0"/>
    <n v="0"/>
    <n v="0"/>
    <n v="0"/>
    <n v="0"/>
    <n v="25617.918484344002"/>
    <n v="12979.01449427919"/>
  </r>
  <r>
    <x v="3"/>
    <x v="57"/>
    <x v="57"/>
    <x v="3"/>
    <x v="3"/>
    <m/>
    <x v="0"/>
    <x v="10"/>
    <x v="9"/>
    <n v="0"/>
    <n v="0"/>
    <n v="0"/>
    <n v="0"/>
    <n v="0"/>
    <n v="0"/>
    <n v="0"/>
    <n v="0"/>
    <n v="0"/>
    <n v="0"/>
    <n v="0"/>
    <n v="0"/>
    <n v="27623.853229368007"/>
    <n v="14240.400045510765"/>
  </r>
  <r>
    <x v="3"/>
    <x v="57"/>
    <x v="57"/>
    <x v="3"/>
    <x v="3"/>
    <m/>
    <x v="0"/>
    <x v="10"/>
    <x v="10"/>
    <n v="0"/>
    <n v="0"/>
    <n v="0"/>
    <n v="0"/>
    <n v="0"/>
    <n v="0"/>
    <n v="0"/>
    <n v="0"/>
    <n v="0"/>
    <n v="0"/>
    <n v="0"/>
    <n v="0"/>
    <n v="34084.353033107982"/>
    <n v="16260.347780086926"/>
  </r>
  <r>
    <x v="3"/>
    <x v="57"/>
    <x v="57"/>
    <x v="3"/>
    <x v="3"/>
    <m/>
    <x v="0"/>
    <x v="10"/>
    <x v="11"/>
    <n v="0"/>
    <n v="0"/>
    <n v="0"/>
    <n v="0"/>
    <n v="0"/>
    <n v="0"/>
    <n v="0"/>
    <n v="0"/>
    <n v="0"/>
    <n v="0"/>
    <n v="0"/>
    <n v="0"/>
    <n v="66594.936034296028"/>
    <n v="34231.940464493702"/>
  </r>
  <r>
    <x v="3"/>
    <x v="58"/>
    <x v="58"/>
    <x v="3"/>
    <x v="3"/>
    <m/>
    <x v="1"/>
    <x v="10"/>
    <x v="0"/>
    <n v="0"/>
    <n v="0"/>
    <n v="0"/>
    <n v="0"/>
    <n v="0"/>
    <n v="0"/>
    <n v="0"/>
    <n v="0"/>
    <n v="0"/>
    <n v="0"/>
    <n v="0"/>
    <n v="0"/>
    <n v="0"/>
    <n v="0"/>
  </r>
  <r>
    <x v="3"/>
    <x v="58"/>
    <x v="58"/>
    <x v="3"/>
    <x v="3"/>
    <m/>
    <x v="1"/>
    <x v="10"/>
    <x v="1"/>
    <n v="0"/>
    <n v="0"/>
    <n v="0"/>
    <n v="0"/>
    <n v="0"/>
    <n v="0"/>
    <n v="0"/>
    <n v="0"/>
    <n v="0"/>
    <n v="0"/>
    <n v="0"/>
    <n v="0"/>
    <n v="0"/>
    <n v="0"/>
  </r>
  <r>
    <x v="3"/>
    <x v="58"/>
    <x v="58"/>
    <x v="3"/>
    <x v="3"/>
    <m/>
    <x v="1"/>
    <x v="10"/>
    <x v="2"/>
    <n v="0"/>
    <n v="0"/>
    <n v="0"/>
    <n v="0"/>
    <n v="0"/>
    <n v="0"/>
    <n v="0"/>
    <n v="0"/>
    <n v="0"/>
    <n v="0"/>
    <n v="0"/>
    <n v="0"/>
    <n v="0"/>
    <n v="0"/>
  </r>
  <r>
    <x v="3"/>
    <x v="58"/>
    <x v="58"/>
    <x v="3"/>
    <x v="3"/>
    <m/>
    <x v="1"/>
    <x v="10"/>
    <x v="3"/>
    <n v="0"/>
    <n v="0"/>
    <n v="0"/>
    <n v="0"/>
    <n v="0"/>
    <n v="0"/>
    <n v="0"/>
    <n v="0"/>
    <n v="0"/>
    <n v="0"/>
    <n v="0"/>
    <n v="0"/>
    <n v="0"/>
    <n v="0"/>
  </r>
  <r>
    <x v="3"/>
    <x v="58"/>
    <x v="58"/>
    <x v="3"/>
    <x v="3"/>
    <m/>
    <x v="1"/>
    <x v="10"/>
    <x v="4"/>
    <n v="0"/>
    <n v="0"/>
    <n v="0"/>
    <n v="0"/>
    <n v="0"/>
    <n v="0"/>
    <n v="0"/>
    <n v="0"/>
    <n v="0"/>
    <n v="0"/>
    <n v="0"/>
    <n v="0"/>
    <n v="0"/>
    <n v="0"/>
  </r>
  <r>
    <x v="3"/>
    <x v="58"/>
    <x v="58"/>
    <x v="3"/>
    <x v="3"/>
    <m/>
    <x v="1"/>
    <x v="10"/>
    <x v="5"/>
    <n v="0"/>
    <n v="0"/>
    <n v="0"/>
    <n v="0"/>
    <n v="0"/>
    <n v="0"/>
    <n v="0"/>
    <n v="0"/>
    <n v="0"/>
    <n v="0"/>
    <n v="0"/>
    <n v="0"/>
    <n v="0"/>
    <n v="0"/>
  </r>
  <r>
    <x v="3"/>
    <x v="58"/>
    <x v="58"/>
    <x v="3"/>
    <x v="3"/>
    <m/>
    <x v="1"/>
    <x v="10"/>
    <x v="6"/>
    <n v="0"/>
    <n v="0"/>
    <n v="0"/>
    <n v="0"/>
    <n v="0"/>
    <n v="0"/>
    <n v="0"/>
    <n v="0"/>
    <n v="0"/>
    <n v="0"/>
    <n v="0"/>
    <n v="0"/>
    <n v="0"/>
    <n v="0"/>
  </r>
  <r>
    <x v="3"/>
    <x v="58"/>
    <x v="58"/>
    <x v="3"/>
    <x v="3"/>
    <m/>
    <x v="1"/>
    <x v="10"/>
    <x v="7"/>
    <n v="0"/>
    <n v="0"/>
    <n v="0"/>
    <n v="0"/>
    <n v="0"/>
    <n v="0"/>
    <n v="0"/>
    <n v="0"/>
    <n v="0"/>
    <n v="0"/>
    <n v="0"/>
    <n v="0"/>
    <n v="0"/>
    <n v="0"/>
  </r>
  <r>
    <x v="3"/>
    <x v="58"/>
    <x v="58"/>
    <x v="3"/>
    <x v="3"/>
    <m/>
    <x v="1"/>
    <x v="10"/>
    <x v="8"/>
    <n v="0"/>
    <n v="0"/>
    <n v="0"/>
    <n v="0"/>
    <n v="0"/>
    <n v="0"/>
    <n v="0"/>
    <n v="0"/>
    <n v="0"/>
    <n v="0"/>
    <n v="0"/>
    <n v="0"/>
    <n v="0"/>
    <n v="0"/>
  </r>
  <r>
    <x v="3"/>
    <x v="58"/>
    <x v="58"/>
    <x v="3"/>
    <x v="3"/>
    <m/>
    <x v="1"/>
    <x v="10"/>
    <x v="9"/>
    <n v="0"/>
    <n v="0"/>
    <n v="0"/>
    <n v="0"/>
    <n v="0"/>
    <n v="0"/>
    <n v="0"/>
    <n v="0"/>
    <n v="0"/>
    <n v="0"/>
    <n v="0"/>
    <n v="0"/>
    <n v="33201.597420799983"/>
    <n v="17115.788499756924"/>
  </r>
  <r>
    <x v="3"/>
    <x v="58"/>
    <x v="58"/>
    <x v="3"/>
    <x v="3"/>
    <m/>
    <x v="1"/>
    <x v="10"/>
    <x v="10"/>
    <n v="0"/>
    <n v="0"/>
    <n v="0"/>
    <n v="0"/>
    <n v="0"/>
    <n v="0"/>
    <n v="0"/>
    <n v="0"/>
    <n v="0"/>
    <n v="0"/>
    <n v="0"/>
    <n v="0"/>
    <n v="43370.756937608116"/>
    <n v="20690.537696464526"/>
  </r>
  <r>
    <x v="3"/>
    <x v="58"/>
    <x v="58"/>
    <x v="3"/>
    <x v="3"/>
    <m/>
    <x v="1"/>
    <x v="10"/>
    <x v="11"/>
    <n v="0"/>
    <n v="0"/>
    <n v="0"/>
    <n v="0"/>
    <n v="0"/>
    <n v="0"/>
    <n v="0"/>
    <n v="0"/>
    <n v="0"/>
    <n v="0"/>
    <n v="0"/>
    <n v="0"/>
    <n v="59450.892251465106"/>
    <n v="30559.672030694761"/>
  </r>
  <r>
    <x v="3"/>
    <x v="59"/>
    <x v="59"/>
    <x v="3"/>
    <x v="3"/>
    <m/>
    <x v="1"/>
    <x v="10"/>
    <x v="0"/>
    <n v="0"/>
    <n v="0"/>
    <n v="0"/>
    <n v="0"/>
    <n v="0"/>
    <n v="0"/>
    <n v="0"/>
    <n v="0"/>
    <n v="0"/>
    <n v="0"/>
    <n v="0"/>
    <n v="0"/>
    <n v="0"/>
    <n v="0"/>
  </r>
  <r>
    <x v="3"/>
    <x v="59"/>
    <x v="59"/>
    <x v="3"/>
    <x v="3"/>
    <m/>
    <x v="1"/>
    <x v="10"/>
    <x v="1"/>
    <n v="0"/>
    <n v="0"/>
    <n v="0"/>
    <n v="0"/>
    <n v="0"/>
    <n v="0"/>
    <n v="0"/>
    <n v="0"/>
    <n v="0"/>
    <n v="0"/>
    <n v="0"/>
    <n v="0"/>
    <n v="0"/>
    <n v="0"/>
  </r>
  <r>
    <x v="3"/>
    <x v="59"/>
    <x v="59"/>
    <x v="3"/>
    <x v="3"/>
    <m/>
    <x v="1"/>
    <x v="10"/>
    <x v="2"/>
    <n v="0"/>
    <n v="0"/>
    <n v="0"/>
    <n v="0"/>
    <n v="0"/>
    <n v="0"/>
    <n v="0"/>
    <n v="0"/>
    <n v="0"/>
    <n v="0"/>
    <n v="0"/>
    <n v="0"/>
    <n v="0"/>
    <n v="0"/>
  </r>
  <r>
    <x v="3"/>
    <x v="59"/>
    <x v="59"/>
    <x v="3"/>
    <x v="3"/>
    <m/>
    <x v="1"/>
    <x v="10"/>
    <x v="3"/>
    <n v="0"/>
    <n v="0"/>
    <n v="0"/>
    <n v="0"/>
    <n v="0"/>
    <n v="0"/>
    <n v="0"/>
    <n v="0"/>
    <n v="0"/>
    <n v="0"/>
    <n v="0"/>
    <n v="0"/>
    <n v="0"/>
    <n v="0"/>
  </r>
  <r>
    <x v="3"/>
    <x v="59"/>
    <x v="59"/>
    <x v="3"/>
    <x v="3"/>
    <m/>
    <x v="1"/>
    <x v="10"/>
    <x v="4"/>
    <n v="0"/>
    <n v="0"/>
    <n v="0"/>
    <n v="0"/>
    <n v="0"/>
    <n v="0"/>
    <n v="0"/>
    <n v="0"/>
    <n v="0"/>
    <n v="0"/>
    <n v="0"/>
    <n v="0"/>
    <n v="26736.24027200001"/>
    <n v="13821.551509962152"/>
  </r>
  <r>
    <x v="3"/>
    <x v="59"/>
    <x v="59"/>
    <x v="3"/>
    <x v="3"/>
    <m/>
    <x v="1"/>
    <x v="10"/>
    <x v="5"/>
    <n v="0"/>
    <n v="0"/>
    <n v="0"/>
    <n v="0"/>
    <n v="0"/>
    <n v="0"/>
    <n v="0"/>
    <n v="0"/>
    <n v="0"/>
    <n v="0"/>
    <n v="0"/>
    <n v="0"/>
    <n v="25703.927365200052"/>
    <n v="13287.887618907249"/>
  </r>
  <r>
    <x v="3"/>
    <x v="59"/>
    <x v="59"/>
    <x v="3"/>
    <x v="3"/>
    <m/>
    <x v="1"/>
    <x v="10"/>
    <x v="6"/>
    <n v="0"/>
    <n v="0"/>
    <n v="0"/>
    <n v="0"/>
    <n v="0"/>
    <n v="0"/>
    <n v="0"/>
    <n v="0"/>
    <n v="0"/>
    <n v="0"/>
    <n v="0"/>
    <n v="0"/>
    <n v="26859.57381800007"/>
    <n v="13885.309949503533"/>
  </r>
  <r>
    <x v="3"/>
    <x v="59"/>
    <x v="59"/>
    <x v="3"/>
    <x v="3"/>
    <m/>
    <x v="1"/>
    <x v="10"/>
    <x v="7"/>
    <n v="0"/>
    <n v="0"/>
    <n v="0"/>
    <n v="0"/>
    <n v="0"/>
    <n v="0"/>
    <n v="0"/>
    <n v="0"/>
    <n v="0"/>
    <n v="0"/>
    <n v="0"/>
    <n v="0"/>
    <n v="33547.808061327087"/>
    <n v="15248.51076902213"/>
  </r>
  <r>
    <x v="3"/>
    <x v="59"/>
    <x v="59"/>
    <x v="3"/>
    <x v="3"/>
    <m/>
    <x v="1"/>
    <x v="10"/>
    <x v="8"/>
    <n v="0"/>
    <n v="0"/>
    <n v="0"/>
    <n v="0"/>
    <n v="0"/>
    <n v="0"/>
    <n v="0"/>
    <n v="0"/>
    <n v="0"/>
    <n v="0"/>
    <n v="0"/>
    <n v="0"/>
    <n v="27188.149835700071"/>
    <n v="13707.002224819058"/>
  </r>
  <r>
    <x v="3"/>
    <x v="59"/>
    <x v="59"/>
    <x v="3"/>
    <x v="3"/>
    <m/>
    <x v="1"/>
    <x v="10"/>
    <x v="9"/>
    <n v="0"/>
    <n v="0"/>
    <n v="0"/>
    <n v="0"/>
    <n v="38389.033005749981"/>
    <n v="15434.313449152494"/>
    <n v="0"/>
    <n v="0"/>
    <n v="0"/>
    <n v="0"/>
    <n v="0"/>
    <n v="0"/>
    <n v="29051.397743199985"/>
    <n v="14925.386813503201"/>
  </r>
  <r>
    <x v="3"/>
    <x v="59"/>
    <x v="59"/>
    <x v="3"/>
    <x v="3"/>
    <m/>
    <x v="1"/>
    <x v="10"/>
    <x v="10"/>
    <n v="0"/>
    <n v="0"/>
    <n v="0"/>
    <n v="0"/>
    <n v="48397.660620750008"/>
    <n v="23502.296984827499"/>
    <n v="0"/>
    <n v="0"/>
    <n v="0"/>
    <n v="0"/>
    <n v="0"/>
    <n v="0"/>
    <n v="37949.4123204071"/>
    <n v="17917.391806903419"/>
  </r>
  <r>
    <x v="3"/>
    <x v="59"/>
    <x v="59"/>
    <x v="3"/>
    <x v="3"/>
    <m/>
    <x v="1"/>
    <x v="10"/>
    <x v="11"/>
    <n v="0"/>
    <n v="0"/>
    <n v="0"/>
    <n v="0"/>
    <n v="67629.755812500123"/>
    <n v="36674.784157725073"/>
    <n v="0"/>
    <n v="0"/>
    <n v="0"/>
    <n v="0"/>
    <n v="0"/>
    <n v="0"/>
    <n v="52019.530720031958"/>
    <n v="26642.178449837753"/>
  </r>
  <r>
    <x v="3"/>
    <x v="60"/>
    <x v="60"/>
    <x v="3"/>
    <x v="2"/>
    <m/>
    <x v="3"/>
    <x v="11"/>
    <x v="0"/>
    <n v="0"/>
    <n v="0"/>
    <n v="0"/>
    <n v="0"/>
    <n v="36432.577999999994"/>
    <n v="19268.55056"/>
    <n v="22034.3"/>
    <n v="11680.990000000003"/>
    <n v="22034.300000000003"/>
    <n v="11680.990000000002"/>
    <n v="24237.730000000047"/>
    <n v="12849.089000000025"/>
    <n v="25328.427850000051"/>
    <n v="13062.498396991345"/>
  </r>
  <r>
    <x v="3"/>
    <x v="60"/>
    <x v="60"/>
    <x v="3"/>
    <x v="2"/>
    <m/>
    <x v="3"/>
    <x v="11"/>
    <x v="1"/>
    <n v="0"/>
    <n v="0"/>
    <n v="0"/>
    <n v="0"/>
    <n v="45533.25"/>
    <n v="19268.9175"/>
    <n v="34237.629999999968"/>
    <n v="16777.479999999996"/>
    <n v="34237.629999999954"/>
    <n v="16777.479999999945"/>
    <n v="37661.393000000011"/>
    <n v="18455.22799999997"/>
    <n v="38791.234790000017"/>
    <n v="17928.163340848052"/>
  </r>
  <r>
    <x v="3"/>
    <x v="60"/>
    <x v="60"/>
    <x v="3"/>
    <x v="2"/>
    <m/>
    <x v="3"/>
    <x v="11"/>
    <x v="2"/>
    <n v="0"/>
    <n v="0"/>
    <n v="0"/>
    <n v="0"/>
    <n v="36904.875"/>
    <n v="18449.97"/>
    <n v="33652.250000000015"/>
    <n v="16922.939999999991"/>
    <n v="33652.250000000015"/>
    <n v="16939.520000000004"/>
    <n v="33652.250000000044"/>
    <n v="16939.520000000019"/>
    <n v="35334.862500000047"/>
    <n v="17916.199809058951"/>
  </r>
  <r>
    <x v="3"/>
    <x v="60"/>
    <x v="60"/>
    <x v="3"/>
    <x v="2"/>
    <m/>
    <x v="3"/>
    <x v="11"/>
    <x v="3"/>
    <n v="0"/>
    <n v="0"/>
    <n v="0"/>
    <n v="0"/>
    <n v="39810.224999999999"/>
    <n v="19948.593000000001"/>
    <n v="32907.570000000051"/>
    <n v="17461.820000000036"/>
    <n v="32907.570000000051"/>
    <n v="17461.820000000043"/>
    <n v="32907.570000000051"/>
    <n v="17461.820000000043"/>
    <n v="35540.175600000046"/>
    <n v="17505.888262938359"/>
  </r>
  <r>
    <x v="3"/>
    <x v="60"/>
    <x v="60"/>
    <x v="3"/>
    <x v="2"/>
    <m/>
    <x v="3"/>
    <x v="11"/>
    <x v="4"/>
    <n v="0"/>
    <n v="0"/>
    <n v="0"/>
    <n v="0"/>
    <n v="34430.025000000001"/>
    <n v="18455.773875000003"/>
    <n v="32906.979999999996"/>
    <n v="17490.470000000008"/>
    <n v="32906.979999999989"/>
    <n v="17490.469999999987"/>
    <n v="32906.979999999989"/>
    <n v="17490.469999999987"/>
    <n v="34552.328999999998"/>
    <n v="17919.516042854819"/>
  </r>
  <r>
    <x v="3"/>
    <x v="60"/>
    <x v="60"/>
    <x v="3"/>
    <x v="2"/>
    <m/>
    <x v="3"/>
    <x v="11"/>
    <x v="5"/>
    <n v="0"/>
    <n v="0"/>
    <n v="0"/>
    <n v="0"/>
    <n v="34432.125"/>
    <n v="18349.078125"/>
    <n v="28508.999999999982"/>
    <n v="15379.036910812356"/>
    <n v="28508.999999999993"/>
    <n v="15379.539999999999"/>
    <n v="28508.999999999996"/>
    <n v="15379.54"/>
    <n v="30219.539999999994"/>
    <n v="15672.446619667604"/>
  </r>
  <r>
    <x v="3"/>
    <x v="60"/>
    <x v="60"/>
    <x v="3"/>
    <x v="2"/>
    <m/>
    <x v="3"/>
    <x v="11"/>
    <x v="6"/>
    <n v="0"/>
    <n v="0"/>
    <n v="0"/>
    <n v="0"/>
    <n v="41031.236609999993"/>
    <n v="21103.321229549998"/>
    <n v="27587.93"/>
    <n v="14982.06999999998"/>
    <n v="27587.929999999997"/>
    <n v="14982.069999999992"/>
    <n v="27587.929999999971"/>
    <n v="14982.06999999998"/>
    <n v="30622.602299999966"/>
    <n v="15881.482640108352"/>
  </r>
  <r>
    <x v="3"/>
    <x v="60"/>
    <x v="60"/>
    <x v="3"/>
    <x v="2"/>
    <m/>
    <x v="3"/>
    <x v="11"/>
    <x v="7"/>
    <n v="0"/>
    <n v="0"/>
    <n v="0"/>
    <n v="0"/>
    <n v="53190.665262000002"/>
    <n v="21726.35912202"/>
    <n v="45212.065472699993"/>
    <n v="19191.617551851694"/>
    <n v="46968.04"/>
    <n v="19743.039999999997"/>
    <n v="43680.277200000011"/>
    <n v="18541.404065856004"/>
    <n v="45645.889674000013"/>
    <n v="21096.182432552087"/>
  </r>
  <r>
    <x v="3"/>
    <x v="60"/>
    <x v="60"/>
    <x v="3"/>
    <x v="2"/>
    <m/>
    <x v="3"/>
    <x v="11"/>
    <x v="8"/>
    <n v="0"/>
    <n v="0"/>
    <n v="21718.23"/>
    <n v="11751.189999999999"/>
    <n v="33860.914327999992"/>
    <n v="18087.420048404994"/>
    <n v="32811.225983831995"/>
    <n v="16707.476270967254"/>
    <n v="24290.630000000005"/>
    <n v="12467.869999999999"/>
    <n v="24290.630000000005"/>
    <n v="12467.869999999999"/>
    <n v="25505.161500000002"/>
    <n v="12932.145118615286"/>
  </r>
  <r>
    <x v="3"/>
    <x v="60"/>
    <x v="60"/>
    <x v="3"/>
    <x v="2"/>
    <m/>
    <x v="3"/>
    <x v="11"/>
    <x v="9"/>
    <n v="0"/>
    <n v="0"/>
    <n v="30167.03"/>
    <n v="16498.349999999999"/>
    <n v="36003.734064999975"/>
    <n v="19051.978844724985"/>
    <n v="34887.618308984973"/>
    <n v="17764.775242935149"/>
    <n v="20284.129999999997"/>
    <n v="10679.239999999991"/>
    <n v="30116.22"/>
    <n v="15335.179224"/>
    <n v="31772.612100000002"/>
    <n v="16385.92403296271"/>
  </r>
  <r>
    <x v="3"/>
    <x v="60"/>
    <x v="60"/>
    <x v="3"/>
    <x v="2"/>
    <m/>
    <x v="3"/>
    <x v="11"/>
    <x v="10"/>
    <n v="0"/>
    <n v="0"/>
    <n v="24558.6"/>
    <n v="12986.139999999998"/>
    <n v="43077.199534999963"/>
    <n v="20894.814149774986"/>
    <n v="42969.506536162466"/>
    <n v="20539.424124285659"/>
    <n v="8912.3563218390809"/>
    <n v="3675.9885268399189"/>
    <n v="42969.506536162466"/>
    <n v="20539.424124285659"/>
    <n v="45977.371993693843"/>
    <n v="21981.41510895134"/>
  </r>
  <r>
    <x v="3"/>
    <x v="60"/>
    <x v="60"/>
    <x v="3"/>
    <x v="2"/>
    <m/>
    <x v="3"/>
    <x v="11"/>
    <x v="11"/>
    <n v="0"/>
    <n v="0"/>
    <n v="62069.249999999993"/>
    <n v="33442.859999999986"/>
    <n v="61247.428300000014"/>
    <n v="32909.529274500012"/>
    <n v="59930.608591550015"/>
    <n v="29725.581861408809"/>
    <n v="75777.155172413812"/>
    <n v="36170.316503259099"/>
    <n v="59930.608591550015"/>
    <n v="29725.581861408809"/>
    <n v="64725.057278874017"/>
    <n v="33286.633274979446"/>
  </r>
  <r>
    <x v="3"/>
    <x v="61"/>
    <x v="61"/>
    <x v="3"/>
    <x v="3"/>
    <m/>
    <x v="3"/>
    <x v="10"/>
    <x v="0"/>
    <n v="0"/>
    <n v="0"/>
    <n v="0"/>
    <n v="0"/>
    <n v="0"/>
    <n v="0"/>
    <n v="0"/>
    <n v="0"/>
    <n v="0"/>
    <n v="0"/>
    <n v="0"/>
    <n v="0"/>
    <n v="13418.362584000053"/>
    <n v="6917.3134379647863"/>
  </r>
  <r>
    <x v="3"/>
    <x v="61"/>
    <x v="61"/>
    <x v="3"/>
    <x v="3"/>
    <m/>
    <x v="3"/>
    <x v="10"/>
    <x v="1"/>
    <n v="0"/>
    <n v="0"/>
    <n v="0"/>
    <n v="0"/>
    <n v="0"/>
    <n v="0"/>
    <n v="0"/>
    <n v="0"/>
    <n v="0"/>
    <n v="0"/>
    <n v="0"/>
    <n v="0"/>
    <n v="18115.275266000026"/>
    <n v="8347.4290032161698"/>
  </r>
  <r>
    <x v="3"/>
    <x v="61"/>
    <x v="61"/>
    <x v="3"/>
    <x v="3"/>
    <m/>
    <x v="3"/>
    <x v="10"/>
    <x v="2"/>
    <n v="0"/>
    <n v="0"/>
    <n v="0"/>
    <n v="0"/>
    <n v="0"/>
    <n v="0"/>
    <n v="0"/>
    <n v="0"/>
    <n v="0"/>
    <n v="0"/>
    <n v="0"/>
    <n v="0"/>
    <n v="15151.356000000053"/>
    <n v="7676.254776599596"/>
  </r>
  <r>
    <x v="3"/>
    <x v="61"/>
    <x v="61"/>
    <x v="3"/>
    <x v="3"/>
    <m/>
    <x v="3"/>
    <x v="10"/>
    <x v="3"/>
    <n v="0"/>
    <n v="0"/>
    <n v="0"/>
    <n v="0"/>
    <n v="0"/>
    <n v="0"/>
    <n v="0"/>
    <n v="0"/>
    <n v="0"/>
    <n v="0"/>
    <n v="0"/>
    <n v="0"/>
    <n v="17106.529000000068"/>
    <n v="8413.8469969064954"/>
  </r>
  <r>
    <x v="3"/>
    <x v="61"/>
    <x v="61"/>
    <x v="3"/>
    <x v="3"/>
    <m/>
    <x v="3"/>
    <x v="10"/>
    <x v="4"/>
    <n v="0"/>
    <n v="0"/>
    <n v="0"/>
    <n v="0"/>
    <n v="0"/>
    <n v="0"/>
    <n v="0"/>
    <n v="0"/>
    <n v="0"/>
    <n v="0"/>
    <n v="0"/>
    <n v="0"/>
    <n v="16253.033600000002"/>
    <n v="8426.6877948906222"/>
  </r>
  <r>
    <x v="3"/>
    <x v="61"/>
    <x v="61"/>
    <x v="3"/>
    <x v="3"/>
    <m/>
    <x v="3"/>
    <x v="10"/>
    <x v="5"/>
    <n v="0"/>
    <n v="0"/>
    <n v="0"/>
    <n v="0"/>
    <n v="0"/>
    <n v="0"/>
    <n v="0"/>
    <n v="0"/>
    <n v="0"/>
    <n v="0"/>
    <n v="0"/>
    <n v="0"/>
    <n v="15625.487760000025"/>
    <n v="8101.3249733517441"/>
  </r>
  <r>
    <x v="3"/>
    <x v="61"/>
    <x v="61"/>
    <x v="3"/>
    <x v="3"/>
    <m/>
    <x v="3"/>
    <x v="10"/>
    <x v="6"/>
    <n v="0"/>
    <n v="0"/>
    <n v="0"/>
    <n v="0"/>
    <n v="0"/>
    <n v="0"/>
    <n v="0"/>
    <n v="0"/>
    <n v="0"/>
    <n v="0"/>
    <n v="0"/>
    <n v="0"/>
    <n v="16328.008400000044"/>
    <n v="8465.5598754900693"/>
  </r>
  <r>
    <x v="3"/>
    <x v="61"/>
    <x v="61"/>
    <x v="3"/>
    <x v="3"/>
    <m/>
    <x v="3"/>
    <x v="10"/>
    <x v="7"/>
    <n v="0"/>
    <n v="0"/>
    <n v="0"/>
    <n v="0"/>
    <n v="47871.598735800006"/>
    <n v="19509.558311817003"/>
    <n v="0"/>
    <n v="0"/>
    <n v="12563.959999999988"/>
    <n v="5065.4999999999827"/>
    <n v="11684.482799999989"/>
    <n v="4710.9149999999836"/>
    <n v="20393.804292600049"/>
    <n v="9397.3638787302461"/>
  </r>
  <r>
    <x v="3"/>
    <x v="61"/>
    <x v="61"/>
    <x v="3"/>
    <x v="3"/>
    <m/>
    <x v="3"/>
    <x v="10"/>
    <x v="8"/>
    <n v="0"/>
    <n v="0"/>
    <n v="0"/>
    <n v="0"/>
    <n v="30474.822895199992"/>
    <n v="16058.828043152998"/>
    <n v="27975.887417793594"/>
    <n v="13918.003990352314"/>
    <n v="11701.019999999993"/>
    <n v="6295.3499999999931"/>
    <n v="11701.019999999993"/>
    <n v="6295.3499999999931"/>
    <n v="16527.750660000034"/>
    <n v="8373.5888028947338"/>
  </r>
  <r>
    <x v="3"/>
    <x v="61"/>
    <x v="61"/>
    <x v="3"/>
    <x v="3"/>
    <m/>
    <x v="3"/>
    <x v="10"/>
    <x v="9"/>
    <n v="0"/>
    <n v="0"/>
    <n v="0"/>
    <n v="0"/>
    <n v="32403.360658499976"/>
    <n v="17013.997745144989"/>
    <n v="29746.285084502975"/>
    <n v="15111.112822927511"/>
    <n v="9828.5400000000009"/>
    <n v="5134.5600000000022"/>
    <n v="15411.819999999996"/>
    <n v="7829.2045599999983"/>
    <n v="17660.424159999995"/>
    <n v="9104.142819019642"/>
  </r>
  <r>
    <x v="3"/>
    <x v="61"/>
    <x v="61"/>
    <x v="3"/>
    <x v="3"/>
    <m/>
    <x v="3"/>
    <x v="10"/>
    <x v="10"/>
    <n v="0"/>
    <n v="0"/>
    <n v="0"/>
    <n v="0"/>
    <n v="38769.479581499967"/>
    <n v="18838.545954704983"/>
    <n v="36637.158204517465"/>
    <n v="17640.79167547516"/>
    <n v="11544.540229885059"/>
    <n v="4709.1119292509784"/>
    <n v="36637.158204517465"/>
    <n v="17640.79167547516"/>
    <n v="23069.551562557503"/>
    <n v="11005.605157693895"/>
  </r>
  <r>
    <x v="3"/>
    <x v="61"/>
    <x v="61"/>
    <x v="3"/>
    <x v="3"/>
    <m/>
    <x v="3"/>
    <x v="10"/>
    <x v="11"/>
    <n v="0"/>
    <n v="0"/>
    <n v="0"/>
    <n v="0"/>
    <n v="55122.685470000011"/>
    <n v="29887.620330150006"/>
    <n v="51098.729430690015"/>
    <n v="25447.16725648363"/>
    <n v="54975.287356321838"/>
    <n v="25793.507751027184"/>
    <n v="51098.729430690015"/>
    <n v="25447.16725648363"/>
    <n v="31622.815027375047"/>
    <n v="16255.144697178059"/>
  </r>
  <r>
    <x v="3"/>
    <x v="62"/>
    <x v="62"/>
    <x v="3"/>
    <x v="3"/>
    <m/>
    <x v="1"/>
    <x v="11"/>
    <x v="0"/>
    <n v="0"/>
    <n v="0"/>
    <n v="0"/>
    <n v="0"/>
    <n v="0"/>
    <n v="0"/>
    <n v="0"/>
    <n v="0"/>
    <n v="0"/>
    <n v="0"/>
    <n v="0"/>
    <n v="0"/>
    <n v="31533.152072400128"/>
    <n v="16255.68657921725"/>
  </r>
  <r>
    <x v="3"/>
    <x v="62"/>
    <x v="62"/>
    <x v="3"/>
    <x v="3"/>
    <m/>
    <x v="1"/>
    <x v="11"/>
    <x v="1"/>
    <n v="0"/>
    <n v="0"/>
    <n v="0"/>
    <n v="0"/>
    <n v="0"/>
    <n v="0"/>
    <n v="0"/>
    <n v="0"/>
    <n v="0"/>
    <n v="0"/>
    <n v="0"/>
    <n v="0"/>
    <n v="42570.896875100079"/>
    <n v="19616.458157558005"/>
  </r>
  <r>
    <x v="3"/>
    <x v="62"/>
    <x v="62"/>
    <x v="3"/>
    <x v="3"/>
    <m/>
    <x v="1"/>
    <x v="11"/>
    <x v="2"/>
    <n v="0"/>
    <n v="0"/>
    <n v="0"/>
    <n v="0"/>
    <n v="50313.375"/>
    <n v="26428.250625000001"/>
    <n v="0"/>
    <n v="0"/>
    <n v="0"/>
    <n v="0"/>
    <n v="0"/>
    <n v="0"/>
    <n v="35605.686600000125"/>
    <n v="18039.19872500905"/>
  </r>
  <r>
    <x v="3"/>
    <x v="62"/>
    <x v="62"/>
    <x v="3"/>
    <x v="3"/>
    <m/>
    <x v="1"/>
    <x v="11"/>
    <x v="3"/>
    <n v="0"/>
    <n v="0"/>
    <n v="0"/>
    <n v="0"/>
    <n v="70992.074999999997"/>
    <n v="35573.372625000004"/>
    <n v="0"/>
    <n v="0"/>
    <n v="0"/>
    <n v="0"/>
    <n v="0"/>
    <n v="0"/>
    <n v="40200.343150000161"/>
    <n v="19772.540442730264"/>
  </r>
  <r>
    <x v="3"/>
    <x v="62"/>
    <x v="62"/>
    <x v="3"/>
    <x v="3"/>
    <m/>
    <x v="1"/>
    <x v="11"/>
    <x v="4"/>
    <n v="0"/>
    <n v="0"/>
    <n v="0"/>
    <n v="0"/>
    <n v="60851.175000000003"/>
    <n v="31758.717375"/>
    <n v="0"/>
    <n v="0"/>
    <n v="0"/>
    <n v="0"/>
    <n v="0"/>
    <n v="0"/>
    <n v="38194.628960000024"/>
    <n v="19802.716317992967"/>
  </r>
  <r>
    <x v="3"/>
    <x v="62"/>
    <x v="62"/>
    <x v="3"/>
    <x v="3"/>
    <m/>
    <x v="1"/>
    <x v="11"/>
    <x v="5"/>
    <n v="0"/>
    <n v="0"/>
    <n v="0"/>
    <n v="0"/>
    <n v="62175.144045000008"/>
    <n v="32233.009192125006"/>
    <n v="0"/>
    <n v="0"/>
    <n v="0"/>
    <n v="0"/>
    <n v="0"/>
    <n v="0"/>
    <n v="36719.896236000073"/>
    <n v="19038.113687376601"/>
  </r>
  <r>
    <x v="3"/>
    <x v="62"/>
    <x v="62"/>
    <x v="3"/>
    <x v="3"/>
    <m/>
    <x v="1"/>
    <x v="11"/>
    <x v="6"/>
    <n v="0"/>
    <n v="0"/>
    <n v="0"/>
    <n v="0"/>
    <n v="75978.845355000012"/>
    <n v="38851.62358717501"/>
    <n v="0"/>
    <n v="0"/>
    <n v="0"/>
    <n v="0"/>
    <n v="0"/>
    <n v="0"/>
    <n v="38370.819740000101"/>
    <n v="19894.065707401656"/>
  </r>
  <r>
    <x v="3"/>
    <x v="62"/>
    <x v="62"/>
    <x v="3"/>
    <x v="3"/>
    <m/>
    <x v="1"/>
    <x v="11"/>
    <x v="7"/>
    <n v="0"/>
    <n v="0"/>
    <n v="0"/>
    <n v="0"/>
    <n v="82161.219272999981"/>
    <n v="33652.936212944995"/>
    <n v="0"/>
    <n v="0"/>
    <n v="0"/>
    <n v="0"/>
    <n v="0"/>
    <n v="0"/>
    <n v="47925.440087610128"/>
    <n v="22083.805115016083"/>
  </r>
  <r>
    <x v="3"/>
    <x v="62"/>
    <x v="62"/>
    <x v="3"/>
    <x v="3"/>
    <m/>
    <x v="1"/>
    <x v="11"/>
    <x v="8"/>
    <n v="0"/>
    <n v="0"/>
    <n v="0"/>
    <n v="0"/>
    <n v="60298.90942950001"/>
    <n v="32136.203232630003"/>
    <n v="36483.722918879997"/>
    <n v="18150.652152142797"/>
    <n v="0"/>
    <n v="0"/>
    <n v="0"/>
    <n v="0"/>
    <n v="38840.214051000097"/>
    <n v="19677.933686802629"/>
  </r>
  <r>
    <x v="3"/>
    <x v="62"/>
    <x v="62"/>
    <x v="3"/>
    <x v="3"/>
    <m/>
    <x v="1"/>
    <x v="11"/>
    <x v="9"/>
    <n v="0"/>
    <n v="0"/>
    <n v="0"/>
    <n v="0"/>
    <n v="68957.63602874997"/>
    <n v="35918.61230238749"/>
    <n v="35406.424882224004"/>
    <n v="17986.463840169796"/>
    <n v="52417.430000000168"/>
    <n v="25118.050000000167"/>
    <n v="51346.200000000019"/>
    <n v="26083.869600000009"/>
    <n v="41501.996775999978"/>
    <n v="21394.735624696154"/>
  </r>
  <r>
    <x v="3"/>
    <x v="62"/>
    <x v="62"/>
    <x v="3"/>
    <x v="3"/>
    <m/>
    <x v="1"/>
    <x v="11"/>
    <x v="10"/>
    <n v="0"/>
    <n v="0"/>
    <n v="0"/>
    <n v="0"/>
    <n v="80662.767701250006"/>
    <n v="38955.070305900008"/>
    <n v="48541.183886159983"/>
    <n v="23372.580041186033"/>
    <n v="54802.729885057459"/>
    <n v="21837.663491507639"/>
    <n v="48465.086206896551"/>
    <n v="23335.939008620691"/>
    <n v="54213.446172010146"/>
    <n v="25863.172120580661"/>
  </r>
  <r>
    <x v="3"/>
    <x v="62"/>
    <x v="62"/>
    <x v="3"/>
    <x v="3"/>
    <m/>
    <x v="1"/>
    <x v="11"/>
    <x v="11"/>
    <n v="0"/>
    <n v="0"/>
    <n v="0"/>
    <n v="0"/>
    <n v="112716.25968750022"/>
    <n v="59834.045931187611"/>
    <n v="94841.085373920054"/>
    <n v="47230.860516212182"/>
    <n v="66363.14655172416"/>
    <n v="31577.717081596005"/>
    <n v="94841.085373920054"/>
    <n v="47230.860516212182"/>
    <n v="74313.615314331386"/>
    <n v="38199.590038368449"/>
  </r>
  <r>
    <x v="3"/>
    <x v="63"/>
    <x v="63"/>
    <x v="3"/>
    <x v="2"/>
    <m/>
    <x v="3"/>
    <x v="11"/>
    <x v="0"/>
    <n v="0"/>
    <n v="0"/>
    <n v="0"/>
    <n v="0"/>
    <n v="64064.454093749999"/>
    <n v="33578.513399218748"/>
    <n v="26373.19"/>
    <n v="14148.047875970044"/>
    <n v="26373.189999999995"/>
    <n v="14174.659999999993"/>
    <n v="29010.509000000035"/>
    <n v="15592.126000000013"/>
    <n v="32781.875170000043"/>
    <n v="16841.949282758767"/>
  </r>
  <r>
    <x v="3"/>
    <x v="63"/>
    <x v="63"/>
    <x v="3"/>
    <x v="2"/>
    <m/>
    <x v="3"/>
    <x v="11"/>
    <x v="1"/>
    <n v="0"/>
    <n v="0"/>
    <n v="0"/>
    <n v="0"/>
    <n v="85885"/>
    <n v="36465.9"/>
    <n v="44078.700000000004"/>
    <n v="20862.780089195719"/>
    <n v="44078.700000000004"/>
    <n v="20901.970000000008"/>
    <n v="48486.570000000036"/>
    <n v="22992.167000000023"/>
    <n v="54304.958400000047"/>
    <n v="24683.274134034211"/>
  </r>
  <r>
    <x v="3"/>
    <x v="63"/>
    <x v="63"/>
    <x v="3"/>
    <x v="2"/>
    <m/>
    <x v="3"/>
    <x v="11"/>
    <x v="2"/>
    <n v="0"/>
    <n v="0"/>
    <n v="0"/>
    <n v="0"/>
    <n v="63877.5"/>
    <n v="31314.362499999999"/>
    <n v="47374.460000000021"/>
    <n v="22757.596604218543"/>
    <n v="47374.460000000028"/>
    <n v="22869.770000000008"/>
    <n v="47374.460000000137"/>
    <n v="22869.770000000062"/>
    <n v="49743.18300000015"/>
    <n v="25078.202237773821"/>
  </r>
  <r>
    <x v="3"/>
    <x v="63"/>
    <x v="63"/>
    <x v="3"/>
    <x v="2"/>
    <m/>
    <x v="3"/>
    <x v="11"/>
    <x v="3"/>
    <n v="0"/>
    <n v="0"/>
    <n v="0"/>
    <n v="0"/>
    <n v="67611.5"/>
    <n v="33879.402499999997"/>
    <n v="48630.389999999992"/>
    <n v="25425.646583221442"/>
    <n v="48630.390000000007"/>
    <n v="25423.590000000018"/>
    <n v="48630.390000000007"/>
    <n v="25423.590000000018"/>
    <n v="52034.517300000007"/>
    <n v="25400.451799714185"/>
  </r>
  <r>
    <x v="3"/>
    <x v="63"/>
    <x v="63"/>
    <x v="3"/>
    <x v="2"/>
    <m/>
    <x v="3"/>
    <x v="11"/>
    <x v="4"/>
    <n v="0"/>
    <n v="0"/>
    <n v="0"/>
    <n v="0"/>
    <n v="57953.5"/>
    <n v="30246.397499999999"/>
    <n v="40655.430000000037"/>
    <n v="21543.428356107812"/>
    <n v="40655.430000000037"/>
    <n v="21597.070000000043"/>
    <n v="40655.430000000037"/>
    <n v="21597.070000000043"/>
    <n v="42688.201500000039"/>
    <n v="22068.068281006585"/>
  </r>
  <r>
    <x v="3"/>
    <x v="63"/>
    <x v="63"/>
    <x v="3"/>
    <x v="2"/>
    <m/>
    <x v="3"/>
    <x v="11"/>
    <x v="5"/>
    <n v="0"/>
    <n v="0"/>
    <n v="45246.619999999995"/>
    <n v="23499.399999999983"/>
    <n v="59214.422900000005"/>
    <n v="30698.103992500004"/>
    <n v="44221.329999999965"/>
    <n v="23952.631193687688"/>
    <n v="44221.329999999973"/>
    <n v="23948.159999999953"/>
    <n v="44221.32999999998"/>
    <n v="23948.15999999996"/>
    <n v="46432.396499999973"/>
    <n v="24003.665191019343"/>
  </r>
  <r>
    <x v="3"/>
    <x v="63"/>
    <x v="63"/>
    <x v="3"/>
    <x v="2"/>
    <m/>
    <x v="3"/>
    <x v="11"/>
    <x v="6"/>
    <n v="0"/>
    <n v="0"/>
    <n v="77241.439999999973"/>
    <n v="41025.14999999998"/>
    <n v="72360.805100000012"/>
    <n v="37001.546273500004"/>
    <n v="39070.579999999987"/>
    <n v="21016.815782626541"/>
    <n v="39128.049999999974"/>
    <n v="21047.729999999967"/>
    <n v="39128.050000000068"/>
    <n v="21047.730000000018"/>
    <n v="43432.135500000077"/>
    <n v="22452.651977008936"/>
  </r>
  <r>
    <x v="3"/>
    <x v="63"/>
    <x v="63"/>
    <x v="3"/>
    <x v="2"/>
    <m/>
    <x v="3"/>
    <x v="11"/>
    <x v="7"/>
    <n v="0"/>
    <n v="0"/>
    <n v="74040.299999999974"/>
    <n v="36538.679999999978"/>
    <n v="78248.780259999985"/>
    <n v="32050.415440899989"/>
    <n v="62599.024207999995"/>
    <n v="26548.2461666128"/>
    <n v="61195.029999999962"/>
    <n v="23423.169999999947"/>
    <n v="56911.377899999905"/>
    <n v="24136.115367389961"/>
    <n v="59187.833015999902"/>
    <n v="26902.690855083416"/>
  </r>
  <r>
    <x v="3"/>
    <x v="63"/>
    <x v="63"/>
    <x v="3"/>
    <x v="2"/>
    <m/>
    <x v="3"/>
    <x v="11"/>
    <x v="8"/>
    <n v="0"/>
    <n v="0"/>
    <n v="46942.679999999993"/>
    <n v="24509.629999999994"/>
    <n v="57427.532790000005"/>
    <n v="30605.907840600001"/>
    <n v="56818.800942426002"/>
    <n v="28932.133439883321"/>
    <n v="33309.390000000014"/>
    <n v="16832.639999999996"/>
    <n v="33309.390000000014"/>
    <n v="16832.639999999996"/>
    <n v="36640.329000000012"/>
    <n v="18472.351894340311"/>
  </r>
  <r>
    <x v="3"/>
    <x v="63"/>
    <x v="63"/>
    <x v="3"/>
    <x v="2"/>
    <m/>
    <x v="3"/>
    <x v="11"/>
    <x v="9"/>
    <n v="0"/>
    <n v="0"/>
    <n v="48339.819999999992"/>
    <n v="25766.69999999999"/>
    <n v="65673.939074999973"/>
    <n v="34208.202192749988"/>
    <n v="64977.795320804973"/>
    <n v="33086.693377353891"/>
    <n v="25419.900000000005"/>
    <n v="13203.939999999982"/>
    <n v="39140.81"/>
    <n v="19930.500451999997"/>
    <n v="41097.8505"/>
    <n v="21114.347796212445"/>
  </r>
  <r>
    <x v="3"/>
    <x v="63"/>
    <x v="63"/>
    <x v="3"/>
    <x v="2"/>
    <m/>
    <x v="3"/>
    <x v="11"/>
    <x v="10"/>
    <n v="0"/>
    <n v="0"/>
    <n v="47061.999999999985"/>
    <n v="24358.799999999999"/>
    <n v="76821.683525"/>
    <n v="37100.066958000003"/>
    <n v="78242.884670212501"/>
    <n v="37400.098872361581"/>
    <n v="18589.080459770117"/>
    <n v="7245.4550084214789"/>
    <n v="78242.884670212501"/>
    <n v="37400.098872361581"/>
    <n v="82937.457750425252"/>
    <n v="39157.99574012815"/>
  </r>
  <r>
    <x v="3"/>
    <x v="63"/>
    <x v="63"/>
    <x v="3"/>
    <x v="2"/>
    <m/>
    <x v="3"/>
    <x v="11"/>
    <x v="11"/>
    <n v="0"/>
    <n v="0"/>
    <n v="105611.84999999998"/>
    <n v="55807.25999999998"/>
    <n v="107348.81875000019"/>
    <n v="56984.805648750109"/>
    <n v="107252.20481312519"/>
    <n v="53197.093587310104"/>
    <n v="104681.6091954023"/>
    <n v="48689.503507020403"/>
    <n v="107252.20481312519"/>
    <n v="53197.093587310104"/>
    <n v="111542.29300565022"/>
    <n v="57127.191149693565"/>
  </r>
  <r>
    <x v="3"/>
    <x v="64"/>
    <x v="64"/>
    <x v="3"/>
    <x v="2"/>
    <m/>
    <x v="0"/>
    <x v="11"/>
    <x v="0"/>
    <n v="0"/>
    <n v="0"/>
    <n v="0"/>
    <n v="0"/>
    <n v="35369.069875000001"/>
    <n v="18434.111684374999"/>
    <n v="25308.86"/>
    <n v="13629.939999999999"/>
    <n v="25308.86"/>
    <n v="13629.94000000001"/>
    <n v="30370.632000000027"/>
    <n v="16355.928000000025"/>
    <n v="31889.163600000029"/>
    <n v="16439.214435803387"/>
  </r>
  <r>
    <x v="3"/>
    <x v="64"/>
    <x v="64"/>
    <x v="3"/>
    <x v="2"/>
    <m/>
    <x v="0"/>
    <x v="11"/>
    <x v="1"/>
    <n v="0"/>
    <n v="0"/>
    <n v="0"/>
    <n v="0"/>
    <n v="43365"/>
    <n v="18636.224999999999"/>
    <n v="37929.439999999966"/>
    <n v="18009.870504515129"/>
    <n v="37929.439999999981"/>
    <n v="18169.369999999988"/>
    <n v="47701.500000000007"/>
    <n v="22850.487722861188"/>
    <n v="45316.42500000001"/>
    <n v="20881.583901573038"/>
  </r>
  <r>
    <x v="3"/>
    <x v="64"/>
    <x v="64"/>
    <x v="3"/>
    <x v="2"/>
    <m/>
    <x v="0"/>
    <x v="11"/>
    <x v="2"/>
    <n v="0"/>
    <n v="0"/>
    <n v="0"/>
    <n v="0"/>
    <n v="35147.5"/>
    <n v="17298.375"/>
    <n v="30485.879999999997"/>
    <n v="14868.803682727292"/>
    <n v="30485.880000000008"/>
    <n v="14909.580000000002"/>
    <n v="35147.5"/>
    <n v="17189.415658987044"/>
    <n v="39365.200000000004"/>
    <n v="19943.911589945968"/>
  </r>
  <r>
    <x v="3"/>
    <x v="64"/>
    <x v="64"/>
    <x v="3"/>
    <x v="2"/>
    <m/>
    <x v="0"/>
    <x v="11"/>
    <x v="3"/>
    <n v="0"/>
    <n v="0"/>
    <n v="0"/>
    <n v="0"/>
    <n v="37914.5"/>
    <n v="18757.985000000001"/>
    <n v="32751.46"/>
    <n v="17408.459999999995"/>
    <n v="32751.459999999992"/>
    <n v="17408.459999999985"/>
    <n v="37914.5"/>
    <n v="20152.782705564867"/>
    <n v="40568.514999999999"/>
    <n v="19953.625782395993"/>
  </r>
  <r>
    <x v="3"/>
    <x v="64"/>
    <x v="64"/>
    <x v="3"/>
    <x v="2"/>
    <m/>
    <x v="0"/>
    <x v="11"/>
    <x v="4"/>
    <n v="0"/>
    <n v="0"/>
    <n v="0"/>
    <n v="0"/>
    <n v="32790.5"/>
    <n v="17418.014999999999"/>
    <n v="31428.320000000014"/>
    <n v="16583.015847315357"/>
    <n v="31428.320000000029"/>
    <n v="16611.250000000029"/>
    <n v="31428.320000000029"/>
    <n v="16611.250000000029"/>
    <n v="32999.736000000034"/>
    <n v="17109.327368019032"/>
  </r>
  <r>
    <x v="3"/>
    <x v="64"/>
    <x v="64"/>
    <x v="3"/>
    <x v="2"/>
    <m/>
    <x v="0"/>
    <x v="11"/>
    <x v="5"/>
    <n v="0"/>
    <n v="0"/>
    <n v="0"/>
    <n v="0"/>
    <n v="32792.5"/>
    <n v="17077.650000000001"/>
    <n v="27073.539999999997"/>
    <n v="14586.589999999975"/>
    <n v="27073.54"/>
    <n v="14586.590000000002"/>
    <n v="27073.540000000012"/>
    <n v="14586.590000000009"/>
    <n v="30863.835600000009"/>
    <n v="16001.930049171297"/>
  </r>
  <r>
    <x v="3"/>
    <x v="64"/>
    <x v="64"/>
    <x v="3"/>
    <x v="2"/>
    <m/>
    <x v="0"/>
    <x v="11"/>
    <x v="6"/>
    <n v="0"/>
    <n v="0"/>
    <n v="20700.329999999991"/>
    <n v="11090.779999999995"/>
    <n v="39077.368199999997"/>
    <n v="19956.241986999998"/>
    <n v="34546.049999999996"/>
    <n v="18728.909999999953"/>
    <n v="34546.050000000003"/>
    <n v="18728.909999999996"/>
    <n v="34546.049999999981"/>
    <n v="18728.909999999985"/>
    <n v="36618.812999999973"/>
    <n v="18985.705202164958"/>
  </r>
  <r>
    <x v="3"/>
    <x v="64"/>
    <x v="64"/>
    <x v="3"/>
    <x v="2"/>
    <m/>
    <x v="0"/>
    <x v="11"/>
    <x v="7"/>
    <n v="0"/>
    <n v="0"/>
    <n v="46098.52"/>
    <n v="22230.249999999993"/>
    <n v="50657.776440000001"/>
    <n v="20645.035250600002"/>
    <n v="43059.109973999999"/>
    <n v="18380.211683501639"/>
    <n v="53297.31"/>
    <n v="23004.619999999988"/>
    <n v="53297.31"/>
    <n v="22750.4897466"/>
    <n v="55962.175499999998"/>
    <n v="25787.092936342724"/>
  </r>
  <r>
    <x v="3"/>
    <x v="64"/>
    <x v="64"/>
    <x v="3"/>
    <x v="2"/>
    <m/>
    <x v="0"/>
    <x v="11"/>
    <x v="8"/>
    <n v="0"/>
    <n v="0"/>
    <n v="34782.979999999996"/>
    <n v="18274.669999999998"/>
    <n v="33046.850469999998"/>
    <n v="17420.544017299999"/>
    <n v="32022.398105429995"/>
    <n v="15931.143057451423"/>
    <n v="23506.760000000013"/>
    <n v="11477.990000000023"/>
    <n v="32022.398105429995"/>
    <n v="15636.045343132995"/>
    <n v="36505.533840190197"/>
    <n v="18495.095654347846"/>
  </r>
  <r>
    <x v="3"/>
    <x v="64"/>
    <x v="64"/>
    <x v="3"/>
    <x v="2"/>
    <m/>
    <x v="0"/>
    <x v="11"/>
    <x v="9"/>
    <n v="0"/>
    <n v="0"/>
    <n v="33364.300000000003"/>
    <n v="17841.45"/>
    <n v="35634.485590000004"/>
    <n v="18719.959751099999"/>
    <n v="34529.816536710008"/>
    <n v="17541.146800648687"/>
    <n v="31593.43"/>
    <n v="15941.729999999996"/>
    <n v="34529.816536710008"/>
    <n v="17541.146800648687"/>
    <n v="36601.605528912609"/>
    <n v="18868.530060301764"/>
  </r>
  <r>
    <x v="3"/>
    <x v="64"/>
    <x v="64"/>
    <x v="3"/>
    <x v="2"/>
    <m/>
    <x v="0"/>
    <x v="11"/>
    <x v="10"/>
    <n v="0"/>
    <n v="0"/>
    <n v="33767.249999999993"/>
    <n v="17827.519999999997"/>
    <n v="41874.727299999984"/>
    <n v="20379.529981999993"/>
    <n v="41770.04048174998"/>
    <n v="20112.274491962613"/>
    <n v="50601.724137931036"/>
    <n v="21140.954411117458"/>
    <n v="42605.441291384981"/>
    <n v="20514.519981801866"/>
    <n v="44735.713355954227"/>
    <n v="21341.706461364091"/>
  </r>
  <r>
    <x v="3"/>
    <x v="64"/>
    <x v="64"/>
    <x v="3"/>
    <x v="2"/>
    <m/>
    <x v="0"/>
    <x v="11"/>
    <x v="11"/>
    <n v="0"/>
    <n v="0"/>
    <n v="81175.87999999999"/>
    <n v="43967.659999999974"/>
    <n v="83404.641000000047"/>
    <n v="45220.03864500003"/>
    <n v="81611.44121850004"/>
    <n v="40642.497726813024"/>
    <n v="73996.695402298836"/>
    <n v="35208.454006783191"/>
    <n v="83243.670042870042"/>
    <n v="41455.347681349289"/>
    <n v="88238.290245442273"/>
    <n v="45357.321115454157"/>
  </r>
  <r>
    <x v="3"/>
    <x v="65"/>
    <x v="65"/>
    <x v="3"/>
    <x v="3"/>
    <m/>
    <x v="2"/>
    <x v="10"/>
    <x v="0"/>
    <n v="0"/>
    <n v="0"/>
    <n v="0"/>
    <n v="0"/>
    <n v="0"/>
    <n v="0"/>
    <n v="0"/>
    <n v="0"/>
    <n v="0"/>
    <n v="0"/>
    <n v="0"/>
    <n v="0"/>
    <n v="23853.094372800024"/>
    <n v="12296.532397980936"/>
  </r>
  <r>
    <x v="3"/>
    <x v="65"/>
    <x v="65"/>
    <x v="3"/>
    <x v="3"/>
    <m/>
    <x v="2"/>
    <x v="10"/>
    <x v="1"/>
    <n v="0"/>
    <n v="0"/>
    <n v="0"/>
    <n v="0"/>
    <n v="0"/>
    <n v="0"/>
    <n v="0"/>
    <n v="0"/>
    <n v="0"/>
    <n v="0"/>
    <n v="0"/>
    <n v="0"/>
    <n v="33896.685900000011"/>
    <n v="15619.424758376636"/>
  </r>
  <r>
    <x v="3"/>
    <x v="65"/>
    <x v="65"/>
    <x v="3"/>
    <x v="3"/>
    <m/>
    <x v="2"/>
    <x v="10"/>
    <x v="2"/>
    <n v="0"/>
    <n v="0"/>
    <n v="0"/>
    <n v="0"/>
    <n v="0"/>
    <n v="0"/>
    <n v="0"/>
    <n v="0"/>
    <n v="0"/>
    <n v="0"/>
    <n v="0"/>
    <n v="0"/>
    <n v="29445.169599999994"/>
    <n v="14918.04586927958"/>
  </r>
  <r>
    <x v="3"/>
    <x v="65"/>
    <x v="65"/>
    <x v="3"/>
    <x v="3"/>
    <m/>
    <x v="2"/>
    <x v="10"/>
    <x v="3"/>
    <n v="0"/>
    <n v="0"/>
    <n v="0"/>
    <n v="0"/>
    <n v="0"/>
    <n v="0"/>
    <n v="0"/>
    <n v="0"/>
    <n v="0"/>
    <n v="0"/>
    <n v="0"/>
    <n v="0"/>
    <n v="30345.249219999998"/>
    <n v="14925.312085232197"/>
  </r>
  <r>
    <x v="3"/>
    <x v="65"/>
    <x v="65"/>
    <x v="3"/>
    <x v="3"/>
    <m/>
    <x v="2"/>
    <x v="10"/>
    <x v="4"/>
    <n v="0"/>
    <n v="0"/>
    <n v="0"/>
    <n v="0"/>
    <n v="0"/>
    <n v="0"/>
    <n v="0"/>
    <n v="0"/>
    <n v="0"/>
    <n v="0"/>
    <n v="0"/>
    <n v="0"/>
    <n v="24683.802528000026"/>
    <n v="12797.776871278236"/>
  </r>
  <r>
    <x v="3"/>
    <x v="65"/>
    <x v="65"/>
    <x v="3"/>
    <x v="3"/>
    <m/>
    <x v="2"/>
    <x v="10"/>
    <x v="5"/>
    <n v="0"/>
    <n v="0"/>
    <n v="0"/>
    <n v="0"/>
    <n v="0"/>
    <n v="0"/>
    <n v="0"/>
    <n v="0"/>
    <n v="0"/>
    <n v="0"/>
    <n v="0"/>
    <n v="0"/>
    <n v="23086.149028800006"/>
    <n v="11969.443676780131"/>
  </r>
  <r>
    <x v="3"/>
    <x v="65"/>
    <x v="65"/>
    <x v="3"/>
    <x v="3"/>
    <m/>
    <x v="2"/>
    <x v="10"/>
    <x v="6"/>
    <n v="0"/>
    <n v="0"/>
    <n v="0"/>
    <n v="0"/>
    <n v="0"/>
    <n v="0"/>
    <n v="0"/>
    <n v="0"/>
    <n v="0"/>
    <n v="0"/>
    <n v="0"/>
    <n v="0"/>
    <n v="27390.872123999987"/>
    <n v="14201.307491219388"/>
  </r>
  <r>
    <x v="3"/>
    <x v="65"/>
    <x v="65"/>
    <x v="3"/>
    <x v="3"/>
    <m/>
    <x v="2"/>
    <x v="10"/>
    <x v="7"/>
    <n v="0"/>
    <n v="0"/>
    <n v="0"/>
    <n v="0"/>
    <n v="0"/>
    <n v="0"/>
    <n v="0"/>
    <n v="0"/>
    <n v="0"/>
    <n v="0"/>
    <n v="0"/>
    <n v="0"/>
    <n v="41859.707273999993"/>
    <n v="19288.745516384355"/>
  </r>
  <r>
    <x v="3"/>
    <x v="65"/>
    <x v="65"/>
    <x v="3"/>
    <x v="3"/>
    <m/>
    <x v="2"/>
    <x v="10"/>
    <x v="8"/>
    <n v="0"/>
    <n v="0"/>
    <n v="0"/>
    <n v="0"/>
    <n v="0"/>
    <n v="0"/>
    <n v="0"/>
    <n v="0"/>
    <n v="0"/>
    <n v="0"/>
    <n v="0"/>
    <n v="0"/>
    <n v="27306.13931246227"/>
    <n v="13834.331549452192"/>
  </r>
  <r>
    <x v="3"/>
    <x v="65"/>
    <x v="65"/>
    <x v="3"/>
    <x v="3"/>
    <m/>
    <x v="2"/>
    <x v="10"/>
    <x v="9"/>
    <n v="0"/>
    <n v="0"/>
    <n v="0"/>
    <n v="0"/>
    <n v="0"/>
    <n v="0"/>
    <n v="0"/>
    <n v="0"/>
    <n v="0"/>
    <n v="0"/>
    <n v="0"/>
    <n v="0"/>
    <n v="27378.000935626624"/>
    <n v="14113.660485105716"/>
  </r>
  <r>
    <x v="3"/>
    <x v="65"/>
    <x v="65"/>
    <x v="3"/>
    <x v="3"/>
    <m/>
    <x v="2"/>
    <x v="10"/>
    <x v="10"/>
    <n v="0"/>
    <n v="0"/>
    <n v="0"/>
    <n v="0"/>
    <n v="0"/>
    <n v="0"/>
    <n v="41260.006303235983"/>
    <n v="19866.693035008124"/>
    <n v="0"/>
    <n v="0"/>
    <n v="0"/>
    <n v="0"/>
    <n v="33462.313590253762"/>
    <n v="15963.596433100336"/>
  </r>
  <r>
    <x v="3"/>
    <x v="65"/>
    <x v="65"/>
    <x v="3"/>
    <x v="3"/>
    <m/>
    <x v="2"/>
    <x v="10"/>
    <x v="11"/>
    <n v="0"/>
    <n v="0"/>
    <n v="0"/>
    <n v="0"/>
    <n v="0"/>
    <n v="0"/>
    <n v="80614.922567832036"/>
    <n v="40146.231438780356"/>
    <n v="15301"/>
    <n v="7226.4578782173157"/>
    <n v="80614.922567832036"/>
    <n v="40146.231438780356"/>
    <n v="66002.241103590786"/>
    <n v="33927.276194359707"/>
  </r>
  <r>
    <x v="3"/>
    <x v="66"/>
    <x v="66"/>
    <x v="3"/>
    <x v="3"/>
    <m/>
    <x v="2"/>
    <x v="10"/>
    <x v="0"/>
    <n v="0"/>
    <n v="0"/>
    <n v="0"/>
    <n v="0"/>
    <n v="0"/>
    <n v="0"/>
    <n v="0"/>
    <n v="0"/>
    <n v="0"/>
    <n v="0"/>
    <n v="0"/>
    <n v="0"/>
    <n v="21684.631248000016"/>
    <n v="11178.6658163463"/>
  </r>
  <r>
    <x v="3"/>
    <x v="66"/>
    <x v="66"/>
    <x v="3"/>
    <x v="3"/>
    <m/>
    <x v="2"/>
    <x v="10"/>
    <x v="1"/>
    <n v="0"/>
    <n v="0"/>
    <n v="0"/>
    <n v="0"/>
    <n v="0"/>
    <n v="0"/>
    <n v="0"/>
    <n v="0"/>
    <n v="0"/>
    <n v="0"/>
    <n v="0"/>
    <n v="0"/>
    <n v="30815.169000000009"/>
    <n v="14199.47705306967"/>
  </r>
  <r>
    <x v="3"/>
    <x v="66"/>
    <x v="66"/>
    <x v="3"/>
    <x v="3"/>
    <m/>
    <x v="2"/>
    <x v="10"/>
    <x v="2"/>
    <n v="0"/>
    <n v="0"/>
    <n v="0"/>
    <n v="0"/>
    <n v="0"/>
    <n v="0"/>
    <n v="0"/>
    <n v="0"/>
    <n v="0"/>
    <n v="0"/>
    <n v="0"/>
    <n v="0"/>
    <n v="26768.335999999996"/>
    <n v="13561.859881163255"/>
  </r>
  <r>
    <x v="3"/>
    <x v="66"/>
    <x v="66"/>
    <x v="3"/>
    <x v="3"/>
    <m/>
    <x v="2"/>
    <x v="10"/>
    <x v="3"/>
    <n v="0"/>
    <n v="0"/>
    <n v="0"/>
    <n v="0"/>
    <n v="0"/>
    <n v="0"/>
    <n v="0"/>
    <n v="0"/>
    <n v="0"/>
    <n v="0"/>
    <n v="0"/>
    <n v="0"/>
    <n v="27586.590199999995"/>
    <n v="13568.465532029277"/>
  </r>
  <r>
    <x v="3"/>
    <x v="66"/>
    <x v="66"/>
    <x v="3"/>
    <x v="3"/>
    <m/>
    <x v="2"/>
    <x v="10"/>
    <x v="4"/>
    <n v="0"/>
    <n v="0"/>
    <n v="0"/>
    <n v="0"/>
    <n v="0"/>
    <n v="0"/>
    <n v="0"/>
    <n v="0"/>
    <n v="0"/>
    <n v="0"/>
    <n v="0"/>
    <n v="0"/>
    <n v="22439.82048000002"/>
    <n v="11634.342610252945"/>
  </r>
  <r>
    <x v="3"/>
    <x v="66"/>
    <x v="66"/>
    <x v="3"/>
    <x v="3"/>
    <m/>
    <x v="2"/>
    <x v="10"/>
    <x v="5"/>
    <n v="0"/>
    <n v="0"/>
    <n v="0"/>
    <n v="0"/>
    <n v="0"/>
    <n v="0"/>
    <n v="0"/>
    <n v="0"/>
    <n v="0"/>
    <n v="0"/>
    <n v="0"/>
    <n v="0"/>
    <n v="20987.408208000012"/>
    <n v="10881.312433436484"/>
  </r>
  <r>
    <x v="3"/>
    <x v="66"/>
    <x v="66"/>
    <x v="3"/>
    <x v="3"/>
    <m/>
    <x v="2"/>
    <x v="10"/>
    <x v="6"/>
    <n v="0"/>
    <n v="0"/>
    <n v="0"/>
    <n v="0"/>
    <n v="0"/>
    <n v="0"/>
    <n v="0"/>
    <n v="0"/>
    <n v="0"/>
    <n v="0"/>
    <n v="0"/>
    <n v="0"/>
    <n v="24900.792839999987"/>
    <n v="12910.27953747217"/>
  </r>
  <r>
    <x v="3"/>
    <x v="66"/>
    <x v="66"/>
    <x v="3"/>
    <x v="3"/>
    <m/>
    <x v="2"/>
    <x v="10"/>
    <x v="7"/>
    <n v="0"/>
    <n v="0"/>
    <n v="0"/>
    <n v="0"/>
    <n v="0"/>
    <n v="0"/>
    <n v="0"/>
    <n v="0"/>
    <n v="0"/>
    <n v="0"/>
    <n v="0"/>
    <n v="0"/>
    <n v="38054.279339999994"/>
    <n v="17535.22319671305"/>
  </r>
  <r>
    <x v="3"/>
    <x v="66"/>
    <x v="66"/>
    <x v="3"/>
    <x v="3"/>
    <m/>
    <x v="2"/>
    <x v="10"/>
    <x v="8"/>
    <n v="0"/>
    <n v="0"/>
    <n v="0"/>
    <n v="0"/>
    <n v="23580.008718749996"/>
    <n v="12471.56931706875"/>
    <n v="0"/>
    <n v="0"/>
    <n v="0"/>
    <n v="0"/>
    <n v="0"/>
    <n v="0"/>
    <n v="24823.763011329334"/>
    <n v="12576.66504495654"/>
  </r>
  <r>
    <x v="3"/>
    <x v="66"/>
    <x v="66"/>
    <x v="3"/>
    <x v="3"/>
    <m/>
    <x v="2"/>
    <x v="10"/>
    <x v="9"/>
    <n v="0"/>
    <n v="0"/>
    <n v="0"/>
    <n v="0"/>
    <n v="29163.024592649974"/>
    <n v="15312.59797063049"/>
    <n v="26751.521000000001"/>
    <n v="13589.772679239399"/>
    <n v="0"/>
    <n v="0"/>
    <n v="0"/>
    <n v="0"/>
    <n v="24889.091759660572"/>
    <n v="12830.600441005196"/>
  </r>
  <r>
    <x v="3"/>
    <x v="66"/>
    <x v="66"/>
    <x v="3"/>
    <x v="3"/>
    <m/>
    <x v="2"/>
    <x v="10"/>
    <x v="10"/>
    <n v="0"/>
    <n v="0"/>
    <n v="0"/>
    <n v="0"/>
    <n v="34892.531623349976"/>
    <n v="16954.69135923449"/>
    <n v="32360.789257439988"/>
    <n v="15581.720027457355"/>
    <n v="26961.206896551717"/>
    <n v="10712.606425645781"/>
    <n v="32360.789257439988"/>
    <n v="15581.720027457355"/>
    <n v="30420.285082048871"/>
    <n v="14512.36039372758"/>
  </r>
  <r>
    <x v="3"/>
    <x v="66"/>
    <x v="66"/>
    <x v="3"/>
    <x v="3"/>
    <m/>
    <x v="2"/>
    <x v="10"/>
    <x v="11"/>
    <n v="0"/>
    <n v="0"/>
    <n v="0"/>
    <n v="0"/>
    <n v="49610.416923000012"/>
    <n v="26898.858297135012"/>
    <n v="63227.390249280033"/>
    <n v="31487.240344141457"/>
    <n v="56532.183908045976"/>
    <n v="26699.395188231425"/>
    <n v="63227.390249280033"/>
    <n v="31487.240344141457"/>
    <n v="60002.037366900731"/>
    <n v="30842.978358508823"/>
  </r>
  <r>
    <x v="3"/>
    <x v="67"/>
    <x v="67"/>
    <x v="3"/>
    <x v="2"/>
    <m/>
    <x v="3"/>
    <x v="11"/>
    <x v="0"/>
    <n v="0"/>
    <n v="0"/>
    <n v="0"/>
    <n v="0"/>
    <n v="83283.790321875"/>
    <n v="43206.781370593751"/>
    <n v="56474.590000000106"/>
    <n v="30455.281457599594"/>
    <n v="56474.590000000069"/>
    <n v="30500.280000000064"/>
    <n v="62122.049000000268"/>
    <n v="33550.308000000179"/>
    <n v="67091.812920000288"/>
    <n v="34609.111182400113"/>
  </r>
  <r>
    <x v="3"/>
    <x v="67"/>
    <x v="67"/>
    <x v="3"/>
    <x v="2"/>
    <m/>
    <x v="3"/>
    <x v="11"/>
    <x v="1"/>
    <n v="0"/>
    <n v="0"/>
    <n v="0"/>
    <n v="0"/>
    <n v="111650.5"/>
    <n v="46910.532499999994"/>
    <n v="76955.290000000125"/>
    <n v="37272.640000000065"/>
    <n v="76955.290000000095"/>
    <n v="37272.640000000101"/>
    <n v="84650.819000000163"/>
    <n v="40999.904000000141"/>
    <n v="90576.376330000174"/>
    <n v="41894.918432897168"/>
  </r>
  <r>
    <x v="3"/>
    <x v="67"/>
    <x v="67"/>
    <x v="3"/>
    <x v="2"/>
    <m/>
    <x v="3"/>
    <x v="11"/>
    <x v="2"/>
    <n v="0"/>
    <n v="0"/>
    <n v="0"/>
    <n v="0"/>
    <n v="83040.75"/>
    <n v="40689.870000000003"/>
    <n v="68869.800000000061"/>
    <n v="33382.430865473267"/>
    <n v="68869.800000000105"/>
    <n v="33458.480000000098"/>
    <n v="68869.80000000025"/>
    <n v="33458.480000000163"/>
    <n v="75756.780000000275"/>
    <n v="38424.000346809582"/>
  </r>
  <r>
    <x v="3"/>
    <x v="67"/>
    <x v="67"/>
    <x v="3"/>
    <x v="2"/>
    <m/>
    <x v="3"/>
    <x v="11"/>
    <x v="3"/>
    <n v="0"/>
    <n v="0"/>
    <n v="0"/>
    <n v="0"/>
    <n v="87894.95"/>
    <n v="43765.371000000006"/>
    <n v="77756.950000000172"/>
    <n v="40948.350268617141"/>
    <n v="77756.950000000215"/>
    <n v="40946.310000000216"/>
    <n v="77756.950000000332"/>
    <n v="40946.310000000281"/>
    <n v="85532.645000000368"/>
    <n v="42149.974287673067"/>
  </r>
  <r>
    <x v="3"/>
    <x v="67"/>
    <x v="67"/>
    <x v="3"/>
    <x v="2"/>
    <m/>
    <x v="3"/>
    <x v="11"/>
    <x v="4"/>
    <n v="0"/>
    <n v="0"/>
    <n v="0"/>
    <n v="0"/>
    <n v="75339.55"/>
    <n v="40280.246500000001"/>
    <n v="74555.200000000041"/>
    <n v="39842.890000000036"/>
    <n v="74555.200000000026"/>
    <n v="39842.890000000021"/>
    <n v="74555.200000000026"/>
    <n v="39842.890000000021"/>
    <n v="81265.168000000034"/>
    <n v="42154.569893549626"/>
  </r>
  <r>
    <x v="3"/>
    <x v="67"/>
    <x v="67"/>
    <x v="3"/>
    <x v="2"/>
    <m/>
    <x v="3"/>
    <x v="11"/>
    <x v="5"/>
    <n v="0"/>
    <n v="0"/>
    <n v="0"/>
    <n v="0"/>
    <n v="76978.749770000009"/>
    <n v="39537.856037550002"/>
    <n v="70385.080000000162"/>
    <n v="38436.970000000234"/>
    <n v="70385.080000000133"/>
    <n v="38436.970000000161"/>
    <n v="70385.080000000133"/>
    <n v="38436.970000000161"/>
    <n v="78127.438800000135"/>
    <n v="40526.939899990444"/>
  </r>
  <r>
    <x v="3"/>
    <x v="67"/>
    <x v="67"/>
    <x v="3"/>
    <x v="2"/>
    <m/>
    <x v="3"/>
    <x v="11"/>
    <x v="6"/>
    <n v="0"/>
    <n v="0"/>
    <n v="0"/>
    <n v="0"/>
    <n v="94069.046630000012"/>
    <n v="47312.092749350006"/>
    <n v="74275.69"/>
    <n v="40354.523869974422"/>
    <n v="74218.220000000132"/>
    <n v="40323.300000000156"/>
    <n v="74218.220000000205"/>
    <n v="40323.300000000199"/>
    <n v="81640.042000000205"/>
    <n v="42349.027772899397"/>
  </r>
  <r>
    <x v="3"/>
    <x v="67"/>
    <x v="67"/>
    <x v="3"/>
    <x v="2"/>
    <m/>
    <x v="3"/>
    <x v="11"/>
    <x v="7"/>
    <n v="0"/>
    <n v="0"/>
    <n v="0"/>
    <n v="0"/>
    <n v="101723.41433799997"/>
    <n v="41000.022827009991"/>
    <n v="86464.902187299958"/>
    <n v="37326.898274257393"/>
    <n v="102471.12999999996"/>
    <n v="42470.919999999962"/>
    <n v="95298.150900000255"/>
    <n v="41140.211743530112"/>
    <n v="101969.02146300027"/>
    <n v="47164.437461159469"/>
  </r>
  <r>
    <x v="3"/>
    <x v="67"/>
    <x v="67"/>
    <x v="3"/>
    <x v="2"/>
    <m/>
    <x v="3"/>
    <x v="11"/>
    <x v="8"/>
    <n v="0"/>
    <n v="0"/>
    <n v="0"/>
    <n v="0"/>
    <n v="74655.792627000003"/>
    <n v="39523.664865165003"/>
    <n v="76148.908479539998"/>
    <n v="38866.402887957222"/>
    <n v="75815.370000000199"/>
    <n v="38498.610000000168"/>
    <n v="75815.370000000199"/>
    <n v="38498.610000000168"/>
    <n v="82638.75330000023"/>
    <n v="41914.551878513186"/>
  </r>
  <r>
    <x v="3"/>
    <x v="67"/>
    <x v="67"/>
    <x v="3"/>
    <x v="2"/>
    <m/>
    <x v="3"/>
    <x v="11"/>
    <x v="9"/>
    <n v="0"/>
    <n v="0"/>
    <n v="0"/>
    <n v="0"/>
    <n v="85376.120797499971"/>
    <n v="44350.324714799986"/>
    <n v="87083.643213449977"/>
    <n v="44447.491496144867"/>
    <n v="53501.380000000114"/>
    <n v="28041.440000000104"/>
    <n v="81011.119999999966"/>
    <n v="41348.075647999976"/>
    <n v="88302.12079999999"/>
    <n v="45550.38511260596"/>
  </r>
  <r>
    <x v="3"/>
    <x v="67"/>
    <x v="67"/>
    <x v="3"/>
    <x v="2"/>
    <m/>
    <x v="3"/>
    <x v="11"/>
    <x v="10"/>
    <n v="0"/>
    <n v="0"/>
    <n v="0"/>
    <n v="0"/>
    <n v="99868.188582500021"/>
    <n v="48032.461713275006"/>
    <n v="104861.59801162503"/>
    <n v="50490.859442597459"/>
    <n v="40784.482758620703"/>
    <n v="15893.10208774756"/>
    <n v="104861.59801162503"/>
    <n v="50490.859442597459"/>
    <n v="115347.75781278752"/>
    <n v="55180.737290987745"/>
  </r>
  <r>
    <x v="3"/>
    <x v="67"/>
    <x v="67"/>
    <x v="3"/>
    <x v="2"/>
    <m/>
    <x v="3"/>
    <x v="11"/>
    <x v="11"/>
    <n v="0"/>
    <n v="0"/>
    <n v="9320.4"/>
    <n v="5054.2199999999993"/>
    <n v="139553.46437500024"/>
    <n v="74623.867194500141"/>
    <n v="143740.06830625026"/>
    <n v="71870.034153125132"/>
    <n v="187011.78160919543"/>
    <n v="87853.803629769871"/>
    <n v="143740.06830625026"/>
    <n v="71870.034153125132"/>
    <n v="158114.07513687533"/>
    <n v="81334.860270320278"/>
  </r>
  <r>
    <x v="4"/>
    <x v="68"/>
    <x v="68"/>
    <x v="0"/>
    <x v="0"/>
    <m/>
    <x v="0"/>
    <x v="12"/>
    <x v="0"/>
    <n v="0"/>
    <n v="0"/>
    <n v="27241.829999999998"/>
    <n v="14477.5"/>
    <n v="27655.160706666666"/>
    <n v="14202.688604433335"/>
    <n v="28258.190000000002"/>
    <n v="14860.529039180681"/>
    <n v="28258.190000000002"/>
    <n v="14692.270000000011"/>
    <n v="31084.009000000024"/>
    <n v="16161.497000000023"/>
    <n v="32016.529270000021"/>
    <n v="16358.882989169622"/>
  </r>
  <r>
    <x v="4"/>
    <x v="68"/>
    <x v="68"/>
    <x v="0"/>
    <x v="0"/>
    <m/>
    <x v="0"/>
    <x v="12"/>
    <x v="1"/>
    <n v="0"/>
    <n v="0"/>
    <n v="24695.59"/>
    <n v="10906.970000000001"/>
    <n v="34532.25845999999"/>
    <n v="13881.370353899998"/>
    <n v="32895.159999999974"/>
    <n v="15617.352138116767"/>
    <n v="32895.159999999982"/>
    <n v="15571.789999999986"/>
    <n v="36184.676000000036"/>
    <n v="17128.969000000012"/>
    <n v="37270.216280000037"/>
    <n v="16857.328352359677"/>
  </r>
  <r>
    <x v="4"/>
    <x v="68"/>
    <x v="68"/>
    <x v="0"/>
    <x v="0"/>
    <m/>
    <x v="0"/>
    <x v="12"/>
    <x v="2"/>
    <n v="0"/>
    <n v="0"/>
    <n v="33643.31"/>
    <n v="15015.95"/>
    <n v="27008.261180000001"/>
    <n v="12787.762413"/>
    <n v="31271.009999999995"/>
    <n v="15711.852472116934"/>
    <n v="31271.01"/>
    <n v="15763.699999999997"/>
    <n v="31271.009999999984"/>
    <n v="15763.699999999992"/>
    <n v="3127.1009999999987"/>
    <n v="1547.7757258206859"/>
  </r>
  <r>
    <x v="4"/>
    <x v="68"/>
    <x v="68"/>
    <x v="0"/>
    <x v="0"/>
    <m/>
    <x v="0"/>
    <x v="12"/>
    <x v="3"/>
    <n v="0"/>
    <n v="0"/>
    <n v="30743.840000000004"/>
    <n v="16224.080000000002"/>
    <n v="24311.021040000003"/>
    <n v="12673.153805700003"/>
    <n v="27545.839999999978"/>
    <n v="14451.771781761598"/>
    <n v="27545.839999999986"/>
    <n v="14381.379999999983"/>
    <n v="27545.839999999967"/>
    <n v="14381.379999999974"/>
    <n v="31677.715999999964"/>
    <n v="16185.765953516962"/>
  </r>
  <r>
    <x v="4"/>
    <x v="68"/>
    <x v="68"/>
    <x v="0"/>
    <x v="0"/>
    <m/>
    <x v="0"/>
    <x v="12"/>
    <x v="4"/>
    <n v="0"/>
    <n v="0"/>
    <n v="18393.12"/>
    <n v="9637.9000000000015"/>
    <n v="27352.086179999991"/>
    <n v="13670.112029299995"/>
    <n v="24921.149999999987"/>
    <n v="12854.919626130239"/>
    <n v="24921.149999999994"/>
    <n v="13026.989999999994"/>
    <n v="24921.149999999994"/>
    <n v="13026.989999999996"/>
    <n v="28659.322499999995"/>
    <n v="14643.514272662938"/>
  </r>
  <r>
    <x v="4"/>
    <x v="68"/>
    <x v="68"/>
    <x v="0"/>
    <x v="0"/>
    <m/>
    <x v="0"/>
    <x v="12"/>
    <x v="5"/>
    <n v="0"/>
    <n v="0"/>
    <n v="17822.89"/>
    <n v="9342.130000000001"/>
    <n v="24585.584549999992"/>
    <n v="12729.499973499998"/>
    <n v="25355.929999999997"/>
    <n v="13463.532781123318"/>
    <n v="25355.929999999997"/>
    <n v="13464.679999999997"/>
    <n v="25355.929999999993"/>
    <n v="13464.679999999995"/>
    <n v="29159.319499999998"/>
    <n v="14898.988323237185"/>
  </r>
  <r>
    <x v="4"/>
    <x v="68"/>
    <x v="68"/>
    <x v="0"/>
    <x v="0"/>
    <m/>
    <x v="0"/>
    <x v="12"/>
    <x v="6"/>
    <n v="0"/>
    <n v="0"/>
    <n v="29002.23"/>
    <n v="15244.34"/>
    <n v="29083.154850000003"/>
    <n v="14922.831689000001"/>
    <n v="25519.610000000011"/>
    <n v="13368.880000000023"/>
    <n v="25519.609999999986"/>
    <n v="13368.879999999979"/>
    <n v="25519.609999999993"/>
    <n v="13368.879999999983"/>
    <n v="29347.551499999998"/>
    <n v="14995.165683276731"/>
  </r>
  <r>
    <x v="4"/>
    <x v="68"/>
    <x v="68"/>
    <x v="0"/>
    <x v="0"/>
    <m/>
    <x v="0"/>
    <x v="12"/>
    <x v="7"/>
    <n v="0"/>
    <n v="0"/>
    <n v="40688.460000000006"/>
    <n v="15947.740000000002"/>
    <n v="42421.557000000008"/>
    <n v="15922.579565000002"/>
    <n v="42421.557000000008"/>
    <n v="16932.564476550004"/>
    <n v="52077.98000000001"/>
    <n v="20545.160000000011"/>
    <n v="48432.521399999983"/>
    <n v="19331.840916809993"/>
    <n v="55697.399609999986"/>
    <n v="25191.948083816118"/>
  </r>
  <r>
    <x v="4"/>
    <x v="68"/>
    <x v="68"/>
    <x v="0"/>
    <x v="0"/>
    <m/>
    <x v="0"/>
    <x v="12"/>
    <x v="8"/>
    <n v="0"/>
    <n v="0"/>
    <n v="24636.149999999994"/>
    <n v="11863.89"/>
    <n v="23591.817579999995"/>
    <n v="12503.065981299997"/>
    <n v="24299.572107399996"/>
    <n v="12003.988621055598"/>
    <n v="18638.560000000005"/>
    <n v="8566.1400000000067"/>
    <n v="18638.560000000005"/>
    <n v="8566.1400000000067"/>
    <n v="21434.344000000005"/>
    <n v="10609.045675880085"/>
  </r>
  <r>
    <x v="4"/>
    <x v="68"/>
    <x v="68"/>
    <x v="0"/>
    <x v="0"/>
    <m/>
    <x v="0"/>
    <x v="12"/>
    <x v="9"/>
    <n v="0"/>
    <n v="0"/>
    <n v="25932.14"/>
    <n v="13843.240000000002"/>
    <n v="27161.651080000003"/>
    <n v="14429.689275200002"/>
    <n v="27976.500612400003"/>
    <n v="14323.968313548801"/>
    <n v="22672.379999999986"/>
    <n v="11287.95999999999"/>
    <n v="21531.93"/>
    <n v="11024.34816"/>
    <n v="24761.719499999999"/>
    <n v="12652.029471873464"/>
  </r>
  <r>
    <x v="4"/>
    <x v="68"/>
    <x v="68"/>
    <x v="0"/>
    <x v="0"/>
    <m/>
    <x v="0"/>
    <x v="12"/>
    <x v="10"/>
    <n v="0"/>
    <n v="0"/>
    <n v="26149.910000000003"/>
    <n v="13741.840000000002"/>
    <n v="34684.071689999997"/>
    <n v="17216.0490885"/>
    <n v="37510.823532734998"/>
    <n v="16954.892236796219"/>
    <n v="38837.931034482761"/>
    <n v="14379.837816543846"/>
    <n v="32283.189655172413"/>
    <n v="14592.001724137932"/>
    <n v="37125.668103448275"/>
    <n v="17286.825143920843"/>
  </r>
  <r>
    <x v="4"/>
    <x v="68"/>
    <x v="68"/>
    <x v="0"/>
    <x v="0"/>
    <m/>
    <x v="0"/>
    <x v="12"/>
    <x v="11"/>
    <n v="0"/>
    <n v="0"/>
    <n v="84589.800000000017"/>
    <n v="40443.550000000025"/>
    <n v="87384.554250000045"/>
    <n v="43591.033920000016"/>
    <n v="90006.090877500043"/>
    <n v="44282.996711730018"/>
    <n v="50716.235632183911"/>
    <n v="23144.333648818418"/>
    <n v="90006.090877500043"/>
    <n v="44282.996711730018"/>
    <n v="103507.00450912505"/>
    <n v="52335.135629069729"/>
  </r>
  <r>
    <x v="4"/>
    <x v="69"/>
    <x v="69"/>
    <x v="0"/>
    <x v="2"/>
    <m/>
    <x v="3"/>
    <x v="12"/>
    <x v="0"/>
    <n v="0"/>
    <n v="0"/>
    <n v="25452.61"/>
    <n v="13471.039999999999"/>
    <n v="29632.284989655167"/>
    <n v="15285.231959068962"/>
    <n v="17664.589999999989"/>
    <n v="9407.5039626655689"/>
    <n v="17664.59"/>
    <n v="9607.0499999999993"/>
    <n v="19431.04899999997"/>
    <n v="10567.754999999981"/>
    <n v="20499.756694999967"/>
    <n v="10822.182383132846"/>
  </r>
  <r>
    <x v="4"/>
    <x v="69"/>
    <x v="69"/>
    <x v="0"/>
    <x v="2"/>
    <m/>
    <x v="3"/>
    <x v="12"/>
    <x v="1"/>
    <n v="0"/>
    <n v="0"/>
    <n v="26065.960000000003"/>
    <n v="11895.42"/>
    <n v="32700.332999999991"/>
    <n v="13056.155984999998"/>
    <n v="17496.489999999983"/>
    <n v="8387.9014180826234"/>
    <n v="17496.489999999983"/>
    <n v="8581.8599999999806"/>
    <n v="19246.13899999997"/>
    <n v="9440.045999999973"/>
    <n v="25019.98069999996"/>
    <n v="11657.554492736503"/>
  </r>
  <r>
    <x v="4"/>
    <x v="69"/>
    <x v="69"/>
    <x v="0"/>
    <x v="2"/>
    <m/>
    <x v="3"/>
    <x v="12"/>
    <x v="2"/>
    <n v="0"/>
    <n v="0"/>
    <n v="37355.96"/>
    <n v="17074.049999999996"/>
    <n v="29395.987999999987"/>
    <n v="13887.455749999994"/>
    <n v="20438.900000000009"/>
    <n v="10212.646389539257"/>
    <n v="20438.900000000009"/>
    <n v="10263.680000000011"/>
    <n v="20438.899999999987"/>
    <n v="10263.68"/>
    <n v="21563.039499999984"/>
    <n v="11018.968407944418"/>
  </r>
  <r>
    <x v="4"/>
    <x v="69"/>
    <x v="69"/>
    <x v="0"/>
    <x v="2"/>
    <m/>
    <x v="3"/>
    <x v="12"/>
    <x v="3"/>
    <n v="0"/>
    <n v="0"/>
    <n v="25056.300000000003"/>
    <n v="13387.08"/>
    <n v="27585.739649999989"/>
    <n v="14661.300052749995"/>
    <n v="15213.280000000002"/>
    <n v="8190.3381766124121"/>
    <n v="15213.280000000002"/>
    <n v="8191.2400000000034"/>
    <n v="15213.279999999999"/>
    <n v="8191.2400000000016"/>
    <n v="17495.271999999997"/>
    <n v="9236.0620295897461"/>
  </r>
  <r>
    <x v="4"/>
    <x v="69"/>
    <x v="69"/>
    <x v="0"/>
    <x v="2"/>
    <m/>
    <x v="3"/>
    <x v="12"/>
    <x v="4"/>
    <n v="0"/>
    <n v="0"/>
    <n v="26904.639999999999"/>
    <n v="13879.16"/>
    <n v="30988.840199999991"/>
    <n v="15428.958098499996"/>
    <n v="18908.910000000003"/>
    <n v="10312.466005592669"/>
    <n v="18908.91"/>
    <n v="10406.189999999999"/>
    <n v="18908.91"/>
    <n v="10406.189999999999"/>
    <n v="20421.622800000005"/>
    <n v="10780.934124698621"/>
  </r>
  <r>
    <x v="4"/>
    <x v="69"/>
    <x v="69"/>
    <x v="0"/>
    <x v="2"/>
    <m/>
    <x v="3"/>
    <x v="12"/>
    <x v="5"/>
    <n v="0"/>
    <n v="0"/>
    <n v="34987.789999999994"/>
    <n v="18551.39"/>
    <n v="28079.542249999999"/>
    <n v="14822.086239749999"/>
    <n v="20528.919999999991"/>
    <n v="10760.589952213046"/>
    <n v="20528.919999999995"/>
    <n v="10779.879999999996"/>
    <n v="20528.919999999991"/>
    <n v="10779.879999999994"/>
    <n v="21658.010599999991"/>
    <n v="11433.645006440147"/>
  </r>
  <r>
    <x v="4"/>
    <x v="69"/>
    <x v="69"/>
    <x v="0"/>
    <x v="2"/>
    <m/>
    <x v="3"/>
    <x v="12"/>
    <x v="6"/>
    <n v="0"/>
    <n v="0"/>
    <n v="31657.34"/>
    <n v="16659.03"/>
    <n v="32462.4758"/>
    <n v="17064.020940000002"/>
    <n v="19915.240000000009"/>
    <n v="10549.489999999998"/>
    <n v="19915.240000000013"/>
    <n v="10549.490000000016"/>
    <n v="19915.239999999987"/>
    <n v="10549.490000000003"/>
    <n v="21010.578199999985"/>
    <n v="11091.854046781662"/>
  </r>
  <r>
    <x v="4"/>
    <x v="69"/>
    <x v="69"/>
    <x v="0"/>
    <x v="2"/>
    <m/>
    <x v="3"/>
    <x v="12"/>
    <x v="7"/>
    <n v="0"/>
    <n v="0"/>
    <n v="44314.98"/>
    <n v="16659.660000000003"/>
    <n v="47783.330900000008"/>
    <n v="17779.781469499998"/>
    <n v="35837.498175000015"/>
    <n v="14560.775508502506"/>
    <n v="51142.109999999957"/>
    <n v="19163.859999999968"/>
    <n v="47562.162300000004"/>
    <n v="19324.506542490002"/>
    <n v="47562.162300000004"/>
    <n v="22160.628557344513"/>
  </r>
  <r>
    <x v="4"/>
    <x v="69"/>
    <x v="69"/>
    <x v="0"/>
    <x v="2"/>
    <m/>
    <x v="3"/>
    <x v="12"/>
    <x v="8"/>
    <n v="0"/>
    <n v="0"/>
    <n v="21766.019999999997"/>
    <n v="11005.22"/>
    <n v="26874.012299999991"/>
    <n v="14188.025704999996"/>
    <n v="22842.910454999994"/>
    <n v="11695.570152959997"/>
    <n v="15647.370000000017"/>
    <n v="8231.4400000000169"/>
    <n v="15647.370000000017"/>
    <n v="8231.4400000000169"/>
    <n v="16507.975350000019"/>
    <n v="8435.7707947794406"/>
  </r>
  <r>
    <x v="4"/>
    <x v="69"/>
    <x v="69"/>
    <x v="0"/>
    <x v="2"/>
    <m/>
    <x v="3"/>
    <x v="12"/>
    <x v="9"/>
    <n v="0"/>
    <n v="0"/>
    <n v="15490.260000000002"/>
    <n v="8324.4399999999987"/>
    <n v="28944.586499999998"/>
    <n v="15380.797549999997"/>
    <n v="24602.898524999997"/>
    <n v="13147.788971759997"/>
    <n v="9247.6200000000044"/>
    <n v="4603.7300000000032"/>
    <n v="12852.589999999997"/>
    <n v="6868.4240959999979"/>
    <n v="16065.737499999997"/>
    <n v="8481.3856052713018"/>
  </r>
  <r>
    <x v="4"/>
    <x v="69"/>
    <x v="69"/>
    <x v="0"/>
    <x v="2"/>
    <m/>
    <x v="3"/>
    <x v="12"/>
    <x v="10"/>
    <n v="0"/>
    <n v="0"/>
    <n v="11705.079999999998"/>
    <n v="6095.2799999999988"/>
    <n v="30771.773499999999"/>
    <n v="15513.422507499998"/>
    <n v="27463.807848749999"/>
    <n v="12743.20684182"/>
    <n v="15207.183908045976"/>
    <n v="4873.8571016849692"/>
    <n v="27463.807848749999"/>
    <n v="12743.20684182"/>
    <n v="28974.317280431253"/>
    <n v="13908.191898365905"/>
  </r>
  <r>
    <x v="4"/>
    <x v="69"/>
    <x v="69"/>
    <x v="0"/>
    <x v="2"/>
    <m/>
    <x v="3"/>
    <x v="12"/>
    <x v="11"/>
    <n v="0"/>
    <n v="0"/>
    <n v="58898.41"/>
    <n v="28562.639999999999"/>
    <n v="60748.786499999973"/>
    <n v="30149.485447499992"/>
    <n v="51636.468524999975"/>
    <n v="26231.326010699995"/>
    <n v="45787.356321839077"/>
    <n v="20299.823050613209"/>
    <n v="51636.468524999975"/>
    <n v="26231.326010699995"/>
    <n v="53701.927265999984"/>
    <n v="28047.568573270833"/>
  </r>
  <r>
    <x v="4"/>
    <x v="70"/>
    <x v="70"/>
    <x v="0"/>
    <x v="2"/>
    <m/>
    <x v="1"/>
    <x v="13"/>
    <x v="0"/>
    <n v="0"/>
    <n v="0"/>
    <n v="46382.06"/>
    <n v="24003.800000000003"/>
    <n v="47904.451533333318"/>
    <n v="24300.087026333327"/>
    <n v="43179.810000000012"/>
    <n v="22855.383430287842"/>
    <n v="43179.810000000005"/>
    <n v="23146.810000000012"/>
    <n v="47497.791000000063"/>
    <n v="25461.491000000045"/>
    <n v="45122.901450000063"/>
    <n v="22980.567567610957"/>
  </r>
  <r>
    <x v="4"/>
    <x v="70"/>
    <x v="70"/>
    <x v="0"/>
    <x v="2"/>
    <m/>
    <x v="1"/>
    <x v="13"/>
    <x v="1"/>
    <n v="0"/>
    <n v="0"/>
    <n v="50743.839999999997"/>
    <n v="22472.680000000004"/>
    <n v="61042.963300000003"/>
    <n v="24085.143439500003"/>
    <n v="44163.89"/>
    <n v="20244.724326304124"/>
    <n v="44163.890000000014"/>
    <n v="20346.380000000019"/>
    <n v="48580.279000000082"/>
    <n v="22381.018000000055"/>
    <n v="53438.306900000098"/>
    <n v="24267.107577138151"/>
  </r>
  <r>
    <x v="4"/>
    <x v="70"/>
    <x v="70"/>
    <x v="0"/>
    <x v="2"/>
    <m/>
    <x v="1"/>
    <x v="13"/>
    <x v="2"/>
    <n v="0"/>
    <n v="0"/>
    <n v="57122.549999999996"/>
    <n v="25213.890000000003"/>
    <n v="52302.320699999997"/>
    <n v="24560.182491499996"/>
    <n v="40448.200000000004"/>
    <n v="20162.229556016857"/>
    <n v="40448.200000000012"/>
    <n v="20267.520000000011"/>
    <n v="40448.199999999983"/>
    <n v="20267.519999999997"/>
    <n v="45301.983999999982"/>
    <n v="22390.094091589512"/>
  </r>
  <r>
    <x v="4"/>
    <x v="70"/>
    <x v="70"/>
    <x v="0"/>
    <x v="2"/>
    <m/>
    <x v="1"/>
    <x v="13"/>
    <x v="3"/>
    <n v="0"/>
    <n v="0"/>
    <n v="47875.360000000001"/>
    <n v="25239.559999999998"/>
    <n v="45470.438750000001"/>
    <n v="23972.484723500002"/>
    <n v="46859.539999999986"/>
    <n v="24819.928709192303"/>
    <n v="46859.539999999994"/>
    <n v="24865.49"/>
    <n v="46859.539999999986"/>
    <n v="24865.489999999998"/>
    <n v="49202.516999999985"/>
    <n v="25058.268198199501"/>
  </r>
  <r>
    <x v="4"/>
    <x v="70"/>
    <x v="70"/>
    <x v="0"/>
    <x v="2"/>
    <m/>
    <x v="1"/>
    <x v="13"/>
    <x v="4"/>
    <n v="0"/>
    <n v="0"/>
    <n v="45648.149999999994"/>
    <n v="24079.249999999996"/>
    <n v="49786.071874999994"/>
    <n v="24985.041881875"/>
    <n v="56250.359999999971"/>
    <n v="29411.074702275302"/>
    <n v="56250.359999999971"/>
    <n v="29375.319999999963"/>
    <n v="56250.359999999971"/>
    <n v="29375.319999999963"/>
    <n v="53437.841999999982"/>
    <n v="27215.269836073825"/>
  </r>
  <r>
    <x v="4"/>
    <x v="70"/>
    <x v="70"/>
    <x v="0"/>
    <x v="2"/>
    <m/>
    <x v="1"/>
    <x v="13"/>
    <x v="5"/>
    <n v="0"/>
    <n v="0"/>
    <n v="41211.919999999998"/>
    <n v="21438.879999999997"/>
    <n v="45071.983775000001"/>
    <n v="23264.870789125001"/>
    <n v="41536.189999999959"/>
    <n v="21903.730517492615"/>
    <n v="41536.189999999959"/>
    <n v="21910.629999999976"/>
    <n v="41536.189999999959"/>
    <n v="21910.629999999976"/>
    <n v="44443.723299999969"/>
    <n v="22634.670055151193"/>
  </r>
  <r>
    <x v="4"/>
    <x v="70"/>
    <x v="70"/>
    <x v="0"/>
    <x v="2"/>
    <m/>
    <x v="1"/>
    <x v="13"/>
    <x v="6"/>
    <n v="0"/>
    <n v="0"/>
    <n v="50378.210000000006"/>
    <n v="26330.670000000002"/>
    <n v="50564.158199999998"/>
    <n v="26253.128128000004"/>
    <n v="53245.359999999979"/>
    <n v="27970.549999999927"/>
    <n v="53245.35999999995"/>
    <n v="27970.549999999967"/>
    <n v="53245.359999999993"/>
    <n v="27970.549999999988"/>
    <n v="55907.627999999997"/>
    <n v="28473.10304773978"/>
  </r>
  <r>
    <x v="4"/>
    <x v="70"/>
    <x v="70"/>
    <x v="0"/>
    <x v="2"/>
    <m/>
    <x v="1"/>
    <x v="13"/>
    <x v="7"/>
    <n v="0"/>
    <n v="0"/>
    <n v="62734.950000000004"/>
    <n v="23452.460000000003"/>
    <n v="70160.580619999964"/>
    <n v="25918.957862999985"/>
    <n v="66652.551588999951"/>
    <n v="27937.416998529334"/>
    <n v="97837.969999999914"/>
    <n v="37612.629999999917"/>
    <n v="90989.312100000083"/>
    <n v="38138.170166715041"/>
    <n v="91899.205221000069"/>
    <n v="41732.757430447346"/>
  </r>
  <r>
    <x v="4"/>
    <x v="70"/>
    <x v="70"/>
    <x v="0"/>
    <x v="2"/>
    <m/>
    <x v="1"/>
    <x v="13"/>
    <x v="8"/>
    <n v="0"/>
    <n v="0"/>
    <n v="42361.03"/>
    <n v="20707.650000000001"/>
    <n v="44449.53428"/>
    <n v="23599.526294000003"/>
    <n v="44449.53428"/>
    <n v="22824.835852780005"/>
    <n v="30002.289999999979"/>
    <n v="14230.609999999975"/>
    <n v="30002.289999999979"/>
    <n v="14230.609999999975"/>
    <n v="42603.251799999976"/>
    <n v="21056.270215663837"/>
  </r>
  <r>
    <x v="4"/>
    <x v="70"/>
    <x v="70"/>
    <x v="0"/>
    <x v="2"/>
    <m/>
    <x v="1"/>
    <x v="13"/>
    <x v="9"/>
    <n v="0"/>
    <n v="0"/>
    <n v="39617.68"/>
    <n v="21286.07"/>
    <n v="46935.778200000015"/>
    <n v="25031.877293000016"/>
    <n v="46935.778200000015"/>
    <n v="24617.815665900005"/>
    <n v="42824.899999999965"/>
    <n v="20422.369999999966"/>
    <n v="36558.17"/>
    <n v="19174.760164999996"/>
    <n v="45697.712500000001"/>
    <n v="23273.312132979176"/>
  </r>
  <r>
    <x v="4"/>
    <x v="70"/>
    <x v="70"/>
    <x v="0"/>
    <x v="2"/>
    <m/>
    <x v="1"/>
    <x v="13"/>
    <x v="10"/>
    <n v="0"/>
    <n v="0"/>
    <n v="44517.43"/>
    <n v="23055.530000000002"/>
    <n v="60135.663100000012"/>
    <n v="30155.359418000004"/>
    <n v="63142.446255000017"/>
    <n v="28919.240384790013"/>
    <n v="66580.531609195401"/>
    <n v="24480.102089353648"/>
    <n v="53222.772988505727"/>
    <n v="24376.030028735626"/>
    <n v="56948.367097701121"/>
    <n v="26575.181804454791"/>
  </r>
  <r>
    <x v="4"/>
    <x v="70"/>
    <x v="70"/>
    <x v="0"/>
    <x v="2"/>
    <m/>
    <x v="1"/>
    <x v="13"/>
    <x v="11"/>
    <n v="0"/>
    <n v="0"/>
    <n v="103720.40000000002"/>
    <n v="51536.100000000006"/>
    <n v="106146.86480000002"/>
    <n v="53017.843031200005"/>
    <n v="106146.86480000002"/>
    <n v="53073.432400000012"/>
    <n v="90892.385057471256"/>
    <n v="41560.36051078837"/>
    <n v="106146.86480000002"/>
    <n v="53073.432400000012"/>
    <n v="106146.86480000002"/>
    <n v="53526.948282074576"/>
  </r>
  <r>
    <x v="4"/>
    <x v="71"/>
    <x v="71"/>
    <x v="3"/>
    <x v="3"/>
    <m/>
    <x v="1"/>
    <x v="12"/>
    <x v="5"/>
    <n v="0"/>
    <n v="0"/>
    <n v="0"/>
    <n v="0"/>
    <n v="21350.625187499998"/>
    <n v="11239.4072151375"/>
    <n v="0"/>
    <n v="0"/>
    <n v="0"/>
    <n v="0"/>
    <n v="0"/>
    <n v="0"/>
    <n v="0"/>
    <n v="0"/>
  </r>
  <r>
    <x v="4"/>
    <x v="71"/>
    <x v="71"/>
    <x v="3"/>
    <x v="3"/>
    <m/>
    <x v="1"/>
    <x v="12"/>
    <x v="6"/>
    <n v="0"/>
    <n v="0"/>
    <n v="0"/>
    <n v="0"/>
    <n v="30537.312592500006"/>
    <n v="16052.357877412505"/>
    <n v="0"/>
    <n v="0"/>
    <n v="0"/>
    <n v="0"/>
    <n v="0"/>
    <n v="0"/>
    <n v="37271.751999999986"/>
    <n v="18982.068698493178"/>
  </r>
  <r>
    <x v="4"/>
    <x v="71"/>
    <x v="71"/>
    <x v="3"/>
    <x v="3"/>
    <m/>
    <x v="1"/>
    <x v="12"/>
    <x v="7"/>
    <n v="0"/>
    <n v="0"/>
    <n v="0"/>
    <n v="0"/>
    <n v="44542.634850000002"/>
    <n v="16539.0072435"/>
    <n v="0"/>
    <n v="0"/>
    <n v="0"/>
    <n v="0"/>
    <n v="0"/>
    <n v="0"/>
    <n v="63692.518470000068"/>
    <n v="28923.693268626874"/>
  </r>
  <r>
    <x v="4"/>
    <x v="71"/>
    <x v="71"/>
    <x v="3"/>
    <x v="3"/>
    <m/>
    <x v="1"/>
    <x v="12"/>
    <x v="8"/>
    <n v="0"/>
    <n v="0"/>
    <n v="0"/>
    <n v="0"/>
    <n v="24771.408458999995"/>
    <n v="13076.633013465"/>
    <n v="0"/>
    <n v="0"/>
    <n v="0"/>
    <n v="0"/>
    <n v="0"/>
    <n v="0"/>
    <n v="21001.602999999992"/>
    <n v="10379.851514763868"/>
  </r>
  <r>
    <x v="4"/>
    <x v="71"/>
    <x v="71"/>
    <x v="3"/>
    <x v="3"/>
    <m/>
    <x v="1"/>
    <x v="12"/>
    <x v="9"/>
    <n v="0"/>
    <n v="0"/>
    <n v="0"/>
    <n v="0"/>
    <n v="28519.733634"/>
    <n v="15150.433126185002"/>
    <n v="0"/>
    <n v="0"/>
    <n v="0"/>
    <n v="0"/>
    <n v="0"/>
    <n v="0"/>
    <n v="25590.719000000001"/>
    <n v="13033.054794468337"/>
  </r>
  <r>
    <x v="4"/>
    <x v="71"/>
    <x v="71"/>
    <x v="3"/>
    <x v="3"/>
    <m/>
    <x v="1"/>
    <x v="12"/>
    <x v="10"/>
    <n v="0"/>
    <n v="0"/>
    <n v="0"/>
    <n v="0"/>
    <n v="36418.275274500003"/>
    <n v="18213.111222862502"/>
    <n v="50333.550014700013"/>
    <n v="23052.765906732606"/>
    <n v="0"/>
    <n v="0"/>
    <n v="0"/>
    <n v="0"/>
    <n v="37255.94109195401"/>
    <n v="17385.632956185378"/>
  </r>
  <r>
    <x v="4"/>
    <x v="71"/>
    <x v="71"/>
    <x v="3"/>
    <x v="3"/>
    <m/>
    <x v="1"/>
    <x v="12"/>
    <x v="11"/>
    <n v="0"/>
    <n v="0"/>
    <n v="0"/>
    <n v="0"/>
    <n v="91753.781962500056"/>
    <n v="45271.916735062521"/>
    <n v="74037.438198000018"/>
    <n v="37018.719099000009"/>
    <n v="0"/>
    <n v="0"/>
    <n v="0"/>
    <n v="0"/>
    <n v="74302.805360000042"/>
    <n v="37468.863797452213"/>
  </r>
  <r>
    <x v="4"/>
    <x v="72"/>
    <x v="72"/>
    <x v="3"/>
    <x v="2"/>
    <m/>
    <x v="3"/>
    <x v="13"/>
    <x v="0"/>
    <n v="0"/>
    <n v="0"/>
    <n v="0"/>
    <n v="0"/>
    <n v="35780.537579923075"/>
    <n v="18123.425473949614"/>
    <n v="27429.920000000013"/>
    <n v="14084.237904861571"/>
    <n v="27429.920000000013"/>
    <n v="14254.000000000015"/>
    <n v="30172.912000000015"/>
    <n v="15679.400000000018"/>
    <n v="32117.556178400013"/>
    <n v="16179.403565348293"/>
  </r>
  <r>
    <x v="4"/>
    <x v="72"/>
    <x v="72"/>
    <x v="3"/>
    <x v="2"/>
    <m/>
    <x v="3"/>
    <x v="13"/>
    <x v="1"/>
    <n v="0"/>
    <n v="0"/>
    <n v="0"/>
    <n v="0"/>
    <n v="48847.869084999998"/>
    <n v="20315.509124525001"/>
    <n v="25948.12999999999"/>
    <n v="12013.876926898789"/>
    <n v="25948.129999999994"/>
    <n v="12079.509999999995"/>
    <n v="28542.942999999999"/>
    <n v="13287.460999999998"/>
    <n v="37105.825899999996"/>
    <n v="16267.886881304436"/>
  </r>
  <r>
    <x v="4"/>
    <x v="72"/>
    <x v="72"/>
    <x v="3"/>
    <x v="2"/>
    <m/>
    <x v="3"/>
    <x v="13"/>
    <x v="2"/>
    <n v="0"/>
    <n v="0"/>
    <n v="43786.07"/>
    <n v="20704.450000000004"/>
    <n v="38051.077369999985"/>
    <n v="18428.891527399996"/>
    <n v="32226.839999999997"/>
    <n v="15922.391644084306"/>
    <n v="32226.839999999982"/>
    <n v="15942.759999999987"/>
    <n v="32226.839999999978"/>
    <n v="15942.759999999986"/>
    <n v="32549.108399999983"/>
    <n v="15816.801306772213"/>
  </r>
  <r>
    <x v="4"/>
    <x v="72"/>
    <x v="72"/>
    <x v="3"/>
    <x v="2"/>
    <m/>
    <x v="3"/>
    <x v="13"/>
    <x v="3"/>
    <n v="0"/>
    <n v="0"/>
    <n v="35220.31"/>
    <n v="18537.099999999999"/>
    <n v="32817.198029999985"/>
    <n v="17209.959781099991"/>
    <n v="35594.089999999997"/>
    <n v="18228.106822763664"/>
    <n v="35594.089999999982"/>
    <n v="18363.339999999982"/>
    <n v="35594.089999999997"/>
    <n v="18363.339999999989"/>
    <n v="33814.385499999997"/>
    <n v="17034.191090999007"/>
  </r>
  <r>
    <x v="4"/>
    <x v="72"/>
    <x v="72"/>
    <x v="3"/>
    <x v="2"/>
    <m/>
    <x v="3"/>
    <x v="13"/>
    <x v="4"/>
    <n v="0"/>
    <n v="0"/>
    <n v="25871.489999999998"/>
    <n v="13822.269999999999"/>
    <n v="35375.434324999995"/>
    <n v="17912.350505375001"/>
    <n v="31238.319999999978"/>
    <n v="15596.546240111835"/>
    <n v="31238.319999999974"/>
    <n v="15592.229999999981"/>
    <n v="31238.319999999974"/>
    <n v="15592.229999999981"/>
    <n v="33425.002399999976"/>
    <n v="16838.037115851181"/>
  </r>
  <r>
    <x v="4"/>
    <x v="72"/>
    <x v="72"/>
    <x v="3"/>
    <x v="2"/>
    <m/>
    <x v="3"/>
    <x v="13"/>
    <x v="5"/>
    <n v="0"/>
    <n v="0"/>
    <n v="35221.11"/>
    <n v="18069.36"/>
    <n v="32894.726325000003"/>
    <n v="17068.721868125001"/>
    <n v="32118.389999999978"/>
    <n v="16531.543738249406"/>
    <n v="32118.389999999985"/>
    <n v="16537.32999999998"/>
    <n v="32118.389999999981"/>
    <n v="16537.329999999976"/>
    <n v="34366.677299999981"/>
    <n v="17312.411260316934"/>
  </r>
  <r>
    <x v="4"/>
    <x v="72"/>
    <x v="72"/>
    <x v="3"/>
    <x v="2"/>
    <m/>
    <x v="3"/>
    <x v="13"/>
    <x v="6"/>
    <n v="0"/>
    <n v="0"/>
    <n v="35885.729999999996"/>
    <n v="18867.66"/>
    <n v="38545.661850000004"/>
    <n v="20275.909314500008"/>
    <n v="31111.170000000013"/>
    <n v="15973.719999999983"/>
    <n v="31111.169999999987"/>
    <n v="15973.719999999983"/>
    <n v="31111.170000000006"/>
    <n v="15973.719999999994"/>
    <n v="33288.951900000007"/>
    <n v="16769.50089433607"/>
  </r>
  <r>
    <x v="4"/>
    <x v="72"/>
    <x v="72"/>
    <x v="3"/>
    <x v="2"/>
    <m/>
    <x v="3"/>
    <x v="13"/>
    <x v="7"/>
    <n v="0"/>
    <n v="0"/>
    <n v="49288.05"/>
    <n v="19872.47"/>
    <n v="52130.999799999983"/>
    <n v="21144.658989999996"/>
    <n v="44624.135828800005"/>
    <n v="18713.131359807281"/>
    <n v="40655.139999999978"/>
    <n v="13264.139999999981"/>
    <n v="37809.280199999987"/>
    <n v="15855.321651869994"/>
    <n v="39699.74420999999"/>
    <n v="17405.10909972767"/>
  </r>
  <r>
    <x v="4"/>
    <x v="72"/>
    <x v="72"/>
    <x v="3"/>
    <x v="2"/>
    <m/>
    <x v="3"/>
    <x v="13"/>
    <x v="8"/>
    <n v="0"/>
    <n v="0"/>
    <n v="27495.82"/>
    <n v="13682.550000000001"/>
    <n v="31240.269774999997"/>
    <n v="16280.08049875"/>
    <n v="31240.269774999997"/>
    <n v="15807.576506149999"/>
    <n v="21563.429999999993"/>
    <n v="10408.899999999987"/>
    <n v="21563.429999999993"/>
    <n v="10408.899999999987"/>
    <n v="26954.287499999991"/>
    <n v="13098.073363911682"/>
  </r>
  <r>
    <x v="4"/>
    <x v="72"/>
    <x v="72"/>
    <x v="3"/>
    <x v="2"/>
    <m/>
    <x v="3"/>
    <x v="13"/>
    <x v="9"/>
    <n v="0"/>
    <n v="0"/>
    <n v="20500.87"/>
    <n v="10809.19"/>
    <n v="33134.383224999998"/>
    <n v="17362.84730175"/>
    <n v="33134.383224999998"/>
    <n v="17243.133030290002"/>
    <n v="15980.069999999994"/>
    <n v="7707.5799999999908"/>
    <n v="23378.12"/>
    <n v="12165.973648000001"/>
    <n v="30391.555999999997"/>
    <n v="15309.921052884352"/>
  </r>
  <r>
    <x v="4"/>
    <x v="72"/>
    <x v="72"/>
    <x v="3"/>
    <x v="2"/>
    <m/>
    <x v="3"/>
    <x v="13"/>
    <x v="10"/>
    <n v="0"/>
    <n v="0"/>
    <n v="22595.809999999998"/>
    <n v="10916.56"/>
    <n v="39307.444250000008"/>
    <n v="19489.227484999999"/>
    <n v="36320.078487000006"/>
    <n v="16634.595947046"/>
    <n v="14881.034482758623"/>
    <n v="4602.5651470628936"/>
    <n v="36320.078487000006"/>
    <n v="16634.595947046"/>
    <n v="39044.084373525009"/>
    <n v="17697.43430779807"/>
  </r>
  <r>
    <x v="4"/>
    <x v="72"/>
    <x v="72"/>
    <x v="3"/>
    <x v="2"/>
    <m/>
    <x v="3"/>
    <x v="13"/>
    <x v="11"/>
    <n v="0"/>
    <n v="0"/>
    <n v="68125.75"/>
    <n v="33438.289999999994"/>
    <n v="69278.553750000006"/>
    <n v="34289.984925000004"/>
    <n v="60965.127300000007"/>
    <n v="30482.563650000004"/>
    <n v="70020.617816091937"/>
    <n v="29363.18867155616"/>
    <n v="60965.127300000007"/>
    <n v="30482.563650000004"/>
    <n v="60965.127300000007"/>
    <n v="30349.416699079589"/>
  </r>
  <r>
    <x v="4"/>
    <x v="73"/>
    <x v="73"/>
    <x v="2"/>
    <x v="2"/>
    <m/>
    <x v="3"/>
    <x v="13"/>
    <x v="0"/>
    <n v="0"/>
    <n v="0"/>
    <n v="43624.67"/>
    <n v="22838.52"/>
    <n v="67345.311441379265"/>
    <n v="34894.886822758599"/>
    <n v="77190.37999999999"/>
    <n v="40818.646650491573"/>
    <n v="77190.38"/>
    <n v="40980.309999999969"/>
    <n v="84909.418000000107"/>
    <n v="45078.341000000022"/>
    <n v="90003.983080000122"/>
    <n v="45893.527743407823"/>
  </r>
  <r>
    <x v="4"/>
    <x v="73"/>
    <x v="73"/>
    <x v="2"/>
    <x v="2"/>
    <m/>
    <x v="3"/>
    <x v="13"/>
    <x v="1"/>
    <n v="0"/>
    <n v="0"/>
    <n v="49967.89"/>
    <n v="22663.759999999998"/>
    <n v="72533.640299999955"/>
    <n v="29923.487302499983"/>
    <n v="88393.950000000026"/>
    <n v="40009.533321959658"/>
    <n v="88393.949999999983"/>
    <n v="39768.37999999999"/>
    <n v="97233.345000000219"/>
    <n v="43745.218000000103"/>
    <n v="101122.67880000023"/>
    <n v="44783.503323215242"/>
  </r>
  <r>
    <x v="4"/>
    <x v="73"/>
    <x v="73"/>
    <x v="2"/>
    <x v="2"/>
    <m/>
    <x v="3"/>
    <x v="13"/>
    <x v="2"/>
    <n v="0"/>
    <n v="0"/>
    <n v="60628.57"/>
    <n v="28456.239999999998"/>
    <n v="69870.067019999959"/>
    <n v="33948.076559599984"/>
    <n v="92592.190000000046"/>
    <n v="46816.472490718981"/>
    <n v="92592.190000000031"/>
    <n v="46437.210000000079"/>
    <n v="92592.190000000192"/>
    <n v="46437.210000000159"/>
    <n v="99073.6433000002"/>
    <n v="48706.705791083652"/>
  </r>
  <r>
    <x v="4"/>
    <x v="73"/>
    <x v="73"/>
    <x v="2"/>
    <x v="2"/>
    <m/>
    <x v="3"/>
    <x v="13"/>
    <x v="3"/>
    <n v="0"/>
    <n v="0"/>
    <n v="53460.02"/>
    <n v="28095.569999999996"/>
    <n v="61750.794979999991"/>
    <n v="32580.682606399998"/>
    <n v="86465.070000000036"/>
    <n v="45463.717405744625"/>
    <n v="86465.070000000036"/>
    <n v="45458.460000000036"/>
    <n v="86465.070000000138"/>
    <n v="45458.460000000086"/>
    <n v="93382.275600000154"/>
    <n v="47616.137745613625"/>
  </r>
  <r>
    <x v="4"/>
    <x v="73"/>
    <x v="73"/>
    <x v="2"/>
    <x v="2"/>
    <m/>
    <x v="3"/>
    <x v="13"/>
    <x v="4"/>
    <n v="0"/>
    <n v="0"/>
    <n v="49919.499999999985"/>
    <n v="26285.169999999991"/>
    <n v="66781.406999999992"/>
    <n v="33743.0098975"/>
    <n v="105756.96000000006"/>
    <n v="56046.933111674531"/>
    <n v="105756.96000000004"/>
    <n v="55648.48000000004"/>
    <n v="105756.96000000004"/>
    <n v="55648.48000000004"/>
    <n v="112102.37760000002"/>
    <n v="57161.621079754281"/>
  </r>
  <r>
    <x v="4"/>
    <x v="73"/>
    <x v="73"/>
    <x v="2"/>
    <x v="2"/>
    <m/>
    <x v="3"/>
    <x v="13"/>
    <x v="5"/>
    <n v="0"/>
    <n v="0"/>
    <n v="55877.11"/>
    <n v="29228.080000000009"/>
    <n v="62601.211299999995"/>
    <n v="32761.861906999999"/>
    <n v="97150.79"/>
    <n v="50732.170000000187"/>
    <n v="97150.790000000008"/>
    <n v="50732.170000000006"/>
    <n v="97150.789999999964"/>
    <n v="50732.169999999984"/>
    <n v="104922.85319999997"/>
    <n v="53500.741961293425"/>
  </r>
  <r>
    <x v="4"/>
    <x v="73"/>
    <x v="73"/>
    <x v="2"/>
    <x v="2"/>
    <m/>
    <x v="3"/>
    <x v="13"/>
    <x v="6"/>
    <n v="0"/>
    <n v="0"/>
    <n v="71488.399999999994"/>
    <n v="37666.37000000001"/>
    <n v="73625.862299999979"/>
    <n v="38853.854509499986"/>
    <n v="106987.01999999995"/>
    <n v="56132.830000000213"/>
    <n v="106987.01999999996"/>
    <n v="56132.829999999944"/>
    <n v="106987.01999999993"/>
    <n v="56132.829999999922"/>
    <n v="115545.98159999991"/>
    <n v="58917.533766094304"/>
  </r>
  <r>
    <x v="4"/>
    <x v="73"/>
    <x v="73"/>
    <x v="2"/>
    <x v="2"/>
    <m/>
    <x v="3"/>
    <x v="13"/>
    <x v="7"/>
    <n v="0"/>
    <n v="0"/>
    <n v="96492.260000000009"/>
    <n v="38424.850000000013"/>
    <n v="107904.79786000012"/>
    <n v="42199.36084790004"/>
    <n v="113300.0377530001"/>
    <n v="48299.806094103944"/>
    <n v="138916.33000000007"/>
    <n v="53247.920000000027"/>
    <n v="129192.18690000042"/>
    <n v="55074.629275470179"/>
    <n v="135651.79624500047"/>
    <n v="60075.175420867927"/>
  </r>
  <r>
    <x v="4"/>
    <x v="73"/>
    <x v="73"/>
    <x v="2"/>
    <x v="2"/>
    <m/>
    <x v="3"/>
    <x v="13"/>
    <x v="8"/>
    <n v="0"/>
    <n v="0"/>
    <n v="53827.17"/>
    <n v="26639.8"/>
    <n v="59958.846850000024"/>
    <n v="31990.681882950015"/>
    <n v="68353.085409000021"/>
    <n v="35171.08009720096"/>
    <n v="82727.760000000009"/>
    <n v="39388.660000000011"/>
    <n v="82727.760000000009"/>
    <n v="39388.660000000011"/>
    <n v="87691.425600000017"/>
    <n v="43110.965992908968"/>
  </r>
  <r>
    <x v="4"/>
    <x v="73"/>
    <x v="73"/>
    <x v="2"/>
    <x v="2"/>
    <m/>
    <x v="3"/>
    <x v="13"/>
    <x v="9"/>
    <n v="0"/>
    <n v="0"/>
    <n v="55833.630000000005"/>
    <n v="30002.560000000005"/>
    <n v="64213.908429999981"/>
    <n v="34485.73301584999"/>
    <n v="73203.855610199986"/>
    <n v="38387.369843432774"/>
    <n v="49988.359999999986"/>
    <n v="24756.839999999975"/>
    <n v="69753.31"/>
    <n v="36577.938230899999"/>
    <n v="75333.574800000017"/>
    <n v="38413.005589106477"/>
  </r>
  <r>
    <x v="4"/>
    <x v="73"/>
    <x v="73"/>
    <x v="2"/>
    <x v="2"/>
    <m/>
    <x v="3"/>
    <x v="13"/>
    <x v="10"/>
    <n v="0"/>
    <n v="0"/>
    <n v="50842.680000000008"/>
    <n v="26065.560000000012"/>
    <n v="76709.342659999995"/>
    <n v="38266.571975299994"/>
    <n v="91821.08316401999"/>
    <n v="42219.334038816392"/>
    <n v="35909.482758620688"/>
    <n v="11216.018137694182"/>
    <n v="91821.08316401999"/>
    <n v="42219.334038816392"/>
    <n v="99166.769817141569"/>
    <n v="45428.298827283812"/>
  </r>
  <r>
    <x v="4"/>
    <x v="73"/>
    <x v="73"/>
    <x v="2"/>
    <x v="2"/>
    <m/>
    <x v="3"/>
    <x v="13"/>
    <x v="11"/>
    <n v="99515.200000000012"/>
    <n v="50788.44000000001"/>
    <n v="135747.45000000004"/>
    <n v="65457.10000000002"/>
    <n v="137287.37610000008"/>
    <n v="67689.712461000046"/>
    <n v="156507.6087540001"/>
    <n v="78629.422638009652"/>
    <n v="167897.55747126433"/>
    <n v="73288.758249849663"/>
    <n v="156507.6087540001"/>
    <n v="78629.422638009652"/>
    <n v="164332.98919170009"/>
    <n v="82792.727242340567"/>
  </r>
  <r>
    <x v="4"/>
    <x v="74"/>
    <x v="74"/>
    <x v="3"/>
    <x v="2"/>
    <m/>
    <x v="3"/>
    <x v="13"/>
    <x v="0"/>
    <n v="0"/>
    <n v="0"/>
    <n v="0"/>
    <n v="0"/>
    <n v="32595.513488620687"/>
    <n v="16648.250907825859"/>
    <n v="28483.64000000001"/>
    <n v="14875.020643823922"/>
    <n v="28483.64"/>
    <n v="14848.44"/>
    <n v="31332.004000000004"/>
    <n v="16333.284000000005"/>
    <n v="33351.351657800013"/>
    <n v="16947.85039601387"/>
  </r>
  <r>
    <x v="4"/>
    <x v="74"/>
    <x v="74"/>
    <x v="3"/>
    <x v="2"/>
    <m/>
    <x v="3"/>
    <x v="13"/>
    <x v="1"/>
    <n v="0"/>
    <n v="0"/>
    <n v="0"/>
    <n v="0"/>
    <n v="35970.366299999994"/>
    <n v="14891.646569249999"/>
    <n v="28348.569999999989"/>
    <n v="13266.688961507674"/>
    <n v="28348.569999999996"/>
    <n v="13349.38"/>
    <n v="31183.427000000011"/>
    <n v="14684.318000000007"/>
    <n v="38979.283750000017"/>
    <n v="17390.614913146594"/>
  </r>
  <r>
    <x v="4"/>
    <x v="74"/>
    <x v="74"/>
    <x v="3"/>
    <x v="2"/>
    <m/>
    <x v="3"/>
    <x v="13"/>
    <x v="2"/>
    <n v="0"/>
    <n v="0"/>
    <n v="0"/>
    <n v="0"/>
    <n v="32631.976239999989"/>
    <n v="15719.036411799996"/>
    <n v="30628.42"/>
    <n v="15248.40426011654"/>
    <n v="30628.42"/>
    <n v="15271.159999999994"/>
    <n v="30628.419999999987"/>
    <n v="15271.159999999989"/>
    <n v="30934.704199999989"/>
    <n v="15196.63738588673"/>
  </r>
  <r>
    <x v="4"/>
    <x v="74"/>
    <x v="74"/>
    <x v="3"/>
    <x v="2"/>
    <m/>
    <x v="3"/>
    <x v="13"/>
    <x v="3"/>
    <n v="0"/>
    <n v="0"/>
    <n v="0"/>
    <n v="0"/>
    <n v="31171.885804499983"/>
    <n v="16434.207764784995"/>
    <n v="32083.249999999985"/>
    <n v="16527.230349232479"/>
    <n v="32083.249999999978"/>
    <n v="16524.589999999978"/>
    <n v="32083.249999999964"/>
    <n v="16524.589999999971"/>
    <n v="30479.087499999969"/>
    <n v="15488.278270011497"/>
  </r>
  <r>
    <x v="4"/>
    <x v="74"/>
    <x v="74"/>
    <x v="3"/>
    <x v="2"/>
    <m/>
    <x v="3"/>
    <x v="13"/>
    <x v="4"/>
    <n v="0"/>
    <n v="0"/>
    <n v="0"/>
    <n v="0"/>
    <n v="35017.389425999987"/>
    <n v="17819.003228779988"/>
    <n v="40908.769999999975"/>
    <n v="21322.020767104004"/>
    <n v="40908.76999999996"/>
    <n v="21327.949999999961"/>
    <n v="40908.76999999996"/>
    <n v="21327.949999999961"/>
    <n v="36817.892999999967"/>
    <n v="18709.410906724439"/>
  </r>
  <r>
    <x v="4"/>
    <x v="74"/>
    <x v="74"/>
    <x v="3"/>
    <x v="2"/>
    <m/>
    <x v="3"/>
    <x v="13"/>
    <x v="5"/>
    <n v="0"/>
    <n v="0"/>
    <n v="0"/>
    <n v="0"/>
    <n v="31729.882742499998"/>
    <n v="16876.997794139996"/>
    <n v="34538.039999999986"/>
    <n v="18084.410948489152"/>
    <n v="34538.039999999979"/>
    <n v="18118.769999999968"/>
    <n v="34538.039999999979"/>
    <n v="18118.769999999968"/>
    <n v="33156.518399999972"/>
    <n v="16848.843766860035"/>
  </r>
  <r>
    <x v="4"/>
    <x v="74"/>
    <x v="74"/>
    <x v="3"/>
    <x v="2"/>
    <m/>
    <x v="3"/>
    <x v="13"/>
    <x v="6"/>
    <n v="0"/>
    <n v="0"/>
    <n v="0"/>
    <n v="0"/>
    <n v="36682.597653999997"/>
    <n v="19418.671911604997"/>
    <n v="27448.200000000004"/>
    <n v="14215.599999999989"/>
    <n v="27448.199999999961"/>
    <n v="14215.599999999962"/>
    <n v="27448.199999999961"/>
    <n v="14215.599999999962"/>
    <n v="31016.465999999957"/>
    <n v="15761.352972274854"/>
  </r>
  <r>
    <x v="4"/>
    <x v="74"/>
    <x v="74"/>
    <x v="3"/>
    <x v="2"/>
    <m/>
    <x v="3"/>
    <x v="13"/>
    <x v="7"/>
    <n v="0"/>
    <n v="0"/>
    <n v="14891.760000000002"/>
    <n v="6267.6200000000008"/>
    <n v="51247.139430999989"/>
    <n v="20767.385134799999"/>
    <n v="48684.782459449991"/>
    <n v="21026.957544236451"/>
    <n v="38128.079999999973"/>
    <n v="14906.739999999969"/>
    <n v="35459.114399999962"/>
    <n v="15314.791509359984"/>
    <n v="37232.07011999996"/>
    <n v="16611.09521737148"/>
  </r>
  <r>
    <x v="4"/>
    <x v="74"/>
    <x v="74"/>
    <x v="3"/>
    <x v="2"/>
    <m/>
    <x v="3"/>
    <x v="13"/>
    <x v="8"/>
    <n v="0"/>
    <n v="0"/>
    <n v="21284.879999999997"/>
    <n v="10829.760000000002"/>
    <n v="27670.861254999993"/>
    <n v="14546.471011574995"/>
    <n v="28224.278480099991"/>
    <n v="14253.260632450496"/>
    <n v="22849.42"/>
    <n v="10967.009999999995"/>
    <n v="22849.42"/>
    <n v="10967.009999999995"/>
    <n v="29018.7634"/>
    <n v="14255.433700789732"/>
  </r>
  <r>
    <x v="4"/>
    <x v="74"/>
    <x v="74"/>
    <x v="3"/>
    <x v="2"/>
    <m/>
    <x v="3"/>
    <x v="13"/>
    <x v="9"/>
    <n v="0"/>
    <n v="0"/>
    <n v="24955.449999999997"/>
    <n v="13280.7"/>
    <n v="29180.602314999996"/>
    <n v="15343.846658275001"/>
    <n v="29764.214361299997"/>
    <n v="15402.98093197275"/>
    <n v="17395.649999999991"/>
    <n v="8127.4199999999873"/>
    <n v="23453.170000000002"/>
    <n v="12137.015475000002"/>
    <n v="30723.652700000002"/>
    <n v="15612.556723976419"/>
  </r>
  <r>
    <x v="4"/>
    <x v="74"/>
    <x v="74"/>
    <x v="3"/>
    <x v="2"/>
    <m/>
    <x v="3"/>
    <x v="13"/>
    <x v="10"/>
    <n v="0"/>
    <n v="0"/>
    <n v="22930.21"/>
    <n v="11570"/>
    <n v="35903.535610000006"/>
    <n v="17948.985086350003"/>
    <n v="38452.686638310006"/>
    <n v="17611.330480345983"/>
    <n v="18688.505747126437"/>
    <n v="5791.7536141611017"/>
    <n v="38452.686638310006"/>
    <n v="17611.330480345983"/>
    <n v="41336.638136183246"/>
    <n v="19024.919738276782"/>
  </r>
  <r>
    <x v="4"/>
    <x v="74"/>
    <x v="74"/>
    <x v="3"/>
    <x v="2"/>
    <m/>
    <x v="3"/>
    <x v="13"/>
    <x v="11"/>
    <n v="0"/>
    <n v="0"/>
    <n v="59582.39"/>
    <n v="29046.130000000005"/>
    <n v="64813.989499999996"/>
    <n v="32193.776567499997"/>
    <n v="65462.129394999996"/>
    <n v="32731.064697499998"/>
    <n v="63067.816091954017"/>
    <n v="25850.695266957457"/>
    <n v="65462.129394999996"/>
    <n v="32731.064697499998"/>
    <n v="65462.129394999996"/>
    <n v="32896.258073973717"/>
  </r>
  <r>
    <x v="4"/>
    <x v="75"/>
    <x v="75"/>
    <x v="3"/>
    <x v="3"/>
    <m/>
    <x v="2"/>
    <x v="12"/>
    <x v="8"/>
    <n v="0"/>
    <n v="0"/>
    <n v="0"/>
    <n v="0"/>
    <n v="0"/>
    <n v="0"/>
    <n v="0"/>
    <n v="0"/>
    <n v="0"/>
    <n v="0"/>
    <n v="0"/>
    <n v="0"/>
    <n v="11885.742252000013"/>
    <n v="5882.9130690076618"/>
  </r>
  <r>
    <x v="4"/>
    <x v="75"/>
    <x v="75"/>
    <x v="3"/>
    <x v="3"/>
    <m/>
    <x v="2"/>
    <x v="12"/>
    <x v="9"/>
    <n v="0"/>
    <n v="0"/>
    <n v="0"/>
    <n v="0"/>
    <n v="0"/>
    <n v="0"/>
    <n v="0"/>
    <n v="0"/>
    <n v="0"/>
    <n v="0"/>
    <n v="0"/>
    <n v="0"/>
    <n v="11567.330999999998"/>
    <n v="5910.3412718537375"/>
  </r>
  <r>
    <x v="4"/>
    <x v="75"/>
    <x v="75"/>
    <x v="3"/>
    <x v="3"/>
    <m/>
    <x v="2"/>
    <x v="12"/>
    <x v="10"/>
    <n v="0"/>
    <n v="0"/>
    <n v="0"/>
    <n v="0"/>
    <n v="0"/>
    <n v="0"/>
    <n v="0"/>
    <n v="0"/>
    <n v="0"/>
    <n v="0"/>
    <n v="0"/>
    <n v="0"/>
    <n v="19702.535750693249"/>
    <n v="9174.0918834117529"/>
  </r>
  <r>
    <x v="4"/>
    <x v="75"/>
    <x v="75"/>
    <x v="3"/>
    <x v="3"/>
    <m/>
    <x v="2"/>
    <x v="12"/>
    <x v="11"/>
    <n v="0"/>
    <n v="0"/>
    <n v="0"/>
    <n v="0"/>
    <n v="0"/>
    <n v="0"/>
    <n v="0"/>
    <n v="0"/>
    <n v="0"/>
    <n v="0"/>
    <n v="0"/>
    <n v="0"/>
    <n v="32221.156359599983"/>
    <n v="16291.637423015807"/>
  </r>
  <r>
    <x v="4"/>
    <x v="76"/>
    <x v="76"/>
    <x v="3"/>
    <x v="3"/>
    <m/>
    <x v="2"/>
    <x v="12"/>
    <x v="0"/>
    <n v="0"/>
    <n v="0"/>
    <n v="0"/>
    <n v="0"/>
    <n v="0"/>
    <n v="0"/>
    <n v="0"/>
    <n v="0"/>
    <n v="0"/>
    <n v="0"/>
    <n v="0"/>
    <n v="0"/>
    <n v="14759.824820399976"/>
    <n v="7541.5497145660638"/>
  </r>
  <r>
    <x v="4"/>
    <x v="76"/>
    <x v="76"/>
    <x v="3"/>
    <x v="3"/>
    <m/>
    <x v="2"/>
    <x v="12"/>
    <x v="1"/>
    <n v="0"/>
    <n v="0"/>
    <n v="0"/>
    <n v="0"/>
    <n v="0"/>
    <n v="0"/>
    <n v="0"/>
    <n v="0"/>
    <n v="0"/>
    <n v="0"/>
    <n v="0"/>
    <n v="0"/>
    <n v="20516.384173999966"/>
    <n v="9279.5658073458471"/>
  </r>
  <r>
    <x v="4"/>
    <x v="76"/>
    <x v="76"/>
    <x v="3"/>
    <x v="3"/>
    <m/>
    <x v="2"/>
    <x v="12"/>
    <x v="2"/>
    <n v="0"/>
    <n v="0"/>
    <n v="0"/>
    <n v="0"/>
    <n v="0"/>
    <n v="0"/>
    <n v="0"/>
    <n v="0"/>
    <n v="0"/>
    <n v="0"/>
    <n v="0"/>
    <n v="0"/>
    <n v="15525.388439999988"/>
    <n v="7684.3758360759939"/>
  </r>
  <r>
    <x v="4"/>
    <x v="76"/>
    <x v="76"/>
    <x v="3"/>
    <x v="3"/>
    <m/>
    <x v="2"/>
    <x v="12"/>
    <x v="3"/>
    <n v="0"/>
    <n v="0"/>
    <n v="0"/>
    <n v="0"/>
    <n v="0"/>
    <n v="0"/>
    <n v="0"/>
    <n v="0"/>
    <n v="0"/>
    <n v="0"/>
    <n v="0"/>
    <n v="0"/>
    <n v="12596.595840000002"/>
    <n v="6436.2453428550734"/>
  </r>
  <r>
    <x v="4"/>
    <x v="76"/>
    <x v="76"/>
    <x v="3"/>
    <x v="3"/>
    <m/>
    <x v="2"/>
    <x v="12"/>
    <x v="4"/>
    <n v="0"/>
    <n v="0"/>
    <n v="0"/>
    <n v="0"/>
    <n v="0"/>
    <n v="0"/>
    <n v="0"/>
    <n v="0"/>
    <n v="0"/>
    <n v="0"/>
    <n v="0"/>
    <n v="0"/>
    <n v="14703.568416000002"/>
    <n v="7512.8054390948018"/>
  </r>
  <r>
    <x v="4"/>
    <x v="76"/>
    <x v="76"/>
    <x v="3"/>
    <x v="3"/>
    <m/>
    <x v="2"/>
    <x v="12"/>
    <x v="5"/>
    <n v="0"/>
    <n v="0"/>
    <n v="0"/>
    <n v="0"/>
    <n v="0"/>
    <n v="0"/>
    <n v="0"/>
    <n v="0"/>
    <n v="0"/>
    <n v="0"/>
    <n v="0"/>
    <n v="0"/>
    <n v="15593.767631999996"/>
    <n v="7967.6537672438453"/>
  </r>
  <r>
    <x v="4"/>
    <x v="76"/>
    <x v="76"/>
    <x v="3"/>
    <x v="3"/>
    <m/>
    <x v="2"/>
    <x v="12"/>
    <x v="6"/>
    <n v="0"/>
    <n v="0"/>
    <n v="0"/>
    <n v="0"/>
    <n v="0"/>
    <n v="0"/>
    <n v="0"/>
    <n v="0"/>
    <n v="0"/>
    <n v="0"/>
    <n v="0"/>
    <n v="0"/>
    <n v="15127.616303999986"/>
    <n v="7729.4732022710041"/>
  </r>
  <r>
    <x v="4"/>
    <x v="76"/>
    <x v="76"/>
    <x v="3"/>
    <x v="3"/>
    <m/>
    <x v="2"/>
    <x v="12"/>
    <x v="7"/>
    <n v="0"/>
    <n v="0"/>
    <n v="0"/>
    <n v="0"/>
    <n v="0"/>
    <n v="0"/>
    <n v="0"/>
    <n v="0"/>
    <n v="0"/>
    <n v="0"/>
    <n v="0"/>
    <n v="0"/>
    <n v="32342.270364000004"/>
    <n v="14628.417154619709"/>
  </r>
  <r>
    <x v="4"/>
    <x v="76"/>
    <x v="76"/>
    <x v="3"/>
    <x v="3"/>
    <m/>
    <x v="2"/>
    <x v="12"/>
    <x v="8"/>
    <n v="0"/>
    <n v="0"/>
    <n v="0"/>
    <n v="0"/>
    <n v="0"/>
    <n v="0"/>
    <n v="4716"/>
    <n v="2329.7040000000002"/>
    <n v="0"/>
    <n v="0"/>
    <n v="0"/>
    <n v="0"/>
    <n v="11885.742252000013"/>
    <n v="5882.9130690076618"/>
  </r>
  <r>
    <x v="4"/>
    <x v="76"/>
    <x v="76"/>
    <x v="3"/>
    <x v="3"/>
    <m/>
    <x v="2"/>
    <x v="12"/>
    <x v="9"/>
    <n v="0"/>
    <n v="0"/>
    <n v="0"/>
    <n v="0"/>
    <n v="16347.014359000003"/>
    <n v="8679.4865478750016"/>
    <n v="5245"/>
    <n v="2685.44"/>
    <n v="0"/>
    <n v="0"/>
    <n v="0"/>
    <n v="0"/>
    <n v="11567.330999999998"/>
    <n v="5910.3412718537375"/>
  </r>
  <r>
    <x v="4"/>
    <x v="76"/>
    <x v="76"/>
    <x v="3"/>
    <x v="3"/>
    <m/>
    <x v="2"/>
    <x v="12"/>
    <x v="10"/>
    <n v="0"/>
    <n v="0"/>
    <n v="0"/>
    <n v="0"/>
    <n v="22544.6465985"/>
    <n v="11190.431907525002"/>
    <n v="6780.4"/>
    <n v="3064.7408000000005"/>
    <n v="11229.597701149423"/>
    <n v="4429.4314200152203"/>
    <n v="11229.597701149423"/>
    <n v="5075.7781609195399"/>
    <n v="19702.535750693249"/>
    <n v="9174.0918834117529"/>
  </r>
  <r>
    <x v="4"/>
    <x v="76"/>
    <x v="76"/>
    <x v="3"/>
    <x v="3"/>
    <m/>
    <x v="2"/>
    <x v="12"/>
    <x v="11"/>
    <n v="0"/>
    <n v="0"/>
    <n v="0"/>
    <n v="0"/>
    <n v="56799.960262500026"/>
    <n v="28334.172048000011"/>
    <n v="12277"/>
    <n v="6040.2839999999997"/>
    <n v="36304.310344827587"/>
    <n v="17394.12769226481"/>
    <n v="12277"/>
    <n v="6040.2839999999997"/>
    <n v="32221.156359599983"/>
    <n v="16291.63742301580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2">
  <r>
    <x v="0"/>
    <s v="25 DE MAYO"/>
    <n v="308"/>
    <x v="0"/>
    <x v="0"/>
    <x v="0"/>
    <s v="COCHABAMBA"/>
    <s v="B 1"/>
    <x v="0"/>
    <n v="42955.039999999994"/>
    <n v="19907.949999999993"/>
    <n v="31088.38"/>
    <n v="14610.57"/>
    <n v="30852.023449999993"/>
    <n v="14174.414224249995"/>
    <n v="29710.119999999984"/>
    <n v="14274.668044149916"/>
    <n v="29710.119999999988"/>
    <n v="14240.129999999986"/>
    <n v="30852.023449999993"/>
    <n v="14787.446994190806"/>
    <n v="31777.584153499993"/>
    <n v="16939.04215027922"/>
    <n v="22044.252873563219"/>
    <n v="12330.549795420464"/>
    <n v="0.52821228894211236"/>
    <n v="0.53667286619630905"/>
    <n v="0.62325553475248108"/>
    <n v="0.62325553475248086"/>
    <n v="0.62325553475248086"/>
    <n v="0.88"/>
    <n v="0.96951012852934282"/>
    <n v="22689.37999999999"/>
    <n v="16684.290000000012"/>
    <n v="18516.996728160375"/>
    <n v="18516.996728160368"/>
    <n v="19228.694373525825"/>
    <n v="27964.274055079994"/>
    <n v="21372.126436781611"/>
  </r>
  <r>
    <x v="0"/>
    <s v="25 DE MAYO"/>
    <n v="308"/>
    <x v="0"/>
    <x v="0"/>
    <x v="0"/>
    <s v="COCHABAMBA"/>
    <s v="B 1"/>
    <x v="1"/>
    <n v="90018.040000000008"/>
    <n v="32560.039999999997"/>
    <n v="39484.17"/>
    <n v="17280.600000000002"/>
    <n v="64245.472499999996"/>
    <n v="26779.705492500001"/>
    <n v="44781.109999999971"/>
    <n v="17227.462036415582"/>
    <n v="44781.109999999971"/>
    <n v="16870.859999999971"/>
    <n v="64245.472499999996"/>
    <n v="24203.874628863574"/>
    <n v="66172.836674999999"/>
    <n v="28733.35576996451"/>
    <n v="33130.747126436785"/>
    <n v="14615.708620180907"/>
    <n v="0.2564126035181396"/>
    <n v="0.37470159584457097"/>
    <n v="0.21089445085011396"/>
    <n v="0.21089445085011377"/>
    <n v="0.21089445085011377"/>
    <n v="0.4"/>
    <n v="0.37338999956632996"/>
    <n v="23081.760000000035"/>
    <n v="14794.781509598333"/>
    <n v="9444.0876019085408"/>
    <n v="9444.0876019085317"/>
    <n v="13549.013642493584"/>
    <n v="26469.134669999999"/>
    <n v="12370.689655172418"/>
  </r>
  <r>
    <x v="0"/>
    <s v="25 DE MAYO"/>
    <n v="308"/>
    <x v="0"/>
    <x v="0"/>
    <x v="0"/>
    <s v="COCHABAMBA"/>
    <s v="B 1"/>
    <x v="2"/>
    <n v="60093.210000000006"/>
    <n v="26330.62"/>
    <n v="65997.010000000009"/>
    <n v="28602.400000000005"/>
    <n v="35337"/>
    <n v="15503"/>
    <n v="34632.55999999999"/>
    <n v="16077.440333410232"/>
    <n v="34632.559999999998"/>
    <n v="15937.730000000007"/>
    <n v="34632.559999999976"/>
    <n v="15937.729999999996"/>
    <n v="35671.53679999998"/>
    <n v="18794.367843849956"/>
    <n v="37331.084609485551"/>
    <n v="18889.528812399691"/>
    <n v="0.36529434856284154"/>
    <n v="0.3135218293567355"/>
    <n v="0.45472068306660079"/>
    <n v="0.45472068306660068"/>
    <n v="0.45472068306660068"/>
    <n v="0.85"/>
    <n v="0.69803493449781628"/>
    <n v="21951.710000000036"/>
    <n v="20691.503307274768"/>
    <n v="15748.141339545034"/>
    <n v="15748.141339545027"/>
    <n v="15748.141339545022"/>
    <n v="30320.806279999983"/>
    <n v="26058.401200114684"/>
  </r>
  <r>
    <x v="0"/>
    <s v="25 DE MAYO"/>
    <n v="308"/>
    <x v="0"/>
    <x v="0"/>
    <x v="0"/>
    <s v="COCHABAMBA"/>
    <s v="B 1"/>
    <x v="3"/>
    <n v="36283.32"/>
    <n v="17837.670000000002"/>
    <n v="31016.370000000003"/>
    <n v="14941.929999999997"/>
    <n v="31057"/>
    <n v="15067"/>
    <n v="32993.700000000026"/>
    <n v="16620.316844584613"/>
    <n v="32993.700000000033"/>
    <n v="16557.570000000036"/>
    <n v="32993.700000000026"/>
    <n v="16557.570000000032"/>
    <n v="33983.51100000002"/>
    <n v="18114.911519479869"/>
    <n v="0"/>
    <n v="0"/>
    <n v="0.54893129956134201"/>
    <n v="0.55628718081294137"/>
    <n v="0.657791603537908"/>
    <n v="0.65779160353790778"/>
    <n v="0.65779160353790778"/>
    <n v="0.87999999999999989"/>
    <n v="0"/>
    <n v="19917.050000000032"/>
    <n v="17254.00902635109"/>
    <n v="21702.978829648699"/>
    <n v="21702.978829648684"/>
    <n v="21702.978829648684"/>
    <n v="29905.489680000013"/>
    <n v="0"/>
  </r>
  <r>
    <x v="0"/>
    <s v="25 DE MAYO"/>
    <n v="308"/>
    <x v="0"/>
    <x v="0"/>
    <x v="0"/>
    <s v="COCHABAMBA"/>
    <s v="B 1"/>
    <x v="4"/>
    <n v="41680.300000000003"/>
    <n v="20554.839999999997"/>
    <n v="21905.15"/>
    <n v="10475.89"/>
    <n v="31489"/>
    <n v="14120"/>
    <n v="30379.119999999995"/>
    <n v="15517.643191349391"/>
    <n v="30379.120000000006"/>
    <n v="15306.050000000014"/>
    <n v="30379.120000000006"/>
    <n v="15306.050000000016"/>
    <n v="23391.922400000007"/>
    <n v="12469.064910524961"/>
    <n v="0"/>
    <n v="0"/>
    <n v="0.54072211572373596"/>
    <n v="0.54810990464103937"/>
    <n v="0.70416175243700363"/>
    <n v="0.70416175243700385"/>
    <n v="0.70416175243700385"/>
    <n v="0.88000000000000012"/>
    <n v="0"/>
    <n v="22537.460000000032"/>
    <n v="12006.429677647664"/>
    <n v="21391.81437669403"/>
    <n v="21391.81437669403"/>
    <n v="21391.814376694037"/>
    <n v="20584.891712000008"/>
    <n v="0"/>
  </r>
  <r>
    <x v="0"/>
    <s v="25 DE MAYO"/>
    <n v="308"/>
    <x v="0"/>
    <x v="0"/>
    <x v="0"/>
    <s v="COCHABAMBA"/>
    <s v="B 1"/>
    <x v="5"/>
    <n v="42179.1"/>
    <n v="20861.229999999996"/>
    <n v="17645.940000000002"/>
    <n v="8728.59"/>
    <n v="29179"/>
    <n v="14519"/>
    <n v="28449.960000000017"/>
    <n v="14534.738012742677"/>
    <n v="28449.960000000017"/>
    <n v="14536.640000000032"/>
    <n v="28449.960000000021"/>
    <n v="14536.640000000034"/>
    <n v="43812.938400000043"/>
    <n v="23354.488078775088"/>
    <n v="0"/>
    <n v="0"/>
    <n v="0.56799410134403039"/>
    <n v="0.57507218316605191"/>
    <n v="0.73765847099500592"/>
    <n v="0.73765847099500592"/>
    <n v="0.73765847099500592"/>
    <n v="0.88"/>
    <n v="0"/>
    <n v="23957.479999999992"/>
    <n v="10147.689239817164"/>
    <n v="20986.353993469093"/>
    <n v="20986.353993469093"/>
    <n v="20986.353993469093"/>
    <n v="38555.385792000037"/>
    <n v="0"/>
  </r>
  <r>
    <x v="0"/>
    <s v="25 DE MAYO"/>
    <n v="308"/>
    <x v="0"/>
    <x v="0"/>
    <x v="0"/>
    <s v="COCHABAMBA"/>
    <s v="B 1"/>
    <x v="6"/>
    <n v="37336.730000000003"/>
    <n v="18888.290000000005"/>
    <n v="33021.949999999997"/>
    <n v="16043.889999999996"/>
    <n v="21511"/>
    <n v="10748"/>
    <n v="29592.83"/>
    <n v="15162.95"/>
    <n v="29592.829999999987"/>
    <n v="15162.949999999993"/>
    <n v="29592.830000000031"/>
    <n v="15162.950000000015"/>
    <n v="45572.958200000059"/>
    <n v="24292.666683967851"/>
    <n v="0"/>
    <n v="0"/>
    <n v="0.62562950745820534"/>
    <n v="0.60625345355623306"/>
    <n v="0.75983878527332471"/>
    <n v="0.75983878527332471"/>
    <n v="0.75983878527332471"/>
    <n v="0.88"/>
    <n v="0"/>
    <n v="23358.959999999999"/>
    <n v="20019.67123066125"/>
    <n v="22485.779999999992"/>
    <n v="22485.780000000002"/>
    <n v="22485.780000000024"/>
    <n v="40104.203216000053"/>
    <n v="0"/>
  </r>
  <r>
    <x v="0"/>
    <s v="25 DE MAYO"/>
    <n v="308"/>
    <x v="0"/>
    <x v="0"/>
    <x v="0"/>
    <s v="COCHABAMBA"/>
    <s v="B 1"/>
    <x v="7"/>
    <n v="130773.44"/>
    <n v="41951.689999999995"/>
    <n v="69755.209999999977"/>
    <n v="26274.269999999997"/>
    <n v="75963"/>
    <n v="29056"/>
    <n v="57023.18540731207"/>
    <n v="23145.140724973899"/>
    <n v="65079.250000000044"/>
    <n v="27700.890000000058"/>
    <n v="65079.250000000131"/>
    <n v="26415.016782500054"/>
    <n v="100222.0450000002"/>
    <n v="43518.093218850183"/>
    <n v="0"/>
    <n v="0"/>
    <n v="0.16561466915606127"/>
    <n v="0.24448734510037118"/>
    <n v="0.31917577415228393"/>
    <n v="0.27"/>
    <n v="0.27"/>
    <n v="0.40000000000000008"/>
    <n v="0"/>
    <n v="21658.000000000029"/>
    <n v="17054.266099818858"/>
    <n v="20771.720000000038"/>
    <n v="15396.26005997426"/>
    <n v="17571.397500000036"/>
    <n v="40088.818000000087"/>
    <n v="0"/>
  </r>
  <r>
    <x v="0"/>
    <s v="25 DE MAYO"/>
    <n v="308"/>
    <x v="0"/>
    <x v="0"/>
    <x v="0"/>
    <s v="COCHABAMBA"/>
    <s v="B 1"/>
    <x v="8"/>
    <n v="31616.79"/>
    <n v="15334.689999999997"/>
    <n v="35510.759999999995"/>
    <n v="15293.779999999999"/>
    <n v="31458"/>
    <n v="14628"/>
    <n v="25670.051462399999"/>
    <n v="12482.062523592"/>
    <n v="20616.05000000001"/>
    <n v="10258.960000000014"/>
    <n v="20616.05000000001"/>
    <n v="10258.960000000014"/>
    <n v="31748.717000000019"/>
    <n v="16727.540201416083"/>
    <n v="0"/>
    <n v="0"/>
    <n v="0.53837375647559427"/>
    <n v="0.47117700205890628"/>
    <n v="0.72048234264080679"/>
    <n v="0.65"/>
    <n v="0.65"/>
    <n v="0.85"/>
    <n v="0"/>
    <n v="17021.650000000005"/>
    <n v="16731.853437633323"/>
    <n v="14853.500000000013"/>
    <n v="16685.53345056"/>
    <n v="13400.432500000006"/>
    <n v="26986.409450000014"/>
    <n v="0"/>
  </r>
  <r>
    <x v="0"/>
    <s v="25 DE MAYO"/>
    <n v="308"/>
    <x v="0"/>
    <x v="0"/>
    <x v="0"/>
    <s v="COCHABAMBA"/>
    <s v="B 1"/>
    <x v="9"/>
    <n v="21940.259999999995"/>
    <n v="10510.21"/>
    <n v="28670.819999999996"/>
    <n v="13725.039999999997"/>
    <n v="32688"/>
    <n v="16055"/>
    <n v="35008.566027119981"/>
    <n v="17521.787296573548"/>
    <n v="22646.869999999992"/>
    <n v="11412.879999999992"/>
    <n v="35008.566027119981"/>
    <n v="17521.787296573548"/>
    <n v="53913.191681764773"/>
    <n v="28738.428382162343"/>
    <n v="0"/>
    <n v="0"/>
    <n v="0.53109443552628899"/>
    <n v="0.5905882287598333"/>
    <n v="0.6505256576295092"/>
    <n v="0.7"/>
    <n v="0.7"/>
    <n v="0.88"/>
    <n v="0"/>
    <n v="11652.350000000015"/>
    <n v="16932.648800892002"/>
    <n v="14732.369999999997"/>
    <n v="24505.996218983986"/>
    <n v="24505.996218983986"/>
    <n v="47443.608679953002"/>
    <n v="0"/>
  </r>
  <r>
    <x v="0"/>
    <s v="25 DE MAYO"/>
    <n v="308"/>
    <x v="0"/>
    <x v="0"/>
    <x v="0"/>
    <s v="COCHABAMBA"/>
    <s v="B 1"/>
    <x v="10"/>
    <n v="43691.289999999994"/>
    <n v="18472.379999999997"/>
    <n v="34186.33"/>
    <n v="15603.669999999996"/>
    <n v="42559"/>
    <n v="18335"/>
    <n v="45580.975685279998"/>
    <n v="19679.58625211964"/>
    <n v="35122.84482758621"/>
    <n v="14469.072367632483"/>
    <n v="45580.975685279998"/>
    <n v="19679.58625211964"/>
    <n v="70194.702555331198"/>
    <n v="33370.371912158116"/>
    <n v="0"/>
    <n v="0"/>
    <n v="0.32089118906766051"/>
    <n v="0.43533003016331684"/>
    <n v="0.31917577415228393"/>
    <n v="0.35"/>
    <n v="0.35"/>
    <n v="0.6"/>
    <n v="0"/>
    <n v="14020.149999999983"/>
    <n v="14882.336070073105"/>
    <n v="11210.36118827537"/>
    <n v="15953.341489847999"/>
    <n v="15953.341489847999"/>
    <n v="42116.821533198716"/>
    <n v="0"/>
  </r>
  <r>
    <x v="0"/>
    <s v="25 DE MAYO"/>
    <n v="308"/>
    <x v="0"/>
    <x v="0"/>
    <x v="0"/>
    <s v="COCHABAMBA"/>
    <s v="B 1"/>
    <x v="11"/>
    <n v="91614.159999999989"/>
    <n v="41211.559999999983"/>
    <n v="78130.399999999994"/>
    <n v="38425.660000000003"/>
    <n v="82945"/>
    <n v="40822"/>
    <n v="88833.874588199978"/>
    <n v="43262.096924453384"/>
    <n v="66329.382183908063"/>
    <n v="31683.388947927509"/>
    <n v="88833.874588199978"/>
    <n v="43262.096924453384"/>
    <n v="137692.50561170996"/>
    <n v="72546.45669787495"/>
    <n v="0"/>
    <n v="0"/>
    <n v="0.36407232244447846"/>
    <n v="0.60688342772941628"/>
    <n v="0.45472068306660079"/>
    <n v="0.6"/>
    <n v="0.6"/>
    <n v="0.85"/>
    <n v="0"/>
    <n v="33354.180000000037"/>
    <n v="47416.044961870379"/>
    <n v="30161.341974052295"/>
    <n v="53300.324752919987"/>
    <n v="53300.324752919987"/>
    <n v="117038.62976995346"/>
    <n v="0"/>
  </r>
  <r>
    <x v="0"/>
    <s v="AMERICA"/>
    <n v="303"/>
    <x v="1"/>
    <x v="1"/>
    <x v="1"/>
    <s v="COCHABAMBA"/>
    <s v="B 2"/>
    <x v="0"/>
    <n v="32104.459999999992"/>
    <n v="17044.279999999995"/>
    <n v="0"/>
    <n v="0"/>
    <n v="0"/>
    <n v="0"/>
    <n v="0"/>
    <n v="0"/>
    <n v="0"/>
    <n v="0"/>
    <n v="0"/>
    <n v="0"/>
    <n v="0"/>
    <n v="0"/>
    <n v="0"/>
    <n v="0"/>
    <n v="0.8179056741648979"/>
    <n v="0"/>
    <n v="0"/>
    <n v="0"/>
    <n v="0"/>
    <n v="0"/>
    <n v="0"/>
    <n v="26258.419999999991"/>
    <n v="0"/>
    <n v="0"/>
    <n v="0"/>
    <n v="0"/>
    <n v="0"/>
    <n v="0"/>
  </r>
  <r>
    <x v="0"/>
    <s v="AMERICA"/>
    <n v="303"/>
    <x v="1"/>
    <x v="1"/>
    <x v="1"/>
    <s v="COCHABAMBA"/>
    <s v="B 2"/>
    <x v="1"/>
    <n v="40688.44"/>
    <n v="17120.100000000006"/>
    <n v="0"/>
    <n v="0"/>
    <n v="0"/>
    <n v="0"/>
    <n v="0"/>
    <n v="0"/>
    <n v="0"/>
    <n v="0"/>
    <n v="0"/>
    <n v="0"/>
    <n v="0"/>
    <n v="0"/>
    <n v="0"/>
    <n v="0"/>
    <n v="0.36127902667194961"/>
    <n v="0"/>
    <n v="0"/>
    <n v="0"/>
    <n v="0"/>
    <n v="0"/>
    <n v="0"/>
    <n v="14699.880000000023"/>
    <n v="0"/>
    <n v="0"/>
    <n v="0"/>
    <n v="0"/>
    <n v="0"/>
    <n v="0"/>
  </r>
  <r>
    <x v="0"/>
    <s v="AMERICA"/>
    <n v="303"/>
    <x v="1"/>
    <x v="1"/>
    <x v="1"/>
    <s v="COCHABAMBA"/>
    <s v="B 2"/>
    <x v="2"/>
    <n v="36579.5"/>
    <n v="17569.950000000004"/>
    <n v="0"/>
    <n v="0"/>
    <n v="0"/>
    <n v="0"/>
    <n v="0"/>
    <n v="0"/>
    <n v="0"/>
    <n v="0"/>
    <n v="0"/>
    <n v="0"/>
    <n v="0"/>
    <n v="0"/>
    <n v="0"/>
    <n v="0"/>
    <n v="0.54738391722139501"/>
    <n v="0"/>
    <n v="0"/>
    <n v="0"/>
    <n v="0"/>
    <n v="0"/>
    <n v="0"/>
    <n v="20023.030000000017"/>
    <n v="0"/>
    <n v="0"/>
    <n v="0"/>
    <n v="0"/>
    <n v="0"/>
    <n v="0"/>
  </r>
  <r>
    <x v="0"/>
    <s v="AMERICA"/>
    <n v="303"/>
    <x v="1"/>
    <x v="1"/>
    <x v="1"/>
    <s v="COCHABAMBA"/>
    <s v="B 2"/>
    <x v="3"/>
    <n v="23941.91"/>
    <n v="12776.550000000001"/>
    <n v="0"/>
    <n v="0"/>
    <n v="0"/>
    <n v="0"/>
    <n v="0"/>
    <n v="0"/>
    <n v="0"/>
    <n v="0"/>
    <n v="0"/>
    <n v="0"/>
    <n v="0"/>
    <n v="0"/>
    <n v="0"/>
    <n v="0"/>
    <n v="0.78261258187003513"/>
    <n v="0"/>
    <n v="0"/>
    <n v="0"/>
    <n v="0"/>
    <n v="0"/>
    <n v="0"/>
    <n v="18737.240000000013"/>
    <n v="0"/>
    <n v="0"/>
    <n v="0"/>
    <n v="0"/>
    <n v="0"/>
    <n v="0"/>
  </r>
  <r>
    <x v="0"/>
    <s v="AMERICA"/>
    <n v="303"/>
    <x v="1"/>
    <x v="1"/>
    <x v="1"/>
    <s v="COCHABAMBA"/>
    <s v="B 2"/>
    <x v="4"/>
    <n v="25414.53"/>
    <n v="13384.909999999996"/>
    <n v="0"/>
    <n v="0"/>
    <n v="0"/>
    <n v="0"/>
    <n v="0"/>
    <n v="0"/>
    <n v="0"/>
    <n v="0"/>
    <n v="0"/>
    <n v="0"/>
    <n v="0"/>
    <n v="0"/>
    <n v="0"/>
    <n v="0"/>
    <n v="0.789500337011938"/>
    <n v="0"/>
    <n v="0"/>
    <n v="0"/>
    <n v="0"/>
    <n v="0"/>
    <n v="0"/>
    <n v="20064.780000000006"/>
    <n v="0"/>
    <n v="0"/>
    <n v="0"/>
    <n v="0"/>
    <n v="0"/>
    <n v="0"/>
  </r>
  <r>
    <x v="0"/>
    <s v="AMERICA"/>
    <n v="303"/>
    <x v="1"/>
    <x v="1"/>
    <x v="1"/>
    <s v="COCHABAMBA"/>
    <s v="B 2"/>
    <x v="5"/>
    <n v="22676.1"/>
    <n v="11924.419999999998"/>
    <n v="0"/>
    <n v="0"/>
    <n v="0"/>
    <n v="0"/>
    <n v="0"/>
    <n v="0"/>
    <n v="0"/>
    <n v="0"/>
    <n v="0"/>
    <n v="0"/>
    <n v="0"/>
    <n v="0"/>
    <n v="0"/>
    <n v="0"/>
    <n v="0.75989301511282836"/>
    <n v="0"/>
    <n v="0"/>
    <n v="0"/>
    <n v="0"/>
    <n v="0"/>
    <n v="0"/>
    <n v="17231.410000000007"/>
    <n v="0"/>
    <n v="0"/>
    <n v="0"/>
    <n v="0"/>
    <n v="0"/>
    <n v="0"/>
  </r>
  <r>
    <x v="0"/>
    <s v="AMERICA"/>
    <n v="303"/>
    <x v="1"/>
    <x v="1"/>
    <x v="1"/>
    <s v="COCHABAMBA"/>
    <s v="B 2"/>
    <x v="6"/>
    <n v="25069.100000000002"/>
    <n v="13518.8"/>
    <n v="0"/>
    <n v="0"/>
    <n v="0"/>
    <n v="0"/>
    <n v="0"/>
    <n v="0"/>
    <n v="0"/>
    <n v="0"/>
    <n v="0"/>
    <n v="0"/>
    <n v="0"/>
    <n v="0"/>
    <n v="0"/>
    <n v="0"/>
    <n v="0.86462377987243244"/>
    <n v="0"/>
    <n v="0"/>
    <n v="0"/>
    <n v="0"/>
    <n v="0"/>
    <n v="0"/>
    <n v="21675.339999999997"/>
    <n v="0"/>
    <n v="0"/>
    <n v="0"/>
    <n v="0"/>
    <n v="0"/>
    <n v="0"/>
  </r>
  <r>
    <x v="0"/>
    <s v="AMERICA"/>
    <n v="303"/>
    <x v="1"/>
    <x v="1"/>
    <x v="1"/>
    <s v="COCHABAMBA"/>
    <s v="B 2"/>
    <x v="7"/>
    <n v="58822.37999999999"/>
    <n v="23510.899999999994"/>
    <n v="0"/>
    <n v="0"/>
    <n v="0"/>
    <n v="0"/>
    <n v="0"/>
    <n v="0"/>
    <n v="0"/>
    <n v="0"/>
    <n v="0"/>
    <n v="0"/>
    <n v="0"/>
    <n v="0"/>
    <n v="0"/>
    <n v="0"/>
    <n v="0.29852277313498676"/>
    <n v="0"/>
    <n v="0"/>
    <n v="0"/>
    <n v="0"/>
    <n v="0"/>
    <n v="0"/>
    <n v="17559.819999999982"/>
    <n v="0"/>
    <n v="0"/>
    <n v="0"/>
    <n v="0"/>
    <n v="0"/>
    <n v="0"/>
  </r>
  <r>
    <x v="0"/>
    <s v="AMERICA"/>
    <n v="303"/>
    <x v="1"/>
    <x v="1"/>
    <x v="1"/>
    <s v="COCHABAMBA"/>
    <s v="B 2"/>
    <x v="8"/>
    <n v="19907.599999999999"/>
    <n v="10206.119999999999"/>
    <n v="0"/>
    <n v="0"/>
    <n v="0"/>
    <n v="0"/>
    <n v="0"/>
    <n v="0"/>
    <n v="0"/>
    <n v="0"/>
    <n v="0"/>
    <n v="0"/>
    <n v="0"/>
    <n v="0"/>
    <n v="0"/>
    <n v="0"/>
    <n v="0.63634642046253731"/>
    <n v="0"/>
    <n v="0"/>
    <n v="0"/>
    <n v="0"/>
    <n v="0"/>
    <n v="0"/>
    <n v="12668.130000000006"/>
    <n v="0"/>
    <n v="0"/>
    <n v="0"/>
    <n v="0"/>
    <n v="0"/>
    <n v="0"/>
  </r>
  <r>
    <x v="0"/>
    <s v="AMERICA"/>
    <n v="303"/>
    <x v="1"/>
    <x v="1"/>
    <x v="1"/>
    <s v="COCHABAMBA"/>
    <s v="B 2"/>
    <x v="9"/>
    <n v="18041.59"/>
    <n v="9427.239999999998"/>
    <n v="0"/>
    <n v="0"/>
    <n v="0"/>
    <n v="0"/>
    <n v="0"/>
    <n v="0"/>
    <n v="0"/>
    <n v="0"/>
    <n v="0"/>
    <n v="0"/>
    <n v="0"/>
    <n v="0"/>
    <n v="0"/>
    <n v="0"/>
    <n v="0.7855449547406852"/>
    <n v="0"/>
    <n v="0"/>
    <n v="0"/>
    <n v="0"/>
    <n v="0"/>
    <n v="0"/>
    <n v="14172.48"/>
    <n v="0"/>
    <n v="0"/>
    <n v="0"/>
    <n v="0"/>
    <n v="0"/>
    <n v="0"/>
  </r>
  <r>
    <x v="0"/>
    <s v="AMERICA"/>
    <n v="303"/>
    <x v="1"/>
    <x v="1"/>
    <x v="1"/>
    <s v="COCHABAMBA"/>
    <s v="B 2"/>
    <x v="10"/>
    <n v="23209.9"/>
    <n v="10993.919999999998"/>
    <n v="0"/>
    <n v="0"/>
    <n v="0"/>
    <n v="0"/>
    <n v="0"/>
    <n v="0"/>
    <n v="0"/>
    <n v="0"/>
    <n v="0"/>
    <n v="0"/>
    <n v="0"/>
    <n v="0"/>
    <n v="0"/>
    <n v="0"/>
    <n v="0.42603328751954977"/>
    <n v="0"/>
    <n v="0"/>
    <n v="0"/>
    <n v="0"/>
    <n v="0"/>
    <n v="0"/>
    <n v="9888.1899999999987"/>
    <n v="0"/>
    <n v="0"/>
    <n v="0"/>
    <n v="0"/>
    <n v="0"/>
    <n v="0"/>
  </r>
  <r>
    <x v="0"/>
    <s v="AMERICA"/>
    <n v="303"/>
    <x v="1"/>
    <x v="1"/>
    <x v="1"/>
    <s v="COCHABAMBA"/>
    <s v="B 2"/>
    <x v="11"/>
    <n v="56174.189999999988"/>
    <n v="27076.639999999992"/>
    <n v="0"/>
    <n v="0"/>
    <n v="0"/>
    <n v="0"/>
    <n v="0"/>
    <n v="0"/>
    <n v="0"/>
    <n v="0"/>
    <n v="0"/>
    <n v="0"/>
    <n v="0"/>
    <n v="0"/>
    <n v="0"/>
    <n v="0"/>
    <n v="0.48522551014976839"/>
    <n v="0"/>
    <n v="0"/>
    <n v="0"/>
    <n v="0"/>
    <n v="0"/>
    <n v="0"/>
    <n v="27257.150000000012"/>
    <n v="0"/>
    <n v="0"/>
    <n v="0"/>
    <n v="0"/>
    <n v="0"/>
    <n v="0"/>
  </r>
  <r>
    <x v="0"/>
    <s v="ANTOFAGASTA"/>
    <n v="210"/>
    <x v="2"/>
    <x v="2"/>
    <x v="0"/>
    <s v="LA PAZ"/>
    <s v="B 3"/>
    <x v="0"/>
    <n v="52917.81"/>
    <n v="24652.440000000002"/>
    <n v="26642.520000000004"/>
    <n v="12259.050000000003"/>
    <n v="33695.14929999999"/>
    <n v="15195.916232499994"/>
    <n v="36413.97"/>
    <n v="14444.453320520739"/>
    <n v="36413.97"/>
    <n v="14731.910000000011"/>
    <n v="36413.970000000038"/>
    <n v="14731.910000000025"/>
    <n v="38962.947900000043"/>
    <n v="16897.34766025799"/>
    <n v="31137.931034482775"/>
    <n v="16394.469732472491"/>
    <n v="0.59562952435106464"/>
    <n v="0.50859925691734054"/>
    <n v="0.52718544088098473"/>
    <n v="0.52718544088098362"/>
    <n v="0.52718544088098362"/>
    <n v="0.60000000000000009"/>
    <n v="0.93364710225175351"/>
    <n v="31519.410000000011"/>
    <n v="13550.365874405386"/>
    <n v="19196.914828676952"/>
    <n v="19196.914828676912"/>
    <n v="19196.91482867693"/>
    <n v="23377.768740000029"/>
    <n v="29071.839080459788"/>
  </r>
  <r>
    <x v="0"/>
    <s v="ANTOFAGASTA"/>
    <n v="210"/>
    <x v="2"/>
    <x v="2"/>
    <x v="0"/>
    <s v="LA PAZ"/>
    <s v="B 3"/>
    <x v="1"/>
    <n v="55160.84"/>
    <n v="21346.809999999998"/>
    <n v="33022.92"/>
    <n v="13103.6"/>
    <n v="53667.52049999997"/>
    <n v="19800.589994999988"/>
    <n v="47907.939999999988"/>
    <n v="16150.185659239736"/>
    <n v="47907.94"/>
    <n v="16404.890000000014"/>
    <n v="53667.52049999997"/>
    <n v="18377.115993199564"/>
    <n v="55277.546114999976"/>
    <n v="19773.09909464404"/>
    <n v="43373.419540229952"/>
    <n v="17855.438486325638"/>
    <n v="0.33102378426434459"/>
    <n v="0.33242274382249554"/>
    <n v="0.1997575104798002"/>
    <n v="0.19975751047979984"/>
    <n v="0.19975751047979984"/>
    <n v="0.36000000000000004"/>
    <n v="0.45206854401929225"/>
    <n v="18259.550000000028"/>
    <n v="10977.569675430765"/>
    <n v="9569.9708266156395"/>
    <n v="9569.9708266156194"/>
    <n v="10720.490288703617"/>
    <n v="19899.916601399993"/>
    <n v="19607.758620689674"/>
  </r>
  <r>
    <x v="0"/>
    <s v="ANTOFAGASTA"/>
    <n v="210"/>
    <x v="2"/>
    <x v="2"/>
    <x v="0"/>
    <s v="LA PAZ"/>
    <s v="B 3"/>
    <x v="2"/>
    <n v="45659.149999999994"/>
    <n v="18932.330000000002"/>
    <n v="61354.80000000001"/>
    <n v="23067.540000000008"/>
    <n v="36275.496149999984"/>
    <n v="14173.549447999994"/>
    <n v="45125.820000000007"/>
    <n v="17825.748521025675"/>
    <n v="45125.820000000007"/>
    <n v="17855.839999999982"/>
    <n v="45125.820000000029"/>
    <n v="17855.839999999989"/>
    <n v="46930.852800000022"/>
    <n v="20055.730055425262"/>
    <n v="40300.225829208008"/>
    <n v="19585.909752995092"/>
    <n v="0.39907970253497965"/>
    <n v="0.24462982846761336"/>
    <n v="0.38158198930186865"/>
    <n v="0.38158198930186848"/>
    <n v="0.38158198930186848"/>
    <n v="0.58000000000000007"/>
    <n v="0.76808762103928319"/>
    <n v="18221.640000000014"/>
    <n v="15009.214199664726"/>
    <n v="17219.200164478054"/>
    <n v="17219.200164478047"/>
    <n v="17219.200164478054"/>
    <n v="27219.894624000015"/>
    <n v="30954.104584502253"/>
  </r>
  <r>
    <x v="0"/>
    <s v="ANTOFAGASTA"/>
    <n v="210"/>
    <x v="2"/>
    <x v="2"/>
    <x v="0"/>
    <s v="LA PAZ"/>
    <s v="B 3"/>
    <x v="3"/>
    <n v="47151.149999999994"/>
    <n v="22184.549999999996"/>
    <n v="39916.97"/>
    <n v="17661.969999999998"/>
    <n v="32349.826949999973"/>
    <n v="14449.859626499987"/>
    <n v="45550.800000000017"/>
    <n v="18577.372139467607"/>
    <n v="45550.8"/>
    <n v="18561.040000000005"/>
    <n v="45550.800000000017"/>
    <n v="18561.040000000012"/>
    <n v="48739.356000000022"/>
    <n v="21137.154333978939"/>
    <n v="0"/>
    <n v="0"/>
    <n v="0.52286508388448616"/>
    <n v="0.45827923642321006"/>
    <n v="0.50773872117902896"/>
    <n v="0.50773872117902896"/>
    <n v="0.50773872117902896"/>
    <n v="0.6"/>
    <n v="0"/>
    <n v="24653.689999999988"/>
    <n v="18293.118531928183"/>
    <n v="23127.904940681714"/>
    <n v="23127.904940681721"/>
    <n v="23127.904940681721"/>
    <n v="29243.613600000012"/>
    <n v="0"/>
  </r>
  <r>
    <x v="0"/>
    <s v="ANTOFAGASTA"/>
    <n v="210"/>
    <x v="2"/>
    <x v="2"/>
    <x v="0"/>
    <s v="LA PAZ"/>
    <s v="B 3"/>
    <x v="4"/>
    <n v="38382.770000000004"/>
    <n v="18629.009999999998"/>
    <n v="37214.75"/>
    <n v="16430.5"/>
    <n v="35226.989499999974"/>
    <n v="14721.10328599999"/>
    <n v="43154.120000000054"/>
    <n v="18158.401147264296"/>
    <n v="43154.120000000039"/>
    <n v="18454.790000000026"/>
    <n v="43154.120000000039"/>
    <n v="18454.790000000026"/>
    <n v="46174.908400000044"/>
    <n v="20025.011516527655"/>
    <n v="0"/>
    <n v="0"/>
    <n v="0.57496293258667941"/>
    <n v="0.47237024086711221"/>
    <n v="0.57782799965576281"/>
    <n v="0.57782799965576248"/>
    <n v="0.57782799965576248"/>
    <n v="0.59999999999999987"/>
    <n v="0"/>
    <n v="22068.670000000024"/>
    <n v="17579.140421309363"/>
    <n v="24935.658836504768"/>
    <n v="24935.658836504765"/>
    <n v="24935.658836504754"/>
    <n v="27704.945040000021"/>
    <n v="0"/>
  </r>
  <r>
    <x v="0"/>
    <s v="ANTOFAGASTA"/>
    <n v="210"/>
    <x v="2"/>
    <x v="2"/>
    <x v="0"/>
    <s v="LA PAZ"/>
    <s v="B 3"/>
    <x v="5"/>
    <n v="36959.089999999997"/>
    <n v="17180.419999999991"/>
    <n v="29572.759999999995"/>
    <n v="13603.789999999997"/>
    <n v="31586.217599999982"/>
    <n v="14370.813467999993"/>
    <n v="34762.689999999995"/>
    <n v="14324.045726284232"/>
    <n v="34762.689999999981"/>
    <n v="14306.829999999994"/>
    <n v="34762.689999999988"/>
    <n v="14306.829999999998"/>
    <n v="39977.093499999988"/>
    <n v="17337.159627907386"/>
    <n v="0"/>
    <n v="0"/>
    <n v="0.49922955354149767"/>
    <n v="0.52051919988161599"/>
    <n v="0.55446928750489111"/>
    <n v="0.55446928750489111"/>
    <n v="0.55446928750489111"/>
    <n v="0.6"/>
    <n v="0"/>
    <n v="18451.070000000029"/>
    <n v="15393.189373491055"/>
    <n v="19274.843956053392"/>
    <n v="19274.843956053399"/>
    <n v="19274.843956053395"/>
    <n v="23986.256099999991"/>
    <n v="0"/>
  </r>
  <r>
    <x v="0"/>
    <s v="ANTOFAGASTA"/>
    <n v="210"/>
    <x v="2"/>
    <x v="2"/>
    <x v="0"/>
    <s v="LA PAZ"/>
    <s v="B 3"/>
    <x v="6"/>
    <n v="44474.570000000007"/>
    <n v="21461.279999999999"/>
    <n v="27818.780000000002"/>
    <n v="12993.32"/>
    <n v="33588.964299999992"/>
    <n v="15504.155645999996"/>
    <n v="34877.140000000007"/>
    <n v="16601.579999999998"/>
    <n v="34877.139999999992"/>
    <n v="16601.579999999987"/>
    <n v="34877.139999999956"/>
    <n v="16601.579999999969"/>
    <n v="38713.625399999961"/>
    <n v="16789.222141294726"/>
    <n v="0"/>
    <n v="0"/>
    <n v="0.58817184741752448"/>
    <n v="0.53428184057922068"/>
    <n v="0.6657268915971899"/>
    <n v="0.6657268915971899"/>
    <n v="0.6657268915971899"/>
    <n v="0.6"/>
    <n v="0"/>
    <n v="26158.690000000017"/>
    <n v="14863.068981068414"/>
    <n v="23218.650000000009"/>
    <n v="23218.65000000002"/>
    <n v="23218.649999999987"/>
    <n v="23228.175239999975"/>
    <n v="0"/>
  </r>
  <r>
    <x v="0"/>
    <s v="ANTOFAGASTA"/>
    <n v="210"/>
    <x v="2"/>
    <x v="2"/>
    <x v="0"/>
    <s v="LA PAZ"/>
    <s v="B 3"/>
    <x v="7"/>
    <n v="105408.47999999998"/>
    <n v="33647.03"/>
    <n v="56065.859999999993"/>
    <n v="20078.989999999998"/>
    <n v="58166.524199999985"/>
    <n v="20587.690478999997"/>
    <n v="61975.616781359618"/>
    <n v="22692.991840662642"/>
    <n v="70595.590000000069"/>
    <n v="22496.670000000056"/>
    <n v="70595.590000000127"/>
    <n v="25849.281234400049"/>
    <n v="72713.45770000013"/>
    <n v="26010.025872442995"/>
    <n v="0"/>
    <n v="0"/>
    <n v="0.19461204639323151"/>
    <n v="0.22001221382972025"/>
    <n v="0.33282688054593718"/>
    <n v="0.27"/>
    <n v="0.27"/>
    <n v="0.35999999999999993"/>
    <n v="0"/>
    <n v="20513.760000000013"/>
    <n v="12335.173978867158"/>
    <n v="23496.109999999979"/>
    <n v="16733.416530967097"/>
    <n v="19060.809300000037"/>
    <n v="26176.84477200004"/>
    <n v="0"/>
  </r>
  <r>
    <x v="0"/>
    <s v="ANTOFAGASTA"/>
    <n v="210"/>
    <x v="2"/>
    <x v="2"/>
    <x v="0"/>
    <s v="LA PAZ"/>
    <s v="B 3"/>
    <x v="8"/>
    <n v="32584.849999999991"/>
    <n v="12954.289999999994"/>
    <n v="32998.980000000003"/>
    <n v="13171.170000000002"/>
    <n v="31461.353264999998"/>
    <n v="13381.710649949997"/>
    <n v="34025.453556097491"/>
    <n v="14596.919575565824"/>
    <n v="33527.240000000027"/>
    <n v="15588.010000000042"/>
    <n v="33527.240000000027"/>
    <n v="15588.010000000042"/>
    <n v="39562.143200000035"/>
    <n v="16906.738682431918"/>
    <n v="0"/>
    <n v="0"/>
    <n v="0.35787520887774577"/>
    <n v="0.38490440444529211"/>
    <n v="0.66818861319929701"/>
    <n v="0.5"/>
    <n v="0.5"/>
    <n v="0.58000000000000007"/>
    <n v="0"/>
    <n v="11661.31000000001"/>
    <n v="12701.452744202106"/>
    <n v="22402.520000000015"/>
    <n v="17012.726778048745"/>
    <n v="16763.620000000014"/>
    <n v="22946.043056000024"/>
    <n v="0"/>
  </r>
  <r>
    <x v="0"/>
    <s v="ANTOFAGASTA"/>
    <n v="210"/>
    <x v="2"/>
    <x v="2"/>
    <x v="0"/>
    <s v="LA PAZ"/>
    <s v="B 3"/>
    <x v="9"/>
    <n v="28858.459999999992"/>
    <n v="12341.209999999995"/>
    <n v="28612.490000000005"/>
    <n v="12171.200000000004"/>
    <n v="33261.549539999985"/>
    <n v="14104.952928149996"/>
    <n v="35972.365827509981"/>
    <n v="15612.006769139334"/>
    <n v="36225.399999999994"/>
    <n v="16847.39"/>
    <n v="36225.4"/>
    <n v="15721.823600000003"/>
    <n v="39847.939999999995"/>
    <n v="17281.148681388659"/>
    <n v="0"/>
    <n v="0"/>
    <n v="0.44894737972850962"/>
    <n v="0.49374786466015214"/>
    <n v="0.70173276209510482"/>
    <n v="0.5"/>
    <n v="0.5"/>
    <n v="0.6"/>
    <n v="0"/>
    <n v="12955.930000000002"/>
    <n v="14127.355840109958"/>
    <n v="25420.550000000007"/>
    <n v="17986.18291375499"/>
    <n v="18112.7"/>
    <n v="23908.763999999996"/>
    <n v="0"/>
  </r>
  <r>
    <x v="0"/>
    <s v="ANTOFAGASTA"/>
    <n v="210"/>
    <x v="2"/>
    <x v="2"/>
    <x v="0"/>
    <s v="LA PAZ"/>
    <s v="B 3"/>
    <x v="10"/>
    <n v="22914.059999999998"/>
    <n v="9149.9699999999975"/>
    <n v="40963.56"/>
    <n v="16241.04999999999"/>
    <n v="45042.389144999986"/>
    <n v="16963.382039149998"/>
    <n v="47785.470643930486"/>
    <n v="19271.880310697168"/>
    <n v="45513.074712643669"/>
    <n v="19804.995787297201"/>
    <n v="47785.470643930486"/>
    <n v="19271.880310697168"/>
    <n v="51130.453589005629"/>
    <n v="20231.889603255131"/>
    <n v="0"/>
    <n v="0"/>
    <n v="0.25536461020002554"/>
    <n v="0.37852667681426383"/>
    <n v="0.33282688054593718"/>
    <n v="0.35000000000000003"/>
    <n v="0.35000000000000003"/>
    <n v="0.48000000000000009"/>
    <n v="0"/>
    <n v="5851.4399999999969"/>
    <n v="15505.800237281705"/>
    <n v="15147.974680663368"/>
    <n v="16724.914725375671"/>
    <n v="16724.914725375671"/>
    <n v="24542.617722722705"/>
    <n v="0"/>
  </r>
  <r>
    <x v="0"/>
    <s v="ANTOFAGASTA"/>
    <n v="210"/>
    <x v="2"/>
    <x v="2"/>
    <x v="0"/>
    <s v="LA PAZ"/>
    <s v="B 3"/>
    <x v="11"/>
    <n v="96870.069999999992"/>
    <n v="40387.859999999993"/>
    <n v="72285.97"/>
    <n v="30995.78999999999"/>
    <n v="74294.337349999987"/>
    <n v="33013.410885249992"/>
    <n v="78818.862494614994"/>
    <n v="36635.00728749705"/>
    <n v="63348.132183908041"/>
    <n v="31393.608939692309"/>
    <n v="78818.862494614994"/>
    <n v="36635.00728749705"/>
    <n v="84336.18286923808"/>
    <n v="35239.868773170696"/>
    <n v="0"/>
    <n v="0"/>
    <n v="0.31765260415317093"/>
    <n v="0.50322221721767446"/>
    <n v="0.38158198930186865"/>
    <n v="0.6"/>
    <n v="0.6"/>
    <n v="0.55000000000000004"/>
    <n v="0"/>
    <n v="30771.029999999955"/>
    <n v="36375.906097130297"/>
    <n v="24172.506297293359"/>
    <n v="47291.317496768992"/>
    <n v="47291.317496768992"/>
    <n v="46384.900578080946"/>
    <n v="0"/>
  </r>
  <r>
    <x v="0"/>
    <s v="ARCE"/>
    <n v="150"/>
    <x v="0"/>
    <x v="2"/>
    <x v="0"/>
    <s v="ZONA SUR"/>
    <s v="A 2"/>
    <x v="0"/>
    <n v="154581.06999999998"/>
    <n v="80860.679999999978"/>
    <n v="106746.95999999999"/>
    <n v="57003.509999999987"/>
    <n v="95696.713086666699"/>
    <n v="50310.312974883353"/>
    <n v="102430.84000000026"/>
    <n v="54551.41960992344"/>
    <n v="102430.84000000024"/>
    <n v="54205.550000000207"/>
    <n v="102430.84000000026"/>
    <n v="54205.550000000214"/>
    <n v="110625.30720000027"/>
    <n v="58914.874423448557"/>
    <n v="90798.132183908048"/>
    <n v="50436.406113010838"/>
    <n v="0.7786388721465064"/>
    <n v="0.85317527525351933"/>
    <n v="0.86206246674513931"/>
    <n v="0.86206246674513853"/>
    <n v="0.86206246674513853"/>
    <n v="0.9"/>
    <n v="0.98434223955819644"/>
    <n v="120362.83000000013"/>
    <n v="91073.866980476407"/>
    <n v="88301.782601176892"/>
    <n v="88301.782601176834"/>
    <n v="88301.782601176834"/>
    <n v="99562.776480000248"/>
    <n v="89376.436781609198"/>
  </r>
  <r>
    <x v="0"/>
    <s v="ARCE"/>
    <n v="150"/>
    <x v="0"/>
    <x v="2"/>
    <x v="0"/>
    <s v="ZONA SUR"/>
    <s v="A 2"/>
    <x v="1"/>
    <n v="184193.67"/>
    <n v="73956.249999999956"/>
    <n v="121140.47999999998"/>
    <n v="56664.02999999997"/>
    <n v="160459.71333000029"/>
    <n v="70500.719823450127"/>
    <n v="166945.26000000015"/>
    <n v="71080.165533448017"/>
    <n v="166945.26000000007"/>
    <n v="70735.019999999917"/>
    <n v="166945.25999999995"/>
    <n v="70735.019999999873"/>
    <n v="175292.52299999999"/>
    <n v="80150.699937700818"/>
    <n v="129149.71264367808"/>
    <n v="59889.469113381434"/>
    <n v="0.39410051387759448"/>
    <n v="0.55591718534242596"/>
    <n v="0.269860126796577"/>
    <n v="0.26986012679657673"/>
    <n v="0.26986012679657673"/>
    <n v="0.39"/>
    <n v="0.45594416174759256"/>
    <n v="72590.820000000065"/>
    <n v="67344.074672630435"/>
    <n v="45051.869031687536"/>
    <n v="45051.869031687507"/>
    <n v="45051.869031687456"/>
    <n v="68364.083969999992"/>
    <n v="58885.057471264256"/>
  </r>
  <r>
    <x v="0"/>
    <s v="ARCE"/>
    <n v="150"/>
    <x v="0"/>
    <x v="2"/>
    <x v="0"/>
    <s v="ZONA SUR"/>
    <s v="A 2"/>
    <x v="2"/>
    <n v="132234.15999999997"/>
    <n v="62661.409999999996"/>
    <n v="149538.96"/>
    <n v="68379.409999999989"/>
    <n v="106547"/>
    <n v="51958"/>
    <n v="131234.78000000023"/>
    <n v="64851.978969201955"/>
    <n v="131234.78000000026"/>
    <n v="64615.070000000269"/>
    <n v="131234.78000000044"/>
    <n v="64615.070000000356"/>
    <n v="141733.56240000046"/>
    <n v="73179.347591904356"/>
    <n v="117466.83171425"/>
    <n v="59555.683679124755"/>
    <n v="0.55807379878240326"/>
    <n v="0.46490880355144631"/>
    <n v="0.59281389946223595"/>
    <n v="0.59281389946223495"/>
    <n v="0.59281389946223495"/>
    <n v="0.79"/>
    <n v="0.77338204016241763"/>
    <n v="73796.4200000001"/>
    <n v="69521.978977927589"/>
    <n v="77797.80167686881"/>
    <n v="77797.801676868665"/>
    <n v="77797.801676868781"/>
    <n v="111969.51429600037"/>
    <n v="90846.737962582047"/>
  </r>
  <r>
    <x v="0"/>
    <s v="ARCE"/>
    <n v="150"/>
    <x v="0"/>
    <x v="2"/>
    <x v="0"/>
    <s v="ZONA SUR"/>
    <s v="A 2"/>
    <x v="3"/>
    <n v="97774.209999999963"/>
    <n v="52568.109999999964"/>
    <n v="82244.179999999978"/>
    <n v="44243.179999999986"/>
    <n v="96208"/>
    <n v="52657"/>
    <n v="106312.51000000024"/>
    <n v="57237.561880739668"/>
    <n v="106312.51000000017"/>
    <n v="56933.790000000154"/>
    <n v="108438.76020000028"/>
    <n v="58072.465800000209"/>
    <n v="116029.47341400028"/>
    <n v="60936.101613352366"/>
    <n v="0"/>
    <n v="0"/>
    <n v="0.85546536249180705"/>
    <n v="0.8495160243175357"/>
    <n v="0.83624703166048164"/>
    <n v="0.83624703166048087"/>
    <n v="0.83624703166048087"/>
    <n v="0.85"/>
    <n v="0"/>
    <n v="83642.450000000041"/>
    <n v="69867.748816855761"/>
    <n v="88903.520915875415"/>
    <n v="88903.520915875386"/>
    <n v="90681.591334192926"/>
    <n v="98625.052401900233"/>
    <n v="0"/>
  </r>
  <r>
    <x v="0"/>
    <s v="ARCE"/>
    <n v="150"/>
    <x v="0"/>
    <x v="2"/>
    <x v="0"/>
    <s v="ZONA SUR"/>
    <s v="A 2"/>
    <x v="4"/>
    <n v="112517.69"/>
    <n v="59863.240000000005"/>
    <n v="98080.419999999969"/>
    <n v="53727.20999999997"/>
    <n v="101190"/>
    <n v="52606"/>
    <n v="109280.97000000018"/>
    <n v="59987.712223281225"/>
    <n v="109280.97000000016"/>
    <n v="59556.740000000165"/>
    <n v="109280.97000000016"/>
    <n v="59556.740000000165"/>
    <n v="116930.63790000019"/>
    <n v="62272.856207103287"/>
    <n v="0"/>
    <n v="0"/>
    <n v="0.846756807751742"/>
    <n v="0.93266726448149651"/>
    <n v="0.91792731192923904"/>
    <n v="0.91792731192923815"/>
    <n v="0.91792731192923815"/>
    <n v="0.9"/>
    <n v="0"/>
    <n v="95275.120000000112"/>
    <n v="91476.397020596225"/>
    <n v="100311.98703711996"/>
    <n v="100311.98703711988"/>
    <n v="100311.98703711986"/>
    <n v="105237.57411000018"/>
    <n v="0"/>
  </r>
  <r>
    <x v="0"/>
    <s v="ARCE"/>
    <n v="150"/>
    <x v="0"/>
    <x v="2"/>
    <x v="0"/>
    <s v="ZONA SUR"/>
    <s v="A 2"/>
    <x v="5"/>
    <n v="108563.46999999999"/>
    <n v="57002.139999999985"/>
    <n v="70901.960000000006"/>
    <n v="38869.64"/>
    <n v="93855"/>
    <n v="51676"/>
    <n v="93851.150000000038"/>
    <n v="51748.306334199653"/>
    <n v="93851.150000000096"/>
    <n v="51750.610000000044"/>
    <n v="99482.219000000128"/>
    <n v="54855.646600000058"/>
    <n v="106445.97433000014"/>
    <n v="56689.119056598385"/>
    <n v="0"/>
    <n v="0"/>
    <n v="0.83018956560618473"/>
    <n v="0.94235362804505696"/>
    <n v="0.93830930029846127"/>
    <n v="0.93830930029846127"/>
    <n v="0.93830930029846127"/>
    <n v="0.9"/>
    <n v="0"/>
    <n v="90128.260000000053"/>
    <n v="66814.719241505518"/>
    <n v="88061.406888706028"/>
    <n v="88061.406888705969"/>
    <n v="93345.091302028406"/>
    <n v="95801.376897000126"/>
    <n v="0"/>
  </r>
  <r>
    <x v="0"/>
    <s v="ARCE"/>
    <n v="150"/>
    <x v="0"/>
    <x v="2"/>
    <x v="0"/>
    <s v="ZONA SUR"/>
    <s v="A 2"/>
    <x v="6"/>
    <n v="124767.52"/>
    <n v="66310.260000000009"/>
    <n v="89037.59"/>
    <n v="48986.50999999998"/>
    <n v="99727"/>
    <n v="55570"/>
    <n v="104682.02999999994"/>
    <n v="57333.400000000511"/>
    <n v="104682.03"/>
    <n v="57333.400000000009"/>
    <n v="104682.0300000008"/>
    <n v="57333.400000000453"/>
    <n v="112009.77210000086"/>
    <n v="59652.188314742372"/>
    <n v="0"/>
    <n v="0"/>
    <n v="0.89075474129805643"/>
    <n v="0.96391211293250434"/>
    <n v="0.95105138866718619"/>
    <n v="0.95105138866718619"/>
    <n v="0.95105138866718619"/>
    <n v="0.9"/>
    <n v="0"/>
    <n v="111137.26000000008"/>
    <n v="85824.411507318015"/>
    <n v="99557.990000000049"/>
    <n v="99557.989999999991"/>
    <n v="99557.990000000806"/>
    <n v="100808.79489000078"/>
    <n v="0"/>
  </r>
  <r>
    <x v="0"/>
    <s v="ARCE"/>
    <n v="150"/>
    <x v="0"/>
    <x v="2"/>
    <x v="0"/>
    <s v="ZONA SUR"/>
    <s v="A 2"/>
    <x v="7"/>
    <n v="274318.54000000004"/>
    <n v="98235.709999999963"/>
    <n v="165212.55999999994"/>
    <n v="72784.699999999968"/>
    <n v="181509"/>
    <n v="81345"/>
    <n v="180853.66678707415"/>
    <n v="79930.086573215303"/>
    <n v="215353.31000000046"/>
    <n v="97874.300000000469"/>
    <n v="215353.31000000105"/>
    <n v="95177.548887600482"/>
    <n v="223967.44240000108"/>
    <n v="104060.70959196967"/>
    <n v="0"/>
    <n v="0"/>
    <n v="0.28027303586553187"/>
    <n v="0.45158570752247756"/>
    <n v="0.43111958669221756"/>
    <n v="0.32000000000000006"/>
    <n v="0.32000000000000006"/>
    <n v="0.44"/>
    <n v="0"/>
    <n v="76884.090000000346"/>
    <n v="74607.630799199746"/>
    <n v="92843.030000001207"/>
    <n v="57873.173371863741"/>
    <n v="68913.059200000353"/>
    <n v="98545.674656000469"/>
    <n v="0"/>
  </r>
  <r>
    <x v="0"/>
    <s v="ARCE"/>
    <n v="150"/>
    <x v="0"/>
    <x v="2"/>
    <x v="0"/>
    <s v="ZONA SUR"/>
    <s v="A 2"/>
    <x v="8"/>
    <n v="100465.33"/>
    <n v="51100.38"/>
    <n v="102825.35999999999"/>
    <n v="52815.209999999992"/>
    <n v="94231"/>
    <n v="50833"/>
    <n v="102009.91334308955"/>
    <n v="54228.469933186396"/>
    <n v="88379.520000000091"/>
    <n v="47209.370000000112"/>
    <n v="90147.110400000092"/>
    <n v="48153.557400000114"/>
    <n v="97358.879232000094"/>
    <n v="50267.975656814153"/>
    <n v="0"/>
    <n v="0"/>
    <n v="0.74937423686360427"/>
    <n v="0.76160659234207373"/>
    <n v="0.89061979517426737"/>
    <n v="0.79999999999999993"/>
    <n v="0.79999999999999993"/>
    <n v="0.79"/>
    <n v="0"/>
    <n v="75286.130000000165"/>
    <n v="78312.472035946965"/>
    <n v="78712.550000000148"/>
    <n v="81607.93067447163"/>
    <n v="72117.688320000074"/>
    <n v="76913.514593280081"/>
    <n v="0"/>
  </r>
  <r>
    <x v="0"/>
    <s v="ARCE"/>
    <n v="150"/>
    <x v="0"/>
    <x v="2"/>
    <x v="0"/>
    <s v="ZONA SUR"/>
    <s v="A 2"/>
    <x v="9"/>
    <n v="68511.009999999995"/>
    <n v="36058.779999999992"/>
    <n v="85383.360000000001"/>
    <n v="46947.200000000004"/>
    <n v="99517"/>
    <n v="55286"/>
    <n v="107731.6830917723"/>
    <n v="58821.498968107677"/>
    <n v="108997.39000000022"/>
    <n v="56582.280000000275"/>
    <n v="108997.38999999994"/>
    <n v="59512.57493999997"/>
    <n v="117717.18119999993"/>
    <n v="62691.739561382361"/>
    <n v="0"/>
    <n v="0"/>
    <n v="0.85299997766782387"/>
    <n v="0.90578294488524058"/>
    <n v="0.70714051042873649"/>
    <n v="0.9"/>
    <n v="0.9"/>
    <n v="0.9"/>
    <n v="0"/>
    <n v="58439.89000000005"/>
    <n v="77338.79126499666"/>
    <n v="77076.470000000219"/>
    <n v="96958.51478259507"/>
    <n v="98097.650999999954"/>
    <n v="105945.46307999994"/>
    <n v="0"/>
  </r>
  <r>
    <x v="0"/>
    <s v="ARCE"/>
    <n v="150"/>
    <x v="0"/>
    <x v="2"/>
    <x v="0"/>
    <s v="ZONA SUR"/>
    <s v="A 2"/>
    <x v="10"/>
    <n v="137319.19999999995"/>
    <n v="65145.669999999984"/>
    <n v="114117.72999999998"/>
    <n v="58867.529999999962"/>
    <n v="135324"/>
    <n v="67189"/>
    <n v="145099.53789836462"/>
    <n v="71969.370797588868"/>
    <n v="198384.33908045982"/>
    <n v="80022.514810124252"/>
    <n v="190448.96551724142"/>
    <n v="94462.686896551764"/>
    <n v="205684.88275862072"/>
    <n v="101945.54922797608"/>
    <n v="0"/>
    <n v="0"/>
    <n v="0.50151289841478974"/>
    <n v="0.6514931294242875"/>
    <n v="0.43111958669221756"/>
    <n v="0.6"/>
    <n v="0.6"/>
    <n v="0.65000000000000013"/>
    <n v="0"/>
    <n v="68867.350000000166"/>
    <n v="74346.917040495886"/>
    <n v="85527.374270576576"/>
    <n v="87059.722739018776"/>
    <n v="114269.37931034486"/>
    <n v="133695.17379310349"/>
    <n v="0"/>
  </r>
  <r>
    <x v="0"/>
    <s v="ARCE"/>
    <n v="150"/>
    <x v="0"/>
    <x v="2"/>
    <x v="0"/>
    <s v="ZONA SUR"/>
    <s v="A 2"/>
    <x v="11"/>
    <n v="292335.62"/>
    <n v="138824.82"/>
    <n v="277513.82999999996"/>
    <n v="147661.53999999998"/>
    <n v="286573.57210000081"/>
    <n v="157053.54513100046"/>
    <n v="307275.64694850484"/>
    <n v="162241.54158881059"/>
    <n v="253460.48850574726"/>
    <n v="122803.5339517831"/>
    <n v="307275.64694850484"/>
    <n v="162241.54158881059"/>
    <n v="331857.69870438537"/>
    <n v="173304.03930356851"/>
    <n v="0"/>
    <n v="0"/>
    <n v="0.44893608927985079"/>
    <n v="0.80525321419634921"/>
    <n v="0.59281389946223595"/>
    <n v="0.8"/>
    <n v="0.8"/>
    <n v="0.83000000000000007"/>
    <n v="0"/>
    <n v="131240.01000000053"/>
    <n v="223468.90359143922"/>
    <n v="150254.90055069525"/>
    <n v="245820.5175588039"/>
    <n v="245820.5175588039"/>
    <n v="275441.88992463989"/>
    <n v="0"/>
  </r>
  <r>
    <x v="0"/>
    <s v="AROMA"/>
    <n v="202"/>
    <x v="2"/>
    <x v="0"/>
    <x v="2"/>
    <s v="LA PAZ"/>
    <s v="B 2"/>
    <x v="0"/>
    <n v="79971.98000000001"/>
    <n v="39744.490000000005"/>
    <n v="46035.81"/>
    <n v="20589.739999999998"/>
    <n v="56689.664233333337"/>
    <n v="24966.75624216667"/>
    <n v="35077.929999999971"/>
    <n v="15635.027438471941"/>
    <n v="35077.929999999971"/>
    <n v="15553.719999999976"/>
    <n v="56689.664233333337"/>
    <n v="25136.465132899255"/>
    <n v="48186.214598333332"/>
    <n v="23442.952899454751"/>
    <n v="35906.60919540238"/>
    <n v="20020.110691882965"/>
    <n v="0.70651233094391386"/>
    <n v="0.48958754909095969"/>
    <n v="0.46842998911349643"/>
    <n v="0.46842998911349587"/>
    <n v="0.46842998911349587"/>
    <n v="0.7"/>
    <n v="0.97086951302468893"/>
    <n v="56501.190000000068"/>
    <n v="22538.559388317091"/>
    <n v="16431.554368023975"/>
    <n v="16431.554368023957"/>
    <n v="26555.138799668071"/>
    <n v="33730.35021883333"/>
    <n v="34860.632183908128"/>
  </r>
  <r>
    <x v="0"/>
    <s v="AROMA"/>
    <n v="202"/>
    <x v="2"/>
    <x v="0"/>
    <x v="2"/>
    <s v="LA PAZ"/>
    <s v="B 2"/>
    <x v="1"/>
    <n v="92854.860000000015"/>
    <n v="36279.590000000011"/>
    <n v="49648.430000000008"/>
    <n v="20143.329999999998"/>
    <n v="81619.51559999997"/>
    <n v="29392.115081999989"/>
    <n v="57001.439999999988"/>
    <n v="20851.600401796441"/>
    <n v="57001.440000000002"/>
    <n v="20801.040000000023"/>
    <n v="81619.51559999997"/>
    <n v="29784.700329960524"/>
    <n v="83251.905911999958"/>
    <n v="34834.953803741075"/>
    <n v="56893.390804597831"/>
    <n v="25631.808752468925"/>
    <n v="0.34867275660100205"/>
    <n v="0.3483736622423545"/>
    <n v="0.17765716043821331"/>
    <n v="0.17765716043821256"/>
    <n v="0.17765716043821256"/>
    <n v="0.39"/>
    <n v="0.40439115304385564"/>
    <n v="32375.960000000126"/>
    <n v="17296.205383683184"/>
    <n v="10126.713971289189"/>
    <n v="10126.713971289144"/>
    <n v="14500.291377838388"/>
    <n v="32468.243305679985"/>
    <n v="23007.183908046012"/>
  </r>
  <r>
    <x v="0"/>
    <s v="AROMA"/>
    <n v="202"/>
    <x v="2"/>
    <x v="0"/>
    <x v="2"/>
    <s v="LA PAZ"/>
    <s v="B 2"/>
    <x v="2"/>
    <n v="66643.289999999994"/>
    <n v="30617.91"/>
    <n v="82431.22"/>
    <n v="29213.659999999996"/>
    <n v="16581.590999999979"/>
    <n v="5637.7409399999933"/>
    <n v="36468.240000000049"/>
    <n v="15110.579329577949"/>
    <n v="36468.240000000027"/>
    <n v="15047.79000000003"/>
    <n v="36468.240000000034"/>
    <n v="15047.790000000034"/>
    <n v="43761.88800000005"/>
    <n v="21098.273877344476"/>
    <n v="44171.74564151356"/>
    <n v="22880.964242304024"/>
    <n v="0.50024135963275551"/>
    <n v="0.23237905402277517"/>
    <n v="0.41688723126851479"/>
    <n v="0.41688723126851501"/>
    <n v="0.41688723126851501"/>
    <n v="0.67999999999999994"/>
    <n v="0.78890047970835142"/>
    <n v="33337.730000000018"/>
    <n v="19155.288925543264"/>
    <n v="15203.143602835713"/>
    <n v="15203.143602835731"/>
    <n v="15203.143602835724"/>
    <n v="29758.083840000032"/>
    <n v="34847.111326145328"/>
  </r>
  <r>
    <x v="0"/>
    <s v="AROMA"/>
    <n v="202"/>
    <x v="2"/>
    <x v="0"/>
    <x v="2"/>
    <s v="LA PAZ"/>
    <s v="B 2"/>
    <x v="3"/>
    <n v="58833.3"/>
    <n v="29745.760000000009"/>
    <n v="71834.69"/>
    <n v="32497.490000000013"/>
    <n v="48260.707689999996"/>
    <n v="21951.427125850001"/>
    <n v="0"/>
    <n v="0"/>
    <n v="0"/>
    <n v="0"/>
    <n v="46898.069999999949"/>
    <n v="0"/>
    <n v="48773.992799999949"/>
    <n v="23728.911379734989"/>
    <n v="0"/>
    <n v="0"/>
    <n v="0.6332675542592382"/>
    <n v="0.4480314433707554"/>
    <n v="0"/>
    <n v="0.41688723126851501"/>
    <n v="0.41688723126851501"/>
    <n v="0.7"/>
    <n v="0"/>
    <n v="37257.220000000038"/>
    <n v="32184.199844790772"/>
    <n v="0"/>
    <n v="0"/>
    <n v="19551.206554136985"/>
    <n v="34141.794959999963"/>
    <n v="0"/>
  </r>
  <r>
    <x v="0"/>
    <s v="AROMA"/>
    <n v="202"/>
    <x v="2"/>
    <x v="0"/>
    <x v="2"/>
    <s v="LA PAZ"/>
    <s v="B 2"/>
    <x v="4"/>
    <n v="61308.36"/>
    <n v="31723.820000000003"/>
    <n v="71752.56"/>
    <n v="32215.810000000016"/>
    <n v="63487.752060000028"/>
    <n v="25744.55695490001"/>
    <n v="23668.22"/>
    <n v="12128.236541294154"/>
    <n v="23668.22"/>
    <n v="12126.639999999998"/>
    <n v="48943.36000000011"/>
    <n v="25076.600906633503"/>
    <n v="50901.094400000104"/>
    <n v="24763.762177558052"/>
    <n v="0"/>
    <n v="0"/>
    <n v="0.66963298316901754"/>
    <n v="0.48962791041598247"/>
    <n v="0.78401425742907593"/>
    <n v="0.78401425742907582"/>
    <n v="0.78401425742907582"/>
    <n v="0.70000000000000007"/>
    <n v="0"/>
    <n v="41054.100000000071"/>
    <n v="35132.056019797405"/>
    <n v="18556.221927968003"/>
    <n v="18556.221927968003"/>
    <n v="38372.292046484021"/>
    <n v="35630.766080000074"/>
    <n v="0"/>
  </r>
  <r>
    <x v="0"/>
    <s v="AROMA"/>
    <n v="202"/>
    <x v="2"/>
    <x v="0"/>
    <x v="2"/>
    <s v="LA PAZ"/>
    <s v="B 2"/>
    <x v="5"/>
    <n v="58281.350000000006"/>
    <n v="28764.690000000002"/>
    <n v="57355.62"/>
    <n v="26264.940000000002"/>
    <n v="53472.725900000012"/>
    <n v="24595.700867250005"/>
    <n v="46898.069999999942"/>
    <n v="23456.951679802409"/>
    <n v="46898.069999999949"/>
    <n v="23470.559999999965"/>
    <n v="46898.069999999949"/>
    <n v="23470.559999999961"/>
    <n v="48773.992799999949"/>
    <n v="23728.911379734989"/>
    <n v="0"/>
    <n v="0"/>
    <n v="0.57436298232625083"/>
    <n v="0.53175024029546669"/>
    <n v="0.72088950753551195"/>
    <n v="0.72088950753551206"/>
    <n v="0.72088950753551206"/>
    <n v="0.7"/>
    <n v="0"/>
    <n v="33474.650000000045"/>
    <n v="30498.864717295477"/>
    <n v="33808.326586665928"/>
    <n v="33808.326586665928"/>
    <n v="33808.326586665935"/>
    <n v="34141.794959999963"/>
    <n v="0"/>
  </r>
  <r>
    <x v="0"/>
    <s v="AROMA"/>
    <n v="202"/>
    <x v="2"/>
    <x v="0"/>
    <x v="2"/>
    <s v="LA PAZ"/>
    <s v="B 2"/>
    <x v="6"/>
    <n v="64893.199999999983"/>
    <n v="32788.339999999982"/>
    <n v="50462.8"/>
    <n v="23313.319999999996"/>
    <n v="56132.847849999984"/>
    <n v="25880.69459399999"/>
    <n v="48943.359999999986"/>
    <n v="25445.479999999974"/>
    <n v="48943.359999999993"/>
    <n v="25445.479999999992"/>
    <n v="48943.36000000011"/>
    <n v="25445.480000000054"/>
    <n v="50901.094400000104"/>
    <n v="24763.762177558052"/>
    <n v="0"/>
    <n v="0"/>
    <n v="0.65445886471926273"/>
    <n v="0.54948230161716238"/>
    <n v="0.7760983308052406"/>
    <n v="0.77609833080524071"/>
    <n v="0.77609833080524071"/>
    <n v="0.70000000000000007"/>
    <n v="0"/>
    <n v="42469.930000000051"/>
    <n v="27728.415490046544"/>
    <n v="37984.859999999979"/>
    <n v="37984.859999999979"/>
    <n v="37984.860000000073"/>
    <n v="35630.766080000074"/>
    <n v="0"/>
  </r>
  <r>
    <x v="0"/>
    <s v="AROMA"/>
    <n v="202"/>
    <x v="2"/>
    <x v="0"/>
    <x v="2"/>
    <s v="LA PAZ"/>
    <s v="B 2"/>
    <x v="7"/>
    <n v="149621.56"/>
    <n v="45652.119999999988"/>
    <n v="79886.689999999959"/>
    <n v="27133.969999999972"/>
    <n v="86872.071180000086"/>
    <n v="29533.968611200027"/>
    <n v="84444.939793885002"/>
    <n v="29898.575383422925"/>
    <n v="108410.29"/>
    <n v="45766.26999999999"/>
    <n v="108410.2900000002"/>
    <n v="38383.747277400071"/>
    <n v="111662.59870000021"/>
    <n v="46722.791805292625"/>
    <n v="0"/>
    <n v="0"/>
    <n v="0.19544522861544805"/>
    <n v="0.19856475656682504"/>
    <n v="0.33109255588191794"/>
    <n v="0.22"/>
    <n v="0.22"/>
    <n v="0.39000000000000007"/>
    <n v="0"/>
    <n v="29242.819999999978"/>
    <n v="15862.681152779409"/>
    <n v="35893.839999999924"/>
    <n v="18577.886754654701"/>
    <n v="23850.263800000044"/>
    <n v="43548.413493000087"/>
    <n v="0"/>
  </r>
  <r>
    <x v="0"/>
    <s v="AROMA"/>
    <n v="202"/>
    <x v="2"/>
    <x v="0"/>
    <x v="2"/>
    <s v="LA PAZ"/>
    <s v="B 2"/>
    <x v="8"/>
    <n v="42929.569999999992"/>
    <n v="20008.78"/>
    <n v="49667.529999999992"/>
    <n v="20287.869999999992"/>
    <n v="52498.185419999987"/>
    <n v="22933.017065299995"/>
    <n v="53553.398946941983"/>
    <n v="23509.94213770753"/>
    <n v="39564.600000000006"/>
    <n v="19791.160000000014"/>
    <n v="39564.600000000006"/>
    <n v="19791.160000000014"/>
    <n v="43521.06"/>
    <n v="20982.16702424586"/>
    <n v="0"/>
    <n v="0"/>
    <n v="0.47910216664178173"/>
    <n v="0.38475969457557568"/>
    <n v="0.74227592342649784"/>
    <n v="0.44999999999999996"/>
    <n v="0.44999999999999996"/>
    <n v="0.68"/>
    <n v="0"/>
    <n v="20567.650000000031"/>
    <n v="19110.063673123241"/>
    <n v="29367.85000000002"/>
    <n v="24099.02952612389"/>
    <n v="17804.07"/>
    <n v="29594.320800000001"/>
    <n v="0"/>
  </r>
  <r>
    <x v="0"/>
    <s v="AROMA"/>
    <n v="202"/>
    <x v="2"/>
    <x v="0"/>
    <x v="2"/>
    <s v="LA PAZ"/>
    <s v="B 2"/>
    <x v="9"/>
    <n v="35149.96"/>
    <n v="16171.920000000002"/>
    <n v="45911.979999999996"/>
    <n v="20081.689999999988"/>
    <n v="56166.663699999997"/>
    <n v="24892.582001499999"/>
    <n v="57295.61364037"/>
    <n v="27673.781388298714"/>
    <n v="44153.089999999989"/>
    <n v="21319.049999999996"/>
    <n v="57295.61364037"/>
    <n v="27673.781388298714"/>
    <n v="59014.482049581093"/>
    <n v="28710.985799700054"/>
    <n v="0"/>
    <n v="0"/>
    <n v="0.43957973209642304"/>
    <n v="0.44276631865659427"/>
    <n v="0.54337261559723216"/>
    <n v="0.65"/>
    <n v="0.65"/>
    <n v="0.70000000000000007"/>
    <n v="0"/>
    <n v="15451.209999999986"/>
    <n v="20328.27836683518"/>
    <n v="23991.579999999991"/>
    <n v="37242.148866240503"/>
    <n v="37242.148866240503"/>
    <n v="41310.137434706769"/>
    <n v="0"/>
  </r>
  <r>
    <x v="0"/>
    <s v="AROMA"/>
    <n v="202"/>
    <x v="2"/>
    <x v="0"/>
    <x v="2"/>
    <s v="LA PAZ"/>
    <s v="B 2"/>
    <x v="10"/>
    <n v="56380.909999999996"/>
    <n v="21836.670000000002"/>
    <n v="45726.819999999992"/>
    <n v="19022.199999999993"/>
    <n v="62735.617499999993"/>
    <n v="25515.033552999994"/>
    <n v="63362.973674999994"/>
    <n v="26422.360022475001"/>
    <n v="56206.178160919531"/>
    <n v="24278.052297468177"/>
    <n v="63362.973674999994"/>
    <n v="26422.360022475001"/>
    <n v="66531.122358749999"/>
    <n v="29737.923245896036"/>
    <n v="0"/>
    <n v="0"/>
    <n v="0.23166742076351779"/>
    <n v="0.32302226042917742"/>
    <n v="0.33109255588191794"/>
    <n v="0.35000000000000003"/>
    <n v="0.35000000000000003"/>
    <n v="0.52"/>
    <n v="0"/>
    <n v="13061.620000000026"/>
    <n v="14770.780758638117"/>
    <n v="18609.447183653287"/>
    <n v="22177.04078625"/>
    <n v="22177.04078625"/>
    <n v="34596.183626550002"/>
    <n v="0"/>
  </r>
  <r>
    <x v="0"/>
    <s v="AROMA"/>
    <n v="202"/>
    <x v="2"/>
    <x v="0"/>
    <x v="2"/>
    <s v="LA PAZ"/>
    <s v="B 2"/>
    <x v="11"/>
    <n v="159343.88"/>
    <n v="70154.909999999989"/>
    <n v="122951.73000000001"/>
    <n v="56511.750000000029"/>
    <n v="124746.73050000012"/>
    <n v="58319.539233000054"/>
    <n v="125994.19780500012"/>
    <n v="59469.26136396006"/>
    <n v="89319.899425287309"/>
    <n v="44513.200600427626"/>
    <n v="125994.19780500012"/>
    <n v="59469.26136396006"/>
    <n v="132293.90769525012"/>
    <n v="63780.911300228028"/>
    <n v="0"/>
    <n v="0"/>
    <n v="0.34865505973621347"/>
    <n v="0.49400279666971791"/>
    <n v="0.41688723126851479"/>
    <n v="0.6"/>
    <n v="0.6"/>
    <n v="0.68"/>
    <n v="0"/>
    <n v="55556.050000000032"/>
    <n v="60738.49847538006"/>
    <n v="37236.325568590233"/>
    <n v="75596.518683000075"/>
    <n v="75596.518683000075"/>
    <n v="89959.857232770082"/>
    <n v="0"/>
  </r>
  <r>
    <x v="0"/>
    <s v="AYACUCHO"/>
    <n v="401"/>
    <x v="1"/>
    <x v="1"/>
    <x v="1"/>
    <s v="SANTA CRUZ"/>
    <s v="B 2"/>
    <x v="0"/>
    <n v="69503.100000000006"/>
    <n v="36302.92"/>
    <n v="0"/>
    <n v="0"/>
    <n v="0"/>
    <n v="0"/>
    <n v="0"/>
    <n v="0"/>
    <n v="0"/>
    <n v="0"/>
    <n v="0"/>
    <n v="0"/>
    <n v="0"/>
    <n v="0"/>
    <n v="0"/>
    <n v="0"/>
    <n v="0.75535364609636169"/>
    <n v="0"/>
    <n v="0"/>
    <n v="0"/>
    <n v="0"/>
    <n v="0"/>
    <n v="0"/>
    <n v="52499.420000000042"/>
    <n v="0"/>
    <n v="0"/>
    <n v="0"/>
    <n v="0"/>
    <n v="0"/>
    <n v="0"/>
  </r>
  <r>
    <x v="0"/>
    <s v="AYACUCHO"/>
    <n v="401"/>
    <x v="1"/>
    <x v="1"/>
    <x v="1"/>
    <s v="SANTA CRUZ"/>
    <s v="B 2"/>
    <x v="1"/>
    <n v="121406.45999999998"/>
    <n v="54779.01999999999"/>
    <n v="0"/>
    <n v="0"/>
    <n v="0"/>
    <n v="0"/>
    <n v="0"/>
    <n v="0"/>
    <n v="0"/>
    <n v="0"/>
    <n v="0"/>
    <n v="0"/>
    <n v="0"/>
    <n v="0"/>
    <n v="0"/>
    <n v="0"/>
    <n v="0.40024945954276242"/>
    <n v="0"/>
    <n v="0"/>
    <n v="0"/>
    <n v="0"/>
    <n v="0"/>
    <n v="0"/>
    <n v="48592.869999999995"/>
    <n v="0"/>
    <n v="0"/>
    <n v="0"/>
    <n v="0"/>
    <n v="0"/>
    <n v="0"/>
  </r>
  <r>
    <x v="0"/>
    <s v="AYACUCHO"/>
    <n v="401"/>
    <x v="1"/>
    <x v="1"/>
    <x v="1"/>
    <s v="SANTA CRUZ"/>
    <s v="B 2"/>
    <x v="2"/>
    <n v="86844.03"/>
    <n v="42400.749999999985"/>
    <n v="0"/>
    <n v="0"/>
    <n v="0"/>
    <n v="0"/>
    <n v="0"/>
    <n v="0"/>
    <n v="0"/>
    <n v="0"/>
    <n v="0"/>
    <n v="0"/>
    <n v="0"/>
    <n v="0"/>
    <n v="0"/>
    <n v="0"/>
    <n v="0.50825888665001051"/>
    <n v="0"/>
    <n v="0"/>
    <n v="0"/>
    <n v="0"/>
    <n v="0"/>
    <n v="0"/>
    <n v="44139.250000000109"/>
    <n v="0"/>
    <n v="0"/>
    <n v="0"/>
    <n v="0"/>
    <n v="0"/>
    <n v="0"/>
  </r>
  <r>
    <x v="0"/>
    <s v="AYACUCHO"/>
    <n v="401"/>
    <x v="1"/>
    <x v="1"/>
    <x v="1"/>
    <s v="SANTA CRUZ"/>
    <s v="B 2"/>
    <x v="3"/>
    <n v="79351.409999999989"/>
    <n v="42141.219999999987"/>
    <n v="0"/>
    <n v="0"/>
    <n v="0"/>
    <n v="0"/>
    <n v="0"/>
    <n v="0"/>
    <n v="0"/>
    <n v="0"/>
    <n v="0"/>
    <n v="0"/>
    <n v="0"/>
    <n v="0"/>
    <n v="0"/>
    <n v="0"/>
    <n v="0.75168481568254542"/>
    <n v="0"/>
    <n v="0"/>
    <n v="0"/>
    <n v="0"/>
    <n v="0"/>
    <n v="0"/>
    <n v="59647.25000000008"/>
    <n v="0"/>
    <n v="0"/>
    <n v="0"/>
    <n v="0"/>
    <n v="0"/>
    <n v="0"/>
  </r>
  <r>
    <x v="0"/>
    <s v="AYACUCHO"/>
    <n v="401"/>
    <x v="1"/>
    <x v="1"/>
    <x v="1"/>
    <s v="SANTA CRUZ"/>
    <s v="B 2"/>
    <x v="4"/>
    <n v="73874.23"/>
    <n v="38979.839999999997"/>
    <n v="0"/>
    <n v="0"/>
    <n v="0"/>
    <n v="0"/>
    <n v="0"/>
    <n v="0"/>
    <n v="0"/>
    <n v="0"/>
    <n v="0"/>
    <n v="0"/>
    <n v="0"/>
    <n v="0"/>
    <n v="0"/>
    <n v="0"/>
    <n v="0.74969485299542282"/>
    <n v="0"/>
    <n v="0"/>
    <n v="0"/>
    <n v="0"/>
    <n v="0"/>
    <n v="0"/>
    <n v="55383.130000000048"/>
    <n v="0"/>
    <n v="0"/>
    <n v="0"/>
    <n v="0"/>
    <n v="0"/>
    <n v="0"/>
  </r>
  <r>
    <x v="0"/>
    <s v="AYACUCHO"/>
    <n v="401"/>
    <x v="1"/>
    <x v="1"/>
    <x v="1"/>
    <s v="SANTA CRUZ"/>
    <s v="B 2"/>
    <x v="5"/>
    <n v="60937.220000000008"/>
    <n v="31550.890000000003"/>
    <n v="0"/>
    <n v="0"/>
    <n v="0"/>
    <n v="0"/>
    <n v="0"/>
    <n v="0"/>
    <n v="0"/>
    <n v="0"/>
    <n v="0"/>
    <n v="0"/>
    <n v="0"/>
    <n v="0"/>
    <n v="0"/>
    <n v="0"/>
    <n v="0.68537701588618671"/>
    <n v="0"/>
    <n v="0"/>
    <n v="0"/>
    <n v="0"/>
    <n v="0"/>
    <n v="0"/>
    <n v="41764.970000000059"/>
    <n v="0"/>
    <n v="0"/>
    <n v="0"/>
    <n v="0"/>
    <n v="0"/>
    <n v="0"/>
  </r>
  <r>
    <x v="0"/>
    <s v="AYACUCHO"/>
    <n v="401"/>
    <x v="1"/>
    <x v="1"/>
    <x v="1"/>
    <s v="SANTA CRUZ"/>
    <s v="B 2"/>
    <x v="6"/>
    <n v="65127.270000000004"/>
    <n v="34913.97"/>
    <n v="0"/>
    <n v="0"/>
    <n v="0"/>
    <n v="0"/>
    <n v="0"/>
    <n v="0"/>
    <n v="0"/>
    <n v="0"/>
    <n v="0"/>
    <n v="0"/>
    <n v="0"/>
    <n v="0"/>
    <n v="0"/>
    <n v="0"/>
    <n v="0.78289401659243585"/>
    <n v="0"/>
    <n v="0"/>
    <n v="0"/>
    <n v="0"/>
    <n v="0"/>
    <n v="0"/>
    <n v="50987.750000000051"/>
    <n v="0"/>
    <n v="0"/>
    <n v="0"/>
    <n v="0"/>
    <n v="0"/>
    <n v="0"/>
  </r>
  <r>
    <x v="0"/>
    <s v="AYACUCHO"/>
    <n v="401"/>
    <x v="1"/>
    <x v="1"/>
    <x v="1"/>
    <s v="SANTA CRUZ"/>
    <s v="B 2"/>
    <x v="7"/>
    <n v="172018.37"/>
    <n v="63741.95999999997"/>
    <n v="0"/>
    <n v="0"/>
    <n v="0"/>
    <n v="0"/>
    <n v="0"/>
    <n v="0"/>
    <n v="0"/>
    <n v="0"/>
    <n v="0"/>
    <n v="0"/>
    <n v="0"/>
    <n v="0"/>
    <n v="0"/>
    <n v="0"/>
    <n v="0.24520485806254269"/>
    <n v="0"/>
    <n v="0"/>
    <n v="0"/>
    <n v="0"/>
    <n v="0"/>
    <n v="0"/>
    <n v="42179.739999999947"/>
    <n v="0"/>
    <n v="0"/>
    <n v="0"/>
    <n v="0"/>
    <n v="0"/>
    <n v="0"/>
  </r>
  <r>
    <x v="0"/>
    <s v="AYACUCHO"/>
    <n v="401"/>
    <x v="1"/>
    <x v="1"/>
    <x v="1"/>
    <s v="SANTA CRUZ"/>
    <s v="B 2"/>
    <x v="8"/>
    <n v="56408.52"/>
    <n v="28783.829999999994"/>
    <n v="0"/>
    <n v="0"/>
    <n v="0"/>
    <n v="0"/>
    <n v="0"/>
    <n v="0"/>
    <n v="0"/>
    <n v="0"/>
    <n v="0"/>
    <n v="0"/>
    <n v="0"/>
    <n v="0"/>
    <n v="0"/>
    <n v="0"/>
    <n v="0.66326735748429533"/>
    <n v="0"/>
    <n v="0"/>
    <n v="0"/>
    <n v="0"/>
    <n v="0"/>
    <n v="0"/>
    <n v="37413.930000000022"/>
    <n v="0"/>
    <n v="0"/>
    <n v="0"/>
    <n v="0"/>
    <n v="0"/>
    <n v="0"/>
  </r>
  <r>
    <x v="0"/>
    <s v="AYACUCHO"/>
    <n v="401"/>
    <x v="1"/>
    <x v="1"/>
    <x v="1"/>
    <s v="SANTA CRUZ"/>
    <s v="B 2"/>
    <x v="9"/>
    <n v="32481.559999999998"/>
    <n v="16722.439999999995"/>
    <n v="0"/>
    <n v="0"/>
    <n v="0"/>
    <n v="0"/>
    <n v="0"/>
    <n v="0"/>
    <n v="0"/>
    <n v="0"/>
    <n v="0"/>
    <n v="0"/>
    <n v="0"/>
    <n v="0"/>
    <n v="0"/>
    <n v="0"/>
    <n v="0.73663764917694841"/>
    <n v="0"/>
    <n v="0"/>
    <n v="0"/>
    <n v="0"/>
    <n v="0"/>
    <n v="0"/>
    <n v="23927.14"/>
    <n v="0"/>
    <n v="0"/>
    <n v="0"/>
    <n v="0"/>
    <n v="0"/>
    <n v="0"/>
  </r>
  <r>
    <x v="0"/>
    <s v="AYACUCHO"/>
    <n v="401"/>
    <x v="1"/>
    <x v="1"/>
    <x v="1"/>
    <s v="SANTA CRUZ"/>
    <s v="B 2"/>
    <x v="10"/>
    <n v="49222.990000000005"/>
    <n v="23525.410000000011"/>
    <n v="0"/>
    <n v="0"/>
    <n v="0"/>
    <n v="0"/>
    <n v="0"/>
    <n v="0"/>
    <n v="0"/>
    <n v="0"/>
    <n v="0"/>
    <n v="0"/>
    <n v="0"/>
    <n v="0"/>
    <n v="0"/>
    <n v="0"/>
    <n v="0.47219012904335994"/>
    <n v="0"/>
    <n v="0"/>
    <n v="0"/>
    <n v="0"/>
    <n v="0"/>
    <n v="0"/>
    <n v="23242.610000000019"/>
    <n v="0"/>
    <n v="0"/>
    <n v="0"/>
    <n v="0"/>
    <n v="0"/>
    <n v="0"/>
  </r>
  <r>
    <x v="0"/>
    <s v="AYACUCHO"/>
    <n v="401"/>
    <x v="1"/>
    <x v="1"/>
    <x v="1"/>
    <s v="SANTA CRUZ"/>
    <s v="B 2"/>
    <x v="11"/>
    <n v="124315.05999999997"/>
    <n v="60727.759999999951"/>
    <n v="0"/>
    <n v="0"/>
    <n v="0"/>
    <n v="0"/>
    <n v="0"/>
    <n v="0"/>
    <n v="0"/>
    <n v="0"/>
    <n v="0"/>
    <n v="0"/>
    <n v="0"/>
    <n v="0"/>
    <n v="0"/>
    <n v="0"/>
    <n v="0.49352588495714123"/>
    <n v="0"/>
    <n v="0"/>
    <n v="0"/>
    <n v="0"/>
    <n v="0"/>
    <n v="0"/>
    <n v="61352.700000000092"/>
    <n v="0"/>
    <n v="0"/>
    <n v="0"/>
    <n v="0"/>
    <n v="0"/>
    <n v="0"/>
  </r>
  <r>
    <x v="0"/>
    <s v="BALLIVIAN"/>
    <n v="305"/>
    <x v="0"/>
    <x v="2"/>
    <x v="0"/>
    <s v="COCHABAMBA"/>
    <s v="A 2"/>
    <x v="0"/>
    <n v="135827.82999999996"/>
    <n v="69454.539999999979"/>
    <n v="103612.24999999999"/>
    <n v="53083.719999999987"/>
    <n v="98138.769250000041"/>
    <n v="50735.266751250027"/>
    <n v="94913.910000000207"/>
    <n v="50819.602668677529"/>
    <n v="94913.910000000178"/>
    <n v="50530.260000000155"/>
    <n v="98138.769250000041"/>
    <n v="52247.110315890612"/>
    <n v="105008.48309750007"/>
    <n v="56012.902416944809"/>
    <n v="87233.620689655043"/>
    <n v="48534.580870906568"/>
    <n v="0.6869578936805526"/>
    <n v="0.77305954784588771"/>
    <n v="0.86506088264930858"/>
    <n v="0.86506088264930825"/>
    <n v="0.86506088264930825"/>
    <n v="0.9"/>
    <n v="0.99361768009671469"/>
    <n v="93308.000000000146"/>
    <n v="80098.43913629507"/>
    <n v="82106.310760297187"/>
    <n v="82106.310760297187"/>
    <n v="84896.010349521821"/>
    <n v="94507.634787750067"/>
    <n v="86676.867816091821"/>
  </r>
  <r>
    <x v="0"/>
    <s v="BALLIVIAN"/>
    <n v="305"/>
    <x v="0"/>
    <x v="2"/>
    <x v="0"/>
    <s v="COCHABAMBA"/>
    <s v="A 2"/>
    <x v="1"/>
    <n v="190515.53999999998"/>
    <n v="80627.089999999953"/>
    <n v="121764.35999999999"/>
    <n v="57884.799999999988"/>
    <n v="178031.03730000049"/>
    <n v="80056.851285000215"/>
    <n v="148645.06000000023"/>
    <n v="65252.332206180006"/>
    <n v="148645.06000000014"/>
    <n v="64901.670000000187"/>
    <n v="178031.03730000049"/>
    <n v="77732.22758026635"/>
    <n v="181591.65804600052"/>
    <n v="82697.522403446565"/>
    <n v="127159.05172413799"/>
    <n v="60477.034840622757"/>
    <n v="0.42061959880018124"/>
    <n v="0.5376514407674714"/>
    <n v="0.31825157670040544"/>
    <n v="0.31825157670040538"/>
    <n v="0.31825157670040538"/>
    <n v="0.39"/>
    <n v="0.477691641045978"/>
    <n v="80134.569999999876"/>
    <n v="65466.783588129059"/>
    <n v="47306.524713726416"/>
    <n v="47306.52471372643"/>
    <n v="56658.658322333838"/>
    <n v="70820.746637940203"/>
    <n v="60742.816091953871"/>
  </r>
  <r>
    <x v="0"/>
    <s v="BALLIVIAN"/>
    <n v="305"/>
    <x v="0"/>
    <x v="2"/>
    <x v="0"/>
    <s v="COCHABAMBA"/>
    <s v="A 2"/>
    <x v="2"/>
    <n v="150942.49999999997"/>
    <n v="72471.689999999988"/>
    <n v="185107.82999999996"/>
    <n v="84895.269999999975"/>
    <n v="126020"/>
    <n v="60760"/>
    <n v="134091.3500000003"/>
    <n v="67230.985144134611"/>
    <n v="134091.3500000005"/>
    <n v="66824.070000000618"/>
    <n v="134091.35000000076"/>
    <n v="66824.070000000749"/>
    <n v="140795.91750000083"/>
    <n v="72733.420704556207"/>
    <n v="138695.88467621882"/>
    <n v="72954.035339691109"/>
    <n v="0.56860930486774819"/>
    <n v="0.4551503478289296"/>
    <n v="0.62244942328249575"/>
    <n v="0.62244942328249397"/>
    <n v="0.62244942328249397"/>
    <n v="0.79"/>
    <n v="0.80257925371183414"/>
    <n v="85827.31000000007"/>
    <n v="84251.89321035835"/>
    <n v="83465.083474671599"/>
    <n v="83465.083474671235"/>
    <n v="83465.083474671526"/>
    <n v="111228.77482500066"/>
    <n v="111314.43961634231"/>
  </r>
  <r>
    <x v="0"/>
    <s v="BALLIVIAN"/>
    <n v="305"/>
    <x v="0"/>
    <x v="2"/>
    <x v="0"/>
    <s v="COCHABAMBA"/>
    <s v="A 2"/>
    <x v="3"/>
    <n v="115738.35999999999"/>
    <n v="60947.519999999975"/>
    <n v="97141.309999999969"/>
    <n v="53382.109999999964"/>
    <n v="102674"/>
    <n v="56851"/>
    <n v="113550.52000000021"/>
    <n v="62067.616916005463"/>
    <n v="113550.52000000014"/>
    <n v="61471.54000000011"/>
    <n v="113550.52000000028"/>
    <n v="61471.54000000019"/>
    <n v="121839.70796000031"/>
    <n v="64059.071260570854"/>
    <n v="0"/>
    <n v="0"/>
    <n v="0.80265842716278468"/>
    <n v="0.91491526376950494"/>
    <n v="0.89891498609298948"/>
    <n v="0.8989149860929887"/>
    <n v="0.8989149860929887"/>
    <n v="0.85"/>
    <n v="0"/>
    <n v="92898.370000000141"/>
    <n v="88876.067261565215"/>
    <n v="102072.26410665184"/>
    <n v="102072.26410665183"/>
    <n v="102072.26410665188"/>
    <n v="103563.75176600026"/>
    <n v="0"/>
  </r>
  <r>
    <x v="0"/>
    <s v="BALLIVIAN"/>
    <n v="305"/>
    <x v="0"/>
    <x v="2"/>
    <x v="0"/>
    <s v="COCHABAMBA"/>
    <s v="A 2"/>
    <x v="4"/>
    <n v="127710.82"/>
    <n v="68314.599999999991"/>
    <n v="87829.619999999981"/>
    <n v="47921.169999999984"/>
    <n v="102819"/>
    <n v="54294"/>
    <n v="116412.75000000006"/>
    <n v="64813.086312459396"/>
    <n v="116412.7500000001"/>
    <n v="64375.170000000115"/>
    <n v="116412.7500000001"/>
    <n v="64375.170000000115"/>
    <n v="124910.88075000014"/>
    <n v="66629.102410402847"/>
    <n v="0"/>
    <n v="0"/>
    <n v="0.82587990586858773"/>
    <n v="0.90769822639932984"/>
    <n v="0.97284400107625413"/>
    <n v="0.97284400107625402"/>
    <n v="0.97284400107625402"/>
    <n v="0.9"/>
    <n v="0"/>
    <n v="105473.80000000016"/>
    <n v="79722.790299327098"/>
    <n v="113251.4454862898"/>
    <n v="113251.44548628974"/>
    <n v="113251.44548628978"/>
    <n v="112419.79267500014"/>
    <n v="0"/>
  </r>
  <r>
    <x v="0"/>
    <s v="BALLIVIAN"/>
    <n v="305"/>
    <x v="0"/>
    <x v="2"/>
    <x v="0"/>
    <s v="COCHABAMBA"/>
    <s v="A 2"/>
    <x v="5"/>
    <n v="110108.99999999999"/>
    <n v="58795.769999999975"/>
    <n v="62420.279999999984"/>
    <n v="34330.779999999992"/>
    <n v="93237"/>
    <n v="51771"/>
    <n v="104821.81000000026"/>
    <n v="58544.498789649995"/>
    <n v="104821.81000000019"/>
    <n v="58546.610000000204"/>
    <n v="104821.81000000019"/>
    <n v="58546.610000000204"/>
    <n v="113207.55480000022"/>
    <n v="60386.394820937152"/>
    <n v="0"/>
    <n v="0"/>
    <n v="0.84878002706409184"/>
    <n v="0.93677973267195325"/>
    <n v="0.99006846743419696"/>
    <n v="0.99006846743419685"/>
    <n v="0.99006846743419685"/>
    <n v="0.9"/>
    <n v="0"/>
    <n v="93458.32000000008"/>
    <n v="58474.053211708459"/>
    <n v="103780.76878037877"/>
    <n v="103780.76878037883"/>
    <n v="103780.76878037876"/>
    <n v="101886.79932000019"/>
    <n v="0"/>
  </r>
  <r>
    <x v="0"/>
    <s v="BALLIVIAN"/>
    <n v="305"/>
    <x v="0"/>
    <x v="2"/>
    <x v="0"/>
    <s v="COCHABAMBA"/>
    <s v="A 2"/>
    <x v="6"/>
    <n v="137226.85999999999"/>
    <n v="73495.659999999974"/>
    <n v="107678.10999999997"/>
    <n v="58772.569999999978"/>
    <n v="99268"/>
    <n v="54927"/>
    <n v="110063.78999999996"/>
    <n v="60118.900000000525"/>
    <n v="110063.79000000024"/>
    <n v="60118.900000000205"/>
    <n v="110063.79000000058"/>
    <n v="60118.900000000394"/>
    <n v="118868.89320000063"/>
    <n v="63406.22699063045"/>
    <n v="0"/>
    <n v="0"/>
    <n v="0.8776359817604229"/>
    <n v="0.93477240900714909"/>
    <n v="0.93576288804883134"/>
    <n v="0.93576288804883134"/>
    <n v="0.93576288804883134"/>
    <n v="0.9"/>
    <n v="0"/>
    <n v="120435.2300000001"/>
    <n v="100654.52628203676"/>
    <n v="102993.61000000031"/>
    <n v="102993.61000000004"/>
    <n v="102993.61000000063"/>
    <n v="106982.00388000057"/>
    <n v="0"/>
  </r>
  <r>
    <x v="0"/>
    <s v="BALLIVIAN"/>
    <n v="305"/>
    <x v="0"/>
    <x v="2"/>
    <x v="0"/>
    <s v="COCHABAMBA"/>
    <s v="A 2"/>
    <x v="7"/>
    <n v="310102.00999999995"/>
    <n v="111519.78999999991"/>
    <n v="180852.11999999994"/>
    <n v="78190.629999999946"/>
    <n v="193060"/>
    <n v="85214"/>
    <n v="193205.75587585563"/>
    <n v="87396.623670443296"/>
    <n v="222848.35000000044"/>
    <n v="100206.73000000053"/>
    <n v="222848.35000000047"/>
    <n v="100805.45112250022"/>
    <n v="230425.19390000051"/>
    <n v="106698.78445789809"/>
    <n v="0"/>
    <n v="0"/>
    <n v="0.33917735650923569"/>
    <n v="0.39166891575250579"/>
    <n v="0.42962050201404212"/>
    <n v="0.37"/>
    <n v="0.37"/>
    <n v="0.44"/>
    <n v="0"/>
    <n v="105179.58000000055"/>
    <n v="70834.153751942038"/>
    <n v="95740.220000001151"/>
    <n v="71486.129674066586"/>
    <n v="82453.889500000179"/>
    <n v="101387.08531600023"/>
    <n v="0"/>
  </r>
  <r>
    <x v="0"/>
    <s v="BALLIVIAN"/>
    <n v="305"/>
    <x v="0"/>
    <x v="2"/>
    <x v="0"/>
    <s v="COCHABAMBA"/>
    <s v="A 2"/>
    <x v="8"/>
    <n v="81249.359999999986"/>
    <n v="41123.279999999999"/>
    <n v="107783.14999999998"/>
    <n v="54667.629999999976"/>
    <n v="96184"/>
    <n v="51836"/>
    <n v="100658.11965095707"/>
    <n v="53585.757792774602"/>
    <n v="90033.040000000023"/>
    <n v="48036.130000000019"/>
    <n v="90033.040000000023"/>
    <n v="48036.130000000019"/>
    <n v="102637.66560000004"/>
    <n v="53021.342129599143"/>
    <n v="0"/>
    <n v="0"/>
    <n v="0.73431310720478327"/>
    <n v="0.72125566401659458"/>
    <n v="0.88393894063779321"/>
    <n v="0.8"/>
    <n v="0.8"/>
    <n v="0.78999999999999992"/>
    <n v="0"/>
    <n v="59662.470000000016"/>
    <n v="77739.207423050204"/>
    <n v="79583.710000000079"/>
    <n v="80526.49572076567"/>
    <n v="72026.432000000015"/>
    <n v="81083.755824000022"/>
    <n v="0"/>
  </r>
  <r>
    <x v="0"/>
    <s v="BALLIVIAN"/>
    <n v="305"/>
    <x v="0"/>
    <x v="2"/>
    <x v="0"/>
    <s v="COCHABAMBA"/>
    <s v="A 2"/>
    <x v="9"/>
    <n v="73679.03"/>
    <n v="38602.46"/>
    <n v="105478.66999999998"/>
    <n v="57433.679999999993"/>
    <n v="103136"/>
    <n v="57370"/>
    <n v="107933.71929249783"/>
    <n v="59082.735286248491"/>
    <n v="110522.87000000017"/>
    <n v="57440.100000000246"/>
    <n v="110522.87"/>
    <n v="60500.03200195785"/>
    <n v="118812.08525"/>
    <n v="63375.924884876411"/>
    <n v="0"/>
    <n v="0"/>
    <n v="0.81724297944747715"/>
    <n v="0.8944304944428767"/>
    <n v="0.71272615341965018"/>
    <n v="0.9"/>
    <n v="0.9"/>
    <n v="0.9"/>
    <n v="0"/>
    <n v="60213.670000000049"/>
    <n v="94343.338961277012"/>
    <n v="78772.540000000168"/>
    <n v="97140.347363248045"/>
    <n v="99470.582999999999"/>
    <n v="106930.87672500001"/>
    <n v="0"/>
  </r>
  <r>
    <x v="0"/>
    <s v="BALLIVIAN"/>
    <n v="305"/>
    <x v="0"/>
    <x v="2"/>
    <x v="0"/>
    <s v="COCHABAMBA"/>
    <s v="A 2"/>
    <x v="10"/>
    <n v="110038.84999999999"/>
    <n v="52502.960000000014"/>
    <n v="110509.34999999998"/>
    <n v="58933.099999999955"/>
    <n v="128922"/>
    <n v="66011"/>
    <n v="133596.99254646007"/>
    <n v="66299.583445055454"/>
    <n v="170853.73563218393"/>
    <n v="68430.868046354852"/>
    <n v="162311.04885057473"/>
    <n v="80549.380058692725"/>
    <n v="174484.37751436786"/>
    <n v="86399.993295884298"/>
    <n v="0"/>
    <n v="0"/>
    <n v="0.52111377027295458"/>
    <n v="0.73730384940169769"/>
    <n v="0.42962050201404212"/>
    <n v="0.6"/>
    <n v="0.6"/>
    <n v="0.65"/>
    <n v="0"/>
    <n v="57342.760000000104"/>
    <n v="81478.969149879485"/>
    <n v="73402.267673273294"/>
    <n v="80158.195527876043"/>
    <n v="97386.629310344841"/>
    <n v="113414.84538433912"/>
    <n v="0"/>
  </r>
  <r>
    <x v="0"/>
    <s v="BALLIVIAN"/>
    <n v="305"/>
    <x v="0"/>
    <x v="2"/>
    <x v="0"/>
    <s v="COCHABAMBA"/>
    <s v="A 2"/>
    <x v="11"/>
    <n v="274236.61999999994"/>
    <n v="129177.58999999992"/>
    <n v="241072.48999999993"/>
    <n v="129653.02000000002"/>
    <n v="252836"/>
    <n v="141574"/>
    <n v="262003.99838440589"/>
    <n v="138430.87400410394"/>
    <n v="235560.34482758629"/>
    <n v="114110.84533174857"/>
    <n v="262003.99838440589"/>
    <n v="138430.87400410394"/>
    <n v="281654.2982632363"/>
    <n v="147222.37765064329"/>
    <n v="0"/>
    <n v="0"/>
    <n v="0.43962111989274177"/>
    <n v="0.82743725903886634"/>
    <n v="0.62244942328249575"/>
    <n v="0.8"/>
    <n v="0.8"/>
    <n v="0.83"/>
    <n v="0"/>
    <n v="120560.21000000024"/>
    <n v="199472.36035527446"/>
    <n v="146624.40078615691"/>
    <n v="209603.19870752472"/>
    <n v="209603.19870752472"/>
    <n v="233773.0675584861"/>
    <n v="0"/>
  </r>
  <r>
    <x v="0"/>
    <s v="CALACOTO"/>
    <n v="205"/>
    <x v="1"/>
    <x v="1"/>
    <x v="1"/>
    <s v="LA PAZ"/>
    <s v="B 2"/>
    <x v="0"/>
    <n v="48921.109999999993"/>
    <n v="25056.009999999995"/>
    <n v="0"/>
    <n v="0"/>
    <n v="0"/>
    <n v="0"/>
    <n v="0"/>
    <n v="0"/>
    <n v="0"/>
    <n v="0"/>
    <n v="0"/>
    <n v="0"/>
    <n v="0"/>
    <n v="0"/>
    <n v="0"/>
    <n v="0"/>
    <n v="0.7002590497231157"/>
    <n v="0"/>
    <n v="0"/>
    <n v="0"/>
    <n v="0"/>
    <n v="0"/>
    <n v="0"/>
    <n v="34257.450000000012"/>
    <n v="0"/>
    <n v="0"/>
    <n v="0"/>
    <n v="0"/>
    <n v="0"/>
    <n v="0"/>
  </r>
  <r>
    <x v="0"/>
    <s v="CALACOTO"/>
    <n v="205"/>
    <x v="1"/>
    <x v="1"/>
    <x v="1"/>
    <s v="LA PAZ"/>
    <s v="B 2"/>
    <x v="1"/>
    <n v="77774.290000000008"/>
    <n v="30267.000000000004"/>
    <n v="0"/>
    <n v="0"/>
    <n v="0"/>
    <n v="0"/>
    <n v="0"/>
    <n v="0"/>
    <n v="0"/>
    <n v="0"/>
    <n v="0"/>
    <n v="0"/>
    <n v="0"/>
    <n v="0"/>
    <n v="0"/>
    <n v="0"/>
    <n v="0.28250261108137426"/>
    <n v="0"/>
    <n v="0"/>
    <n v="0"/>
    <n v="0"/>
    <n v="0"/>
    <n v="0"/>
    <n v="21971.440000000017"/>
    <n v="0"/>
    <n v="0"/>
    <n v="0"/>
    <n v="0"/>
    <n v="0"/>
    <n v="0"/>
  </r>
  <r>
    <x v="0"/>
    <s v="CALACOTO"/>
    <n v="205"/>
    <x v="1"/>
    <x v="1"/>
    <x v="1"/>
    <s v="LA PAZ"/>
    <s v="B 2"/>
    <x v="2"/>
    <n v="43125.75"/>
    <n v="20148.579999999998"/>
    <n v="0"/>
    <n v="0"/>
    <n v="0"/>
    <n v="0"/>
    <n v="0"/>
    <n v="0"/>
    <n v="0"/>
    <n v="0"/>
    <n v="0"/>
    <n v="0"/>
    <n v="0"/>
    <n v="0"/>
    <n v="0"/>
    <n v="0"/>
    <n v="0.50050445499498541"/>
    <n v="0"/>
    <n v="0"/>
    <n v="0"/>
    <n v="0"/>
    <n v="0"/>
    <n v="0"/>
    <n v="21584.629999999994"/>
    <n v="0"/>
    <n v="0"/>
    <n v="0"/>
    <n v="0"/>
    <n v="0"/>
    <n v="0"/>
  </r>
  <r>
    <x v="0"/>
    <s v="CALACOTO"/>
    <n v="205"/>
    <x v="1"/>
    <x v="1"/>
    <x v="1"/>
    <s v="LA PAZ"/>
    <s v="B 2"/>
    <x v="3"/>
    <n v="36140.639999999999"/>
    <n v="18475.240000000002"/>
    <n v="0"/>
    <n v="0"/>
    <n v="0"/>
    <n v="0"/>
    <n v="0"/>
    <n v="0"/>
    <n v="0"/>
    <n v="0"/>
    <n v="0"/>
    <n v="0"/>
    <n v="0"/>
    <n v="0"/>
    <n v="0"/>
    <n v="0"/>
    <n v="0.69274036098973379"/>
    <n v="0"/>
    <n v="0"/>
    <n v="0"/>
    <n v="0"/>
    <n v="0"/>
    <n v="0"/>
    <n v="25036.080000000013"/>
    <n v="0"/>
    <n v="0"/>
    <n v="0"/>
    <n v="0"/>
    <n v="0"/>
    <n v="0"/>
  </r>
  <r>
    <x v="0"/>
    <s v="CALACOTO"/>
    <n v="205"/>
    <x v="1"/>
    <x v="1"/>
    <x v="1"/>
    <s v="LA PAZ"/>
    <s v="B 2"/>
    <x v="4"/>
    <n v="38122.699999999997"/>
    <n v="20029.12999999999"/>
    <n v="0"/>
    <n v="0"/>
    <n v="0"/>
    <n v="0"/>
    <n v="0"/>
    <n v="0"/>
    <n v="0"/>
    <n v="0"/>
    <n v="0"/>
    <n v="0"/>
    <n v="0"/>
    <n v="0"/>
    <n v="0"/>
    <n v="0"/>
    <n v="0.71706175061052857"/>
    <n v="0"/>
    <n v="0"/>
    <n v="0"/>
    <n v="0"/>
    <n v="0"/>
    <n v="0"/>
    <n v="27336.329999999994"/>
    <n v="0"/>
    <n v="0"/>
    <n v="0"/>
    <n v="0"/>
    <n v="0"/>
    <n v="0"/>
  </r>
  <r>
    <x v="0"/>
    <s v="CALACOTO"/>
    <n v="205"/>
    <x v="1"/>
    <x v="1"/>
    <x v="1"/>
    <s v="LA PAZ"/>
    <s v="B 2"/>
    <x v="5"/>
    <n v="34543.99"/>
    <n v="18214.919999999998"/>
    <n v="0"/>
    <n v="0"/>
    <n v="0"/>
    <n v="0"/>
    <n v="0"/>
    <n v="0"/>
    <n v="0"/>
    <n v="0"/>
    <n v="0"/>
    <n v="0"/>
    <n v="0"/>
    <n v="0"/>
    <n v="0"/>
    <n v="0"/>
    <n v="0.73923973461085435"/>
    <n v="0"/>
    <n v="0"/>
    <n v="0"/>
    <n v="0"/>
    <n v="0"/>
    <n v="0"/>
    <n v="25536.290000000005"/>
    <n v="0"/>
    <n v="0"/>
    <n v="0"/>
    <n v="0"/>
    <n v="0"/>
    <n v="0"/>
  </r>
  <r>
    <x v="0"/>
    <s v="CALACOTO"/>
    <n v="205"/>
    <x v="1"/>
    <x v="1"/>
    <x v="1"/>
    <s v="LA PAZ"/>
    <s v="B 2"/>
    <x v="6"/>
    <n v="32186.21"/>
    <n v="17365.759999999998"/>
    <n v="0"/>
    <n v="0"/>
    <n v="0"/>
    <n v="0"/>
    <n v="0"/>
    <n v="0"/>
    <n v="0"/>
    <n v="0"/>
    <n v="0"/>
    <n v="0"/>
    <n v="0"/>
    <n v="0"/>
    <n v="0"/>
    <n v="0"/>
    <n v="0.80798609093770291"/>
    <n v="0"/>
    <n v="0"/>
    <n v="0"/>
    <n v="0"/>
    <n v="0"/>
    <n v="0"/>
    <n v="26006.010000000002"/>
    <n v="0"/>
    <n v="0"/>
    <n v="0"/>
    <n v="0"/>
    <n v="0"/>
    <n v="0"/>
  </r>
  <r>
    <x v="0"/>
    <s v="CALACOTO"/>
    <n v="205"/>
    <x v="1"/>
    <x v="1"/>
    <x v="1"/>
    <s v="LA PAZ"/>
    <s v="B 2"/>
    <x v="7"/>
    <n v="124969.85999999999"/>
    <n v="35660.399999999994"/>
    <n v="0"/>
    <n v="0"/>
    <n v="0"/>
    <n v="0"/>
    <n v="0"/>
    <n v="0"/>
    <n v="0"/>
    <n v="0"/>
    <n v="0"/>
    <n v="0"/>
    <n v="0"/>
    <n v="0"/>
    <n v="0"/>
    <n v="0"/>
    <n v="0.19232429323358416"/>
    <n v="0"/>
    <n v="0"/>
    <n v="0"/>
    <n v="0"/>
    <n v="0"/>
    <n v="0"/>
    <n v="24034.739999999958"/>
    <n v="0"/>
    <n v="0"/>
    <n v="0"/>
    <n v="0"/>
    <n v="0"/>
    <n v="0"/>
  </r>
  <r>
    <x v="0"/>
    <s v="CALACOTO"/>
    <n v="205"/>
    <x v="1"/>
    <x v="1"/>
    <x v="1"/>
    <s v="LA PAZ"/>
    <s v="B 2"/>
    <x v="8"/>
    <n v="32128.070000000003"/>
    <n v="15881.840000000002"/>
    <n v="0"/>
    <n v="0"/>
    <n v="0"/>
    <n v="0"/>
    <n v="0"/>
    <n v="0"/>
    <n v="0"/>
    <n v="0"/>
    <n v="0"/>
    <n v="0"/>
    <n v="0"/>
    <n v="0"/>
    <n v="0"/>
    <n v="0"/>
    <n v="0.62441379142911535"/>
    <n v="0"/>
    <n v="0"/>
    <n v="0"/>
    <n v="0"/>
    <n v="0"/>
    <n v="0"/>
    <n v="20061.210000000021"/>
    <n v="0"/>
    <n v="0"/>
    <n v="0"/>
    <n v="0"/>
    <n v="0"/>
    <n v="0"/>
  </r>
  <r>
    <x v="0"/>
    <s v="CALACOTO"/>
    <n v="205"/>
    <x v="1"/>
    <x v="1"/>
    <x v="1"/>
    <s v="LA PAZ"/>
    <s v="B 2"/>
    <x v="9"/>
    <n v="27901.439999999995"/>
    <n v="14322.679999999997"/>
    <n v="0"/>
    <n v="0"/>
    <n v="0"/>
    <n v="0"/>
    <n v="0"/>
    <n v="0"/>
    <n v="0"/>
    <n v="0"/>
    <n v="0"/>
    <n v="0"/>
    <n v="0"/>
    <n v="0"/>
    <n v="0"/>
    <n v="0"/>
    <n v="0.71995567253876558"/>
    <n v="0"/>
    <n v="0"/>
    <n v="0"/>
    <n v="0"/>
    <n v="0"/>
    <n v="0"/>
    <n v="20087.80000000001"/>
    <n v="0"/>
    <n v="0"/>
    <n v="0"/>
    <n v="0"/>
    <n v="0"/>
    <n v="0"/>
  </r>
  <r>
    <x v="0"/>
    <s v="CALACOTO"/>
    <n v="205"/>
    <x v="1"/>
    <x v="1"/>
    <x v="1"/>
    <s v="LA PAZ"/>
    <s v="B 2"/>
    <x v="10"/>
    <n v="51539.55"/>
    <n v="23008.91"/>
    <n v="0"/>
    <n v="0"/>
    <n v="0"/>
    <n v="0"/>
    <n v="0"/>
    <n v="0"/>
    <n v="0"/>
    <n v="0"/>
    <n v="0"/>
    <n v="0"/>
    <n v="0"/>
    <n v="0"/>
    <n v="0"/>
    <n v="0"/>
    <n v="0.30698696437978218"/>
    <n v="0"/>
    <n v="0"/>
    <n v="0"/>
    <n v="0"/>
    <n v="0"/>
    <n v="0"/>
    <n v="15821.970000000003"/>
    <n v="0"/>
    <n v="0"/>
    <n v="0"/>
    <n v="0"/>
    <n v="0"/>
    <n v="0"/>
  </r>
  <r>
    <x v="0"/>
    <s v="CALACOTO"/>
    <n v="205"/>
    <x v="1"/>
    <x v="1"/>
    <x v="1"/>
    <s v="LA PAZ"/>
    <s v="B 2"/>
    <x v="11"/>
    <n v="98214.51999999999"/>
    <n v="47435.209999999992"/>
    <n v="0"/>
    <n v="0"/>
    <n v="0"/>
    <n v="0"/>
    <n v="0"/>
    <n v="0"/>
    <n v="0"/>
    <n v="0"/>
    <n v="0"/>
    <n v="0"/>
    <n v="0"/>
    <n v="0"/>
    <n v="0"/>
    <n v="0"/>
    <n v="0.50034373736184923"/>
    <n v="0"/>
    <n v="0"/>
    <n v="0"/>
    <n v="0"/>
    <n v="0"/>
    <n v="0"/>
    <n v="49141.020000000084"/>
    <n v="0"/>
    <n v="0"/>
    <n v="0"/>
    <n v="0"/>
    <n v="0"/>
    <n v="0"/>
  </r>
  <r>
    <x v="0"/>
    <s v="CASONA"/>
    <n v="211"/>
    <x v="0"/>
    <x v="2"/>
    <x v="0"/>
    <s v="LA PAZ"/>
    <s v="A 1"/>
    <x v="0"/>
    <n v="176554.77"/>
    <n v="91532.58"/>
    <n v="144928.28"/>
    <n v="75178.339999999982"/>
    <n v="161725.81395666677"/>
    <n v="83804.151380133393"/>
    <n v="157566.82000000041"/>
    <n v="83404.83729115632"/>
    <n v="157566.82000000044"/>
    <n v="83685.950000000434"/>
    <n v="161725.81395666677"/>
    <n v="85894.850073682697"/>
    <n v="169812.10465450014"/>
    <n v="90120.370946009571"/>
    <n v="137723.99425287297"/>
    <n v="76524.800798606069"/>
    <n v="0.79843161416709385"/>
    <n v="0.81097653919322854"/>
    <n v="0.87233341503516371"/>
    <n v="0.87233341503516271"/>
    <n v="0.87233341503516271"/>
    <n v="0.9"/>
    <n v="0.98658298550219647"/>
    <n v="140966.90999999997"/>
    <n v="117533.4349456272"/>
    <n v="137450.80218683131"/>
    <n v="137450.80218683113"/>
    <n v="141078.83158816051"/>
    <n v="152830.89418905013"/>
    <n v="135876.14942528677"/>
  </r>
  <r>
    <x v="0"/>
    <s v="CASONA"/>
    <n v="211"/>
    <x v="0"/>
    <x v="2"/>
    <x v="0"/>
    <s v="LA PAZ"/>
    <s v="A 1"/>
    <x v="1"/>
    <n v="229786.89"/>
    <n v="92988.239999999991"/>
    <n v="199848.80999999991"/>
    <n v="91074.639999999941"/>
    <n v="269677.14236000064"/>
    <n v="116773.49400270027"/>
    <n v="267256.82000000129"/>
    <n v="115041.45647579357"/>
    <n v="267256.82000000123"/>
    <n v="115197.93000000127"/>
    <n v="275070.68520720064"/>
    <n v="118566.00531111364"/>
    <n v="283322.80576341669"/>
    <n v="129810.65563025718"/>
    <n v="220356.75287356367"/>
    <n v="100222.20204877498"/>
    <n v="0.36067601593807275"/>
    <n v="0.51600777676657394"/>
    <n v="0.27723345557015505"/>
    <n v="0.27723345557015505"/>
    <n v="0.27723345557015505"/>
    <n v="0.4"/>
    <n v="0.43519423505378674"/>
    <n v="82878.62000000017"/>
    <n v="103123.54013754541"/>
    <n v="74092.531733291267"/>
    <n v="74092.531733291282"/>
    <n v="76258.796586042561"/>
    <n v="113329.12230536668"/>
    <n v="95897.988505746864"/>
  </r>
  <r>
    <x v="0"/>
    <s v="CASONA"/>
    <n v="211"/>
    <x v="0"/>
    <x v="2"/>
    <x v="0"/>
    <s v="LA PAZ"/>
    <s v="A 1"/>
    <x v="2"/>
    <n v="155700.96999999997"/>
    <n v="73452.069999999978"/>
    <n v="264480.37999999989"/>
    <n v="113949.72999999986"/>
    <n v="181771.51140000031"/>
    <n v="87174.03089700015"/>
    <n v="187181.10000000053"/>
    <n v="92806.376232285038"/>
    <n v="187181.10000000027"/>
    <n v="89901.20000000023"/>
    <n v="187181.10000000053"/>
    <n v="89901.200000000346"/>
    <n v="190924.72200000056"/>
    <n v="99940.116407165217"/>
    <n v="169392.96693676536"/>
    <n v="85712.841270003264"/>
    <n v="0.55946292434787148"/>
    <n v="0.44728159733558592"/>
    <n v="0.55927577678720963"/>
    <n v="0.55927577678720874"/>
    <n v="0.55927577678720874"/>
    <n v="0.85"/>
    <n v="0.7626859417434303"/>
    <n v="87108.920000000187"/>
    <n v="118297.2068303227"/>
    <n v="104685.85510238452"/>
    <n v="104685.85510238449"/>
    <n v="104685.85510238449"/>
    <n v="162286.01370000048"/>
    <n v="129193.63451288064"/>
  </r>
  <r>
    <x v="0"/>
    <s v="CASONA"/>
    <n v="211"/>
    <x v="0"/>
    <x v="2"/>
    <x v="0"/>
    <s v="LA PAZ"/>
    <s v="A 1"/>
    <x v="3"/>
    <n v="134994.70000000001"/>
    <n v="70725.66"/>
    <n v="157376.70000000007"/>
    <n v="87818.070000000065"/>
    <n v="160429.92162000039"/>
    <n v="88097.380115300199"/>
    <n v="154514.72000000023"/>
    <n v="82966.227274293095"/>
    <n v="154514.72000000003"/>
    <n v="82984.560000000027"/>
    <n v="154514.72000000015"/>
    <n v="82984.560000000085"/>
    <n v="165330.75040000016"/>
    <n v="87262.402723171574"/>
    <n v="0"/>
    <n v="0"/>
    <n v="0.81148282117742476"/>
    <n v="0.92168519563391027"/>
    <n v="0.88083886605406914"/>
    <n v="0.88083886605406858"/>
    <n v="0.88083886605406858"/>
    <n v="0.88"/>
    <n v="0"/>
    <n v="109545.88000000011"/>
    <n v="145051.77452771927"/>
    <n v="136102.57075346203"/>
    <n v="136102.57075346212"/>
    <n v="136102.57075346203"/>
    <n v="145491.06035200015"/>
    <n v="0"/>
  </r>
  <r>
    <x v="0"/>
    <s v="CASONA"/>
    <n v="211"/>
    <x v="0"/>
    <x v="2"/>
    <x v="0"/>
    <s v="LA PAZ"/>
    <s v="A 1"/>
    <x v="4"/>
    <n v="155327.45999999996"/>
    <n v="81521.930000000008"/>
    <n v="163107.02000000002"/>
    <n v="89875.950000000012"/>
    <n v="164749.9112300002"/>
    <n v="86649.893493700132"/>
    <n v="137834.11000000016"/>
    <n v="75144.501355167507"/>
    <n v="137834.11000000019"/>
    <n v="75370.470000000205"/>
    <n v="144725.8155000002"/>
    <n v="79138.993500000215"/>
    <n v="154856.62258500021"/>
    <n v="82183.400878287095"/>
    <n v="0"/>
    <n v="0"/>
    <n v="0.78624938565273761"/>
    <n v="0.93403126482313148"/>
    <n v="0.94307255864576078"/>
    <n v="0.94307255864576034"/>
    <n v="0.94307255864576034"/>
    <n v="0.89999999999999991"/>
    <n v="0"/>
    <n v="122126.12000000014"/>
    <n v="152347.05619213183"/>
    <n v="129987.56678636142"/>
    <n v="129987.56678636133"/>
    <n v="136486.94512567943"/>
    <n v="139370.96032650018"/>
    <n v="0"/>
  </r>
  <r>
    <x v="0"/>
    <s v="CASONA"/>
    <n v="211"/>
    <x v="0"/>
    <x v="2"/>
    <x v="0"/>
    <s v="LA PAZ"/>
    <s v="A 1"/>
    <x v="5"/>
    <n v="149671.63999999998"/>
    <n v="77639.150000000009"/>
    <n v="154727.09999999998"/>
    <n v="84892.939999999988"/>
    <n v="150823.93465000013"/>
    <n v="83484.980591500076"/>
    <n v="130458.40000000034"/>
    <n v="71764.267871204458"/>
    <n v="130458.40000000049"/>
    <n v="71763.010000000504"/>
    <n v="140895.07200000057"/>
    <n v="77504.050800000579"/>
    <n v="150757.72704000061"/>
    <n v="80008.090774594064"/>
    <n v="0"/>
    <n v="0"/>
    <n v="0.79578175264198459"/>
    <n v="0.93297310039134196"/>
    <n v="0.95046080808536915"/>
    <n v="0.95046080808536915"/>
    <n v="0.95046080808536915"/>
    <n v="0.9"/>
    <n v="0"/>
    <n v="119105.96000000015"/>
    <n v="144356.22220156118"/>
    <n v="123995.59628552479"/>
    <n v="123995.59628552465"/>
    <n v="133915.2439883668"/>
    <n v="135681.95433600055"/>
    <n v="0"/>
  </r>
  <r>
    <x v="0"/>
    <s v="CASONA"/>
    <n v="211"/>
    <x v="0"/>
    <x v="2"/>
    <x v="0"/>
    <s v="LA PAZ"/>
    <s v="A 1"/>
    <x v="6"/>
    <n v="179136.52999999997"/>
    <n v="94929.299999999959"/>
    <n v="174253.13"/>
    <n v="94769.50999999998"/>
    <n v="160495.25165000011"/>
    <n v="88449.759005000073"/>
    <n v="155783.38000000012"/>
    <n v="86026.450000000565"/>
    <n v="155783.38000000059"/>
    <n v="86026.450000000608"/>
    <n v="155783.38000000111"/>
    <n v="86026.450000000899"/>
    <n v="165130.38280000119"/>
    <n v="87635.751189061644"/>
    <n v="0"/>
    <n v="0"/>
    <n v="0.8782807169481287"/>
    <n v="0.94699087400801396"/>
    <n v="0.94308282436804258"/>
    <n v="0.94308282436804258"/>
    <n v="0.94308282436804258"/>
    <n v="0.9"/>
    <n v="0"/>
    <n v="157332.15999999995"/>
    <n v="165016.12387733208"/>
    <n v="146916.63000000059"/>
    <n v="146916.63000000015"/>
    <n v="146916.63000000108"/>
    <n v="148617.34452000106"/>
    <n v="0"/>
  </r>
  <r>
    <x v="0"/>
    <s v="CASONA"/>
    <n v="211"/>
    <x v="0"/>
    <x v="2"/>
    <x v="0"/>
    <s v="LA PAZ"/>
    <s v="A 1"/>
    <x v="7"/>
    <n v="424244.14999999991"/>
    <n v="145540.39999999997"/>
    <n v="272748.00999999989"/>
    <n v="112067.11999999994"/>
    <n v="291177.54986000044"/>
    <n v="123072.94218150017"/>
    <n v="271758.61821887933"/>
    <n v="122269.63750903819"/>
    <n v="359367.37000000174"/>
    <n v="150054.50000000175"/>
    <n v="359367.37000000104"/>
    <n v="161686.56711040047"/>
    <n v="370148.39110000106"/>
    <n v="169591.73194585176"/>
    <n v="0"/>
    <n v="0"/>
    <n v="0.29556320340539827"/>
    <n v="0.37582159707019125"/>
    <n v="0.34608064165648184"/>
    <n v="0.32"/>
    <n v="0.32"/>
    <n v="0.4"/>
    <n v="0"/>
    <n v="125390.96000000027"/>
    <n v="102504.59271591646"/>
    <n v="124370.09000000292"/>
    <n v="86962.757830041388"/>
    <n v="114997.55840000033"/>
    <n v="148059.35644000044"/>
    <n v="0"/>
  </r>
  <r>
    <x v="0"/>
    <s v="CASONA"/>
    <n v="211"/>
    <x v="0"/>
    <x v="2"/>
    <x v="0"/>
    <s v="LA PAZ"/>
    <s v="A 1"/>
    <x v="8"/>
    <n v="102432.13999999998"/>
    <n v="52209.859999999986"/>
    <n v="165338.41"/>
    <n v="82690.960000000006"/>
    <n v="150942.36665250018"/>
    <n v="79656.053068187597"/>
    <n v="155466.2980590339"/>
    <n v="83081.189682747703"/>
    <n v="127915.93000000028"/>
    <n v="67651.420000000304"/>
    <n v="136870.04510000031"/>
    <n v="72387.019400000325"/>
    <n v="143029.19712950033"/>
    <n v="75491.530588772686"/>
    <n v="0"/>
    <n v="0"/>
    <n v="0.75642674262199416"/>
    <n v="0.71120151104630425"/>
    <n v="0.87539870913654116"/>
    <n v="0.8"/>
    <n v="0.8"/>
    <n v="0.88"/>
    <n v="0"/>
    <n v="77482.410000000062"/>
    <n v="117588.92702599338"/>
    <n v="111977.44000000041"/>
    <n v="124373.03844722713"/>
    <n v="109496.03608000025"/>
    <n v="125865.69347396029"/>
    <n v="0"/>
  </r>
  <r>
    <x v="0"/>
    <s v="CASONA"/>
    <n v="211"/>
    <x v="0"/>
    <x v="2"/>
    <x v="0"/>
    <s v="LA PAZ"/>
    <s v="A 1"/>
    <x v="9"/>
    <n v="89612.180000000022"/>
    <n v="47104.959999999999"/>
    <n v="135279.73000000001"/>
    <n v="73226.430000000008"/>
    <n v="159830.91028750013"/>
    <n v="87952.839355562581"/>
    <n v="164621.24245745433"/>
    <n v="89372.872530151973"/>
    <n v="162556.16000000079"/>
    <n v="85156.420000000813"/>
    <n v="164621.24245745433"/>
    <n v="89372.872530151973"/>
    <n v="174498.51700490154"/>
    <n v="92607.479979157913"/>
    <n v="0"/>
    <n v="0"/>
    <n v="0.87271618657195982"/>
    <n v="0.89012330901019576"/>
    <n v="0.72264342366355161"/>
    <n v="0.9"/>
    <n v="0.9"/>
    <n v="0.89999999999999991"/>
    <n v="0"/>
    <n v="78206.000000000058"/>
    <n v="120415.64090960586"/>
    <n v="117470.14000000065"/>
    <n v="148159.1182117089"/>
    <n v="148159.1182117089"/>
    <n v="157048.66530441138"/>
    <n v="0"/>
  </r>
  <r>
    <x v="0"/>
    <s v="CASONA"/>
    <n v="211"/>
    <x v="0"/>
    <x v="2"/>
    <x v="0"/>
    <s v="LA PAZ"/>
    <s v="A 1"/>
    <x v="10"/>
    <n v="146048.97999999992"/>
    <n v="64762.54999999993"/>
    <n v="207269.88"/>
    <n v="107760.37000000002"/>
    <n v="218251.84760000015"/>
    <n v="108954.52783100006"/>
    <n v="224793.12828738164"/>
    <n v="110957.88812265158"/>
    <n v="279482.04022988508"/>
    <n v="115791.73791641822"/>
    <n v="273892.39942528738"/>
    <n v="135193.28835632186"/>
    <n v="295803.79137931042"/>
    <n v="146257.03142363075"/>
    <n v="0"/>
    <n v="0"/>
    <n v="0.38931692641742505"/>
    <n v="0.67643826591830614"/>
    <n v="0.34608064165648184"/>
    <n v="0.6"/>
    <n v="0.6"/>
    <n v="0.65"/>
    <n v="0"/>
    <n v="56859.339999999953"/>
    <n v="140205.27820429541"/>
    <n v="96723.323814221294"/>
    <n v="134875.87697242899"/>
    <n v="164335.43965517243"/>
    <n v="192272.46439655178"/>
    <n v="0"/>
  </r>
  <r>
    <x v="0"/>
    <s v="CASONA"/>
    <n v="211"/>
    <x v="0"/>
    <x v="2"/>
    <x v="0"/>
    <s v="LA PAZ"/>
    <s v="A 1"/>
    <x v="11"/>
    <n v="298421.40999999997"/>
    <n v="140510.78999999998"/>
    <n v="356036.86999999994"/>
    <n v="191891.77999999994"/>
    <n v="362760.00025000074"/>
    <n v="198931.45648250042"/>
    <n v="369858.30655489262"/>
    <n v="194101.63928000766"/>
    <n v="305103.37643678172"/>
    <n v="151803.39657904525"/>
    <n v="369858.30655489262"/>
    <n v="194101.63928000766"/>
    <n v="399446.97107928409"/>
    <n v="209091.71096319886"/>
    <n v="0"/>
    <n v="0"/>
    <n v="0.43770924478910678"/>
    <n v="0.84126118497235469"/>
    <n v="0.55927577678720963"/>
    <n v="0.8"/>
    <n v="0.8"/>
    <n v="0.85"/>
    <n v="0"/>
    <n v="130621.81000000039"/>
    <n v="299519.99915004813"/>
    <n v="170636.92785708152"/>
    <n v="295886.6452439141"/>
    <n v="295886.6452439141"/>
    <n v="339529.92541739147"/>
    <n v="0"/>
  </r>
  <r>
    <x v="0"/>
    <s v="COLON"/>
    <n v="402"/>
    <x v="0"/>
    <x v="0"/>
    <x v="0"/>
    <s v="SANTA CRUZ"/>
    <s v="B 2"/>
    <x v="0"/>
    <n v="39576.179999999993"/>
    <n v="20058.37"/>
    <n v="17595.439999999999"/>
    <n v="8175.57"/>
    <n v="488"/>
    <n v="24700.644933333326"/>
    <n v="20503.21"/>
    <n v="9248.7707561065381"/>
    <n v="20503.210000000006"/>
    <n v="9174.0900000000038"/>
    <n v="24700.644933333326"/>
    <n v="11052.217661353709"/>
    <n v="24700.644933333329"/>
    <n v="12119.553829210578"/>
    <n v="19746.982758620696"/>
    <n v="10667.032982358163"/>
    <n v="0.75916346650940048"/>
    <n v="0.55058507387073852"/>
    <n v="0.56078430274138147"/>
    <n v="0.56078430274138102"/>
    <n v="0.56078430274138102"/>
    <n v="0.7"/>
    <n v="0.96581028674539249"/>
    <n v="30044.79"/>
    <n v="9687.7866321881465"/>
    <n v="11497.878323810124"/>
    <n v="11497.87832381011"/>
    <n v="13851.733946201755"/>
    <n v="17290.451453333328"/>
    <n v="19071.839080459777"/>
  </r>
  <r>
    <x v="0"/>
    <s v="COLON"/>
    <n v="402"/>
    <x v="0"/>
    <x v="0"/>
    <x v="0"/>
    <s v="SANTA CRUZ"/>
    <s v="B 2"/>
    <x v="1"/>
    <n v="58222.479999999996"/>
    <n v="23955.489999999994"/>
    <n v="24341.790000000008"/>
    <n v="10071.700000000004"/>
    <n v="729"/>
    <n v="39095.044799999981"/>
    <n v="34120.409999999989"/>
    <n v="12892.678984937756"/>
    <n v="34120.409999999996"/>
    <n v="12496.799999999992"/>
    <n v="39095.044799999981"/>
    <n v="14318.789131098938"/>
    <n v="39095.044799999989"/>
    <n v="16467.609582661993"/>
    <n v="29871.264367816137"/>
    <n v="13057.526531068521"/>
    <n v="0.39235824375739492"/>
    <n v="0.33097031885022499"/>
    <n v="0.17835911780008756"/>
    <n v="0.17835911780008756"/>
    <n v="0.17835911780008756"/>
    <n v="0.38999999999999996"/>
    <n v="0.38411959365861142"/>
    <n v="22844.070000000051"/>
    <n v="8056.4099976852203"/>
    <n v="6085.6862265772852"/>
    <n v="6085.6862265772834"/>
    <n v="6972.9577008828974"/>
    <n v="15247.067471999993"/>
    <n v="11474.137931034493"/>
  </r>
  <r>
    <x v="0"/>
    <s v="COLON"/>
    <n v="402"/>
    <x v="0"/>
    <x v="0"/>
    <x v="0"/>
    <s v="SANTA CRUZ"/>
    <s v="B 2"/>
    <x v="2"/>
    <n v="40761.620000000003"/>
    <n v="19205.690000000002"/>
    <n v="40478.03"/>
    <n v="15584.02"/>
    <n v="1264"/>
    <n v="28691.249999999989"/>
    <n v="25309.830000000009"/>
    <n v="11798.475268902508"/>
    <n v="25309.83000000002"/>
    <n v="10921.610000000022"/>
    <n v="25309.83"/>
    <n v="10921.610000000015"/>
    <n v="0"/>
    <n v="0"/>
    <n v="0"/>
    <n v="0"/>
    <n v="0.51388512036567668"/>
    <n v="0.29618066107659818"/>
    <n v="0.46486823747456785"/>
    <n v="0.4648682374745674"/>
    <n v="0.4648682374745674"/>
    <n v="0"/>
    <n v="0.74230117008648466"/>
    <n v="20946.789999999975"/>
    <n v="11988.809684478374"/>
    <n v="11765.736062880951"/>
    <n v="11765.736062880935"/>
    <n v="11765.736062880931"/>
    <n v="0"/>
    <n v="0"/>
  </r>
  <r>
    <x v="0"/>
    <s v="COLON"/>
    <n v="402"/>
    <x v="0"/>
    <x v="0"/>
    <x v="0"/>
    <s v="SANTA CRUZ"/>
    <s v="B 2"/>
    <x v="3"/>
    <n v="38640.49"/>
    <n v="19993.079999999998"/>
    <n v="20820.219999999998"/>
    <n v="9592.09"/>
    <n v="591"/>
    <n v="23205.348699999995"/>
    <n v="22165.960000000014"/>
    <n v="10752.413353807904"/>
    <n v="22165.96"/>
    <n v="10677.560000000003"/>
    <n v="22165.960000000006"/>
    <n v="10677.560000000007"/>
    <n v="14186.214400000004"/>
    <n v="6960.5708481523598"/>
    <n v="0"/>
    <n v="0"/>
    <n v="0.68751638501478629"/>
    <n v="0.51049910629263817"/>
    <n v="0.64090646428071862"/>
    <n v="0.64090646428071851"/>
    <n v="0.64090646428071851"/>
    <n v="0.7"/>
    <n v="0"/>
    <n v="26565.969999999998"/>
    <n v="10628.70370281611"/>
    <n v="14206.307050987838"/>
    <n v="14206.307050987843"/>
    <n v="14206.30705098784"/>
    <n v="9930.350080000002"/>
    <n v="0"/>
  </r>
  <r>
    <x v="0"/>
    <s v="COLON"/>
    <n v="402"/>
    <x v="0"/>
    <x v="0"/>
    <x v="0"/>
    <s v="SANTA CRUZ"/>
    <s v="B 2"/>
    <x v="4"/>
    <n v="36604.400000000001"/>
    <n v="19277.550000000003"/>
    <n v="21879.649999999998"/>
    <n v="10363.309999999996"/>
    <n v="610"/>
    <n v="26109.824499999988"/>
    <n v="18454.550000000003"/>
    <n v="9282.8381655652847"/>
    <n v="18454.550000000003"/>
    <n v="9136.4500000000044"/>
    <n v="18454.550000000003"/>
    <n v="9136.4500000000044"/>
    <n v="23651.564803719011"/>
    <n v="11604.814917075615"/>
    <n v="0"/>
    <n v="0"/>
    <n v="0.75996574182338761"/>
    <n v="0.56633435803907628"/>
    <n v="0.73092628446165409"/>
    <n v="0.73092628446165409"/>
    <n v="0.73092628446165409"/>
    <n v="0.7"/>
    <n v="0"/>
    <n v="27818.090000000011"/>
    <n v="12391.197536869675"/>
    <n v="13488.915662911821"/>
    <n v="13488.915662911821"/>
    <n v="13488.915662911821"/>
    <n v="16556.095362603308"/>
    <n v="0"/>
  </r>
  <r>
    <x v="0"/>
    <s v="COLON"/>
    <n v="402"/>
    <x v="0"/>
    <x v="0"/>
    <x v="0"/>
    <s v="SANTA CRUZ"/>
    <s v="B 2"/>
    <x v="5"/>
    <n v="36116.559999999998"/>
    <n v="18345.3"/>
    <n v="19823.7"/>
    <n v="9380.15"/>
    <n v="513"/>
    <n v="22076.606799999998"/>
    <n v="20955.28"/>
    <n v="10792.100000000011"/>
    <n v="20955.28"/>
    <n v="10792.100000000004"/>
    <n v="20955.280000000002"/>
    <n v="10792.100000000006"/>
    <n v="26856.529305785127"/>
    <n v="13177.354415875559"/>
    <n v="0"/>
    <n v="0"/>
    <n v="0.65180958540902034"/>
    <n v="0.59285302753694669"/>
    <n v="0.76520380543710231"/>
    <n v="0.7652038054371022"/>
    <n v="0.7652038054371022"/>
    <n v="0.7"/>
    <n v="0"/>
    <n v="23541.120000000006"/>
    <n v="11752.540561984171"/>
    <n v="16035.060000000001"/>
    <n v="16035.059999999998"/>
    <n v="16035.060000000001"/>
    <n v="18799.570514049588"/>
    <n v="0"/>
  </r>
  <r>
    <x v="0"/>
    <s v="COLON"/>
    <n v="402"/>
    <x v="0"/>
    <x v="0"/>
    <x v="0"/>
    <s v="SANTA CRUZ"/>
    <s v="B 2"/>
    <x v="6"/>
    <n v="31177.72"/>
    <n v="15913.809999999998"/>
    <n v="24422.18"/>
    <n v="11649.29"/>
    <n v="55"/>
    <n v="2369.9625000000005"/>
    <n v="22247.319999999992"/>
    <n v="11265.475781015324"/>
    <n v="22231.510000000002"/>
    <n v="11257.470000000007"/>
    <n v="22231.510000000002"/>
    <n v="11257.470000000007"/>
    <n v="28492.160440082651"/>
    <n v="13979.888909624766"/>
    <n v="0"/>
    <n v="0"/>
    <n v="0.66231494798208501"/>
    <n v="0.60671047087093211"/>
    <n v="0.7175099667094138"/>
    <n v="0.7175099667094138"/>
    <n v="0.7175099667094138"/>
    <n v="0.70000000000000007"/>
    <n v="0"/>
    <n v="20649.470000000012"/>
    <n v="14817.19232749466"/>
    <n v="15951.330000000002"/>
    <n v="15962.67383257367"/>
    <n v="15951.330000000002"/>
    <n v="19944.512308057856"/>
    <n v="0"/>
  </r>
  <r>
    <x v="0"/>
    <s v="COLON"/>
    <n v="402"/>
    <x v="0"/>
    <x v="0"/>
    <x v="0"/>
    <s v="SANTA CRUZ"/>
    <s v="B 2"/>
    <x v="7"/>
    <n v="75558.990000000005"/>
    <n v="26517.789999999994"/>
    <n v="54327.139999999985"/>
    <n v="17385.139999999992"/>
    <n v="0"/>
    <n v="0"/>
    <n v="37534.672992469634"/>
    <n v="13388.617856413919"/>
    <n v="54039.919999999976"/>
    <n v="23047.069999999978"/>
    <n v="54039.92000000002"/>
    <n v="19276.039464000009"/>
    <n v="64410.113656363668"/>
    <n v="27130.819526977062"/>
    <n v="0"/>
    <n v="0"/>
    <n v="0.21119419409920706"/>
    <n v="0.1583207150719968"/>
    <n v="0.31493107317701458"/>
    <n v="0.22"/>
    <n v="0.22"/>
    <n v="0.39"/>
    <n v="0"/>
    <n v="15957.620000000046"/>
    <n v="8601.1116526164769"/>
    <n v="17018.850000000006"/>
    <n v="8257.6280583433199"/>
    <n v="11888.782400000004"/>
    <n v="25119.944325981833"/>
    <n v="0"/>
  </r>
  <r>
    <x v="0"/>
    <s v="COLON"/>
    <n v="402"/>
    <x v="0"/>
    <x v="0"/>
    <x v="0"/>
    <s v="SANTA CRUZ"/>
    <s v="B 2"/>
    <x v="8"/>
    <n v="31906.879999999997"/>
    <n v="14982.149999999998"/>
    <n v="24013.050000000003"/>
    <n v="9844.4399999999987"/>
    <n v="0"/>
    <n v="0"/>
    <n v="22824.681000000019"/>
    <n v="10873.678028400009"/>
    <n v="16383.620000000003"/>
    <n v="8395.5599999999977"/>
    <n v="16383.620000000003"/>
    <n v="8395.5599999999977"/>
    <n v="20997.436954545461"/>
    <n v="10208.482335795245"/>
    <n v="0"/>
    <n v="0"/>
    <n v="0.4994349181117051"/>
    <n v="0.3795736948087034"/>
    <n v="0.81514769019300959"/>
    <n v="0.6"/>
    <n v="0.6"/>
    <n v="0.67999999999999994"/>
    <n v="0"/>
    <n v="15935.41"/>
    <n v="9114.7221121261355"/>
    <n v="13355.069999999998"/>
    <n v="13694.808600000011"/>
    <n v="9830.1720000000005"/>
    <n v="14278.257129090913"/>
    <n v="0"/>
  </r>
  <r>
    <x v="0"/>
    <s v="COLON"/>
    <n v="402"/>
    <x v="0"/>
    <x v="0"/>
    <x v="0"/>
    <s v="SANTA CRUZ"/>
    <s v="B 2"/>
    <x v="9"/>
    <n v="16997.72"/>
    <n v="8429.0400000000009"/>
    <n v="19824.68"/>
    <n v="8831.6799999999985"/>
    <n v="0"/>
    <n v="0"/>
    <n v="0"/>
    <n v="0"/>
    <n v="14915.830000000011"/>
    <n v="8000.8200000000079"/>
    <n v="21891.750000000004"/>
    <n v="11742.688890594762"/>
    <n v="28056.720092975207"/>
    <n v="13766.236887970181"/>
    <n v="0"/>
    <n v="0"/>
    <n v="0.54994140390593571"/>
    <n v="0.49095469591180274"/>
    <n v="0.8402636661855224"/>
    <n v="0.6"/>
    <n v="0.6"/>
    <n v="0.70000000000000007"/>
    <n v="0"/>
    <n v="9347.7500000000018"/>
    <n v="9733.0197409487973"/>
    <n v="12533.23000000001"/>
    <n v="0"/>
    <n v="13135.050000000001"/>
    <n v="19639.704065082646"/>
    <n v="0"/>
  </r>
  <r>
    <x v="0"/>
    <s v="COLON"/>
    <n v="402"/>
    <x v="0"/>
    <x v="0"/>
    <x v="0"/>
    <s v="SANTA CRUZ"/>
    <s v="B 2"/>
    <x v="10"/>
    <n v="21970.969999999994"/>
    <n v="9565.3399999999947"/>
    <n v="20032.600000000002"/>
    <n v="8834.3000000000029"/>
    <n v="0"/>
    <n v="0"/>
    <n v="4028.3599999999988"/>
    <n v="1699.5650839999994"/>
    <n v="14411.063218390804"/>
    <n v="5556.7082808420819"/>
    <n v="21148.89"/>
    <n v="8922.7166909999996"/>
    <n v="27104.66212190083"/>
    <n v="12206.281718227747"/>
    <n v="0"/>
    <n v="0"/>
    <n v="0.40381330455596626"/>
    <n v="0.37649961771043339"/>
    <n v="0.31493107317701458"/>
    <n v="0.35"/>
    <n v="0.35"/>
    <n v="0.51999999999999991"/>
    <n v="0"/>
    <n v="8872.1699999999946"/>
    <n v="7542.2662417460288"/>
    <n v="4538.4916049896174"/>
    <n v="1409.9259999999995"/>
    <n v="7402.1114999999991"/>
    <n v="14094.424303388429"/>
    <n v="0"/>
  </r>
  <r>
    <x v="0"/>
    <s v="COLON"/>
    <n v="402"/>
    <x v="0"/>
    <x v="0"/>
    <x v="0"/>
    <s v="SANTA CRUZ"/>
    <s v="B 2"/>
    <x v="11"/>
    <n v="62216.039999999994"/>
    <n v="28727.88"/>
    <n v="46750"/>
    <n v="22477.810000000005"/>
    <n v="0"/>
    <n v="0"/>
    <n v="52594.553000000036"/>
    <n v="25476.801473200016"/>
    <n v="53921.752873563215"/>
    <n v="25464.280253656405"/>
    <n v="52594.553000000036"/>
    <n v="25476.801473200016"/>
    <n v="69106.742370808395"/>
    <n v="33598.146302519606"/>
    <n v="0"/>
    <n v="0"/>
    <n v="0.42690904146261938"/>
    <n v="0.62355649262766866"/>
    <n v="0.46486823747456785"/>
    <n v="0.6"/>
    <n v="0.6"/>
    <n v="0.67999999999999994"/>
    <n v="0"/>
    <n v="26560.589999999982"/>
    <n v="29151.266030343511"/>
    <n v="25066.510219872547"/>
    <n v="31556.73180000002"/>
    <n v="31556.73180000002"/>
    <n v="46992.584812149704"/>
    <n v="0"/>
  </r>
  <r>
    <x v="0"/>
    <s v="ELEGANCIA"/>
    <n v="101"/>
    <x v="0"/>
    <x v="2"/>
    <x v="0"/>
    <s v="ZONA SUR"/>
    <s v="A 2"/>
    <x v="0"/>
    <n v="184192.27999999997"/>
    <n v="96747.37000000001"/>
    <n v="127888.13999999998"/>
    <n v="66100.379999999976"/>
    <n v="118946.80936666674"/>
    <n v="60926.214278166706"/>
    <n v="120471.05000000031"/>
    <n v="63830.858235186453"/>
    <n v="120471.05000000025"/>
    <n v="63875.020000000346"/>
    <n v="118946.80936666674"/>
    <n v="63066.851556718815"/>
    <n v="124894.14983500008"/>
    <n v="66488.883982145882"/>
    <n v="116317.24137931013"/>
    <n v="64054.929145104004"/>
    <n v="0.79885400191582467"/>
    <n v="0.76944990416956394"/>
    <n v="0.84759883054262697"/>
    <n v="0.84759883054262564"/>
    <n v="0.84759883054262564"/>
    <n v="0.9"/>
    <n v="0.95556889600379447"/>
    <n v="147142.74000000008"/>
    <n v="98403.51706742376"/>
    <n v="102111.12109424255"/>
    <n v="102111.12109424244"/>
    <n v="100819.17651596337"/>
    <n v="112404.73485150008"/>
    <n v="111149.13793103426"/>
  </r>
  <r>
    <x v="0"/>
    <s v="ELEGANCIA"/>
    <n v="101"/>
    <x v="0"/>
    <x v="2"/>
    <x v="0"/>
    <s v="ZONA SUR"/>
    <s v="A 2"/>
    <x v="1"/>
    <n v="222471.28999999995"/>
    <n v="92564.599999999948"/>
    <n v="143465.46999999997"/>
    <n v="66400.089999999982"/>
    <n v="166417.17350000044"/>
    <n v="72873.211542500198"/>
    <n v="155139.09000000014"/>
    <n v="66469.130477665443"/>
    <n v="155139.09000000029"/>
    <n v="66560.440000000352"/>
    <n v="166417.17350000044"/>
    <n v="71399.15730920175"/>
    <n v="172241.77457250046"/>
    <n v="78288.126245289459"/>
    <n v="156973.41954023045"/>
    <n v="71560.188634507329"/>
    <n v="0.38709174563603266"/>
    <n v="0.52802517453335007"/>
    <n v="0.29507105007492018"/>
    <n v="0.29507105007492057"/>
    <n v="0.29507105007492057"/>
    <n v="0.39"/>
    <n v="0.437229013258156"/>
    <n v="86116.800000000032"/>
    <n v="75753.37983625909"/>
    <n v="45777.054193967633"/>
    <n v="45777.054193967648"/>
    <n v="49104.890135145375"/>
    <n v="67174.292083275184"/>
    <n v="68633.333333333503"/>
  </r>
  <r>
    <x v="0"/>
    <s v="ELEGANCIA"/>
    <n v="101"/>
    <x v="0"/>
    <x v="2"/>
    <x v="0"/>
    <s v="ZONA SUR"/>
    <s v="A 2"/>
    <x v="2"/>
    <n v="175453.88999999996"/>
    <n v="82866.859999999971"/>
    <n v="169492.65999999997"/>
    <n v="76154.969999999972"/>
    <n v="127973.44559000016"/>
    <n v="62133.869524800073"/>
    <n v="147056.85000000024"/>
    <n v="70577.271645035697"/>
    <n v="147056.85000000024"/>
    <n v="70452.780000000261"/>
    <n v="147056.85000000073"/>
    <n v="70452.780000000494"/>
    <n v="142645.14450000072"/>
    <n v="73544.048931629572"/>
    <n v="123326.53737835212"/>
    <n v="63143.18713771629"/>
    <n v="0.5324234760483213"/>
    <n v="0.43598738671194537"/>
    <n v="0.52191111344246899"/>
    <n v="0.52191111344246843"/>
    <n v="0.52191111344246843"/>
    <n v="0.79"/>
    <n v="0.74741762034111503"/>
    <n v="93415.769999999771"/>
    <n v="73896.661900256266"/>
    <n v="76750.604322842264"/>
    <n v="76750.604322842191"/>
    <n v="76750.604322842453"/>
    <n v="112689.66415500057"/>
    <n v="92176.427092237514"/>
  </r>
  <r>
    <x v="0"/>
    <s v="ELEGANCIA"/>
    <n v="101"/>
    <x v="0"/>
    <x v="2"/>
    <x v="0"/>
    <s v="ZONA SUR"/>
    <s v="A 2"/>
    <x v="3"/>
    <n v="142722.31999999998"/>
    <n v="75545.349999999977"/>
    <n v="105008.55999999995"/>
    <n v="56227.399999999951"/>
    <n v="110487.1597100002"/>
    <n v="59670.384197200117"/>
    <n v="112061.14000000014"/>
    <n v="58259.960911908725"/>
    <n v="112061.14000000014"/>
    <n v="57850.210000000101"/>
    <n v="114302.36280000015"/>
    <n v="59007.214200000104"/>
    <n v="121160.50456800015"/>
    <n v="63576.645158727217"/>
    <n v="0"/>
    <n v="0"/>
    <n v="0.80652423531231965"/>
    <n v="0.85582980741218195"/>
    <n v="0.79767417145347164"/>
    <n v="0.79767417145347019"/>
    <n v="0.79767417145347019"/>
    <n v="0.85"/>
    <n v="0"/>
    <n v="115109.01000000017"/>
    <n v="89869.455681430511"/>
    <n v="89388.277001631606"/>
    <n v="89388.277001631446"/>
    <n v="91176.042541664065"/>
    <n v="102986.42888280013"/>
    <n v="0"/>
  </r>
  <r>
    <x v="0"/>
    <s v="ELEGANCIA"/>
    <n v="101"/>
    <x v="0"/>
    <x v="2"/>
    <x v="0"/>
    <s v="ZONA SUR"/>
    <s v="A 2"/>
    <x v="4"/>
    <n v="142144.21999999997"/>
    <n v="74575.869999999981"/>
    <n v="109594.16999999998"/>
    <n v="59737.499999999985"/>
    <n v="119314.02867500008"/>
    <n v="62089.01617687504"/>
    <n v="122843.78000000029"/>
    <n v="67250.038507052726"/>
    <n v="122843.78000000032"/>
    <n v="66668.06000000026"/>
    <n v="122843.78000000032"/>
    <n v="66668.06000000026"/>
    <n v="126529.09340000033"/>
    <n v="67359.2656065396"/>
    <n v="0"/>
    <n v="0"/>
    <n v="0.79149887346808889"/>
    <n v="0.88782649984038275"/>
    <n v="0.90422377357371919"/>
    <n v="0.9042237735737183"/>
    <n v="0.9042237735737183"/>
    <n v="0.9"/>
    <n v="0"/>
    <n v="112506.99000000017"/>
    <n v="97300.608354011871"/>
    <n v="111078.26631166006"/>
    <n v="111078.26631165993"/>
    <n v="111078.26631165996"/>
    <n v="113876.18406000031"/>
    <n v="0"/>
  </r>
  <r>
    <x v="0"/>
    <s v="ELEGANCIA"/>
    <n v="101"/>
    <x v="0"/>
    <x v="2"/>
    <x v="0"/>
    <s v="ZONA SUR"/>
    <s v="A 2"/>
    <x v="5"/>
    <n v="136098.87999999998"/>
    <n v="71815.600000000006"/>
    <n v="93187.829999999987"/>
    <n v="50335.82"/>
    <n v="108981.66592500008"/>
    <n v="59587.891014125053"/>
    <n v="101039.94000000029"/>
    <n v="55178.920000000682"/>
    <n v="101039.94000000026"/>
    <n v="55178.920000000275"/>
    <n v="113164.73280000032"/>
    <n v="61800.390400000324"/>
    <n v="119954.61676800034"/>
    <n v="63859.264889085047"/>
    <n v="0"/>
    <n v="0"/>
    <n v="0.80476701939060902"/>
    <n v="0.90102066074981213"/>
    <n v="0.9233981136568381"/>
    <n v="0.9233981136568381"/>
    <n v="0.9233981136568381"/>
    <n v="0.89999999999999991"/>
    <n v="0"/>
    <n v="109527.89000000014"/>
    <n v="83964.160160441155"/>
    <n v="93300.090000000346"/>
    <n v="93300.090000000375"/>
    <n v="104496.10080000041"/>
    <n v="107959.1550912003"/>
    <n v="0"/>
  </r>
  <r>
    <x v="0"/>
    <s v="ELEGANCIA"/>
    <n v="101"/>
    <x v="0"/>
    <x v="2"/>
    <x v="0"/>
    <s v="ZONA SUR"/>
    <s v="A 2"/>
    <x v="6"/>
    <n v="162218.91999999998"/>
    <n v="86552.789999999979"/>
    <n v="106292.26999999997"/>
    <n v="57801.979999999974"/>
    <n v="115795.13635000009"/>
    <n v="63559.754897500039"/>
    <n v="121890.86999999997"/>
    <n v="65766.300000000585"/>
    <n v="121890.87000000024"/>
    <n v="65766.300000000309"/>
    <n v="121890.87000000068"/>
    <n v="65766.300000000541"/>
    <n v="129204.32220000072"/>
    <n v="68783.455430834103"/>
    <n v="0"/>
    <n v="0"/>
    <n v="0.87284880210027294"/>
    <n v="0.92341007033588429"/>
    <n v="0.90502086005293192"/>
    <n v="0.90502086005293192"/>
    <n v="0.90502086005293192"/>
    <n v="0.9"/>
    <n v="0"/>
    <n v="141592.59"/>
    <n v="98151.352516860774"/>
    <n v="110313.78000000033"/>
    <n v="110313.78000000009"/>
    <n v="110313.78000000073"/>
    <n v="116283.88998000065"/>
    <n v="0"/>
  </r>
  <r>
    <x v="0"/>
    <s v="ELEGANCIA"/>
    <n v="101"/>
    <x v="0"/>
    <x v="2"/>
    <x v="0"/>
    <s v="ZONA SUR"/>
    <s v="A 2"/>
    <x v="7"/>
    <n v="364380.30999999994"/>
    <n v="125024.10999999993"/>
    <n v="176175.66999999995"/>
    <n v="72906.709999999963"/>
    <n v="185435.14030000006"/>
    <n v="78418.353629000019"/>
    <n v="203299.41857455921"/>
    <n v="91661.608852711521"/>
    <n v="246967.59000000113"/>
    <n v="109386.72000000108"/>
    <n v="246967.59000000046"/>
    <n v="111350.27730330022"/>
    <n v="255611.45565000054"/>
    <n v="118132.29605145907"/>
    <n v="0"/>
    <n v="0"/>
    <n v="0.25823489200061472"/>
    <n v="0.38329994317493238"/>
    <n v="0.38397313590824317"/>
    <n v="0.37"/>
    <n v="0.37"/>
    <n v="0.43999999999999995"/>
    <n v="0"/>
    <n v="94095.710000000501"/>
    <n v="67528.124299805626"/>
    <n v="94828.920000001715"/>
    <n v="75220.784872586912"/>
    <n v="91378.008300000176"/>
    <n v="112469.04048600023"/>
    <n v="0"/>
  </r>
  <r>
    <x v="0"/>
    <s v="ELEGANCIA"/>
    <n v="101"/>
    <x v="0"/>
    <x v="2"/>
    <x v="0"/>
    <s v="ZONA SUR"/>
    <s v="A 2"/>
    <x v="8"/>
    <n v="128255.26999999999"/>
    <n v="65226.319999999978"/>
    <n v="122310.29999999999"/>
    <n v="61008.149999999994"/>
    <n v="109237.64375000002"/>
    <n v="57530.294932250021"/>
    <n v="113750.25081331252"/>
    <n v="60014.632329103697"/>
    <n v="110107.60000000031"/>
    <n v="57700.780000000319"/>
    <n v="112309.75200000031"/>
    <n v="58854.795600000318"/>
    <n v="117925.23960000034"/>
    <n v="60799.12233827576"/>
    <n v="0"/>
    <n v="0"/>
    <n v="0.73779330861024406"/>
    <n v="0.70266588502100735"/>
    <n v="0.82952048723249061"/>
    <n v="0.8"/>
    <n v="0.8"/>
    <n v="0.79"/>
    <n v="0"/>
    <n v="94625.880000000165"/>
    <n v="85943.275196684903"/>
    <n v="91336.510000000446"/>
    <n v="91000.200650650018"/>
    <n v="89847.801600000254"/>
    <n v="93160.939284000269"/>
    <n v="0"/>
  </r>
  <r>
    <x v="0"/>
    <s v="ELEGANCIA"/>
    <n v="101"/>
    <x v="0"/>
    <x v="2"/>
    <x v="0"/>
    <s v="ZONA SUR"/>
    <s v="A 2"/>
    <x v="9"/>
    <n v="86888.239999999991"/>
    <n v="45294.32999999998"/>
    <n v="103284.38999999998"/>
    <n v="55580.319999999978"/>
    <n v="116415.56315000003"/>
    <n v="63300.244576750032"/>
    <n v="121224.69006372654"/>
    <n v="65921.9864566545"/>
    <n v="122257.95000000046"/>
    <n v="63561.690000000468"/>
    <n v="122257.95000000001"/>
    <n v="66483.87321000002"/>
    <n v="129593.42700000003"/>
    <n v="68990.599992354633"/>
    <n v="0"/>
    <n v="0"/>
    <n v="0.81098178533711907"/>
    <n v="0.84333097531808532"/>
    <n v="0.70051771684377262"/>
    <n v="0.89999999999999991"/>
    <n v="0.89999999999999991"/>
    <n v="0.89999999999999991"/>
    <n v="0"/>
    <n v="70464.780000000072"/>
    <n v="87102.925353833489"/>
    <n v="85643.860000000437"/>
    <n v="109102.22105735388"/>
    <n v="110032.155"/>
    <n v="116634.08430000002"/>
    <n v="0"/>
  </r>
  <r>
    <x v="0"/>
    <s v="ELEGANCIA"/>
    <n v="101"/>
    <x v="0"/>
    <x v="2"/>
    <x v="0"/>
    <s v="ZONA SUR"/>
    <s v="A 2"/>
    <x v="10"/>
    <n v="130168.70999999998"/>
    <n v="61143.129999999961"/>
    <n v="112447.40999999997"/>
    <n v="58052.189999999988"/>
    <n v="144939.41755000019"/>
    <n v="72508.615749000091"/>
    <n v="150926.86488899071"/>
    <n v="74859.724984939385"/>
    <n v="184777.01149425289"/>
    <n v="76553.99509889372"/>
    <n v="181081.47126436784"/>
    <n v="89816.409747126439"/>
    <n v="191946.3595402299"/>
    <n v="94861.110919495288"/>
    <n v="0"/>
    <n v="0"/>
    <n v="0.48009825095447378"/>
    <n v="0.67518812024833963"/>
    <n v="0.38397313590824317"/>
    <n v="0.6"/>
    <n v="0.6"/>
    <n v="0.65"/>
    <n v="0"/>
    <n v="62493.770000000113"/>
    <n v="75923.155384694328"/>
    <n v="70949.408547201776"/>
    <n v="90556.11893339442"/>
    <n v="108648.8827586207"/>
    <n v="124765.13370114943"/>
    <n v="0"/>
  </r>
  <r>
    <x v="0"/>
    <s v="ELEGANCIA"/>
    <n v="101"/>
    <x v="0"/>
    <x v="2"/>
    <x v="0"/>
    <s v="ZONA SUR"/>
    <s v="A 2"/>
    <x v="11"/>
    <n v="329098.03999999992"/>
    <n v="152019.14999999991"/>
    <n v="278893.5799999999"/>
    <n v="147880.08999999994"/>
    <n v="283808.43895000091"/>
    <n v="153276.88779650049"/>
    <n v="295532.56556302548"/>
    <n v="156041.19461727751"/>
    <n v="247261.7816091954"/>
    <n v="122649.24665340426"/>
    <n v="295532.56556302548"/>
    <n v="156041.19461727751"/>
    <n v="314742.18232462212"/>
    <n v="164194.17632770652"/>
    <n v="0"/>
    <n v="0"/>
    <n v="0.43195711527178909"/>
    <n v="0.79181986742280763"/>
    <n v="0.52191111344246899"/>
    <n v="0.8"/>
    <n v="0.8"/>
    <n v="0.83"/>
    <n v="0"/>
    <n v="142156.23999999982"/>
    <n v="220833.47754067212"/>
    <n v="129048.67175142377"/>
    <n v="236426.05245042039"/>
    <n v="236426.05245042039"/>
    <n v="261236.01132943635"/>
    <n v="0"/>
  </r>
  <r>
    <x v="0"/>
    <s v="EQUIPETROL"/>
    <n v="412"/>
    <x v="0"/>
    <x v="2"/>
    <x v="0"/>
    <s v="SANTA CRUZ"/>
    <s v="A 3"/>
    <x v="0"/>
    <n v="42878.869999999995"/>
    <n v="21849.509999999995"/>
    <n v="35725.599999999991"/>
    <n v="18774.97"/>
    <n v="52455.215916666675"/>
    <n v="27428.384919833337"/>
    <n v="36931.470000000052"/>
    <n v="19181.503194349061"/>
    <n v="36931.470000000023"/>
    <n v="19315.669999999998"/>
    <n v="52455.215916666675"/>
    <n v="27434.803987631152"/>
    <n v="53766.596314583352"/>
    <n v="28719.617608439949"/>
    <n v="39147.557471264336"/>
    <n v="21589.208605752945"/>
    <n v="0.71675396296590854"/>
    <n v="0.81164129085024406"/>
    <n v="0.86408847293878965"/>
    <n v="0.86408847293878943"/>
    <n v="0.86408847293878943"/>
    <n v="0.88"/>
    <n v="0.95644610172975064"/>
    <n v="30733.600000000002"/>
    <n v="28996.372100399472"/>
    <n v="31912.057515684741"/>
    <n v="31912.057515684759"/>
    <n v="45325.947419106989"/>
    <n v="47314.604756833352"/>
    <n v="37442.52873563215"/>
  </r>
  <r>
    <x v="0"/>
    <s v="EQUIPETROL"/>
    <n v="412"/>
    <x v="0"/>
    <x v="2"/>
    <x v="0"/>
    <s v="SANTA CRUZ"/>
    <s v="A 3"/>
    <x v="1"/>
    <n v="90872.83"/>
    <n v="39185.770000000004"/>
    <n v="62284.37999999999"/>
    <n v="29304.829999999991"/>
    <n v="94779.165800000177"/>
    <n v="41414.682372000083"/>
    <n v="76323.640000000116"/>
    <n v="35061.819761756116"/>
    <n v="76323.64000000013"/>
    <n v="34735.830000000104"/>
    <n v="94779.165800000177"/>
    <n v="43135.167436597942"/>
    <n v="94779.165800000177"/>
    <n v="43253.615999867732"/>
    <n v="79645.545977011512"/>
    <n v="36979.378179513209"/>
    <n v="0.396053033673542"/>
    <n v="0.55803129465410939"/>
    <n v="0.32486286209406767"/>
    <n v="0.32486286209406745"/>
    <n v="0.32486286209406745"/>
    <n v="0.39999999999999997"/>
    <n v="0.4222371751275853"/>
    <n v="35990.460000000057"/>
    <n v="34756.633208128515"/>
    <n v="24794.716135837309"/>
    <n v="24794.716135837287"/>
    <n v="30790.23106867621"/>
    <n v="37911.666320000069"/>
    <n v="33629.310344827558"/>
  </r>
  <r>
    <x v="0"/>
    <s v="EQUIPETROL"/>
    <n v="412"/>
    <x v="0"/>
    <x v="2"/>
    <x v="0"/>
    <s v="SANTA CRUZ"/>
    <s v="A 3"/>
    <x v="2"/>
    <n v="57294.55999999999"/>
    <n v="27126.299999999992"/>
    <n v="95374.809999999983"/>
    <n v="43503.409999999982"/>
    <n v="58293.049609999995"/>
    <n v="28283.778563799999"/>
    <n v="52417.840000000026"/>
    <n v="26084.624829164502"/>
    <n v="52417.840000000011"/>
    <n v="26012.720000000023"/>
    <n v="52417.84000000004"/>
    <n v="26012.720000000038"/>
    <n v="53728.286000000044"/>
    <n v="28437.9288702337"/>
    <n v="58210.066177626737"/>
    <n v="30152.814280010651"/>
    <n v="0.49766365253524969"/>
    <n v="0.49751993127255717"/>
    <n v="0.59889589529231035"/>
    <n v="0.59889589529231002"/>
    <n v="0.59889589529231002"/>
    <n v="0.85000000000000009"/>
    <n v="0.73826226584327326"/>
    <n v="28513.420000000009"/>
    <n v="47450.868916333187"/>
    <n v="31392.829216089085"/>
    <n v="31392.829216089074"/>
    <n v="31392.829216089085"/>
    <n v="45669.043100000039"/>
    <n v="42974.295351181601"/>
  </r>
  <r>
    <x v="0"/>
    <s v="EQUIPETROL"/>
    <n v="412"/>
    <x v="0"/>
    <x v="2"/>
    <x v="0"/>
    <s v="SANTA CRUZ"/>
    <s v="A 3"/>
    <x v="3"/>
    <n v="46334.44"/>
    <n v="23602.98"/>
    <n v="45970.689999999988"/>
    <n v="25035.099999999984"/>
    <n v="53085.621749999984"/>
    <n v="28963.448720399992"/>
    <n v="51189.710000000057"/>
    <n v="27560.084836635924"/>
    <n v="51189.710000000036"/>
    <n v="27554.050000000025"/>
    <n v="51189.710000000065"/>
    <n v="27554.050000000039"/>
    <n v="52469.452750000077"/>
    <n v="28026.743785069884"/>
    <n v="0"/>
    <n v="0"/>
    <n v="0.6838187749760225"/>
    <n v="0.91497817752415023"/>
    <n v="0.84803383292157664"/>
    <n v="0.84803383292157619"/>
    <n v="0.84803383292157619"/>
    <n v="0.88000000000000012"/>
    <n v="0"/>
    <n v="31684.360000000019"/>
    <n v="42062.17815572767"/>
    <n v="43410.605977443993"/>
    <n v="43410.605977443985"/>
    <n v="43410.605977443993"/>
    <n v="46173.118420000072"/>
    <n v="0"/>
  </r>
  <r>
    <x v="0"/>
    <s v="EQUIPETROL"/>
    <n v="412"/>
    <x v="0"/>
    <x v="2"/>
    <x v="0"/>
    <s v="SANTA CRUZ"/>
    <s v="A 3"/>
    <x v="4"/>
    <n v="44216.1"/>
    <n v="23106.629999999994"/>
    <n v="54336.32999999998"/>
    <n v="29261.269999999979"/>
    <n v="54487.133614999992"/>
    <n v="27313.282074300005"/>
    <n v="52432.580000000031"/>
    <n v="28805.56289512966"/>
    <n v="52432.58"/>
    <n v="28834.480000000007"/>
    <n v="52432.58"/>
    <n v="28834.480000000003"/>
    <n v="53743.394500000009"/>
    <n v="28707.224277109155"/>
    <n v="0"/>
    <n v="0"/>
    <n v="0.75110808054079858"/>
    <n v="0.89682602371784292"/>
    <n v="0.92712124108678373"/>
    <n v="0.92712124108678384"/>
    <n v="0.92712124108678384"/>
    <n v="0.88"/>
    <n v="0"/>
    <n v="33211.07"/>
    <n v="48730.234777320526"/>
    <n v="48611.358642982079"/>
    <n v="48611.358642982108"/>
    <n v="48611.358642982079"/>
    <n v="47294.187160000009"/>
    <n v="0"/>
  </r>
  <r>
    <x v="0"/>
    <s v="EQUIPETROL"/>
    <n v="412"/>
    <x v="0"/>
    <x v="2"/>
    <x v="0"/>
    <s v="SANTA CRUZ"/>
    <s v="A 3"/>
    <x v="5"/>
    <n v="38408.089999999989"/>
    <n v="19445.339999999993"/>
    <n v="53099.119999999981"/>
    <n v="29011.249999999996"/>
    <n v="48032.612124999978"/>
    <n v="26276.565301999995"/>
    <n v="50943.139999999992"/>
    <n v="28473.130313505335"/>
    <n v="50943.139999999978"/>
    <n v="28475.159999999985"/>
    <n v="50943.139999999978"/>
    <n v="28475.159999999985"/>
    <n v="52216.718499999966"/>
    <n v="27891.744891442868"/>
    <n v="0"/>
    <n v="0"/>
    <n v="0.76163381204324465"/>
    <n v="0.91191998650062867"/>
    <n v="0.94348542298784355"/>
    <n v="0.94348542298784366"/>
    <n v="0.94348542298784366"/>
    <n v="0.88"/>
    <n v="0"/>
    <n v="29252.900000000016"/>
    <n v="48422.148793595246"/>
    <n v="48064.109991228914"/>
    <n v="48064.109991228928"/>
    <n v="48064.109991228914"/>
    <n v="45950.712279999971"/>
    <n v="0"/>
  </r>
  <r>
    <x v="0"/>
    <s v="EQUIPETROL"/>
    <n v="412"/>
    <x v="0"/>
    <x v="2"/>
    <x v="0"/>
    <s v="SANTA CRUZ"/>
    <s v="A 3"/>
    <x v="6"/>
    <n v="37061.47"/>
    <n v="19920.760000000006"/>
    <n v="48348.689999999995"/>
    <n v="26369.229999999985"/>
    <n v="50820.215449999982"/>
    <n v="27828.610882999994"/>
    <n v="45723.619999999966"/>
    <n v="25532.819999999963"/>
    <n v="45723.619999999966"/>
    <n v="25532.819999999967"/>
    <n v="45723.620000000054"/>
    <n v="25532.820000000014"/>
    <n v="46866.710500000052"/>
    <n v="25034.019193816424"/>
    <n v="0"/>
    <n v="0"/>
    <n v="0.81742359382938679"/>
    <n v="0.92959100768643554"/>
    <n v="0.93350198431357789"/>
    <n v="0.93350198431357789"/>
    <n v="0.93350198431357789"/>
    <n v="0.88"/>
    <n v="0"/>
    <n v="30294.920000000006"/>
    <n v="44944.507457419088"/>
    <n v="42683.089999999967"/>
    <n v="42683.089999999967"/>
    <n v="42683.090000000047"/>
    <n v="41242.705240000047"/>
    <n v="0"/>
  </r>
  <r>
    <x v="0"/>
    <s v="EQUIPETROL"/>
    <n v="412"/>
    <x v="0"/>
    <x v="2"/>
    <x v="0"/>
    <s v="SANTA CRUZ"/>
    <s v="A 3"/>
    <x v="7"/>
    <n v="122414.06"/>
    <n v="46406.009999999987"/>
    <n v="87056.56"/>
    <n v="37098.409999999989"/>
    <n v="93525.56269999998"/>
    <n v="40470.572985500003"/>
    <n v="86867.540054057346"/>
    <n v="38360.705687871727"/>
    <n v="115859.30999999998"/>
    <n v="52655.509999999966"/>
    <n v="115859.31000000011"/>
    <n v="51163.471296000054"/>
    <n v="117597.19965000011"/>
    <n v="53666.901089362364"/>
    <n v="0"/>
    <n v="0"/>
    <n v="0.31840705226180693"/>
    <n v="0.37585030080124437"/>
    <n v="0.39539023665858231"/>
    <n v="0.37"/>
    <n v="0.37"/>
    <n v="0.4"/>
    <n v="0"/>
    <n v="38977.499999999971"/>
    <n v="32720.234262721577"/>
    <n v="45809.640000000043"/>
    <n v="32140.989820001218"/>
    <n v="42867.944700000044"/>
    <n v="47038.879860000045"/>
    <n v="0"/>
  </r>
  <r>
    <x v="0"/>
    <s v="EQUIPETROL"/>
    <n v="412"/>
    <x v="0"/>
    <x v="2"/>
    <x v="0"/>
    <s v="SANTA CRUZ"/>
    <s v="A 3"/>
    <x v="8"/>
    <n v="33048.299999999996"/>
    <n v="16869.45"/>
    <n v="52120.479999999996"/>
    <n v="26383.359999999997"/>
    <n v="48588.145399999979"/>
    <n v="25764.400963999993"/>
    <n v="49064.309224919976"/>
    <n v="26004.083889207588"/>
    <n v="44763.28999999995"/>
    <n v="24134.059999999954"/>
    <n v="44763.28999999995"/>
    <n v="24134.059999999954"/>
    <n v="45882.372249999949"/>
    <n v="24285.152860507809"/>
    <n v="0"/>
    <n v="0"/>
    <n v="0.68765685375647179"/>
    <n v="0.70440330878168134"/>
    <n v="0.86053773080575591"/>
    <n v="0.79999999999999993"/>
    <n v="0.79999999999999993"/>
    <n v="0.85"/>
    <n v="0"/>
    <n v="22725.890000000003"/>
    <n v="36713.838567289444"/>
    <n v="38520.499999999942"/>
    <n v="39251.447379935977"/>
    <n v="35810.631999999954"/>
    <n v="39000.016412499957"/>
    <n v="0"/>
  </r>
  <r>
    <x v="0"/>
    <s v="EQUIPETROL"/>
    <n v="412"/>
    <x v="0"/>
    <x v="2"/>
    <x v="0"/>
    <s v="SANTA CRUZ"/>
    <s v="A 3"/>
    <x v="9"/>
    <n v="27908.229999999996"/>
    <n v="14769.92"/>
    <n v="43521.719999999994"/>
    <n v="23701.309999999994"/>
    <n v="51520.716199999988"/>
    <n v="27977.207693499997"/>
    <n v="52025.619218759988"/>
    <n v="28405.988093442957"/>
    <n v="34183.26999999996"/>
    <n v="18212.619999999981"/>
    <n v="52025.619218759988"/>
    <n v="28405.988093442957"/>
    <n v="52025.619218759995"/>
    <n v="27789.668534398646"/>
    <n v="0"/>
    <n v="0"/>
    <n v="0.82142149466304404"/>
    <n v="0.85958234217749319"/>
    <n v="0.79675818024431255"/>
    <n v="0.9"/>
    <n v="0.9"/>
    <n v="0.88"/>
    <n v="0"/>
    <n v="22924.420000000002"/>
    <n v="37410.502013193043"/>
    <n v="27235.79999999997"/>
    <n v="46823.057296883992"/>
    <n v="46823.057296883992"/>
    <n v="45782.544912508798"/>
    <n v="0"/>
  </r>
  <r>
    <x v="0"/>
    <s v="EQUIPETROL"/>
    <n v="412"/>
    <x v="0"/>
    <x v="2"/>
    <x v="0"/>
    <s v="SANTA CRUZ"/>
    <s v="A 3"/>
    <x v="10"/>
    <n v="31650.990000000005"/>
    <n v="15439.99"/>
    <n v="38497.149999999994"/>
    <n v="19926.459999999995"/>
    <n v="63918.263350000052"/>
    <n v="31911.605954250022"/>
    <n v="64544.662330830055"/>
    <n v="30774.894999339769"/>
    <n v="25451.005747126434"/>
    <n v="10019.920212443481"/>
    <n v="64544.662330830055"/>
    <n v="30774.894999339769"/>
    <n v="61317.429214288568"/>
    <n v="29970.437472643342"/>
    <n v="0"/>
    <n v="0"/>
    <n v="0.52147373589262125"/>
    <n v="0.61633569089478635"/>
    <n v="0.39539023665858231"/>
    <n v="0.47999999999999993"/>
    <n v="0.47999999999999993"/>
    <n v="0.6"/>
    <n v="0"/>
    <n v="16505.16"/>
    <n v="23727.167542730222"/>
    <n v="10063.07918555526"/>
    <n v="30981.437918798423"/>
    <n v="30981.437918798423"/>
    <n v="36790.457528573141"/>
    <n v="0"/>
  </r>
  <r>
    <x v="0"/>
    <s v="EQUIPETROL"/>
    <n v="412"/>
    <x v="0"/>
    <x v="2"/>
    <x v="0"/>
    <s v="SANTA CRUZ"/>
    <s v="A 3"/>
    <x v="11"/>
    <n v="88233.290000000008"/>
    <n v="41709.169999999984"/>
    <n v="100462.68"/>
    <n v="53348.789999999986"/>
    <n v="104646.89695000011"/>
    <n v="57331.496631250062"/>
    <n v="104605.03819122011"/>
    <n v="55231.460164964235"/>
    <n v="129268.9224137931"/>
    <n v="61593.478428853472"/>
    <n v="104605.03819122011"/>
    <n v="55231.460164964235"/>
    <n v="97282.685517834689"/>
    <n v="51490.905387554973"/>
    <n v="0"/>
    <n v="0"/>
    <n v="0.48897995303133379"/>
    <n v="0.81397766928247073"/>
    <n v="0.59889589529231035"/>
    <n v="0.8"/>
    <n v="0.8"/>
    <n v="0.85"/>
    <n v="0"/>
    <n v="43144.310000000056"/>
    <n v="81774.378116270687"/>
    <n v="77418.627022480825"/>
    <n v="83684.030552976095"/>
    <n v="83684.030552976095"/>
    <n v="82690.282690159482"/>
    <n v="0"/>
  </r>
  <r>
    <x v="0"/>
    <s v="ESPANA"/>
    <n v="403"/>
    <x v="0"/>
    <x v="2"/>
    <x v="0"/>
    <s v="SANTA CRUZ"/>
    <s v="B 1"/>
    <x v="0"/>
    <n v="64275.38"/>
    <n v="32638.550000000003"/>
    <n v="39899.61"/>
    <n v="18896.079999999998"/>
    <n v="57460.804033333327"/>
    <n v="26649.738788166665"/>
    <n v="41134.299999999988"/>
    <n v="19536.282747498804"/>
    <n v="41134.299999999996"/>
    <n v="19560.88"/>
    <n v="57460.804033333327"/>
    <n v="27324.736105866621"/>
    <n v="60908.452275333337"/>
    <n v="32375.79930762378"/>
    <n v="44620.689655172493"/>
    <n v="24598.634019372948"/>
    <n v="0.68289117855079207"/>
    <n v="0.55055160301521822"/>
    <n v="0.70686072291575763"/>
    <n v="0.70686072291575708"/>
    <n v="0.70686072291575708"/>
    <n v="0.88"/>
    <n v="0.96811888201957763"/>
    <n v="43893.090000000011"/>
    <n v="21966.794245182031"/>
    <n v="29076.221034633647"/>
    <n v="29076.221034633618"/>
    <n v="40616.785478322643"/>
    <n v="53599.43800229334"/>
    <n v="43198.132183908128"/>
  </r>
  <r>
    <x v="0"/>
    <s v="ESPANA"/>
    <n v="403"/>
    <x v="0"/>
    <x v="2"/>
    <x v="0"/>
    <s v="SANTA CRUZ"/>
    <s v="B 1"/>
    <x v="1"/>
    <n v="106328.05000000002"/>
    <n v="45828.85000000002"/>
    <n v="58945.74"/>
    <n v="24158.510000000002"/>
    <n v="91307.573100000009"/>
    <n v="33740.606110500004"/>
    <n v="77123.990000000005"/>
    <n v="31473.052738288519"/>
    <n v="77123.990000000049"/>
    <n v="31526.400000000067"/>
    <n v="91307.573100000009"/>
    <n v="37324.301719605588"/>
    <n v="94959.876024000027"/>
    <n v="41481.738800117688"/>
    <n v="68960.488505747067"/>
    <n v="32072.960852801982"/>
    <n v="0.32713879357328579"/>
    <n v="0.3606834475874815"/>
    <n v="0.24181457663271091"/>
    <n v="0.24181457663271044"/>
    <n v="0.24181457663271044"/>
    <n v="0.40000000000000008"/>
    <n v="0.45822091194149533"/>
    <n v="34784.030000000013"/>
    <n v="21260.752723795311"/>
    <n v="18649.704990075443"/>
    <n v="18649.704990075395"/>
    <n v="22079.502132536763"/>
    <n v="37983.950409600016"/>
    <n v="31599.137931034427"/>
  </r>
  <r>
    <x v="0"/>
    <s v="ESPANA"/>
    <n v="403"/>
    <x v="0"/>
    <x v="2"/>
    <x v="0"/>
    <s v="SANTA CRUZ"/>
    <s v="B 1"/>
    <x v="2"/>
    <n v="70023.329999999987"/>
    <n v="33447.469999999994"/>
    <n v="98046.69"/>
    <n v="38560.799999999988"/>
    <n v="66000.83924999999"/>
    <n v="28182.85657249999"/>
    <n v="63137.77000000007"/>
    <n v="30340.561448451397"/>
    <n v="63137.770000000091"/>
    <n v="30133.360000000073"/>
    <n v="63137.77000000015"/>
    <n v="30133.360000000102"/>
    <n v="66926.036200000162"/>
    <n v="35178.259573902098"/>
    <n v="60003.039019582793"/>
    <n v="30781.559017045973"/>
    <n v="0.44932053359930213"/>
    <n v="0.28355409393190339"/>
    <n v="0.55944624369700213"/>
    <n v="0.55944624369700202"/>
    <n v="0.55944624369700202"/>
    <n v="0.85"/>
    <n v="0.80205346973276681"/>
    <n v="31462.920000000016"/>
    <n v="27801.540345972215"/>
    <n v="35322.188261905321"/>
    <n v="35322.188261905299"/>
    <n v="35322.18826190535"/>
    <n v="56887.130770000134"/>
    <n v="48125.645640166971"/>
  </r>
  <r>
    <x v="0"/>
    <s v="ESPANA"/>
    <n v="403"/>
    <x v="0"/>
    <x v="2"/>
    <x v="0"/>
    <s v="SANTA CRUZ"/>
    <s v="B 1"/>
    <x v="3"/>
    <n v="53633.41"/>
    <n v="27522.589999999997"/>
    <n v="60066.369999999995"/>
    <n v="27806.460000000006"/>
    <n v="54627.02954999997"/>
    <n v="25718.247300599985"/>
    <n v="55591.510000000024"/>
    <n v="28267.510595663844"/>
    <n v="55591.510000000009"/>
    <n v="28105.08"/>
    <n v="55591.510000000053"/>
    <n v="28105.08000000002"/>
    <n v="59482.915700000056"/>
    <n v="31618.057412294769"/>
    <n v="0"/>
    <n v="0"/>
    <n v="0.65887811347441849"/>
    <n v="0.51086585018039454"/>
    <n v="0.7477641170788305"/>
    <n v="0.74776411707883017"/>
    <n v="0.74776411707883017"/>
    <n v="0.88"/>
    <n v="0"/>
    <n v="35337.880000000012"/>
    <n v="30685.857177300142"/>
    <n v="41569.336392228986"/>
    <n v="41569.336392228979"/>
    <n v="41569.336392229001"/>
    <n v="52344.965816000047"/>
    <n v="0"/>
  </r>
  <r>
    <x v="0"/>
    <s v="ESPANA"/>
    <n v="403"/>
    <x v="0"/>
    <x v="2"/>
    <x v="0"/>
    <s v="SANTA CRUZ"/>
    <s v="B 1"/>
    <x v="4"/>
    <n v="59761.31"/>
    <n v="31295.449999999997"/>
    <n v="58758.960000000006"/>
    <n v="28670.799999999996"/>
    <n v="60609.146849999983"/>
    <n v="27497.69647974999"/>
    <n v="54861.140000000029"/>
    <n v="29108.393186881749"/>
    <n v="54861.140000000021"/>
    <n v="29124.180000000011"/>
    <n v="54861.140000000021"/>
    <n v="29124.180000000008"/>
    <n v="58701.419800000025"/>
    <n v="31202.654402154938"/>
    <n v="0"/>
    <n v="0"/>
    <n v="0.7219599101826929"/>
    <n v="0.57246100790891441"/>
    <n v="0.80900894825432057"/>
    <n v="0.80900894825432046"/>
    <n v="0.80900894825432046"/>
    <n v="0.88"/>
    <n v="0"/>
    <n v="43145.270000000062"/>
    <n v="33637.213465279587"/>
    <n v="44383.153171433056"/>
    <n v="44383.153171433056"/>
    <n v="44383.153171433049"/>
    <n v="51657.249424000023"/>
    <n v="0"/>
  </r>
  <r>
    <x v="0"/>
    <s v="ESPANA"/>
    <n v="403"/>
    <x v="0"/>
    <x v="2"/>
    <x v="0"/>
    <s v="SANTA CRUZ"/>
    <s v="B 1"/>
    <x v="5"/>
    <n v="55900.12999999999"/>
    <n v="29602.869999999995"/>
    <n v="52913.439999999981"/>
    <n v="26091.689999999988"/>
    <n v="52675.85334999999"/>
    <n v="25982.142848750002"/>
    <n v="63614.539999999979"/>
    <n v="34141.320152725879"/>
    <n v="63614.539999999979"/>
    <n v="34127.879999999976"/>
    <n v="63614.539999999964"/>
    <n v="34127.879999999968"/>
    <n v="68067.557799999966"/>
    <n v="36181.21144715658"/>
    <n v="0"/>
    <n v="0"/>
    <n v="0.72741226183195029"/>
    <n v="0.61242650435057289"/>
    <n v="0.8150665591505275"/>
    <n v="0.81506655915052761"/>
    <n v="0.81506655915052761"/>
    <n v="0.88000000000000012"/>
    <n v="0"/>
    <n v="40662.440000000053"/>
    <n v="32405.593092363764"/>
    <n v="51850.084229743581"/>
    <n v="51850.084229743588"/>
    <n v="51850.084229743574"/>
    <n v="59899.450863999977"/>
    <n v="0"/>
  </r>
  <r>
    <x v="0"/>
    <s v="ESPANA"/>
    <n v="403"/>
    <x v="0"/>
    <x v="2"/>
    <x v="0"/>
    <s v="SANTA CRUZ"/>
    <s v="B 1"/>
    <x v="6"/>
    <n v="61790.380000000005"/>
    <n v="33036.339999999997"/>
    <n v="53927.299999999996"/>
    <n v="26304.720000000001"/>
    <n v="55702.629700000012"/>
    <n v="27262.655867500005"/>
    <n v="51661.50999999998"/>
    <n v="26956.350000000017"/>
    <n v="51661.50999999998"/>
    <n v="26956.349999999966"/>
    <n v="51661.510000000024"/>
    <n v="26956.349999999988"/>
    <n v="55277.815700000036"/>
    <n v="29382.842617260085"/>
    <n v="0"/>
    <n v="0"/>
    <n v="0.75268787795122871"/>
    <n v="0.625368708064726"/>
    <n v="0.81327316990928078"/>
    <n v="0.81327316990928078"/>
    <n v="0.81327316990928078"/>
    <n v="0.88000000000000012"/>
    <n v="0"/>
    <n v="46508.870000000046"/>
    <n v="33724.445930418893"/>
    <n v="42014.919999999991"/>
    <n v="42014.919999999991"/>
    <n v="42014.920000000027"/>
    <n v="48644.477816000035"/>
    <n v="0"/>
  </r>
  <r>
    <x v="0"/>
    <s v="ESPANA"/>
    <n v="403"/>
    <x v="0"/>
    <x v="2"/>
    <x v="0"/>
    <s v="SANTA CRUZ"/>
    <s v="B 1"/>
    <x v="7"/>
    <n v="160288.19"/>
    <n v="65662.579999999973"/>
    <n v="113980.59000000001"/>
    <n v="41172.759999999995"/>
    <n v="120026.25019999995"/>
    <n v="42937.074750999986"/>
    <n v="99731.790244123375"/>
    <n v="41249.068444969431"/>
    <n v="124377.05000000008"/>
    <n v="54208.570000000065"/>
    <n v="124377.04999999996"/>
    <n v="51442.347879999987"/>
    <n v="129352.13199999997"/>
    <n v="56505.458700327392"/>
    <n v="0"/>
    <n v="0"/>
    <n v="0.25995502226333705"/>
    <n v="0.19920610959591437"/>
    <n v="0.35965766996403215"/>
    <n v="0.27"/>
    <n v="0.27"/>
    <n v="0.4"/>
    <n v="0"/>
    <n v="41667.72"/>
    <n v="22705.629903346984"/>
    <n v="44733.159999999953"/>
    <n v="26927.583365913313"/>
    <n v="33581.803499999995"/>
    <n v="51740.852799999993"/>
    <n v="0"/>
  </r>
  <r>
    <x v="0"/>
    <s v="ESPANA"/>
    <n v="403"/>
    <x v="0"/>
    <x v="2"/>
    <x v="0"/>
    <s v="SANTA CRUZ"/>
    <s v="B 1"/>
    <x v="8"/>
    <n v="45348.939999999995"/>
    <n v="22566.229999999996"/>
    <n v="52734.889999999992"/>
    <n v="23771.99"/>
    <n v="52671.10870499997"/>
    <n v="24548.087830449986"/>
    <n v="50788.11656879622"/>
    <n v="25394.05828439811"/>
    <n v="51987.230000000025"/>
    <n v="27690.690000000046"/>
    <n v="51987.230000000025"/>
    <n v="27690.690000000042"/>
    <n v="55106.463800000027"/>
    <n v="28965.55059623022"/>
    <n v="0"/>
    <n v="0"/>
    <n v="0.57549261349879377"/>
    <n v="0.48926149808870889"/>
    <n v="0.8570968293559782"/>
    <n v="0.7"/>
    <n v="0.7"/>
    <n v="0.84999999999999987"/>
    <n v="0"/>
    <n v="26097.979999999985"/>
    <n v="25801.151282943269"/>
    <n v="44558.090000000011"/>
    <n v="35551.681598157353"/>
    <n v="36391.061000000016"/>
    <n v="46840.494230000018"/>
    <n v="0"/>
  </r>
  <r>
    <x v="0"/>
    <s v="ESPANA"/>
    <n v="403"/>
    <x v="0"/>
    <x v="2"/>
    <x v="0"/>
    <s v="SANTA CRUZ"/>
    <s v="B 1"/>
    <x v="9"/>
    <n v="32800.699999999997"/>
    <n v="16921.919999999998"/>
    <n v="53211.059999999983"/>
    <n v="25679.299999999988"/>
    <n v="56474.04149499999"/>
    <n v="27580.055496049994"/>
    <n v="56747.940596250737"/>
    <n v="29622.424991242886"/>
    <n v="33945.320000000014"/>
    <n v="18138.750000000029"/>
    <n v="56747.940596250737"/>
    <n v="29622.424991242886"/>
    <n v="60436.556735007034"/>
    <n v="32124.963918822508"/>
    <n v="0"/>
    <n v="0"/>
    <n v="0.68307566606810255"/>
    <n v="0.60444022093617022"/>
    <n v="0.81060157924568121"/>
    <n v="0.8"/>
    <n v="0.8"/>
    <n v="0.88"/>
    <n v="0"/>
    <n v="22405.360000000008"/>
    <n v="32162.9048626478"/>
    <n v="27516.130000000019"/>
    <n v="45398.35247700059"/>
    <n v="45398.35247700059"/>
    <n v="53184.169926806193"/>
    <n v="0"/>
  </r>
  <r>
    <x v="0"/>
    <s v="ESPANA"/>
    <n v="403"/>
    <x v="0"/>
    <x v="2"/>
    <x v="0"/>
    <s v="SANTA CRUZ"/>
    <s v="B 1"/>
    <x v="10"/>
    <n v="51694.25"/>
    <n v="23174.639999999999"/>
    <n v="44792.969999999994"/>
    <n v="20557.389999999992"/>
    <n v="73951.458599999998"/>
    <n v="33035.192611999999"/>
    <n v="73559.515869420007"/>
    <n v="34205.174879280305"/>
    <n v="30655.028735632175"/>
    <n v="11827.76979657321"/>
    <n v="73559.515869420007"/>
    <n v="34205.174879280305"/>
    <n v="78340.884400932307"/>
    <n v="37313.654948105788"/>
    <n v="0"/>
    <n v="0"/>
    <n v="0.41957393714001046"/>
    <n v="0.45904461163713556"/>
    <n v="0.35965766996403215"/>
    <n v="0.5"/>
    <n v="0.5"/>
    <n v="0.6"/>
    <n v="0"/>
    <n v="21689.559999999987"/>
    <n v="20561.971517723861"/>
    <n v="11025.316207737918"/>
    <n v="36779.757934710004"/>
    <n v="36779.757934710004"/>
    <n v="47004.53064055938"/>
    <n v="0"/>
  </r>
  <r>
    <x v="0"/>
    <s v="ESPANA"/>
    <n v="403"/>
    <x v="0"/>
    <x v="2"/>
    <x v="0"/>
    <s v="SANTA CRUZ"/>
    <s v="B 1"/>
    <x v="11"/>
    <n v="126269.83999999998"/>
    <n v="60306.929999999964"/>
    <n v="116754.80999999998"/>
    <n v="58783.039999999994"/>
    <n v="120161.65920000001"/>
    <n v="61788.477752500003"/>
    <n v="119524.80240624001"/>
    <n v="58985.489987479443"/>
    <n v="145647.29885057476"/>
    <n v="69938.728461794919"/>
    <n v="119524.80240624001"/>
    <n v="58985.489987479443"/>
    <n v="127891.53857467683"/>
    <n v="67223.490239896841"/>
    <n v="0"/>
    <n v="0"/>
    <n v="0.43550866937029514"/>
    <n v="0.68084573017485794"/>
    <n v="0.55944624369700213"/>
    <n v="0.65"/>
    <n v="0.65"/>
    <n v="0.85000000000000009"/>
    <n v="0"/>
    <n v="54991.610000000059"/>
    <n v="79492.013865876797"/>
    <n v="81481.834246568746"/>
    <n v="77691.121564056011"/>
    <n v="77691.121564056011"/>
    <n v="108707.80778847531"/>
    <n v="0"/>
  </r>
  <r>
    <x v="0"/>
    <s v="ESTEBAN ARCE"/>
    <n v="311"/>
    <x v="0"/>
    <x v="2"/>
    <x v="0"/>
    <s v="COCHABAMBA"/>
    <s v="B 2"/>
    <x v="0"/>
    <n v="0"/>
    <n v="0"/>
    <n v="32841.960000000006"/>
    <n v="14938.620000000006"/>
    <n v="34247.699429999993"/>
    <n v="15603.638314199996"/>
    <n v="26355.550000000021"/>
    <n v="11849.980751396723"/>
    <n v="26355.550000000014"/>
    <n v="11841.53000000001"/>
    <n v="34247.699429999993"/>
    <n v="15387.467164651391"/>
    <n v="36302.561395799996"/>
    <n v="17506.572560817942"/>
    <n v="31946.695402298847"/>
    <n v="17710.18167699578"/>
    <n v="0"/>
    <n v="0.47979579051572308"/>
    <n v="0.58648322709261391"/>
    <n v="0.5864832270926138"/>
    <n v="0.5864832270926138"/>
    <n v="0.7"/>
    <n v="0.96362025464472523"/>
    <n v="0"/>
    <n v="15757.43416028576"/>
    <n v="15457.088015800749"/>
    <n v="15457.088015800749"/>
    <n v="20085.701282204267"/>
    <n v="25411.792977059995"/>
    <n v="30784.482758620688"/>
  </r>
  <r>
    <x v="0"/>
    <s v="ESTEBAN ARCE"/>
    <n v="311"/>
    <x v="0"/>
    <x v="2"/>
    <x v="0"/>
    <s v="COCHABAMBA"/>
    <s v="B 2"/>
    <x v="1"/>
    <n v="0"/>
    <n v="0"/>
    <n v="36055.17"/>
    <n v="14918.630000000003"/>
    <n v="53695.029719999991"/>
    <n v="20567.328747299998"/>
    <n v="49501.989999999947"/>
    <n v="17663.966036902664"/>
    <n v="49501.989999999962"/>
    <n v="17513.329999999969"/>
    <n v="53695.029719999991"/>
    <n v="18996.787297766543"/>
    <n v="57453.68180039998"/>
    <n v="23417.637081792243"/>
    <n v="44102.011494252889"/>
    <n v="19143.410173225682"/>
    <n v="0"/>
    <n v="0.35197902999890579"/>
    <n v="0.22720171625496169"/>
    <n v="0.22720171625496122"/>
    <n v="0.22720171625496122"/>
    <n v="0.38999999999999996"/>
    <n v="0.37191725036650908"/>
    <n v="0"/>
    <n v="12690.663763045648"/>
    <n v="11246.937086035943"/>
    <n v="11246.937086035916"/>
    <n v="12199.602906745147"/>
    <n v="22406.93590215599"/>
    <n v="16402.298850574713"/>
  </r>
  <r>
    <x v="0"/>
    <s v="ESTEBAN ARCE"/>
    <n v="311"/>
    <x v="0"/>
    <x v="2"/>
    <x v="0"/>
    <s v="COCHABAMBA"/>
    <s v="B 2"/>
    <x v="2"/>
    <n v="0"/>
    <n v="0"/>
    <n v="56281.97"/>
    <n v="22229.410000000003"/>
    <n v="38903.263149999992"/>
    <n v="15555.909241249998"/>
    <n v="39650.869999999981"/>
    <n v="17411.903825750836"/>
    <n v="39650.87000000001"/>
    <n v="17287.55999999999"/>
    <n v="39650.869999999966"/>
    <n v="17287.559999999972"/>
    <n v="40840.396099999962"/>
    <n v="19498.210849742449"/>
    <n v="47660.621258661457"/>
    <n v="23401.365038002776"/>
    <n v="0"/>
    <n v="0.2614931700340285"/>
    <n v="0.45046257750603808"/>
    <n v="0.4504625775060378"/>
    <n v="0.4504625775060378"/>
    <n v="0.67999999999999994"/>
    <n v="0.66002435714827556"/>
    <n v="0"/>
    <n v="14717.350751060092"/>
    <n v="17861.233100556845"/>
    <n v="17861.233100556819"/>
    <n v="17861.233100556812"/>
    <n v="27771.469347999973"/>
    <n v="31457.170907535463"/>
  </r>
  <r>
    <x v="0"/>
    <s v="ESTEBAN ARCE"/>
    <n v="311"/>
    <x v="0"/>
    <x v="2"/>
    <x v="0"/>
    <s v="COCHABAMBA"/>
    <s v="B 2"/>
    <x v="3"/>
    <n v="0"/>
    <n v="0"/>
    <n v="28703.459999999995"/>
    <n v="12976.209999999995"/>
    <n v="31889.75598999998"/>
    <n v="14559.355856749989"/>
    <n v="30498.910000000014"/>
    <n v="13847.41683669295"/>
    <n v="30498.910000000025"/>
    <n v="13819.960000000025"/>
    <n v="34463.768300000018"/>
    <n v="15616.554800000022"/>
    <n v="36531.594398000016"/>
    <n v="17617.021595752994"/>
    <n v="0"/>
    <n v="0"/>
    <n v="0"/>
    <n v="0.51895624763419101"/>
    <n v="0.57595518049572492"/>
    <n v="0.57595518049572492"/>
    <n v="0.57595518049572492"/>
    <n v="0.70000000000000007"/>
    <n v="0"/>
    <n v="0"/>
    <n v="14895.839895718094"/>
    <n v="17566.005213972883"/>
    <n v="17566.00521397288"/>
    <n v="19849.585891789353"/>
    <n v="25572.116078600015"/>
    <n v="0"/>
  </r>
  <r>
    <x v="0"/>
    <s v="ESTEBAN ARCE"/>
    <n v="311"/>
    <x v="0"/>
    <x v="2"/>
    <x v="0"/>
    <s v="COCHABAMBA"/>
    <s v="B 2"/>
    <x v="4"/>
    <n v="0"/>
    <n v="0"/>
    <n v="24551.379999999997"/>
    <n v="11434.399999999998"/>
    <n v="36903.350209999982"/>
    <n v="15984.21914949999"/>
    <n v="34525.729999999996"/>
    <n v="16051.431946346856"/>
    <n v="34525.73000000001"/>
    <n v="15997.69000000001"/>
    <n v="35216.244600000013"/>
    <n v="16317.643800000011"/>
    <n v="36977.056830000016"/>
    <n v="17831.841710066707"/>
    <n v="0"/>
    <n v="0"/>
    <n v="0"/>
    <n v="0.51880667059239582"/>
    <n v="0.62744149624252021"/>
    <n v="0.62744149624252066"/>
    <n v="0.62744149624252066"/>
    <n v="0.7"/>
    <n v="0"/>
    <n v="0"/>
    <n v="12737.419716248734"/>
    <n v="21662.875690065273"/>
    <n v="21662.875690065281"/>
    <n v="22096.133203866597"/>
    <n v="25883.939781000008"/>
    <n v="0"/>
  </r>
  <r>
    <x v="0"/>
    <s v="ESTEBAN ARCE"/>
    <n v="311"/>
    <x v="0"/>
    <x v="2"/>
    <x v="0"/>
    <s v="COCHABAMBA"/>
    <s v="B 2"/>
    <x v="5"/>
    <n v="0"/>
    <n v="0"/>
    <n v="19872.32"/>
    <n v="9490.6400000000012"/>
    <n v="31168.211749999988"/>
    <n v="14322.261177499995"/>
    <n v="34484.159999999996"/>
    <n v="15340.289999999975"/>
    <n v="34484.160000000011"/>
    <n v="15340.290000000012"/>
    <n v="35173.843200000003"/>
    <n v="15647.095800000008"/>
    <n v="36932.535360000002"/>
    <n v="17810.3716452806"/>
    <n v="0"/>
    <n v="0"/>
    <n v="0"/>
    <n v="0.5877832371728362"/>
    <n v="0.62685302469307613"/>
    <n v="0.62685302469307613"/>
    <n v="0.62685302469307613"/>
    <n v="0.7"/>
    <n v="0"/>
    <n v="0"/>
    <n v="11680.616579734497"/>
    <n v="21616.499999999996"/>
    <n v="21616.499999999985"/>
    <n v="22048.829999999991"/>
    <n v="25852.774752000001"/>
    <n v="0"/>
  </r>
  <r>
    <x v="0"/>
    <s v="ESTEBAN ARCE"/>
    <n v="311"/>
    <x v="0"/>
    <x v="2"/>
    <x v="0"/>
    <s v="COCHABAMBA"/>
    <s v="B 2"/>
    <x v="6"/>
    <n v="0"/>
    <n v="0"/>
    <n v="39912.629999999997"/>
    <n v="18778.769999999997"/>
    <n v="33764.825499999992"/>
    <n v="16020.558759999996"/>
    <n v="36938.569999999992"/>
    <n v="18752.830000000005"/>
    <n v="36938.569999999992"/>
    <n v="18752.829999999987"/>
    <n v="37677.341399999968"/>
    <n v="19127.886599999973"/>
    <n v="39561.208469999969"/>
    <n v="19078.024801683208"/>
    <n v="0"/>
    <n v="0"/>
    <n v="0"/>
    <n v="0.57202346291382622"/>
    <n v="0.76664120998728436"/>
    <n v="0.76664120998728436"/>
    <n v="0.76664120998728436"/>
    <n v="0.70000000000000007"/>
    <n v="0"/>
    <n v="0"/>
    <n v="22830.960826598268"/>
    <n v="28318.629999999997"/>
    <n v="28318.629999999997"/>
    <n v="28885.002599999978"/>
    <n v="27692.845928999981"/>
    <n v="0"/>
  </r>
  <r>
    <x v="0"/>
    <s v="ESTEBAN ARCE"/>
    <n v="311"/>
    <x v="0"/>
    <x v="2"/>
    <x v="0"/>
    <s v="COCHABAMBA"/>
    <s v="B 2"/>
    <x v="7"/>
    <n v="0"/>
    <n v="0"/>
    <n v="69921.049999999988"/>
    <n v="25228.589999999989"/>
    <n v="75669.200400000031"/>
    <n v="27106.659282500004"/>
    <n v="69045.085553623867"/>
    <n v="25644.725676326976"/>
    <n v="83338.309999999954"/>
    <n v="32467.499999999971"/>
    <n v="85005.076200000025"/>
    <n v="31572.585402204008"/>
    <n v="90955.431534000032"/>
    <n v="37072.668270080925"/>
    <n v="0"/>
    <n v="0"/>
    <n v="0"/>
    <n v="0.25113632029225114"/>
    <n v="0.32682604194877618"/>
    <n v="0.27"/>
    <n v="0.27"/>
    <n v="0.39"/>
    <n v="0"/>
    <n v="0"/>
    <n v="17559.715207970505"/>
    <n v="27237.130000000099"/>
    <n v="18642.173099478445"/>
    <n v="22951.370574000008"/>
    <n v="35472.618298260015"/>
    <n v="0"/>
  </r>
  <r>
    <x v="0"/>
    <s v="ESTEBAN ARCE"/>
    <n v="311"/>
    <x v="0"/>
    <x v="2"/>
    <x v="0"/>
    <s v="COCHABAMBA"/>
    <s v="B 2"/>
    <x v="8"/>
    <n v="0"/>
    <n v="0"/>
    <n v="42263.259999999995"/>
    <n v="18132.909999999996"/>
    <n v="31994.676209999991"/>
    <n v="14344.337359099995"/>
    <n v="32308.224036857991"/>
    <n v="14493.469302934496"/>
    <n v="30020.729999999996"/>
    <n v="14568.779999999995"/>
    <n v="31521.766499999998"/>
    <n v="15297.218999999996"/>
    <n v="35619.596144999996"/>
    <n v="17005.672381759392"/>
    <n v="0"/>
    <n v="0"/>
    <n v="0"/>
    <n v="0.46314216448381362"/>
    <n v="0.69736745242370868"/>
    <n v="0.55000000000000004"/>
    <n v="0.55000000000000004"/>
    <n v="0.68"/>
    <n v="0"/>
    <n v="0"/>
    <n v="19573.897714542178"/>
    <n v="20935.48"/>
    <n v="17769.523220271898"/>
    <n v="17336.971575"/>
    <n v="24221.325378599999"/>
    <n v="0"/>
  </r>
  <r>
    <x v="0"/>
    <s v="ESTEBAN ARCE"/>
    <n v="311"/>
    <x v="0"/>
    <x v="2"/>
    <x v="0"/>
    <s v="COCHABAMBA"/>
    <s v="B 2"/>
    <x v="9"/>
    <n v="0"/>
    <n v="0"/>
    <n v="37954.709999999992"/>
    <n v="17063.759999999995"/>
    <n v="34003.840964999989"/>
    <n v="15584.893985149994"/>
    <n v="34337.078606456991"/>
    <n v="16389.087618861922"/>
    <n v="39113.930000000037"/>
    <n v="19913.700000000055"/>
    <n v="39113.929999999993"/>
    <n v="18669.078788999996"/>
    <n v="41069.626499999991"/>
    <n v="19805.44536593289"/>
    <n v="0"/>
    <n v="0"/>
    <n v="0"/>
    <n v="0.55573888718053244"/>
    <n v="0.56419030253416147"/>
    <n v="0.65"/>
    <n v="0.65"/>
    <n v="0.70000000000000007"/>
    <n v="0"/>
    <n v="0"/>
    <n v="21092.908298659822"/>
    <n v="22067.700000000033"/>
    <n v="22319.101094197045"/>
    <n v="25424.054499999995"/>
    <n v="28748.738549999998"/>
    <n v="0"/>
  </r>
  <r>
    <x v="0"/>
    <s v="ESTEBAN ARCE"/>
    <n v="311"/>
    <x v="0"/>
    <x v="2"/>
    <x v="0"/>
    <s v="COCHABAMBA"/>
    <s v="B 2"/>
    <x v="10"/>
    <n v="0"/>
    <n v="0"/>
    <n v="33359.58"/>
    <n v="14751.999999999996"/>
    <n v="40645.603574999986"/>
    <n v="17165.137449499995"/>
    <n v="40629.345333569981"/>
    <n v="16442.696056495774"/>
    <n v="44616.666666666657"/>
    <n v="18099.177546582941"/>
    <n v="44616.666666666657"/>
    <n v="18056.364999999998"/>
    <n v="46847.499999999993"/>
    <n v="20561.182721872559"/>
    <n v="0"/>
    <n v="0"/>
    <n v="0"/>
    <n v="0.45334830283297772"/>
    <n v="0.32682604194877618"/>
    <n v="0.35"/>
    <n v="0.35"/>
    <n v="0.52"/>
    <n v="0"/>
    <n v="0"/>
    <n v="15123.508976220948"/>
    <n v="14581.888571614561"/>
    <n v="14220.270866749494"/>
    <n v="15615.833333333328"/>
    <n v="24360.699999999997"/>
    <n v="0"/>
  </r>
  <r>
    <x v="0"/>
    <s v="ESTEBAN ARCE"/>
    <n v="311"/>
    <x v="0"/>
    <x v="2"/>
    <x v="0"/>
    <s v="COCHABAMBA"/>
    <s v="B 2"/>
    <x v="11"/>
    <n v="0"/>
    <n v="0"/>
    <n v="72635.799999999988"/>
    <n v="34724.859999999986"/>
    <n v="74788.409150000036"/>
    <n v="36849.741793250018"/>
    <n v="74758.493786340026"/>
    <n v="35076.685284550746"/>
    <n v="74281.321839080469"/>
    <n v="36289.488516287434"/>
    <n v="74758.493786340026"/>
    <n v="35076.685284550746"/>
    <n v="79991.588351383834"/>
    <n v="38189.954183159491"/>
    <n v="0"/>
    <n v="0"/>
    <n v="0"/>
    <n v="0.61169035612199363"/>
    <n v="0.45046257750603808"/>
    <n v="0.6"/>
    <n v="0.6"/>
    <n v="0.68"/>
    <n v="0"/>
    <n v="0"/>
    <n v="44430.618369205898"/>
    <n v="33460.955696187746"/>
    <n v="44855.096271804017"/>
    <n v="44855.096271804017"/>
    <n v="54394.28007894101"/>
    <n v="0"/>
  </r>
  <r>
    <x v="0"/>
    <s v="FAIR PLAY LAS BRISAS"/>
    <n v="413"/>
    <x v="0"/>
    <x v="2"/>
    <x v="0"/>
    <s v="SANTA CRUZ"/>
    <s v="A 2"/>
    <x v="0"/>
    <n v="113652.45"/>
    <n v="60163.049999999981"/>
    <n v="77482.739999999976"/>
    <n v="41439.819999999978"/>
    <n v="105478.7076833334"/>
    <n v="55990.42332333338"/>
    <n v="79863.210000000079"/>
    <n v="41840.567913876373"/>
    <n v="79863.210000000021"/>
    <n v="42047.450000000004"/>
    <n v="105478.7076833334"/>
    <n v="55533.839516087275"/>
    <n v="116026.57845166676"/>
    <n v="62115.702287470049"/>
    <n v="108129.31034482748"/>
    <n v="60202.874177290061"/>
    <n v="0.82414167050512388"/>
    <n v="0.88852833314086577"/>
    <n v="0.85996886597409039"/>
    <n v="0.85996886597409006"/>
    <n v="0.85996886597409006"/>
    <n v="0.9"/>
    <n v="0.97674400063780586"/>
    <n v="93665.720000000059"/>
    <n v="68845.609819387071"/>
    <n v="68679.874136750659"/>
    <n v="68679.874136750674"/>
    <n v="90708.40463084876"/>
    <n v="104423.92060650009"/>
    <n v="105614.65517241368"/>
  </r>
  <r>
    <x v="0"/>
    <s v="FAIR PLAY LAS BRISAS"/>
    <n v="413"/>
    <x v="0"/>
    <x v="2"/>
    <x v="0"/>
    <s v="SANTA CRUZ"/>
    <s v="A 2"/>
    <x v="1"/>
    <n v="186993.06999999995"/>
    <n v="78054.849999999948"/>
    <n v="112654.69"/>
    <n v="48446.50999999998"/>
    <n v="158514.81670000023"/>
    <n v="67172.22290500009"/>
    <n v="156474.53000000026"/>
    <n v="67084.403194584476"/>
    <n v="156474.53000000038"/>
    <n v="67127.220000000438"/>
    <n v="158514.81670000023"/>
    <n v="68002.498386674386"/>
    <n v="164062.83528450027"/>
    <n v="75086.218237758265"/>
    <n v="161177.87356321851"/>
    <n v="73531.597531349093"/>
    <n v="0.37041067885563894"/>
    <n v="0.48490040569028625"/>
    <n v="0.26055391938639866"/>
    <n v="0.26055391938639899"/>
    <n v="0.26055391938639899"/>
    <n v="0.38999999999999996"/>
    <n v="0.42109809430931289"/>
    <n v="69264.23"/>
    <n v="54626.304883913435"/>
    <n v="40770.052075644715"/>
    <n v="40770.052075644737"/>
    <n v="41301.656772001676"/>
    <n v="63984.5057609551"/>
    <n v="67871.695402298705"/>
  </r>
  <r>
    <x v="0"/>
    <s v="FAIR PLAY LAS BRISAS"/>
    <n v="413"/>
    <x v="0"/>
    <x v="2"/>
    <x v="0"/>
    <s v="SANTA CRUZ"/>
    <s v="A 2"/>
    <x v="2"/>
    <n v="171021.19"/>
    <n v="84480.889999999985"/>
    <n v="154824.17999999996"/>
    <n v="70193.919999999969"/>
    <n v="126646.83438000016"/>
    <n v="60401.59043390007"/>
    <n v="131580.32000000021"/>
    <n v="65351.841105882893"/>
    <n v="131580.32000000024"/>
    <n v="65306.690000000162"/>
    <n v="131580.32000000024"/>
    <n v="65306.690000000162"/>
    <n v="138159.33600000024"/>
    <n v="71649.54816468533"/>
    <n v="138660.37056584377"/>
    <n v="72242.053064804611"/>
    <n v="0.58603854879035844"/>
    <n v="0.48537746948384658"/>
    <n v="0.60174123809880675"/>
    <n v="0.60174123809880653"/>
    <n v="0.60174123809880653"/>
    <n v="0.79000000000000015"/>
    <n v="0.79253133983420776"/>
    <n v="100225.01000000015"/>
    <n v="75148.16870331156"/>
    <n v="79177.304666237324"/>
    <n v="79177.30466623728"/>
    <n v="79177.304666237294"/>
    <n v="109145.87544000021"/>
    <n v="109892.68926645591"/>
  </r>
  <r>
    <x v="0"/>
    <s v="FAIR PLAY LAS BRISAS"/>
    <n v="413"/>
    <x v="0"/>
    <x v="2"/>
    <x v="0"/>
    <s v="SANTA CRUZ"/>
    <s v="A 2"/>
    <x v="3"/>
    <n v="118049.61999999997"/>
    <n v="63700.609999999971"/>
    <n v="116950.53999999996"/>
    <n v="64126.619999999966"/>
    <n v="116602.97988000032"/>
    <n v="64305.633605400173"/>
    <n v="117591.31000000019"/>
    <n v="64340.522461145607"/>
    <n v="117591.31000000008"/>
    <n v="63687.259999999995"/>
    <n v="117591.31000000006"/>
    <n v="63687.25999999998"/>
    <n v="125822.70170000006"/>
    <n v="66401.779979899438"/>
    <n v="0"/>
    <n v="0"/>
    <n v="0.83663454401632242"/>
    <n v="0.91775466779751569"/>
    <n v="0.8863806674200666"/>
    <n v="0.8863806674200656"/>
    <n v="0.8863806674200656"/>
    <n v="0.85000000000000009"/>
    <n v="0"/>
    <n v="98764.390000000101"/>
    <n v="107331.90398644004"/>
    <n v="104230.66384060003"/>
    <n v="104230.6638406"/>
    <n v="104230.66384059988"/>
    <n v="106949.29644500006"/>
    <n v="0"/>
  </r>
  <r>
    <x v="0"/>
    <s v="FAIR PLAY LAS BRISAS"/>
    <n v="413"/>
    <x v="0"/>
    <x v="2"/>
    <x v="0"/>
    <s v="SANTA CRUZ"/>
    <s v="A 2"/>
    <x v="4"/>
    <n v="134617.96"/>
    <n v="72573.219999999987"/>
    <n v="126459.80999999997"/>
    <n v="69097.919999999984"/>
    <n v="113029.55294000015"/>
    <n v="57833.363082700082"/>
    <n v="127137.16000000019"/>
    <n v="71689.723422395444"/>
    <n v="127137.16000000012"/>
    <n v="70469.940000000075"/>
    <n v="127137.16000000012"/>
    <n v="70469.940000000075"/>
    <n v="136036.76120000015"/>
    <n v="72828.30426970571"/>
    <n v="0"/>
    <n v="0"/>
    <n v="0.85277685087487665"/>
    <n v="0.93158648180641512"/>
    <n v="0.94355809976382155"/>
    <n v="0.94355809976382099"/>
    <n v="0.94355809976382099"/>
    <n v="0.9"/>
    <n v="0"/>
    <n v="114799.0800000001"/>
    <n v="117808.24948780768"/>
    <n v="119961.29709896905"/>
    <n v="119961.29709896905"/>
    <n v="119961.29709896898"/>
    <n v="122433.08508000014"/>
    <n v="0"/>
  </r>
  <r>
    <x v="0"/>
    <s v="FAIR PLAY LAS BRISAS"/>
    <n v="413"/>
    <x v="0"/>
    <x v="2"/>
    <x v="0"/>
    <s v="SANTA CRUZ"/>
    <s v="A 2"/>
    <x v="5"/>
    <n v="127612.72"/>
    <n v="68701.78"/>
    <n v="115679.51999999999"/>
    <n v="63062.76999999999"/>
    <n v="104242.31160000015"/>
    <n v="56780.395127000083"/>
    <n v="118591.62000000045"/>
    <n v="65889.097163563332"/>
    <n v="118591.62000000021"/>
    <n v="65891.210000000225"/>
    <n v="118591.62000000023"/>
    <n v="65891.210000000239"/>
    <n v="128078.94960000025"/>
    <n v="68568.029918762215"/>
    <n v="0"/>
    <n v="0"/>
    <n v="0.87416270102228133"/>
    <n v="0.91665567037764994"/>
    <n v="0.95610423885656382"/>
    <n v="0.95610423885656382"/>
    <n v="0.95610423885656382"/>
    <n v="0.89999999999999991"/>
    <n v="0"/>
    <n v="111554.2800000001"/>
    <n v="106038.28795456476"/>
    <n v="113385.95057486705"/>
    <n v="113385.95057486728"/>
    <n v="113385.95057486706"/>
    <n v="115271.05464000022"/>
    <n v="0"/>
  </r>
  <r>
    <x v="0"/>
    <s v="FAIR PLAY LAS BRISAS"/>
    <n v="413"/>
    <x v="0"/>
    <x v="2"/>
    <x v="0"/>
    <s v="SANTA CRUZ"/>
    <s v="A 2"/>
    <x v="6"/>
    <n v="124910.83000000003"/>
    <n v="68025.94"/>
    <n v="116468.86999999997"/>
    <n v="64109.089999999982"/>
    <n v="110658.3802000001"/>
    <n v="61046.067263000063"/>
    <n v="113713.79999999999"/>
    <n v="62916.770000000484"/>
    <n v="113713.8000000001"/>
    <n v="62916.770000000091"/>
    <n v="113713.80000000048"/>
    <n v="62916.770000000302"/>
    <n v="122810.90400000055"/>
    <n v="65747.742045990788"/>
    <n v="0"/>
    <n v="0"/>
    <n v="0.91798805595959998"/>
    <n v="0.94152855791033041"/>
    <n v="0.94320108904987843"/>
    <n v="0.94320108904987843"/>
    <n v="0.94320108904987843"/>
    <n v="0.9"/>
    <n v="0"/>
    <n v="114666.65000000011"/>
    <n v="109658.76721254572"/>
    <n v="107254.98000000017"/>
    <n v="107254.98000000005"/>
    <n v="107254.98000000052"/>
    <n v="110529.81360000049"/>
    <n v="0"/>
  </r>
  <r>
    <x v="0"/>
    <s v="FAIR PLAY LAS BRISAS"/>
    <n v="413"/>
    <x v="0"/>
    <x v="2"/>
    <x v="0"/>
    <s v="SANTA CRUZ"/>
    <s v="A 2"/>
    <x v="7"/>
    <n v="294431.77999999997"/>
    <n v="110532.7699999999"/>
    <n v="210868.24999999994"/>
    <n v="87432.139999999956"/>
    <n v="222889.73328000045"/>
    <n v="93739.278717000183"/>
    <n v="198890.16105272394"/>
    <n v="88426.565604041069"/>
    <n v="243138.04000000059"/>
    <n v="107393.44000000058"/>
    <n v="243138.04000000015"/>
    <n v="108099.17258400009"/>
    <n v="252863.56160000016"/>
    <n v="117653.39913859352"/>
    <n v="0"/>
    <n v="0"/>
    <n v="0.31119629817134592"/>
    <n v="0.35665973183336847"/>
    <n v="0.38506977353277227"/>
    <n v="0.32"/>
    <n v="0.32"/>
    <n v="0.44"/>
    <n v="0"/>
    <n v="91626.080000000118"/>
    <n v="75208.213497171673"/>
    <n v="93625.110000002358"/>
    <n v="63644.851536871662"/>
    <n v="77804.172800000044"/>
    <n v="111259.96710400007"/>
    <n v="0"/>
  </r>
  <r>
    <x v="0"/>
    <s v="FAIR PLAY LAS BRISAS"/>
    <n v="413"/>
    <x v="0"/>
    <x v="2"/>
    <x v="0"/>
    <s v="SANTA CRUZ"/>
    <s v="A 2"/>
    <x v="8"/>
    <n v="101336.37999999999"/>
    <n v="52175.179999999993"/>
    <n v="96459.469999999987"/>
    <n v="49144.62999999999"/>
    <n v="103031.54421000005"/>
    <n v="55293.288378450037"/>
    <n v="106982.2887727325"/>
    <n v="56914.577627093691"/>
    <n v="110291.6500000003"/>
    <n v="59485.860000000306"/>
    <n v="110291.6500000003"/>
    <n v="59485.860000000299"/>
    <n v="119114.98200000032"/>
    <n v="61773.130119448695"/>
    <n v="0"/>
    <n v="0"/>
    <n v="0.78118046056115253"/>
    <n v="0.71242728247411968"/>
    <n v="0.83173005390707422"/>
    <n v="0.8"/>
    <n v="0.8"/>
    <n v="0.79"/>
    <n v="0"/>
    <n v="79161.999999999956"/>
    <n v="68720.358080993858"/>
    <n v="91732.880000000412"/>
    <n v="85585.831018186"/>
    <n v="88233.32000000024"/>
    <n v="94100.835780000256"/>
    <n v="0"/>
  </r>
  <r>
    <x v="0"/>
    <s v="FAIR PLAY LAS BRISAS"/>
    <n v="413"/>
    <x v="0"/>
    <x v="2"/>
    <x v="0"/>
    <s v="SANTA CRUZ"/>
    <s v="A 2"/>
    <x v="9"/>
    <n v="73520.239999999991"/>
    <n v="39592.609999999986"/>
    <n v="101269.28999999996"/>
    <n v="55284.44999999999"/>
    <n v="109798.79515500007"/>
    <n v="60801.649111800041"/>
    <n v="106707.95907138682"/>
    <n v="58262.545652977213"/>
    <n v="87377.830000000598"/>
    <n v="47290.620000000621"/>
    <n v="122237.90999999995"/>
    <n v="66741.898859999972"/>
    <n v="130794.56369999996"/>
    <n v="70021.854371868074"/>
    <n v="0"/>
    <n v="0"/>
    <n v="0.87844639788988788"/>
    <n v="0.88578373025122981"/>
    <n v="0.84825807644799633"/>
    <n v="0.89999999999999991"/>
    <n v="0.89999999999999991"/>
    <n v="0.89999999999999991"/>
    <n v="0"/>
    <n v="64583.59000000004"/>
    <n v="89702.689456093532"/>
    <n v="74118.950000000536"/>
    <n v="96037.163164248137"/>
    <n v="110014.11899999993"/>
    <n v="117715.10732999996"/>
    <n v="0"/>
  </r>
  <r>
    <x v="0"/>
    <s v="FAIR PLAY LAS BRISAS"/>
    <n v="413"/>
    <x v="0"/>
    <x v="2"/>
    <x v="0"/>
    <s v="SANTA CRUZ"/>
    <s v="A 2"/>
    <x v="10"/>
    <n v="108872.21999999996"/>
    <n v="53394.769999999968"/>
    <n v="102587.80999999997"/>
    <n v="53668.50999999998"/>
    <n v="144424.68465500028"/>
    <n v="71076.712285250134"/>
    <n v="149962.64918809629"/>
    <n v="74381.473997295761"/>
    <n v="54834.770114942541"/>
    <n v="21390.113561973238"/>
    <n v="149962.64918809629"/>
    <n v="74381.473997295761"/>
    <n v="160460.03463126303"/>
    <n v="79792.627820136768"/>
    <n v="0"/>
    <n v="0"/>
    <n v="0.53747714522584422"/>
    <n v="0.64851102326830956"/>
    <n v="0.38506977353277227"/>
    <n v="0.6"/>
    <n v="0.6"/>
    <n v="0.65"/>
    <n v="0"/>
    <n v="58516.330000000038"/>
    <n v="66529.325637954898"/>
    <n v="21115.212509882553"/>
    <n v="89977.589512857769"/>
    <n v="89977.589512857769"/>
    <n v="104299.02251032097"/>
    <n v="0"/>
  </r>
  <r>
    <x v="0"/>
    <s v="FAIR PLAY LAS BRISAS"/>
    <n v="413"/>
    <x v="0"/>
    <x v="2"/>
    <x v="0"/>
    <s v="SANTA CRUZ"/>
    <s v="A 2"/>
    <x v="11"/>
    <n v="234707.94999999992"/>
    <n v="115814.28999999995"/>
    <n v="216928.40999999995"/>
    <n v="117217.81999999998"/>
    <n v="223548.6808000005"/>
    <n v="123050.27357500029"/>
    <n v="232120.65496527651"/>
    <n v="122559.70582166601"/>
    <n v="260479.31034482762"/>
    <n v="123703.49943774495"/>
    <n v="232120.65496527651"/>
    <n v="122559.70582166601"/>
    <n v="248369.10081284586"/>
    <n v="130317.82253775994"/>
    <n v="0"/>
    <n v="0"/>
    <n v="0.5600899756484613"/>
    <n v="0.85313740188021059"/>
    <n v="0.60174123809880675"/>
    <n v="0.8"/>
    <n v="0.8"/>
    <n v="0.83"/>
    <n v="0"/>
    <n v="131457.57000000024"/>
    <n v="185069.74010140504"/>
    <n v="156741.14270601989"/>
    <n v="185696.52397222121"/>
    <n v="185696.52397222121"/>
    <n v="206146.35367466207"/>
    <n v="0"/>
  </r>
  <r>
    <x v="0"/>
    <s v="FLORIDA"/>
    <n v="404"/>
    <x v="2"/>
    <x v="0"/>
    <x v="2"/>
    <s v="SANTA CRUZ"/>
    <s v="A 3"/>
    <x v="0"/>
    <n v="57905.36"/>
    <n v="30545.14"/>
    <n v="20789.12"/>
    <n v="10988.120000000003"/>
    <n v="29404.465983333321"/>
    <n v="15183.30946516666"/>
    <n v="19622.639999999992"/>
    <n v="10285.088919733262"/>
    <n v="19622.639999999992"/>
    <n v="10389.739999999994"/>
    <n v="31462.778602166654"/>
    <n v="16658.823142761365"/>
    <n v="35867.56760646998"/>
    <n v="18981.417596862171"/>
    <n v="32964.224137931"/>
    <n v="18504.402570977978"/>
    <n v="0.76975654758039669"/>
    <n v="0.76717610934929648"/>
    <n v="0.88176549291584627"/>
    <n v="0.88176549291584605"/>
    <n v="0.88176549291584605"/>
    <n v="0.87999999999999989"/>
    <n v="0.97440624850172819"/>
    <n v="44573.03"/>
    <n v="15948.916198395646"/>
    <n v="17302.566831910193"/>
    <n v="17302.56683191019"/>
    <n v="27742.792482641613"/>
    <n v="31563.459493693579"/>
    <n v="32120.545977011461"/>
  </r>
  <r>
    <x v="0"/>
    <s v="FLORIDA"/>
    <n v="404"/>
    <x v="2"/>
    <x v="0"/>
    <x v="2"/>
    <s v="SANTA CRUZ"/>
    <s v="A 3"/>
    <x v="1"/>
    <n v="96968.150000000009"/>
    <n v="42265.169999999991"/>
    <n v="44468.640000000007"/>
    <n v="20301.900000000005"/>
    <n v="62335.834900000016"/>
    <n v="25997.354039500009"/>
    <n v="39888.809999999939"/>
    <n v="17219.246725880446"/>
    <n v="39888.809999999969"/>
    <n v="17328.159999999974"/>
    <n v="66699.343343000015"/>
    <n v="28974.965493892607"/>
    <n v="74703.264544160018"/>
    <n v="33518.617296561992"/>
    <n v="53516.810344827609"/>
    <n v="24851.83953895175"/>
    <n v="0.40008796702835009"/>
    <n v="0.49941667392364136"/>
    <n v="0.23880593275605233"/>
    <n v="0.23880593275605178"/>
    <n v="0.23880593275605178"/>
    <n v="0.40000000000000008"/>
    <n v="0.40704795195408044"/>
    <n v="38795.79000000011"/>
    <n v="22208.3802827078"/>
    <n v="9525.6844785789399"/>
    <n v="9525.6844785789108"/>
    <n v="15928.198901241271"/>
    <n v="29881.305817664012"/>
    <n v="21783.908045977023"/>
  </r>
  <r>
    <x v="0"/>
    <s v="FLORIDA"/>
    <n v="404"/>
    <x v="2"/>
    <x v="0"/>
    <x v="2"/>
    <s v="SANTA CRUZ"/>
    <s v="A 3"/>
    <x v="2"/>
    <n v="61975.209999999992"/>
    <n v="29548.070000000003"/>
    <n v="62443.349999999991"/>
    <n v="27515.139999999996"/>
    <n v="32851.443625"/>
    <n v="15500.780681875001"/>
    <n v="28552.469999999998"/>
    <n v="13547.395129480687"/>
    <n v="28552.470000000008"/>
    <n v="13742.380000000019"/>
    <n v="30551.14290000001"/>
    <n v="14704.346600000021"/>
    <n v="34522.791477000021"/>
    <n v="18096.018598109946"/>
    <n v="32222.488346542672"/>
    <n v="15885.686754845538"/>
    <n v="0.50774220853789798"/>
    <n v="0.38756800727967128"/>
    <n v="0.52997588746176005"/>
    <n v="0.52997588746175994"/>
    <n v="0.52997588746175994"/>
    <n v="0.85000000000000009"/>
    <n v="0.60989340439706841"/>
    <n v="31467.430000000015"/>
    <n v="24201.044727367058"/>
    <n v="15132.120627475284"/>
    <n v="15132.120627475275"/>
    <n v="16191.369071398551"/>
    <n v="29344.372755450022"/>
    <n v="19652.283115817772"/>
  </r>
  <r>
    <x v="0"/>
    <s v="FLORIDA"/>
    <n v="404"/>
    <x v="2"/>
    <x v="0"/>
    <x v="2"/>
    <s v="SANTA CRUZ"/>
    <s v="A 3"/>
    <x v="3"/>
    <n v="43162.130000000005"/>
    <n v="22433.049999999996"/>
    <n v="26856.27"/>
    <n v="14720.809999999998"/>
    <n v="30628.381174999984"/>
    <n v="16728.106868124993"/>
    <n v="31541.330000000024"/>
    <n v="16049.907897812913"/>
    <n v="31541.330000000016"/>
    <n v="16109.400000000016"/>
    <n v="33749.223100000032"/>
    <n v="17237.058000000023"/>
    <n v="38136.622103000045"/>
    <n v="20182.220266873886"/>
    <n v="0"/>
    <n v="0"/>
    <n v="0.70543159014626944"/>
    <n v="0.89580318219402055"/>
    <n v="0.7352010515813312"/>
    <n v="0.7352010515813312"/>
    <n v="0.7352010515813312"/>
    <n v="0.88"/>
    <n v="0"/>
    <n v="30447.930000000004"/>
    <n v="24057.932127861808"/>
    <n v="23189.218984273801"/>
    <n v="23189.218984273808"/>
    <n v="24812.464313172979"/>
    <n v="33560.227450640043"/>
    <n v="0"/>
  </r>
  <r>
    <x v="0"/>
    <s v="FLORIDA"/>
    <n v="404"/>
    <x v="2"/>
    <x v="0"/>
    <x v="2"/>
    <s v="SANTA CRUZ"/>
    <s v="A 3"/>
    <x v="4"/>
    <n v="47194.75"/>
    <n v="24248.45"/>
    <n v="31512.219999999994"/>
    <n v="17507.669999999998"/>
    <n v="31204.414249999987"/>
    <n v="16017.529221499995"/>
    <n v="26199.359999999997"/>
    <n v="14158.503261109359"/>
    <n v="26199.359999999993"/>
    <n v="14186.340000000004"/>
    <n v="28033.315199999994"/>
    <n v="15179.383800000005"/>
    <n v="31677.646175999995"/>
    <n v="16764.076035193331"/>
    <n v="0"/>
    <n v="0"/>
    <n v="0.71849284083505072"/>
    <n v="0.93020620044631053"/>
    <n v="0.88871554663838959"/>
    <n v="0.88871554663838948"/>
    <n v="0.88871554663838948"/>
    <n v="0.88"/>
    <n v="0"/>
    <n v="33909.090000000011"/>
    <n v="29312.862433828232"/>
    <n v="23283.778543975954"/>
    <n v="23283.778543975954"/>
    <n v="24913.643042054267"/>
    <n v="27876.328634879996"/>
    <n v="0"/>
  </r>
  <r>
    <x v="0"/>
    <s v="FLORIDA"/>
    <n v="404"/>
    <x v="2"/>
    <x v="0"/>
    <x v="2"/>
    <s v="SANTA CRUZ"/>
    <s v="A 3"/>
    <x v="5"/>
    <n v="41270.089999999997"/>
    <n v="21722.820000000003"/>
    <n v="27114.92"/>
    <n v="15080.739999999994"/>
    <n v="27617.667349999989"/>
    <n v="15237.897918499995"/>
    <n v="0"/>
    <n v="0"/>
    <n v="0"/>
    <n v="0"/>
    <n v="29012.964400000015"/>
    <n v="0"/>
    <n v="30639.859600000014"/>
    <n v="16214.870675309376"/>
    <n v="0"/>
    <n v="0"/>
    <n v="0.75713743294477909"/>
    <n v="0.94002020159585997"/>
    <n v="0"/>
    <n v="0"/>
    <n v="0"/>
    <n v="0.88"/>
    <n v="0"/>
    <n v="31247.129999999994"/>
    <n v="25488.572564655613"/>
    <n v="0"/>
    <n v="0"/>
    <n v="0"/>
    <n v="26963.076448000014"/>
    <n v="0"/>
  </r>
  <r>
    <x v="0"/>
    <s v="FLORIDA"/>
    <n v="404"/>
    <x v="2"/>
    <x v="0"/>
    <x v="2"/>
    <s v="SANTA CRUZ"/>
    <s v="A 3"/>
    <x v="6"/>
    <n v="39675.55999999999"/>
    <n v="20994.829999999994"/>
    <n v="27589.609999999997"/>
    <n v="15334.380000000001"/>
    <n v="3285.5501999999969"/>
    <n v="1823.4803609999985"/>
    <n v="0"/>
    <n v="0"/>
    <n v="0"/>
    <n v="0"/>
    <n v="29796.77880000004"/>
    <n v="0"/>
    <n v="31176.259300000049"/>
    <n v="16498.737895307186"/>
    <n v="0"/>
    <n v="0"/>
    <n v="0.80640752140612526"/>
    <n v="0.92883811015185547"/>
    <n v="0"/>
    <n v="0"/>
    <n v="0"/>
    <n v="0.88"/>
    <n v="0"/>
    <n v="31994.67"/>
    <n v="25626.281212226731"/>
    <n v="0"/>
    <n v="0"/>
    <n v="0"/>
    <n v="27435.108184000044"/>
    <n v="0"/>
  </r>
  <r>
    <x v="0"/>
    <s v="FLORIDA"/>
    <n v="404"/>
    <x v="2"/>
    <x v="0"/>
    <x v="2"/>
    <s v="SANTA CRUZ"/>
    <s v="A 3"/>
    <x v="7"/>
    <n v="113658.72"/>
    <n v="45074.759999999995"/>
    <n v="60138.239999999991"/>
    <n v="25927.179999999993"/>
    <n v="56846.708600000034"/>
    <n v="24679.270482000014"/>
    <n v="0"/>
    <n v="0"/>
    <n v="43377.35"/>
    <n v="18814.560000000005"/>
    <n v="46847.538000000059"/>
    <n v="20319.724800000033"/>
    <n v="52469.242560000072"/>
    <n v="23542.431136586947"/>
    <n v="0"/>
    <n v="0"/>
    <n v="0.2855946292550185"/>
    <n v="0.33196206443573989"/>
    <n v="0.35690216207306319"/>
    <n v="0"/>
    <n v="0"/>
    <n v="0.4"/>
    <n v="0"/>
    <n v="32460.319999999956"/>
    <n v="19963.614301931986"/>
    <n v="15481.469999999987"/>
    <n v="0"/>
    <n v="0"/>
    <n v="20987.69702400003"/>
    <n v="0"/>
  </r>
  <r>
    <x v="0"/>
    <s v="FLORIDA"/>
    <n v="404"/>
    <x v="2"/>
    <x v="0"/>
    <x v="2"/>
    <s v="SANTA CRUZ"/>
    <s v="A 3"/>
    <x v="8"/>
    <n v="34599.289999999994"/>
    <n v="17377.519999999997"/>
    <n v="26133.85"/>
    <n v="13183.499999999998"/>
    <n v="28933.791939999981"/>
    <n v="15480.689563299991"/>
    <n v="33123.405012911979"/>
    <n v="17290.417416740056"/>
    <n v="24453.45"/>
    <n v="13281.760000000002"/>
    <n v="26409.726000000002"/>
    <n v="14344.300800000003"/>
    <n v="29578.893120000004"/>
    <n v="15504.545754002267"/>
    <n v="0"/>
    <n v="0"/>
    <n v="0.68839620697418913"/>
    <n v="0.65035827704091886"/>
    <n v="0.89180585970486781"/>
    <n v="0.8"/>
    <n v="0.8"/>
    <n v="0.85000000000000009"/>
    <n v="0"/>
    <n v="23818.01999999999"/>
    <n v="16996.365658445815"/>
    <n v="21807.73"/>
    <n v="26498.724010329584"/>
    <n v="21127.780800000004"/>
    <n v="25142.059152000005"/>
    <n v="0"/>
  </r>
  <r>
    <x v="0"/>
    <s v="FLORIDA"/>
    <n v="404"/>
    <x v="2"/>
    <x v="0"/>
    <x v="2"/>
    <s v="SANTA CRUZ"/>
    <s v="A 3"/>
    <x v="9"/>
    <n v="26143.08"/>
    <n v="13883.62"/>
    <n v="21151.23"/>
    <n v="11547.609999999999"/>
    <n v="29753.913059999981"/>
    <n v="16443.597597699991"/>
    <n v="34062.279671087977"/>
    <n v="18376.599882551967"/>
    <n v="20914.389999999989"/>
    <n v="11124.919999999991"/>
    <n v="37090.764000000003"/>
    <n v="20010.467178000006"/>
    <n v="42283.470960000006"/>
    <n v="22376.767461414849"/>
    <n v="0"/>
    <n v="0"/>
    <n v="0.80596203660777543"/>
    <n v="0.8276484415702271"/>
    <n v="0.86706377761914155"/>
    <n v="0.9"/>
    <n v="0.9"/>
    <n v="0.88000000000000012"/>
    <n v="0"/>
    <n v="21070.33"/>
    <n v="17505.782546793434"/>
    <n v="18134.10999999999"/>
    <n v="30656.051703979181"/>
    <n v="33381.687600000005"/>
    <n v="37209.454444800009"/>
    <n v="0"/>
  </r>
  <r>
    <x v="0"/>
    <s v="FLORIDA"/>
    <n v="404"/>
    <x v="2"/>
    <x v="0"/>
    <x v="2"/>
    <s v="SANTA CRUZ"/>
    <s v="A 3"/>
    <x v="10"/>
    <n v="39446.619999999995"/>
    <n v="19267.930000000004"/>
    <n v="21287.56"/>
    <n v="10949.740000000002"/>
    <n v="37545.907549999989"/>
    <n v="18560.481231249993"/>
    <n v="40992.621863089989"/>
    <n v="19446.899811849893"/>
    <n v="27054.597701149414"/>
    <n v="10793.130924960813"/>
    <n v="44272.031612137202"/>
    <n v="21002.651796797891"/>
    <n v="50470.116037836407"/>
    <n v="24338.678592048353"/>
    <n v="0"/>
    <n v="0"/>
    <n v="0.50439581388722332"/>
    <n v="0.58351733857806731"/>
    <n v="0.35690216207306319"/>
    <n v="0.48"/>
    <n v="0.48"/>
    <n v="0.6"/>
    <n v="0"/>
    <n v="19896.710000000017"/>
    <n v="12421.660356020924"/>
    <n v="9655.8444135571517"/>
    <n v="19676.458494283193"/>
    <n v="21250.575173825855"/>
    <n v="30282.069622701842"/>
    <n v="0"/>
  </r>
  <r>
    <x v="0"/>
    <s v="FLORIDA"/>
    <n v="404"/>
    <x v="2"/>
    <x v="0"/>
    <x v="2"/>
    <s v="SANTA CRUZ"/>
    <s v="A 3"/>
    <x v="11"/>
    <n v="83204.649999999994"/>
    <n v="40607.78"/>
    <n v="62037.03"/>
    <n v="32903.1"/>
    <n v="65246.640550000018"/>
    <n v="35767.113506250011"/>
    <n v="71236.282152490021"/>
    <n v="37327.811847904777"/>
    <n v="90573.448275862072"/>
    <n v="43117.013339023324"/>
    <n v="76935.184724689228"/>
    <n v="40314.036795737164"/>
    <n v="88475.462433392633"/>
    <n v="46376.713619398775"/>
    <n v="0"/>
    <n v="0"/>
    <n v="0.53223599882939288"/>
    <n v="0.78870362239574487"/>
    <n v="0.52997588746176005"/>
    <n v="0.8"/>
    <n v="0.8"/>
    <n v="0.85"/>
    <n v="0"/>
    <n v="44284.510000000038"/>
    <n v="48928.830283673495"/>
    <n v="48001.743630471821"/>
    <n v="56989.025721992017"/>
    <n v="61548.147779751387"/>
    <n v="75204.143068383739"/>
    <n v="0"/>
  </r>
  <r>
    <x v="0"/>
    <s v="FORMATO XL - SAN MARTIN  1000"/>
    <s v="FP-SMXL"/>
    <x v="3"/>
    <x v="3"/>
    <x v="3"/>
    <s v="SANTA CRUZ"/>
    <s v="XL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FORMATO XL - SAN MARTIN  1000"/>
    <s v="FP-SMXL"/>
    <x v="3"/>
    <x v="3"/>
    <x v="3"/>
    <s v="SANTA CRUZ"/>
    <s v="XL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FORMATO XL - SAN MARTIN  1000"/>
    <s v="FP-SMXL"/>
    <x v="3"/>
    <x v="3"/>
    <x v="3"/>
    <s v="SANTA CRUZ"/>
    <s v="XL"/>
    <x v="10"/>
    <n v="0"/>
    <n v="0"/>
    <n v="0"/>
    <n v="0"/>
    <n v="0"/>
    <n v="0"/>
    <n v="0"/>
    <n v="0"/>
    <n v="0"/>
    <n v="0"/>
    <n v="0"/>
    <n v="0"/>
    <n v="264022.40301724139"/>
    <n v="131411.4763696077"/>
    <n v="0"/>
    <n v="0"/>
    <n v="0"/>
    <n v="0"/>
    <n v="0"/>
    <n v="0"/>
    <n v="0"/>
    <n v="0.65000000000000013"/>
    <n v="0"/>
    <n v="0"/>
    <n v="0"/>
    <n v="0"/>
    <n v="0"/>
    <n v="0"/>
    <n v="171614.56196120693"/>
    <n v="0"/>
  </r>
  <r>
    <x v="0"/>
    <s v="FORMATO XL - SAN MARTIN  1000"/>
    <s v="FP-SMXL"/>
    <x v="3"/>
    <x v="3"/>
    <x v="3"/>
    <s v="SANTA CRUZ"/>
    <s v="XL"/>
    <x v="11"/>
    <n v="0"/>
    <n v="0"/>
    <n v="0"/>
    <n v="0"/>
    <n v="0"/>
    <n v="0"/>
    <n v="0"/>
    <n v="0"/>
    <n v="0"/>
    <n v="0"/>
    <n v="0"/>
    <n v="0"/>
    <n v="465209.9998673813"/>
    <n v="245139.88897356391"/>
    <n v="0"/>
    <n v="0"/>
    <n v="0"/>
    <n v="0"/>
    <n v="0"/>
    <n v="0"/>
    <n v="0"/>
    <n v="0.85"/>
    <n v="0"/>
    <n v="0"/>
    <n v="0"/>
    <n v="0"/>
    <n v="0"/>
    <n v="0"/>
    <n v="395428.49988727411"/>
    <n v="0"/>
  </r>
  <r>
    <x v="0"/>
    <s v="FP CIELO MALL"/>
    <n v="214"/>
    <x v="0"/>
    <x v="2"/>
    <x v="0"/>
    <s v="LA PAZ"/>
    <s v="B 1"/>
    <x v="0"/>
    <n v="0"/>
    <n v="0"/>
    <n v="50886.789999999994"/>
    <n v="25080.219999999994"/>
    <n v="53222.782583333334"/>
    <n v="26424.169125166663"/>
    <n v="50177.870000000046"/>
    <n v="25840.5514678256"/>
    <n v="50177.870000000024"/>
    <n v="25740.890000000025"/>
    <n v="53222.782583333334"/>
    <n v="27302.908472828753"/>
    <n v="56948.37736416667"/>
    <n v="30158.279807986964"/>
    <n v="49433.189655172551"/>
    <n v="27554.831625311374"/>
    <n v="0"/>
    <n v="0.65446989518265641"/>
    <n v="0.7701131730511338"/>
    <n v="0.77011317305113347"/>
    <n v="0.77011317305113347"/>
    <n v="0.88"/>
    <n v="0.98190696254959242"/>
    <n v="0"/>
    <n v="33303.872117481842"/>
    <n v="38642.638682647317"/>
    <n v="38642.638682647317"/>
    <n v="40987.565973861434"/>
    <n v="50114.572080466671"/>
    <n v="48538.793103448414"/>
  </r>
  <r>
    <x v="0"/>
    <s v="FP CIELO MALL"/>
    <n v="214"/>
    <x v="0"/>
    <x v="2"/>
    <x v="0"/>
    <s v="LA PAZ"/>
    <s v="B 1"/>
    <x v="1"/>
    <n v="0"/>
    <n v="0"/>
    <n v="60119.11"/>
    <n v="28700.370000000003"/>
    <n v="75023.705999999976"/>
    <n v="33643.374087499986"/>
    <n v="76026.619999999923"/>
    <n v="33585.220238058777"/>
    <n v="76026.619999999923"/>
    <n v="33619.739999999932"/>
    <n v="82108.749600000097"/>
    <n v="36309.319200000005"/>
    <n v="87035.274576000098"/>
    <n v="37814.186615970408"/>
    <n v="69109.770114942628"/>
    <n v="32545.956259357008"/>
    <n v="0"/>
    <n v="0.53123174505847814"/>
    <n v="0.33762728240137213"/>
    <n v="0.33762728240137152"/>
    <n v="0.33762728240137152"/>
    <n v="0.40000000000000008"/>
    <n v="0.50004365868059286"/>
    <n v="0"/>
    <n v="31937.179716662606"/>
    <n v="25668.661100761779"/>
    <n v="25668.661100761732"/>
    <n v="27722.153988822734"/>
    <n v="34814.109830400048"/>
    <n v="34557.902298850611"/>
  </r>
  <r>
    <x v="0"/>
    <s v="FP CIELO MALL"/>
    <n v="214"/>
    <x v="0"/>
    <x v="2"/>
    <x v="0"/>
    <s v="LA PAZ"/>
    <s v="B 1"/>
    <x v="2"/>
    <n v="0"/>
    <n v="0"/>
    <n v="77944.03"/>
    <n v="34146.250000000007"/>
    <n v="57089.565049999983"/>
    <n v="26650.745052749993"/>
    <n v="70367.210000000094"/>
    <n v="31437.526873038627"/>
    <n v="70367.21000000005"/>
    <n v="31228.540000000066"/>
    <n v="71774.554200000159"/>
    <n v="31853.110800000115"/>
    <n v="76081.027452000169"/>
    <n v="39838.181333270957"/>
    <n v="72343.877275374703"/>
    <n v="37474.1284286441"/>
    <n v="0"/>
    <n v="0.35497419137171932"/>
    <n v="0.56715893535648854"/>
    <n v="0.56715893535648798"/>
    <n v="0.56715893535648798"/>
    <n v="0.85"/>
    <n v="0.79561725474423473"/>
    <n v="0"/>
    <n v="27668.119021503033"/>
    <n v="39909.391907606485"/>
    <n v="39909.39190760647"/>
    <n v="40707.57974575863"/>
    <n v="64668.873334200143"/>
    <n v="57558.037035387446"/>
  </r>
  <r>
    <x v="0"/>
    <s v="FP CIELO MALL"/>
    <n v="214"/>
    <x v="0"/>
    <x v="2"/>
    <x v="0"/>
    <s v="LA PAZ"/>
    <s v="B 1"/>
    <x v="3"/>
    <n v="0"/>
    <n v="0"/>
    <n v="56022.55999999999"/>
    <n v="28953.479999999992"/>
    <n v="50147.406680000022"/>
    <n v="26107.654634150014"/>
    <n v="64337.990000000034"/>
    <n v="33299.28928162036"/>
    <n v="64337.990000000049"/>
    <n v="33323.630000000019"/>
    <n v="69485.029200000063"/>
    <n v="35989.520400000023"/>
    <n v="75738.681828000088"/>
    <n v="40109.103447329602"/>
    <n v="0"/>
    <n v="0"/>
    <n v="0"/>
    <n v="0.68359939728551145"/>
    <n v="0.78073677813817621"/>
    <n v="0.78073677813817655"/>
    <n v="0.78073677813817655"/>
    <n v="0.88"/>
    <n v="0"/>
    <n v="0"/>
    <n v="38296.988250391398"/>
    <n v="50231.035024486235"/>
    <n v="50231.035024486249"/>
    <n v="54249.517826445168"/>
    <n v="66650.040008640077"/>
    <n v="0"/>
  </r>
  <r>
    <x v="0"/>
    <s v="FP CIELO MALL"/>
    <n v="214"/>
    <x v="0"/>
    <x v="2"/>
    <x v="0"/>
    <s v="LA PAZ"/>
    <s v="B 1"/>
    <x v="4"/>
    <n v="0"/>
    <n v="0"/>
    <n v="52199.68"/>
    <n v="26762.279999999995"/>
    <n v="55359.422669999949"/>
    <n v="26832.245688599978"/>
    <n v="54310.919999999976"/>
    <n v="29234.978272488555"/>
    <n v="54310.919999999955"/>
    <n v="28907.92999999996"/>
    <n v="57026.465999999957"/>
    <n v="30353.326499999959"/>
    <n v="62158.847939999949"/>
    <n v="32917.600386208367"/>
    <n v="0"/>
    <n v="0"/>
    <n v="0"/>
    <n v="0.69175134934852134"/>
    <n v="0.84173487611429143"/>
    <n v="0.84173487611429176"/>
    <n v="0.84173487611429176"/>
    <n v="0.88"/>
    <n v="0"/>
    <n v="0"/>
    <n v="36109.199075561024"/>
    <n v="45715.395517853154"/>
    <n v="45715.395517853191"/>
    <n v="48001.165293745835"/>
    <n v="54699.786187199956"/>
    <n v="0"/>
  </r>
  <r>
    <x v="0"/>
    <s v="FP CIELO MALL"/>
    <n v="214"/>
    <x v="0"/>
    <x v="2"/>
    <x v="0"/>
    <s v="LA PAZ"/>
    <s v="B 1"/>
    <x v="5"/>
    <n v="0"/>
    <n v="0"/>
    <n v="45228.480000000003"/>
    <n v="23653.299999999988"/>
    <n v="48651.291700000002"/>
    <n v="25645.726647"/>
    <n v="53547.290000000023"/>
    <n v="28685.760004354499"/>
    <n v="53547.290000000023"/>
    <n v="28684.420000000027"/>
    <n v="56760.127400000027"/>
    <n v="30405.485200000028"/>
    <n v="64138.943962000041"/>
    <n v="33966.204273484982"/>
    <n v="0"/>
    <n v="0"/>
    <n v="0"/>
    <n v="0.73832721793194744"/>
    <n v="0.8688924671335353"/>
    <n v="0.8688924671335353"/>
    <n v="0.8688924671335353"/>
    <n v="0.88000000000000012"/>
    <n v="0"/>
    <n v="0"/>
    <n v="33393.417809690727"/>
    <n v="46526.836916414904"/>
    <n v="46526.836916414904"/>
    <n v="49318.4471313998"/>
    <n v="56442.270686560041"/>
    <n v="0"/>
  </r>
  <r>
    <x v="0"/>
    <s v="FP CIELO MALL"/>
    <n v="214"/>
    <x v="0"/>
    <x v="2"/>
    <x v="0"/>
    <s v="LA PAZ"/>
    <s v="B 1"/>
    <x v="6"/>
    <n v="0"/>
    <n v="0"/>
    <n v="46267.899999999994"/>
    <n v="24024.340000000004"/>
    <n v="51495.504899999985"/>
    <n v="27066.351343499988"/>
    <n v="58164.76999999996"/>
    <n v="31418.389999999898"/>
    <n v="58164.769999999968"/>
    <n v="31418.38999999997"/>
    <n v="61073.00849999996"/>
    <n v="32989.309499999967"/>
    <n v="67485.674392499961"/>
    <n v="35738.539806760949"/>
    <n v="0"/>
    <n v="0"/>
    <n v="0"/>
    <n v="0.7473407317907369"/>
    <n v="0.89465547615850605"/>
    <n v="0.89465547615850616"/>
    <n v="0.89465547615850616"/>
    <n v="0.88"/>
    <n v="0"/>
    <n v="0"/>
    <n v="34577.886244420632"/>
    <n v="52037.429999999957"/>
    <n v="52037.429999999957"/>
    <n v="54639.301499999958"/>
    <n v="59387.393465399968"/>
    <n v="0"/>
  </r>
  <r>
    <x v="0"/>
    <s v="FP CIELO MALL"/>
    <n v="214"/>
    <x v="0"/>
    <x v="2"/>
    <x v="0"/>
    <s v="LA PAZ"/>
    <s v="B 1"/>
    <x v="7"/>
    <n v="0"/>
    <n v="0"/>
    <n v="78366.650000000009"/>
    <n v="29200.790000000005"/>
    <n v="80223.091199999995"/>
    <n v="32742.429844999999"/>
    <n v="95733.274264570413"/>
    <n v="39863.335403767123"/>
    <n v="120555.47000000002"/>
    <n v="54568.930000000008"/>
    <n v="120555.47000000009"/>
    <n v="50199.297708000042"/>
    <n v="127788.79820000009"/>
    <n v="55520.356385454208"/>
    <n v="0"/>
    <n v="0"/>
    <n v="0"/>
    <n v="0.31655673063117951"/>
    <n v="0.44906821731108632"/>
    <n v="0.37"/>
    <n v="0.37"/>
    <n v="0.4"/>
    <n v="0"/>
    <n v="0"/>
    <n v="24807.490514517925"/>
    <n v="54137.630000000157"/>
    <n v="35421.311477891053"/>
    <n v="44605.523900000029"/>
    <n v="51115.519280000037"/>
    <n v="0"/>
  </r>
  <r>
    <x v="0"/>
    <s v="FP CIELO MALL"/>
    <n v="214"/>
    <x v="0"/>
    <x v="2"/>
    <x v="0"/>
    <s v="LA PAZ"/>
    <s v="B 1"/>
    <x v="8"/>
    <n v="0"/>
    <n v="0"/>
    <n v="54052.95"/>
    <n v="26408.009999999995"/>
    <n v="48968.960249999996"/>
    <n v="25035.388505499999"/>
    <n v="51446.789638649992"/>
    <n v="26068.08830990396"/>
    <n v="53268.19999999999"/>
    <n v="26426.220000000008"/>
    <n v="55931.609999999993"/>
    <n v="27747.53100000001"/>
    <n v="63762.035399999986"/>
    <n v="33387.608100406389"/>
    <n v="0"/>
    <n v="0"/>
    <n v="0"/>
    <n v="0.60602757150473396"/>
    <n v="0.74472799906886333"/>
    <n v="0.70000000000000007"/>
    <n v="0.70000000000000007"/>
    <n v="0.85"/>
    <n v="0"/>
    <n v="0"/>
    <n v="32757.578021166806"/>
    <n v="39670.320000000022"/>
    <n v="36012.752747054998"/>
    <n v="39152.127"/>
    <n v="54197.73008999999"/>
    <n v="0"/>
  </r>
  <r>
    <x v="0"/>
    <s v="FP CIELO MALL"/>
    <n v="214"/>
    <x v="0"/>
    <x v="2"/>
    <x v="0"/>
    <s v="LA PAZ"/>
    <s v="B 1"/>
    <x v="9"/>
    <n v="0"/>
    <n v="0"/>
    <n v="52370.499999999985"/>
    <n v="26852.409999999982"/>
    <n v="51362.820324999986"/>
    <n v="26601.757142125"/>
    <n v="53961.779033444982"/>
    <n v="28319.14163675193"/>
    <n v="62793.780000000086"/>
    <n v="32072.750000000113"/>
    <n v="63421.717800000159"/>
    <n v="33283.717501440085"/>
    <n v="70080.998169000173"/>
    <n v="37112.951234561602"/>
    <n v="0"/>
    <n v="0"/>
    <n v="0"/>
    <n v="0.69458856509855915"/>
    <n v="0.6834600497055604"/>
    <n v="0.8"/>
    <n v="0.8"/>
    <n v="0.88000000000000012"/>
    <n v="0"/>
    <n v="0"/>
    <n v="36375.950448494084"/>
    <n v="42917.040000000081"/>
    <n v="43169.423226755986"/>
    <n v="50737.374240000128"/>
    <n v="61671.278388720159"/>
    <n v="0"/>
  </r>
  <r>
    <x v="0"/>
    <s v="FP CIELO MALL"/>
    <n v="214"/>
    <x v="0"/>
    <x v="2"/>
    <x v="0"/>
    <s v="LA PAZ"/>
    <s v="B 1"/>
    <x v="10"/>
    <n v="0"/>
    <n v="0"/>
    <n v="59375.77"/>
    <n v="29617.170000000002"/>
    <n v="71413.012125000052"/>
    <n v="32047.96057887502"/>
    <n v="76129.841575856306"/>
    <n v="36199.739669319679"/>
    <n v="89151.293103448261"/>
    <n v="37123.775420914433"/>
    <n v="90934.318965517232"/>
    <n v="43239.268668103454"/>
    <n v="100482.42245689654"/>
    <n v="47638.288272571619"/>
    <n v="0"/>
    <n v="0"/>
    <n v="0"/>
    <n v="0.55436011956670539"/>
    <n v="0.44906821731108632"/>
    <n v="0.5"/>
    <n v="0.5"/>
    <n v="0.6"/>
    <n v="0"/>
    <n v="0"/>
    <n v="32915.558956565197"/>
    <n v="40035.012264943653"/>
    <n v="38064.920787928153"/>
    <n v="45467.159482758616"/>
    <n v="60289.453474137925"/>
    <n v="0"/>
  </r>
  <r>
    <x v="0"/>
    <s v="FP CIELO MALL"/>
    <n v="214"/>
    <x v="0"/>
    <x v="2"/>
    <x v="0"/>
    <s v="LA PAZ"/>
    <s v="B 1"/>
    <x v="11"/>
    <n v="0"/>
    <n v="0"/>
    <n v="109868.87999999999"/>
    <n v="57167.539999999979"/>
    <n v="115908.04030000011"/>
    <n v="62437.504475500049"/>
    <n v="121772.98713918011"/>
    <n v="61452.73795978725"/>
    <n v="125218.10344827586"/>
    <n v="62094.669229955114"/>
    <n v="126470.28448275861"/>
    <n v="63823.229064224135"/>
    <n v="139749.66435344826"/>
    <n v="73176.883333875885"/>
    <n v="0"/>
    <n v="0"/>
    <n v="0"/>
    <n v="0.72168130387341534"/>
    <n v="0.56715893535648854"/>
    <n v="0.65"/>
    <n v="0.65"/>
    <n v="0.85"/>
    <n v="0"/>
    <n v="0"/>
    <n v="79290.316573511795"/>
    <n v="71018.566239082778"/>
    <n v="79152.441640467077"/>
    <n v="82205.684913793099"/>
    <n v="118787.21470043101"/>
    <n v="0"/>
  </r>
  <r>
    <x v="0"/>
    <s v="GRANEROS"/>
    <n v="206"/>
    <x v="2"/>
    <x v="2"/>
    <x v="0"/>
    <s v="LA PAZ"/>
    <s v="B 1"/>
    <x v="0"/>
    <n v="74452.560000000012"/>
    <n v="39858.460000000006"/>
    <n v="47856.17"/>
    <n v="24088.979999999996"/>
    <n v="56967.328933333323"/>
    <n v="28487.176995833332"/>
    <n v="49556.250000000051"/>
    <n v="23900.431334664103"/>
    <n v="49556.250000000022"/>
    <n v="23969.190000000013"/>
    <n v="59246.022090666658"/>
    <n v="28655.904355866041"/>
    <n v="62800.783416106657"/>
    <n v="33189.686367900475"/>
    <n v="55651.149425287513"/>
    <n v="30402.483485741883"/>
    <n v="0.78449847795697047"/>
    <n v="0.67227344994707361"/>
    <n v="0.70691069673143325"/>
    <n v="0.70691069673143336"/>
    <n v="0.70691069673143336"/>
    <n v="0.88"/>
    <n v="0.94523561182654692"/>
    <n v="58407.920000000035"/>
    <n v="32172.432507153644"/>
    <n v="35031.843214897104"/>
    <n v="35031.843214897133"/>
    <n v="41881.646754679059"/>
    <n v="55264.689406173857"/>
    <n v="52603.448275862225"/>
  </r>
  <r>
    <x v="0"/>
    <s v="GRANEROS"/>
    <n v="206"/>
    <x v="2"/>
    <x v="2"/>
    <x v="0"/>
    <s v="LA PAZ"/>
    <s v="B 1"/>
    <x v="1"/>
    <n v="98344.080000000016"/>
    <n v="42476.590000000026"/>
    <n v="51117.580000000009"/>
    <n v="22407.040000000005"/>
    <n v="73494.302499999991"/>
    <n v="28957.719645000001"/>
    <n v="86032.410000000033"/>
    <n v="34900.40422461171"/>
    <n v="86032.409999999945"/>
    <n v="34974.339999999909"/>
    <n v="86032.410000000222"/>
    <n v="34974.340000000026"/>
    <n v="88613.38230000023"/>
    <n v="36839.962728963219"/>
    <n v="69887.212643678329"/>
    <n v="31458.049943762366"/>
    <n v="0.39671701641827473"/>
    <n v="0.40467343837178865"/>
    <n v="0.28491667363763917"/>
    <n v="0.28491667363763956"/>
    <n v="0.28491667363763956"/>
    <n v="0.4"/>
    <n v="0.46805711172558379"/>
    <n v="39014.770000000128"/>
    <n v="20685.926859844978"/>
    <n v="24512.068082229551"/>
    <n v="24512.068082229609"/>
    <n v="24512.06808222966"/>
    <n v="35445.352920000092"/>
    <n v="32711.206896551779"/>
  </r>
  <r>
    <x v="0"/>
    <s v="GRANEROS"/>
    <n v="206"/>
    <x v="2"/>
    <x v="2"/>
    <x v="0"/>
    <s v="LA PAZ"/>
    <s v="B 1"/>
    <x v="2"/>
    <n v="59187.7"/>
    <n v="27931.579999999994"/>
    <n v="71784.2"/>
    <n v="28961.880000000008"/>
    <n v="60910.267006666676"/>
    <n v="27634.460428333332"/>
    <n v="72328.180000000008"/>
    <n v="33118.004691061775"/>
    <n v="72328.180000000022"/>
    <n v="33432.21000000005"/>
    <n v="72328.180000000109"/>
    <n v="33432.210000000094"/>
    <n v="75221.307200000127"/>
    <n v="39223.737421782622"/>
    <n v="62424.530370540757"/>
    <n v="30400.74629045335"/>
    <n v="0.48999065684255383"/>
    <n v="0.35038501851761433"/>
    <n v="0.51832657978860397"/>
    <n v="0.51832657978860308"/>
    <n v="0.51832657978860308"/>
    <n v="0.85"/>
    <n v="0.71254722525396719"/>
    <n v="29001.42000000002"/>
    <n v="25152.108246272132"/>
    <n v="37489.618161734521"/>
    <n v="37489.618161734448"/>
    <n v="37489.618161734499"/>
    <n v="63938.111120000103"/>
    <n v="44480.425903310817"/>
  </r>
  <r>
    <x v="0"/>
    <s v="GRANEROS"/>
    <n v="206"/>
    <x v="2"/>
    <x v="2"/>
    <x v="0"/>
    <s v="LA PAZ"/>
    <s v="B 1"/>
    <x v="3"/>
    <n v="62558.200000000012"/>
    <n v="32396.700000000008"/>
    <n v="6769.6299999999992"/>
    <n v="3122.32"/>
    <n v="53672.220436000003"/>
    <n v="27438.419297519999"/>
    <n v="68187.250000000029"/>
    <n v="33130.883413027543"/>
    <n v="68187.250000000029"/>
    <n v="33165.160000000025"/>
    <n v="68187.250000000058"/>
    <n v="33165.16000000004"/>
    <n v="73642.230000000069"/>
    <n v="38919.299795007551"/>
    <n v="0"/>
    <n v="0"/>
    <n v="0.75473958649705497"/>
    <n v="0.57369161977833316"/>
    <n v="0.7087020224035101"/>
    <n v="0.70870202240351043"/>
    <n v="0.70870202240351043"/>
    <n v="0.88000000000000012"/>
    <n v="0"/>
    <n v="47215.150000000074"/>
    <n v="3883.6799999999971"/>
    <n v="48324.441977133763"/>
    <n v="48324.441977133785"/>
    <n v="48324.441977133807"/>
    <n v="64805.162400000067"/>
    <n v="0"/>
  </r>
  <r>
    <x v="0"/>
    <s v="GRANEROS"/>
    <n v="206"/>
    <x v="2"/>
    <x v="2"/>
    <x v="0"/>
    <s v="LA PAZ"/>
    <s v="B 1"/>
    <x v="4"/>
    <n v="53013.100000000006"/>
    <n v="27393.200000000004"/>
    <n v="0"/>
    <n v="0"/>
    <n v="60010.5"/>
    <n v="28517.694999999996"/>
    <n v="59849.539999999964"/>
    <n v="30534.203336948842"/>
    <n v="59849.539999999979"/>
    <n v="30586.689999999966"/>
    <n v="59849.539999999979"/>
    <n v="30586.689999999966"/>
    <n v="64637.503199999992"/>
    <n v="34160.37734112014"/>
    <n v="0"/>
    <n v="0"/>
    <n v="0.71262046550758273"/>
    <n v="0"/>
    <n v="0.76920163835538313"/>
    <n v="0.76920163835538358"/>
    <n v="0.76920163835538358"/>
    <n v="0.88"/>
    <n v="0"/>
    <n v="37778.220000000038"/>
    <n v="0"/>
    <n v="46036.364222816024"/>
    <n v="46036.364222816039"/>
    <n v="46036.364222816046"/>
    <n v="56881.002815999993"/>
    <n v="0"/>
  </r>
  <r>
    <x v="0"/>
    <s v="GRANEROS"/>
    <n v="206"/>
    <x v="2"/>
    <x v="2"/>
    <x v="0"/>
    <s v="LA PAZ"/>
    <s v="B 1"/>
    <x v="5"/>
    <n v="48255.530000000006"/>
    <n v="24679.710000000006"/>
    <n v="14995.43"/>
    <n v="7842.25"/>
    <n v="52640.103700000007"/>
    <n v="27313.401821000007"/>
    <n v="49478.670000000013"/>
    <n v="25664.95130503218"/>
    <n v="49478.670000000027"/>
    <n v="25645.659999999996"/>
    <n v="53692.905774000006"/>
    <n v="27829.972104990698"/>
    <n v="57988.338235920011"/>
    <n v="30646.349525510952"/>
    <n v="0"/>
    <n v="0"/>
    <n v="0.71244725734024728"/>
    <n v="0.72896675853910142"/>
    <n v="0.80396850869639946"/>
    <n v="0.80396850869639958"/>
    <n v="0.80396850869639958"/>
    <n v="0.88"/>
    <n v="0"/>
    <n v="34379.520000000026"/>
    <n v="10931.169999999998"/>
    <n v="39779.292532181302"/>
    <n v="39779.292532181295"/>
    <n v="43167.405382699086"/>
    <n v="51029.737647609611"/>
    <n v="0"/>
  </r>
  <r>
    <x v="0"/>
    <s v="GRANEROS"/>
    <n v="206"/>
    <x v="2"/>
    <x v="2"/>
    <x v="0"/>
    <s v="LA PAZ"/>
    <s v="B 1"/>
    <x v="6"/>
    <n v="61957.04"/>
    <n v="32999.290000000008"/>
    <n v="73371.709999999992"/>
    <n v="38232.829999999987"/>
    <n v="56809.355599999995"/>
    <n v="29734.010264999997"/>
    <n v="55693.619999999981"/>
    <n v="29029.459999999868"/>
    <n v="55693.619999999988"/>
    <n v="29029.46"/>
    <n v="55693.619999999952"/>
    <n v="29029.459999999977"/>
    <n v="60149.109599999952"/>
    <n v="31788.299036098761"/>
    <n v="0"/>
    <n v="0"/>
    <n v="0.82398336008305184"/>
    <n v="0.77919189402750355"/>
    <n v="0.82626053038031966"/>
    <n v="0.82626053038031977"/>
    <n v="0.82626053038031977"/>
    <n v="0.88"/>
    <n v="0"/>
    <n v="51051.570000000043"/>
    <n v="57170.641682936715"/>
    <n v="46017.439999999966"/>
    <n v="46017.439999999966"/>
    <n v="46017.439999999944"/>
    <n v="52931.216447999956"/>
    <n v="0"/>
  </r>
  <r>
    <x v="0"/>
    <s v="GRANEROS"/>
    <n v="206"/>
    <x v="2"/>
    <x v="2"/>
    <x v="0"/>
    <s v="LA PAZ"/>
    <s v="B 1"/>
    <x v="7"/>
    <n v="152250.19"/>
    <n v="56649.619999999995"/>
    <n v="105040.54"/>
    <n v="43458.289999999994"/>
    <n v="111768.23296000004"/>
    <n v="46520.159671500027"/>
    <n v="96746.741045355055"/>
    <n v="41194.762337112181"/>
    <n v="140612.63"/>
    <n v="55855.120000000024"/>
    <n v="140612.63000000018"/>
    <n v="59872.857854000074"/>
    <n v="146237.13520000019"/>
    <n v="60796.354574520607"/>
    <n v="0"/>
    <n v="0"/>
    <n v="0.25272283732453799"/>
    <n v="0.34534961512064516"/>
    <n v="0.39773987585610077"/>
    <n v="0.32"/>
    <n v="0.32"/>
    <n v="0.4"/>
    <n v="0"/>
    <n v="38477.1"/>
    <n v="36275.710061064732"/>
    <n v="55927.249999999833"/>
    <n v="30958.957134513617"/>
    <n v="44996.041600000055"/>
    <n v="58494.854080000077"/>
    <n v="0"/>
  </r>
  <r>
    <x v="0"/>
    <s v="GRANEROS"/>
    <n v="206"/>
    <x v="2"/>
    <x v="2"/>
    <x v="0"/>
    <s v="LA PAZ"/>
    <s v="B 1"/>
    <x v="8"/>
    <n v="43713.899999999987"/>
    <n v="21323.059999999994"/>
    <n v="57255.72"/>
    <n v="27992.39"/>
    <n v="53054.803240000016"/>
    <n v="27574.666635900012"/>
    <n v="52205.926388160013"/>
    <n v="25669.654005058281"/>
    <n v="50891.64999999998"/>
    <n v="26467.46999999999"/>
    <n v="52927.315999999977"/>
    <n v="27526.168799999989"/>
    <n v="55838.318379999975"/>
    <n v="29116.584379312859"/>
    <n v="0"/>
    <n v="0"/>
    <n v="0.6381970036990523"/>
    <n v="0.66575263864295053"/>
    <n v="0.82814194470016222"/>
    <n v="0.7"/>
    <n v="0.7"/>
    <n v="0.85"/>
    <n v="0"/>
    <n v="27898.079999999994"/>
    <n v="38118.146667401954"/>
    <n v="42145.509999999995"/>
    <n v="36544.148471712004"/>
    <n v="37049.12119999998"/>
    <n v="47462.570622999978"/>
    <n v="0"/>
  </r>
  <r>
    <x v="0"/>
    <s v="GRANEROS"/>
    <n v="206"/>
    <x v="2"/>
    <x v="2"/>
    <x v="0"/>
    <s v="LA PAZ"/>
    <s v="B 1"/>
    <x v="9"/>
    <n v="35830.25"/>
    <n v="17956.789999999997"/>
    <n v="64514.819999999992"/>
    <n v="32842.869999999995"/>
    <n v="56770.718900000007"/>
    <n v="29130.503132000009"/>
    <n v="58480.936806862504"/>
    <n v="30222.948141786543"/>
    <n v="53563.100000000035"/>
    <n v="27641.860000000037"/>
    <n v="58480.936806862504"/>
    <n v="30222.948141786543"/>
    <n v="63159.411751411506"/>
    <n v="33379.21842982628"/>
    <n v="0"/>
    <n v="0"/>
    <n v="0.68594358119187004"/>
    <n v="0.72558124976660476"/>
    <n v="0.70725032718419989"/>
    <n v="0.79999999999999993"/>
    <n v="0.79999999999999993"/>
    <n v="0.88"/>
    <n v="0"/>
    <n v="24577.530000000002"/>
    <n v="46810.743724067543"/>
    <n v="37882.52000000004"/>
    <n v="46784.749445490001"/>
    <n v="46784.749445490001"/>
    <n v="55580.282341242128"/>
    <n v="0"/>
  </r>
  <r>
    <x v="0"/>
    <s v="GRANEROS"/>
    <n v="206"/>
    <x v="2"/>
    <x v="2"/>
    <x v="0"/>
    <s v="LA PAZ"/>
    <s v="B 1"/>
    <x v="10"/>
    <n v="38660.949999999997"/>
    <n v="17215.419999999995"/>
    <n v="67786.699999999983"/>
    <n v="32506.779999999992"/>
    <n v="77586.792600000103"/>
    <n v="35983.206468500044"/>
    <n v="79924.094727075106"/>
    <n v="36405.425148182716"/>
    <n v="66999.856321839077"/>
    <n v="28663.918594560993"/>
    <n v="79924.094727075106"/>
    <n v="36405.425148182716"/>
    <n v="86318.022305241117"/>
    <n v="39940.967154690159"/>
    <n v="0"/>
    <n v="0"/>
    <n v="0.34212972004050607"/>
    <n v="0.56835431055608365"/>
    <n v="0.39773987585610077"/>
    <n v="0.5"/>
    <n v="0.5"/>
    <n v="0.6"/>
    <n v="0"/>
    <n v="13227.060000000001"/>
    <n v="38526.863143372066"/>
    <n v="26648.514535824863"/>
    <n v="39962.047363537553"/>
    <n v="39962.047363537553"/>
    <n v="51790.813383144668"/>
    <n v="0"/>
  </r>
  <r>
    <x v="0"/>
    <s v="GRANEROS"/>
    <n v="206"/>
    <x v="2"/>
    <x v="2"/>
    <x v="0"/>
    <s v="LA PAZ"/>
    <s v="B 1"/>
    <x v="11"/>
    <n v="137182.29999999999"/>
    <n v="58517.089999999967"/>
    <n v="143034.68"/>
    <n v="71477.219999999972"/>
    <n v="141984.04850000006"/>
    <n v="72662.819136500024"/>
    <n v="146988.98620962506"/>
    <n v="71605.684632018849"/>
    <n v="139439.08045977011"/>
    <n v="70176.345687392211"/>
    <n v="146988.98620962506"/>
    <n v="71605.684632018849"/>
    <n v="158748.10510639506"/>
    <n v="82778.327347371334"/>
    <n v="0"/>
    <n v="0"/>
    <n v="0.34637799482877901"/>
    <n v="0.70065401193107435"/>
    <n v="0.51832657978860397"/>
    <n v="0.65"/>
    <n v="0.65"/>
    <n v="0.85"/>
    <n v="0"/>
    <n v="47516.930000000008"/>
    <n v="100217.8223872774"/>
    <n v="72274.981663580606"/>
    <n v="95542.841036256286"/>
    <n v="95542.841036256286"/>
    <n v="134935.8893404358"/>
    <n v="0"/>
  </r>
  <r>
    <x v="0"/>
    <s v="JUNIN-SUCRE"/>
    <n v="151"/>
    <x v="0"/>
    <x v="2"/>
    <x v="0"/>
    <s v="ZONA SUR"/>
    <s v="B 3"/>
    <x v="0"/>
    <n v="47205.180000000008"/>
    <n v="18512.370000000003"/>
    <n v="27576.320000000003"/>
    <n v="11518.730000000003"/>
    <n v="31186.294433333325"/>
    <n v="12743.338195666664"/>
    <n v="30556.169999999991"/>
    <n v="11317.021144479218"/>
    <n v="30556.169999999987"/>
    <n v="11422.25999999998"/>
    <n v="31186.294433333325"/>
    <n v="11657.808012394402"/>
    <n v="33057.472099333318"/>
    <n v="13252.900629811622"/>
    <n v="20491.235632183914"/>
    <n v="9595.6068269860862"/>
    <n v="0.33991184865728802"/>
    <n v="0.37611264719682569"/>
    <n v="0.32374652835706674"/>
    <n v="0.32374652835706658"/>
    <n v="0.32374652835706658"/>
    <n v="0.5"/>
    <n v="0.77528239575372149"/>
    <n v="16045.600000000042"/>
    <n v="10371.802715146769"/>
    <n v="9892.4539573883485"/>
    <n v="9892.4539573883449"/>
    <n v="10096.454555112974"/>
    <n v="16528.736049666659"/>
    <n v="15886.494252873568"/>
  </r>
  <r>
    <x v="0"/>
    <s v="JUNIN-SUCRE"/>
    <n v="151"/>
    <x v="0"/>
    <x v="2"/>
    <x v="0"/>
    <s v="ZONA SUR"/>
    <s v="B 3"/>
    <x v="1"/>
    <n v="53901.41"/>
    <n v="16862.190000000002"/>
    <n v="30306.340000000004"/>
    <n v="10886.280000000004"/>
    <n v="44871.799499999972"/>
    <n v="15290.296499999993"/>
    <n v="39264.989999999962"/>
    <n v="12117.960979005185"/>
    <n v="39264.989999999962"/>
    <n v="12089.359999999957"/>
    <n v="44871.799499999972"/>
    <n v="13815.649462875663"/>
    <n v="45769.23548999997"/>
    <n v="15526.254237363199"/>
    <n v="35915.517241379355"/>
    <n v="12127.606857631334"/>
    <n v="0.21730433396825827"/>
    <n v="0.2678660643383422"/>
    <n v="0.16837128411696872"/>
    <n v="0.16837128411696886"/>
    <n v="0.16837128411696886"/>
    <n v="0.3"/>
    <n v="0.28371177571888051"/>
    <n v="11713.010000000017"/>
    <n v="8118.0400202996752"/>
    <n v="6611.0967871399289"/>
    <n v="6611.0967871399343"/>
    <n v="7555.1225024541563"/>
    <n v="13730.77064699999"/>
    <n v="10189.655172413806"/>
  </r>
  <r>
    <x v="0"/>
    <s v="JUNIN-SUCRE"/>
    <n v="151"/>
    <x v="0"/>
    <x v="2"/>
    <x v="0"/>
    <s v="ZONA SUR"/>
    <s v="B 3"/>
    <x v="2"/>
    <n v="41856.35"/>
    <n v="16042.329999999996"/>
    <n v="43145.91"/>
    <n v="15939.380000000003"/>
    <n v="32165"/>
    <n v="12274"/>
    <n v="37231.669999999991"/>
    <n v="13329.591465008532"/>
    <n v="37231.669999999991"/>
    <n v="13198.409999999985"/>
    <n v="37231.67000000002"/>
    <n v="13198.409999999996"/>
    <n v="37603.986700000023"/>
    <n v="14495.806424161432"/>
    <n v="37555.173729455128"/>
    <n v="15134.735012970417"/>
    <n v="0.30139632337745681"/>
    <n v="0.26841076753823867"/>
    <n v="0.31622860764504485"/>
    <n v="0.31622860764504435"/>
    <n v="0.31622860764504435"/>
    <n v="0.45"/>
    <n v="0.50751286459533373"/>
    <n v="12615.350000000013"/>
    <n v="11580.826819235768"/>
    <n v="11773.719164399785"/>
    <n v="11773.719164399765"/>
    <n v="11773.719164399774"/>
    <n v="16921.79401500001"/>
    <n v="19059.733799811194"/>
  </r>
  <r>
    <x v="0"/>
    <s v="JUNIN-SUCRE"/>
    <n v="151"/>
    <x v="0"/>
    <x v="2"/>
    <x v="0"/>
    <s v="ZONA SUR"/>
    <s v="B 3"/>
    <x v="3"/>
    <n v="46038.06"/>
    <n v="14084.789999999999"/>
    <n v="24059.909999999996"/>
    <n v="9893.2100000000009"/>
    <n v="29891"/>
    <n v="12733"/>
    <n v="35406.429999999971"/>
    <n v="13083.124800707599"/>
    <n v="35406.429999999986"/>
    <n v="13104.109999999975"/>
    <n v="35406.429999999978"/>
    <n v="13104.109999999971"/>
    <n v="37176.751499999977"/>
    <n v="14904.339687203006"/>
    <n v="0"/>
    <n v="0"/>
    <n v="0.27357473360085138"/>
    <n v="0.41106471488105512"/>
    <n v="0.38622845372235837"/>
    <n v="0.38622845372235826"/>
    <n v="0.38622845372235826"/>
    <n v="0.49999999999999989"/>
    <n v="0"/>
    <n v="12594.850000000011"/>
    <n v="9890.1800442138447"/>
    <n v="13674.970710728916"/>
    <n v="13674.970710728905"/>
    <n v="13674.970710728909"/>
    <n v="18588.375749999985"/>
    <n v="0"/>
  </r>
  <r>
    <x v="0"/>
    <s v="JUNIN-SUCRE"/>
    <n v="151"/>
    <x v="0"/>
    <x v="2"/>
    <x v="0"/>
    <s v="ZONA SUR"/>
    <s v="B 3"/>
    <x v="4"/>
    <n v="30632.73"/>
    <n v="11967.740000000002"/>
    <n v="29465.370000000003"/>
    <n v="11648.2"/>
    <n v="33331"/>
    <n v="12789"/>
    <n v="32201.939999999973"/>
    <n v="12753.794806022615"/>
    <n v="32201.939999999973"/>
    <n v="12623.769999999975"/>
    <n v="32201.939999999973"/>
    <n v="12623.769999999975"/>
    <n v="33812.036999999982"/>
    <n v="13555.409352112878"/>
    <n v="0"/>
    <n v="0"/>
    <n v="0.35567218462082922"/>
    <n v="0.33397744896392539"/>
    <n v="0.47098232643469656"/>
    <n v="0.47098232643469701"/>
    <n v="0.47098232643469701"/>
    <n v="0.5"/>
    <n v="0"/>
    <n v="10895.210000000014"/>
    <n v="9840.76910537818"/>
    <n v="15166.5446169105"/>
    <n v="15166.544616910514"/>
    <n v="15166.544616910514"/>
    <n v="16906.018499999991"/>
    <n v="0"/>
  </r>
  <r>
    <x v="0"/>
    <s v="JUNIN-SUCRE"/>
    <n v="151"/>
    <x v="0"/>
    <x v="2"/>
    <x v="0"/>
    <s v="ZONA SUR"/>
    <s v="B 3"/>
    <x v="5"/>
    <n v="28335.590000000004"/>
    <n v="11051.040000000005"/>
    <n v="23360.559999999998"/>
    <n v="9556.6899999999969"/>
    <n v="30638"/>
    <n v="12618"/>
    <n v="33488.539999999972"/>
    <n v="13065.27748989562"/>
    <n v="33488.54"/>
    <n v="13074.299999999992"/>
    <n v="33488.539999999994"/>
    <n v="13074.29999999999"/>
    <n v="35162.966999999997"/>
    <n v="14097.003730353092"/>
    <n v="0"/>
    <n v="0"/>
    <n v="0.30367604839002837"/>
    <n v="0.35595279668781066"/>
    <n v="0.49518777105168743"/>
    <n v="0.49518777105168726"/>
    <n v="0.49518777105168726"/>
    <n v="0.5"/>
    <n v="0"/>
    <n v="8604.8400000000056"/>
    <n v="8315.2566641934009"/>
    <n v="16583.115478375275"/>
    <n v="16583.115478375257"/>
    <n v="16583.115478375268"/>
    <n v="17581.483499999998"/>
    <n v="0"/>
  </r>
  <r>
    <x v="0"/>
    <s v="JUNIN-SUCRE"/>
    <n v="151"/>
    <x v="0"/>
    <x v="2"/>
    <x v="0"/>
    <s v="ZONA SUR"/>
    <s v="B 3"/>
    <x v="6"/>
    <n v="33989.360000000001"/>
    <n v="14151.470000000001"/>
    <n v="30960.320000000003"/>
    <n v="12444.020000000004"/>
    <n v="32145"/>
    <n v="13199"/>
    <n v="30517.10999999999"/>
    <n v="12896.120000000024"/>
    <n v="30517.109999999993"/>
    <n v="12896.119999999988"/>
    <n v="30517.110000000015"/>
    <n v="12896.119999999997"/>
    <n v="34484.334300000017"/>
    <n v="13824.936594964907"/>
    <n v="0"/>
    <n v="0"/>
    <n v="0.37596589050220414"/>
    <n v="0.3313030464633111"/>
    <n v="0.57481524298991671"/>
    <n v="0.57481524298991682"/>
    <n v="0.57481524298991682"/>
    <n v="0.5"/>
    <n v="0"/>
    <n v="12778.839999999997"/>
    <n v="10257.248335478982"/>
    <n v="17541.700000000012"/>
    <n v="17541.700000000015"/>
    <n v="17541.70000000003"/>
    <n v="17242.167150000008"/>
    <n v="0"/>
  </r>
  <r>
    <x v="0"/>
    <s v="JUNIN-SUCRE"/>
    <n v="151"/>
    <x v="0"/>
    <x v="2"/>
    <x v="0"/>
    <s v="ZONA SUR"/>
    <s v="B 3"/>
    <x v="7"/>
    <n v="81211.259999999995"/>
    <n v="15947.599999999991"/>
    <n v="54810.710000000006"/>
    <n v="15952.800000000005"/>
    <n v="58698"/>
    <n v="17659"/>
    <n v="53996.996845068017"/>
    <n v="18234.78583457947"/>
    <n v="61822.620000000024"/>
    <n v="17808.950000000041"/>
    <n v="61822.620000000083"/>
    <n v="20877.498774000029"/>
    <n v="63677.298600000082"/>
    <n v="21601.189458978519"/>
    <n v="0"/>
    <n v="0"/>
    <n v="0.12102853717575685"/>
    <n v="0.11968235838221426"/>
    <n v="0.23565921340764875"/>
    <n v="0.22"/>
    <n v="0.22"/>
    <n v="0.30000000000000004"/>
    <n v="0"/>
    <n v="9828.8800000000538"/>
    <n v="6559.8750374036163"/>
    <n v="14569.06999999998"/>
    <n v="11879.339305914964"/>
    <n v="13600.976400000018"/>
    <n v="19103.189580000027"/>
    <n v="0"/>
  </r>
  <r>
    <x v="0"/>
    <s v="JUNIN-SUCRE"/>
    <n v="151"/>
    <x v="0"/>
    <x v="2"/>
    <x v="0"/>
    <s v="ZONA SUR"/>
    <s v="B 3"/>
    <x v="8"/>
    <n v="35173.56"/>
    <n v="11344.98"/>
    <n v="38286.759999999995"/>
    <n v="13626.699999999997"/>
    <n v="30397"/>
    <n v="11260"/>
    <n v="30700.999229399975"/>
    <n v="11862.866102240152"/>
    <n v="23372.590000000018"/>
    <n v="9760.7600000000166"/>
    <n v="23372.590000000018"/>
    <n v="9760.7600000000166"/>
    <n v="29215.737500000025"/>
    <n v="11262.254683733156"/>
    <n v="0"/>
    <n v="0"/>
    <n v="0.26171618681759828"/>
    <n v="0.26641829902197095"/>
    <n v="0.46824207330039175"/>
    <n v="0.38"/>
    <n v="0.38"/>
    <n v="0.45"/>
    <n v="0"/>
    <n v="9205.4900000000016"/>
    <n v="10200.293474262435"/>
    <n v="10944.030000000012"/>
    <n v="11666.379707171991"/>
    <n v="8881.5842000000066"/>
    <n v="13147.081875000011"/>
    <n v="0"/>
  </r>
  <r>
    <x v="0"/>
    <s v="JUNIN-SUCRE"/>
    <n v="151"/>
    <x v="0"/>
    <x v="2"/>
    <x v="0"/>
    <s v="ZONA SUR"/>
    <s v="B 3"/>
    <x v="9"/>
    <n v="26544.67"/>
    <n v="7972.88"/>
    <n v="35196.099999999991"/>
    <n v="12799.099999999993"/>
    <n v="32241"/>
    <n v="11925"/>
    <n v="32563.295375099973"/>
    <n v="13494.22960344143"/>
    <n v="23736.179999999993"/>
    <n v="10220.249999999993"/>
    <n v="32563.295375099973"/>
    <n v="13494.22960344143"/>
    <n v="33865.82719010397"/>
    <n v="13576.974099779152"/>
    <n v="0"/>
    <n v="0"/>
    <n v="0.26184842380786821"/>
    <n v="0.30008629706816647"/>
    <n v="0.56723027884015043"/>
    <n v="0.48"/>
    <n v="0.48"/>
    <n v="0.50000000000000011"/>
    <n v="0"/>
    <n v="6950.6800000000048"/>
    <n v="10561.867320240892"/>
    <n v="13463.879999999997"/>
    <n v="15630.381780047986"/>
    <n v="15630.381780047986"/>
    <n v="16932.913595051989"/>
    <n v="0"/>
  </r>
  <r>
    <x v="0"/>
    <s v="JUNIN-SUCRE"/>
    <n v="151"/>
    <x v="0"/>
    <x v="2"/>
    <x v="0"/>
    <s v="ZONA SUR"/>
    <s v="B 3"/>
    <x v="10"/>
    <n v="36367.759999999995"/>
    <n v="11343.679999999998"/>
    <n v="34637.549999999996"/>
    <n v="12642.759999999993"/>
    <n v="41230"/>
    <n v="14610"/>
    <n v="41642.757176499981"/>
    <n v="15740.962212716993"/>
    <n v="30815.229885057466"/>
    <n v="12219.319672507425"/>
    <n v="30815.229885057473"/>
    <n v="11648.156896551725"/>
    <n v="32355.991379310348"/>
    <n v="11774.324759721569"/>
    <n v="0"/>
    <n v="0"/>
    <n v="0.22357164697523307"/>
    <n v="0.25938812289279195"/>
    <n v="0.23565921340764875"/>
    <n v="0.35"/>
    <n v="0.35"/>
    <n v="0.38"/>
    <n v="0"/>
    <n v="8130.8000000000011"/>
    <n v="8984.5690761052247"/>
    <n v="7261.8928356885126"/>
    <n v="14574.965011774992"/>
    <n v="10785.330459770115"/>
    <n v="12295.276724137932"/>
    <n v="0"/>
  </r>
  <r>
    <x v="0"/>
    <s v="JUNIN-SUCRE"/>
    <n v="151"/>
    <x v="0"/>
    <x v="2"/>
    <x v="0"/>
    <s v="ZONA SUR"/>
    <s v="B 3"/>
    <x v="11"/>
    <n v="90357.78"/>
    <n v="32406.38"/>
    <n v="81058.800000000017"/>
    <n v="33231.500000000015"/>
    <n v="82514.689700000032"/>
    <n v="34473.622421500011"/>
    <n v="83339.83659700003"/>
    <n v="37336.24679545602"/>
    <n v="51078.591954022988"/>
    <n v="23245.517622838695"/>
    <n v="83339.83659700003"/>
    <n v="37336.24679545602"/>
    <n v="87506.828426850028"/>
    <n v="34542.205924589536"/>
    <n v="0"/>
    <n v="0"/>
    <n v="0.2372465326173353"/>
    <n v="0.38366673449685257"/>
    <n v="0.31622860764504485"/>
    <n v="0.6"/>
    <n v="0.6"/>
    <n v="0.48"/>
    <n v="0"/>
    <n v="21437.070000000007"/>
    <n v="31099.565098233481"/>
    <n v="16152.51201409008"/>
    <n v="50003.901958200018"/>
    <n v="50003.901958200018"/>
    <n v="42003.27764488801"/>
    <n v="0"/>
  </r>
  <r>
    <x v="0"/>
    <s v="LANZA"/>
    <n v="302"/>
    <x v="0"/>
    <x v="2"/>
    <x v="0"/>
    <s v="COCHABAMBA"/>
    <s v="B 1"/>
    <x v="0"/>
    <n v="83482.00999999998"/>
    <n v="42321.219999999987"/>
    <n v="69748.17"/>
    <n v="33144.17"/>
    <n v="65081.243083333342"/>
    <n v="31000.56630633333"/>
    <n v="50447.08"/>
    <n v="25533.641037126039"/>
    <n v="50447.079999999958"/>
    <n v="25557.409999999945"/>
    <n v="65081.243083333342"/>
    <n v="32971.343689077985"/>
    <n v="68986.117668333362"/>
    <n v="36843.450950634797"/>
    <n v="56048.706896551863"/>
    <n v="31030.492712877458"/>
    <n v="0.72234580839632434"/>
    <n v="0.6034209424647774"/>
    <n v="0.72852760310772491"/>
    <n v="0.7285276031077248"/>
    <n v="0.7285276031077248"/>
    <n v="0.88000000000000012"/>
    <n v="0.96131751170856639"/>
    <n v="60302.880000000019"/>
    <n v="42087.506476593509"/>
    <n v="36752.090276183619"/>
    <n v="36752.090276183641"/>
    <n v="47413.482030772029"/>
    <n v="60707.783548133368"/>
    <n v="53880.603448276001"/>
  </r>
  <r>
    <x v="0"/>
    <s v="LANZA"/>
    <n v="302"/>
    <x v="0"/>
    <x v="2"/>
    <x v="0"/>
    <s v="COCHABAMBA"/>
    <s v="B 1"/>
    <x v="1"/>
    <n v="116052.8"/>
    <n v="47369.239999999991"/>
    <n v="68356.890000000014"/>
    <n v="31007.190000000013"/>
    <n v="99920.456699999995"/>
    <n v="42364.432819499998"/>
    <n v="80492.750000000029"/>
    <n v="35149.948729991273"/>
    <n v="80492.749999999971"/>
    <n v="34977.929999999978"/>
    <n v="99920.456699999995"/>
    <n v="43420.192999004626"/>
    <n v="106914.88866900001"/>
    <n v="47654.957783460923"/>
    <n v="84295.689655172668"/>
    <n v="38174.73143752951"/>
    <n v="0.25759740394027431"/>
    <n v="0.48609714048781277"/>
    <n v="0.22488773225590644"/>
    <n v="0.22488773225590622"/>
    <n v="0.22488773225590622"/>
    <n v="0.39999999999999997"/>
    <n v="0.42261947373265263"/>
    <n v="29894.899999999867"/>
    <n v="33228.08876163997"/>
    <n v="18101.832010541606"/>
    <n v="18101.832010541602"/>
    <n v="22470.884913237471"/>
    <n v="42765.955467599997"/>
    <n v="35625.00000000008"/>
  </r>
  <r>
    <x v="0"/>
    <s v="LANZA"/>
    <n v="302"/>
    <x v="0"/>
    <x v="2"/>
    <x v="0"/>
    <s v="COCHABAMBA"/>
    <s v="B 1"/>
    <x v="2"/>
    <n v="75501.920000000013"/>
    <n v="35745.660000000011"/>
    <n v="103397.8"/>
    <n v="43202.42"/>
    <n v="71059.190799999982"/>
    <n v="31477.962591999985"/>
    <n v="74960.180000000139"/>
    <n v="34667.549835096004"/>
    <n v="74960.180000000139"/>
    <n v="34582.250000000087"/>
    <n v="74960.180000000226"/>
    <n v="34582.250000000131"/>
    <n v="78708.189000000231"/>
    <n v="41601.142523662696"/>
    <n v="76836.933681914728"/>
    <n v="38187.956039911616"/>
    <n v="0.49862626010040584"/>
    <n v="0.34237614369370534"/>
    <n v="0.47521238471000438"/>
    <n v="0.47521238471000354"/>
    <n v="0.47521238471000354"/>
    <n v="0.85"/>
    <n v="0.69898912844713501"/>
    <n v="37647.240000000042"/>
    <n v="35400.940030413003"/>
    <n v="35622.005896091243"/>
    <n v="35622.005896091177"/>
    <n v="35622.005896091221"/>
    <n v="66901.960650000197"/>
    <n v="53708.181306871891"/>
  </r>
  <r>
    <x v="0"/>
    <s v="LANZA"/>
    <n v="302"/>
    <x v="0"/>
    <x v="2"/>
    <x v="0"/>
    <s v="COCHABAMBA"/>
    <s v="B 1"/>
    <x v="3"/>
    <n v="47659.539999999994"/>
    <n v="24403.589999999993"/>
    <n v="57155.1"/>
    <n v="28708.949999999997"/>
    <n v="60550.84310000002"/>
    <n v="29561.144543500013"/>
    <n v="61373.680000000109"/>
    <n v="31199.448757112754"/>
    <n v="61373.680000000066"/>
    <n v="31004.070000000058"/>
    <n v="61373.680000000058"/>
    <n v="31004.070000000051"/>
    <n v="64442.364000000067"/>
    <n v="34416.766117957959"/>
    <n v="0"/>
    <n v="0"/>
    <n v="0.69515589113952836"/>
    <n v="0.61543681008654139"/>
    <n v="0.67496485578384802"/>
    <n v="0.67496485578384824"/>
    <n v="0.67496485578384824"/>
    <n v="0.88000000000000012"/>
    <n v="0"/>
    <n v="33130.80999999999"/>
    <n v="35175.352424177283"/>
    <n v="41425.077070124084"/>
    <n v="41425.077070124127"/>
    <n v="41425.077070124091"/>
    <n v="56709.280320000064"/>
    <n v="0"/>
  </r>
  <r>
    <x v="0"/>
    <s v="LANZA"/>
    <n v="302"/>
    <x v="0"/>
    <x v="2"/>
    <x v="0"/>
    <s v="COCHABAMBA"/>
    <s v="B 1"/>
    <x v="4"/>
    <n v="23482.629999999997"/>
    <n v="12441.18"/>
    <n v="47664.69"/>
    <n v="23839.829999999994"/>
    <n v="63970.856499999994"/>
    <n v="30170.524169999993"/>
    <n v="60695.029999999984"/>
    <n v="31565.036143760732"/>
    <n v="60695.029999999984"/>
    <n v="31542.799999999988"/>
    <n v="60695.029999999984"/>
    <n v="31542.799999999988"/>
    <n v="63729.781499999983"/>
    <n v="34036.196819751378"/>
    <n v="0"/>
    <n v="0"/>
    <n v="0.77918955415130309"/>
    <n v="0.64783706702335997"/>
    <n v="0.7448400828224907"/>
    <n v="0.74484008282249103"/>
    <n v="0.74484008282249103"/>
    <n v="0.88"/>
    <n v="0"/>
    <n v="18297.420000000013"/>
    <n v="30878.952970177677"/>
    <n v="45208.091172113549"/>
    <n v="45208.091172113564"/>
    <n v="45208.091172113564"/>
    <n v="56082.207719999984"/>
    <n v="0"/>
  </r>
  <r>
    <x v="0"/>
    <s v="LANZA"/>
    <n v="302"/>
    <x v="0"/>
    <x v="2"/>
    <x v="0"/>
    <s v="COCHABAMBA"/>
    <s v="B 1"/>
    <x v="5"/>
    <n v="5897.97"/>
    <n v="3134.7299999999996"/>
    <n v="39592.929999999993"/>
    <n v="19710.119999999992"/>
    <n v="58604.030000000006"/>
    <n v="29299.107422500001"/>
    <n v="65115.970000000016"/>
    <n v="33493.13827277151"/>
    <n v="65115.969999999965"/>
    <n v="33479.079999999973"/>
    <n v="65115.96999999995"/>
    <n v="33479.079999999965"/>
    <n v="68371.768499999947"/>
    <n v="36515.345177834584"/>
    <n v="0"/>
    <n v="0"/>
    <n v="0.73837099883519242"/>
    <n v="0.61516575292250453"/>
    <n v="0.74931206271466932"/>
    <n v="0.74931206271466932"/>
    <n v="0.74931206271466932"/>
    <n v="0.88"/>
    <n v="0"/>
    <n v="4354.8900000000003"/>
    <n v="24356.214593858014"/>
    <n v="48792.181796366502"/>
    <n v="48792.181796366538"/>
    <n v="48792.181796366487"/>
    <n v="60167.156279999952"/>
    <n v="0"/>
  </r>
  <r>
    <x v="0"/>
    <s v="LANZA"/>
    <n v="302"/>
    <x v="0"/>
    <x v="2"/>
    <x v="0"/>
    <s v="COCHABAMBA"/>
    <s v="B 1"/>
    <x v="6"/>
    <n v="108068.16999999998"/>
    <n v="54421.200000000004"/>
    <n v="71219.459999999992"/>
    <n v="36158.879999999997"/>
    <n v="62227.53620000001"/>
    <n v="31360.155402500004"/>
    <n v="65912.560000000012"/>
    <n v="34910.079999999914"/>
    <n v="65912.560000000056"/>
    <n v="34910.080000000031"/>
    <n v="65912.560000000085"/>
    <n v="34910.080000000045"/>
    <n v="69208.188000000082"/>
    <n v="36962.052165616784"/>
    <n v="0"/>
    <n v="0"/>
    <n v="0.58423363697192277"/>
    <n v="0.69032485532604171"/>
    <n v="0.81037726345327776"/>
    <n v="0.81037726345327776"/>
    <n v="0.81037726345327776"/>
    <n v="0.88000000000000012"/>
    <n v="0"/>
    <n v="63137.060000000027"/>
    <n v="49164.563420898812"/>
    <n v="53414.040000000023"/>
    <n v="53414.039999999986"/>
    <n v="53414.040000000045"/>
    <n v="60903.205440000078"/>
    <n v="0"/>
  </r>
  <r>
    <x v="0"/>
    <s v="LANZA"/>
    <n v="302"/>
    <x v="0"/>
    <x v="2"/>
    <x v="0"/>
    <s v="COCHABAMBA"/>
    <s v="B 1"/>
    <x v="7"/>
    <n v="205173.06"/>
    <n v="78437.889999999985"/>
    <n v="123949.23"/>
    <n v="49838.739999999991"/>
    <n v="129440.1394"/>
    <n v="53253.962929500005"/>
    <n v="122877.06464421879"/>
    <n v="51834.460949517255"/>
    <n v="145958.08000000016"/>
    <n v="59605.550000000134"/>
    <n v="145958.08000000037"/>
    <n v="61570.956467200151"/>
    <n v="156175.1456000004"/>
    <n v="69611.632795459707"/>
    <n v="0"/>
    <n v="0"/>
    <n v="0.28856069115506794"/>
    <n v="0.27177446055873772"/>
    <n v="0.31595592378304699"/>
    <n v="0.27"/>
    <n v="0.27"/>
    <n v="0.4"/>
    <n v="0"/>
    <n v="59204.880000000223"/>
    <n v="33686.235119920908"/>
    <n v="46116.319999999927"/>
    <n v="33176.807453939073"/>
    <n v="39408.681600000098"/>
    <n v="62470.058240000159"/>
    <n v="0"/>
  </r>
  <r>
    <x v="0"/>
    <s v="LANZA"/>
    <n v="302"/>
    <x v="0"/>
    <x v="2"/>
    <x v="0"/>
    <s v="COCHABAMBA"/>
    <s v="B 1"/>
    <x v="8"/>
    <n v="69670.430000000008"/>
    <n v="34064.020000000004"/>
    <n v="71309.489999999991"/>
    <n v="33061.679999999986"/>
    <n v="59171.908519999997"/>
    <n v="29057.169114400003"/>
    <n v="57899.712486819997"/>
    <n v="29499.903512034787"/>
    <n v="56693.089999999982"/>
    <n v="29206.27999999997"/>
    <n v="56693.089999999982"/>
    <n v="29206.279999999966"/>
    <n v="60094.675399999986"/>
    <n v="31762.986647153557"/>
    <n v="0"/>
    <n v="0"/>
    <n v="0.59300667442414401"/>
    <n v="0.53667660229971481"/>
    <n v="0.76704250906062865"/>
    <n v="0.7"/>
    <n v="0.7"/>
    <n v="0.85"/>
    <n v="0"/>
    <n v="41315.030000000123"/>
    <n v="38270.134804925488"/>
    <n v="43486.010000000024"/>
    <n v="40529.798740773993"/>
    <n v="39685.162999999986"/>
    <n v="51080.474089999989"/>
    <n v="0"/>
  </r>
  <r>
    <x v="0"/>
    <s v="LANZA"/>
    <n v="302"/>
    <x v="0"/>
    <x v="2"/>
    <x v="0"/>
    <s v="COCHABAMBA"/>
    <s v="B 1"/>
    <x v="9"/>
    <n v="48245.119999999988"/>
    <n v="24173.079999999994"/>
    <n v="63530.689999999988"/>
    <n v="31631.509999999987"/>
    <n v="63344.860679999998"/>
    <n v="31638.4771191"/>
    <n v="64592.754435396004"/>
    <n v="34104.974341889087"/>
    <n v="61151.780000000079"/>
    <n v="31903.320000000109"/>
    <n v="64592.754435396004"/>
    <n v="34104.974341889087"/>
    <n v="67822.392157165814"/>
    <n v="36221.939474995044"/>
    <n v="0"/>
    <n v="0"/>
    <n v="0.61259853846357903"/>
    <n v="0.66162534026635522"/>
    <n v="0.6896811507367413"/>
    <n v="0.79999999999999993"/>
    <n v="0.79999999999999993"/>
    <n v="0.88000000000000012"/>
    <n v="0"/>
    <n v="29554.889999999978"/>
    <n v="42033.514388606323"/>
    <n v="42175.230000000098"/>
    <n v="51674.2035483168"/>
    <n v="51674.2035483168"/>
    <n v="59683.705098305923"/>
    <n v="0"/>
  </r>
  <r>
    <x v="0"/>
    <s v="LANZA"/>
    <n v="302"/>
    <x v="0"/>
    <x v="2"/>
    <x v="0"/>
    <s v="COCHABAMBA"/>
    <s v="B 1"/>
    <x v="10"/>
    <n v="72958.84"/>
    <n v="31995.86"/>
    <n v="77017.52"/>
    <n v="36631.620000000017"/>
    <n v="87890.100500000044"/>
    <n v="40194.02427200001"/>
    <n v="89621.535479850034"/>
    <n v="42346.175514229137"/>
    <n v="97362.212643678155"/>
    <n v="40063.243782841586"/>
    <n v="92494.102011494237"/>
    <n v="43703.463200431026"/>
    <n v="97118.807112068942"/>
    <n v="46863.453687886533"/>
    <n v="0"/>
    <n v="0"/>
    <n v="0.33696053829803257"/>
    <n v="0.50745849781850294"/>
    <n v="0.31595592378304699"/>
    <n v="0.5"/>
    <n v="0.5"/>
    <n v="0.60000000000000009"/>
    <n v="0"/>
    <n v="24584.250000000029"/>
    <n v="39083.195004906505"/>
    <n v="30762.167837394787"/>
    <n v="44810.767739925017"/>
    <n v="46247.051005747118"/>
    <n v="58271.284267241375"/>
    <n v="0"/>
  </r>
  <r>
    <x v="0"/>
    <s v="LANZA"/>
    <n v="302"/>
    <x v="0"/>
    <x v="2"/>
    <x v="0"/>
    <s v="COCHABAMBA"/>
    <s v="B 1"/>
    <x v="11"/>
    <n v="179823.06999999995"/>
    <n v="83775.53999999995"/>
    <n v="157911.32999999996"/>
    <n v="81048.099999999948"/>
    <n v="164670.04020000019"/>
    <n v="85580.943373500108"/>
    <n v="167914.0399919402"/>
    <n v="83998.998505968077"/>
    <n v="134622.91666666669"/>
    <n v="67023.890590472918"/>
    <n v="167914.0399919402"/>
    <n v="83998.998505968077"/>
    <n v="180507.5929913357"/>
    <n v="95407.125967995962"/>
    <n v="0"/>
    <n v="0"/>
    <n v="0.4253192318427228"/>
    <n v="0.66926872491453604"/>
    <n v="0.47521238471000438"/>
    <n v="0.65"/>
    <n v="0.65"/>
    <n v="0.85"/>
    <n v="0"/>
    <n v="76482.210000000152"/>
    <n v="105685.11447865849"/>
    <n v="63974.477265782873"/>
    <n v="109144.12599476113"/>
    <n v="109144.12599476113"/>
    <n v="153431.45404263533"/>
    <n v="0"/>
  </r>
  <r>
    <x v="0"/>
    <s v="MALL"/>
    <n v="408"/>
    <x v="1"/>
    <x v="1"/>
    <x v="1"/>
    <s v="SANTA CRUZ"/>
    <s v="CLOSED"/>
    <x v="0"/>
    <n v="28993.260000000002"/>
    <n v="14572.96"/>
    <n v="13869.81"/>
    <n v="6533.07"/>
    <n v="0"/>
    <n v="0"/>
    <n v="0"/>
    <n v="0"/>
    <n v="0"/>
    <n v="0"/>
    <n v="0"/>
    <n v="0"/>
    <n v="0"/>
    <n v="0"/>
    <n v="0"/>
    <n v="0"/>
    <n v="0.7343106639267194"/>
    <n v="0.43537115394285952"/>
    <n v="0"/>
    <n v="0"/>
    <n v="0"/>
    <n v="0"/>
    <n v="0"/>
    <n v="21290.059999999998"/>
    <n v="6038.515184668212"/>
    <n v="0"/>
    <n v="0"/>
    <n v="0"/>
    <n v="0"/>
    <n v="0"/>
  </r>
  <r>
    <x v="0"/>
    <s v="MALL"/>
    <n v="408"/>
    <x v="1"/>
    <x v="1"/>
    <x v="1"/>
    <s v="SANTA CRUZ"/>
    <s v="CLOSED"/>
    <x v="1"/>
    <n v="40939.9"/>
    <n v="15757.889999999996"/>
    <n v="14951.560000000001"/>
    <n v="5969.6200000000008"/>
    <n v="0"/>
    <n v="0"/>
    <n v="0"/>
    <n v="0"/>
    <n v="0"/>
    <n v="0"/>
    <n v="0"/>
    <n v="0"/>
    <n v="0"/>
    <n v="0"/>
    <n v="0"/>
    <n v="0"/>
    <n v="0.33666643054819406"/>
    <n v="0.26323807568119661"/>
    <n v="0"/>
    <n v="0"/>
    <n v="0"/>
    <n v="0"/>
    <n v="0"/>
    <n v="13783.090000000011"/>
    <n v="3935.8198828319523"/>
    <n v="0"/>
    <n v="0"/>
    <n v="0"/>
    <n v="0"/>
    <n v="0"/>
  </r>
  <r>
    <x v="0"/>
    <s v="MALL"/>
    <n v="408"/>
    <x v="1"/>
    <x v="1"/>
    <x v="1"/>
    <s v="SANTA CRUZ"/>
    <s v="CLOSED"/>
    <x v="2"/>
    <n v="29756.659999999996"/>
    <n v="13848.119999999995"/>
    <n v="22370.74"/>
    <n v="8558.0500000000029"/>
    <n v="0"/>
    <n v="0"/>
    <n v="0"/>
    <n v="0"/>
    <n v="0"/>
    <n v="0"/>
    <n v="0"/>
    <n v="0"/>
    <n v="0"/>
    <n v="0"/>
    <n v="0"/>
    <n v="0"/>
    <n v="0.47956759932062315"/>
    <n v="0.23299809420989845"/>
    <n v="0"/>
    <n v="0"/>
    <n v="0"/>
    <n v="0"/>
    <n v="0"/>
    <n v="14270.330000000013"/>
    <n v="5212.3397860651439"/>
    <n v="0"/>
    <n v="0"/>
    <n v="0"/>
    <n v="0"/>
    <n v="0"/>
  </r>
  <r>
    <x v="0"/>
    <s v="MALL"/>
    <n v="408"/>
    <x v="1"/>
    <x v="1"/>
    <x v="1"/>
    <s v="SANTA CRUZ"/>
    <s v="CLOSED"/>
    <x v="3"/>
    <n v="22203.119999999995"/>
    <n v="11111.060000000001"/>
    <n v="11816.560000000001"/>
    <n v="5405.2500000000018"/>
    <n v="0"/>
    <n v="0"/>
    <n v="0"/>
    <n v="0"/>
    <n v="0"/>
    <n v="0"/>
    <n v="0"/>
    <n v="0"/>
    <n v="0"/>
    <n v="0"/>
    <n v="0"/>
    <n v="0"/>
    <n v="0.65166427060701393"/>
    <n v="0.49531048452835802"/>
    <n v="0"/>
    <n v="0"/>
    <n v="0"/>
    <n v="0"/>
    <n v="0"/>
    <n v="14468.98"/>
    <n v="5852.866059058415"/>
    <n v="0"/>
    <n v="0"/>
    <n v="0"/>
    <n v="0"/>
    <n v="0"/>
  </r>
  <r>
    <x v="0"/>
    <s v="MALL"/>
    <n v="408"/>
    <x v="1"/>
    <x v="1"/>
    <x v="1"/>
    <s v="SANTA CRUZ"/>
    <s v="CLOSED"/>
    <x v="4"/>
    <n v="22434.44"/>
    <n v="11330.41"/>
    <n v="3097.32"/>
    <n v="1413.19"/>
    <n v="0"/>
    <n v="0"/>
    <n v="0"/>
    <n v="0"/>
    <n v="0"/>
    <n v="0"/>
    <n v="0"/>
    <n v="0"/>
    <n v="0"/>
    <n v="0"/>
    <n v="0"/>
    <n v="0"/>
    <n v="0.62115880761900044"/>
    <n v="0.43001691785156188"/>
    <n v="0"/>
    <n v="0"/>
    <n v="0"/>
    <n v="0"/>
    <n v="0"/>
    <n v="13935.350000000008"/>
    <n v="1331.8999999999996"/>
    <n v="0"/>
    <n v="0"/>
    <n v="0"/>
    <n v="0"/>
    <n v="0"/>
  </r>
  <r>
    <x v="0"/>
    <s v="MALL"/>
    <n v="408"/>
    <x v="1"/>
    <x v="1"/>
    <x v="1"/>
    <s v="SANTA CRUZ"/>
    <s v="CLOSED"/>
    <x v="5"/>
    <n v="20745.46"/>
    <n v="10159.479999999998"/>
    <n v="0"/>
    <n v="0"/>
    <n v="0"/>
    <n v="0"/>
    <n v="0"/>
    <n v="0"/>
    <n v="0"/>
    <n v="0"/>
    <n v="0"/>
    <n v="0"/>
    <n v="0"/>
    <n v="0"/>
    <n v="0"/>
    <n v="0"/>
    <n v="0.58812482345534911"/>
    <n v="0"/>
    <n v="0"/>
    <n v="0"/>
    <n v="0"/>
    <n v="0"/>
    <n v="0"/>
    <n v="12200.920000000006"/>
    <n v="0"/>
    <n v="0"/>
    <n v="0"/>
    <n v="0"/>
    <n v="0"/>
    <n v="0"/>
  </r>
  <r>
    <x v="0"/>
    <s v="MALL"/>
    <n v="408"/>
    <x v="1"/>
    <x v="1"/>
    <x v="1"/>
    <s v="SANTA CRUZ"/>
    <s v="CLOSED"/>
    <x v="6"/>
    <n v="20979.850000000002"/>
    <n v="10688.89"/>
    <n v="0"/>
    <n v="0"/>
    <n v="0"/>
    <n v="0"/>
    <n v="0"/>
    <n v="0"/>
    <n v="0"/>
    <n v="0"/>
    <n v="0"/>
    <n v="0"/>
    <n v="0"/>
    <n v="0"/>
    <n v="0"/>
    <n v="0"/>
    <n v="0.6934973319637654"/>
    <n v="0"/>
    <n v="0"/>
    <n v="0"/>
    <n v="0"/>
    <n v="0"/>
    <n v="0"/>
    <n v="14549.470000000005"/>
    <n v="0"/>
    <n v="0"/>
    <n v="0"/>
    <n v="0"/>
    <n v="0"/>
    <n v="0"/>
  </r>
  <r>
    <x v="0"/>
    <s v="MALL"/>
    <n v="408"/>
    <x v="1"/>
    <x v="1"/>
    <x v="1"/>
    <s v="SANTA CRUZ"/>
    <s v="CLOSED"/>
    <x v="7"/>
    <n v="61519.039999999994"/>
    <n v="21744.019999999997"/>
    <n v="0"/>
    <n v="0"/>
    <n v="0"/>
    <n v="0"/>
    <n v="0"/>
    <n v="0"/>
    <n v="0"/>
    <n v="0"/>
    <n v="0"/>
    <n v="0"/>
    <n v="0"/>
    <n v="0"/>
    <n v="0"/>
    <n v="0"/>
    <n v="0.21510202369867953"/>
    <n v="0"/>
    <n v="0"/>
    <n v="0"/>
    <n v="0"/>
    <n v="0"/>
    <n v="0"/>
    <n v="13232.870000000014"/>
    <n v="0"/>
    <n v="0"/>
    <n v="0"/>
    <n v="0"/>
    <n v="0"/>
    <n v="0"/>
  </r>
  <r>
    <x v="0"/>
    <s v="MALL"/>
    <n v="408"/>
    <x v="1"/>
    <x v="1"/>
    <x v="1"/>
    <s v="SANTA CRUZ"/>
    <s v="CLOSED"/>
    <x v="8"/>
    <n v="11586.080000000002"/>
    <n v="5560.43"/>
    <n v="0"/>
    <n v="0"/>
    <n v="0"/>
    <n v="0"/>
    <n v="0"/>
    <n v="0"/>
    <n v="0"/>
    <n v="0"/>
    <n v="0"/>
    <n v="0"/>
    <n v="0"/>
    <n v="0"/>
    <n v="0"/>
    <n v="0"/>
    <n v="0.50100292765111232"/>
    <n v="0"/>
    <n v="0"/>
    <n v="0"/>
    <n v="0"/>
    <n v="0"/>
    <n v="0"/>
    <n v="5804.66"/>
    <n v="0"/>
    <n v="0"/>
    <n v="0"/>
    <n v="0"/>
    <n v="0"/>
    <n v="0"/>
  </r>
  <r>
    <x v="0"/>
    <s v="MALL"/>
    <n v="408"/>
    <x v="1"/>
    <x v="1"/>
    <x v="1"/>
    <s v="SANTA CRUZ"/>
    <s v="CLOSED"/>
    <x v="9"/>
    <n v="10859.259999999998"/>
    <n v="5172.829999999999"/>
    <n v="0"/>
    <n v="0"/>
    <n v="0"/>
    <n v="0"/>
    <n v="0"/>
    <n v="0"/>
    <n v="0"/>
    <n v="0"/>
    <n v="0"/>
    <n v="0"/>
    <n v="0"/>
    <n v="0"/>
    <n v="0"/>
    <n v="0"/>
    <n v="0.53360634150024966"/>
    <n v="0"/>
    <n v="0"/>
    <n v="0"/>
    <n v="0"/>
    <n v="0"/>
    <n v="0"/>
    <n v="5794.5700000000006"/>
    <n v="0"/>
    <n v="0"/>
    <n v="0"/>
    <n v="0"/>
    <n v="0"/>
    <n v="0"/>
  </r>
  <r>
    <x v="0"/>
    <s v="MALL"/>
    <n v="408"/>
    <x v="1"/>
    <x v="1"/>
    <x v="1"/>
    <s v="SANTA CRUZ"/>
    <s v="CLOSED"/>
    <x v="10"/>
    <n v="16673.190000000002"/>
    <n v="7055.6099999999988"/>
    <n v="0"/>
    <n v="0"/>
    <n v="0"/>
    <n v="0"/>
    <n v="0"/>
    <n v="0"/>
    <n v="0"/>
    <n v="0"/>
    <n v="0"/>
    <n v="0"/>
    <n v="0"/>
    <n v="0"/>
    <n v="0"/>
    <n v="0"/>
    <n v="0.32151255998402195"/>
    <n v="0"/>
    <n v="0"/>
    <n v="0"/>
    <n v="0"/>
    <n v="0"/>
    <n v="0"/>
    <n v="5360.6399999999958"/>
    <n v="0"/>
    <n v="0"/>
    <n v="0"/>
    <n v="0"/>
    <n v="0"/>
    <n v="0"/>
  </r>
  <r>
    <x v="0"/>
    <s v="MALL"/>
    <n v="408"/>
    <x v="1"/>
    <x v="1"/>
    <x v="1"/>
    <s v="SANTA CRUZ"/>
    <s v="CLOSED"/>
    <x v="11"/>
    <n v="45007.009999999995"/>
    <n v="20367.839999999989"/>
    <n v="0"/>
    <n v="0"/>
    <n v="0"/>
    <n v="0"/>
    <n v="0"/>
    <n v="0"/>
    <n v="0"/>
    <n v="0"/>
    <n v="0"/>
    <n v="0"/>
    <n v="0"/>
    <n v="0"/>
    <n v="0"/>
    <n v="0"/>
    <n v="0.38153412101803702"/>
    <n v="0"/>
    <n v="0"/>
    <n v="0"/>
    <n v="0"/>
    <n v="0"/>
    <n v="0"/>
    <n v="17171.71"/>
    <n v="0"/>
    <n v="0"/>
    <n v="0"/>
    <n v="0"/>
    <n v="0"/>
    <n v="0"/>
  </r>
  <r>
    <x v="0"/>
    <s v="MEGA"/>
    <n v="407"/>
    <x v="0"/>
    <x v="2"/>
    <x v="0"/>
    <s v="SANTA CRUZ"/>
    <s v="A 2"/>
    <x v="0"/>
    <n v="109484.68"/>
    <n v="57279.09"/>
    <n v="92287.479999999981"/>
    <n v="48467.909999999989"/>
    <n v="99288.833066666673"/>
    <n v="51902.115297333345"/>
    <n v="70926.910000000149"/>
    <n v="36452.844877962161"/>
    <n v="70926.910000000091"/>
    <n v="36508.870000000024"/>
    <n v="99288.833066666673"/>
    <n v="51107.867223915899"/>
    <n v="102267.49805866669"/>
    <n v="54408.508533900553"/>
    <n v="58015.660919540242"/>
    <n v="31919.884511219276"/>
    <n v="0.74417918561756857"/>
    <n v="0.79049811367770784"/>
    <n v="0.85005897262164698"/>
    <n v="0.85005897262164665"/>
    <n v="0.85005897262164665"/>
    <n v="0.9"/>
    <n v="0.94724967743053934"/>
    <n v="81476.220000000088"/>
    <n v="72953.078856069173"/>
    <n v="60292.056245828098"/>
    <n v="60292.05624582812"/>
    <n v="84401.363429452846"/>
    <n v="92040.748252800026"/>
    <n v="54955.316091954039"/>
  </r>
  <r>
    <x v="0"/>
    <s v="MEGA"/>
    <n v="407"/>
    <x v="0"/>
    <x v="2"/>
    <x v="0"/>
    <s v="SANTA CRUZ"/>
    <s v="A 2"/>
    <x v="1"/>
    <n v="190367.42999999996"/>
    <n v="83717.239999999962"/>
    <n v="120264.77999999998"/>
    <n v="55228.17"/>
    <n v="167875.37130000003"/>
    <n v="71434.774299000012"/>
    <n v="153257.57000000007"/>
    <n v="62452.946613088519"/>
    <n v="153257.57000000024"/>
    <n v="62630.620000000301"/>
    <n v="167875.37130000003"/>
    <n v="68604.367061602519"/>
    <n v="171232.87872600002"/>
    <n v="76405.633896352971"/>
    <n v="131596.98275862072"/>
    <n v="60818.500399732831"/>
    <n v="0.41804955816233991"/>
    <n v="0.547269128445391"/>
    <n v="0.25297071434847501"/>
    <n v="0.25297071434847607"/>
    <n v="0.25297071434847607"/>
    <n v="0.39000000000000012"/>
    <n v="0.42580370449222898"/>
    <n v="79583.02000000015"/>
    <n v="65817.20133327668"/>
    <n v="38769.676962211473"/>
    <n v="38769.67696221159"/>
    <n v="42467.552599276663"/>
    <n v="66780.822703140031"/>
    <n v="56034.482758620688"/>
  </r>
  <r>
    <x v="0"/>
    <s v="MEGA"/>
    <n v="407"/>
    <x v="0"/>
    <x v="2"/>
    <x v="0"/>
    <s v="SANTA CRUZ"/>
    <s v="A 2"/>
    <x v="2"/>
    <n v="118641.72"/>
    <n v="56974.35000000002"/>
    <n v="183938.62999999995"/>
    <n v="80960.469999999972"/>
    <n v="106453.12872000012"/>
    <n v="51090.39059950006"/>
    <n v="114282.00000000017"/>
    <n v="55679.720551461549"/>
    <n v="114282.00000000022"/>
    <n v="55799.890000000174"/>
    <n v="114282.00000000023"/>
    <n v="55799.890000000181"/>
    <n v="118853.28000000026"/>
    <n v="61032.693146228048"/>
    <n v="109128.28693976681"/>
    <n v="55873.682913160606"/>
    <n v="0.51915919627598206"/>
    <n v="0.46461129591508932"/>
    <n v="0.57948908848412928"/>
    <n v="0.5794890884841285"/>
    <n v="0.5794890884841285"/>
    <n v="0.79"/>
    <n v="0.73229235465927012"/>
    <n v="61593.940000000104"/>
    <n v="85459.965253146103"/>
    <n v="66225.172010143389"/>
    <n v="66225.172010143273"/>
    <n v="66225.172010143302"/>
    <n v="93894.091200000214"/>
    <n v="79913.810203054309"/>
  </r>
  <r>
    <x v="0"/>
    <s v="MEGA"/>
    <n v="407"/>
    <x v="0"/>
    <x v="2"/>
    <x v="0"/>
    <s v="SANTA CRUZ"/>
    <s v="A 2"/>
    <x v="3"/>
    <n v="91354.709999999992"/>
    <n v="49106.76"/>
    <n v="92381.28"/>
    <n v="50381.84"/>
    <n v="93997.339280000102"/>
    <n v="51455.996932000053"/>
    <n v="93168.340000000069"/>
    <n v="49795.148872770238"/>
    <n v="93168.34000000004"/>
    <n v="49797.840000000026"/>
    <n v="93168.34000000004"/>
    <n v="49797.840000000018"/>
    <n v="96895.073600000032"/>
    <n v="50735.084810699758"/>
    <n v="0"/>
    <n v="0"/>
    <n v="0.83034897708065725"/>
    <n v="0.89700894896380234"/>
    <n v="0.85998114020479899"/>
    <n v="0.85998114020479843"/>
    <n v="0.85998114020479843"/>
    <n v="0.85000000000000009"/>
    <n v="0"/>
    <n v="75856.290000000081"/>
    <n v="82866.834876730733"/>
    <n v="80123.01526418842"/>
    <n v="80123.015264188391"/>
    <n v="80123.015264188361"/>
    <n v="82360.812560000035"/>
    <n v="0"/>
  </r>
  <r>
    <x v="0"/>
    <s v="MEGA"/>
    <n v="407"/>
    <x v="0"/>
    <x v="2"/>
    <x v="0"/>
    <s v="SANTA CRUZ"/>
    <s v="A 2"/>
    <x v="4"/>
    <n v="119535.52"/>
    <n v="64030.090000000011"/>
    <n v="98629.65"/>
    <n v="54139.8"/>
    <n v="100180.8507000001"/>
    <n v="52851.926069750043"/>
    <n v="85688.610000000015"/>
    <n v="47155.086349188889"/>
    <n v="85688.610000000015"/>
    <n v="47177.410000000047"/>
    <n v="85688.610000000015"/>
    <n v="47177.410000000047"/>
    <n v="89116.154400000043"/>
    <n v="47411.710848732328"/>
    <n v="0"/>
    <n v="0"/>
    <n v="0.81644050237117949"/>
    <n v="0.91035134394194384"/>
    <n v="0.91786233930781691"/>
    <n v="0.91786233930781669"/>
    <n v="0.91786233930781669"/>
    <n v="0.90000000000000013"/>
    <n v="0"/>
    <n v="97593.640000000174"/>
    <n v="89787.634430023536"/>
    <n v="78650.348026635213"/>
    <n v="78650.348026635183"/>
    <n v="78650.348026635183"/>
    <n v="80204.538960000049"/>
    <n v="0"/>
  </r>
  <r>
    <x v="0"/>
    <s v="MEGA"/>
    <n v="407"/>
    <x v="0"/>
    <x v="2"/>
    <x v="0"/>
    <s v="SANTA CRUZ"/>
    <s v="A 2"/>
    <x v="5"/>
    <n v="95719.11"/>
    <n v="51392.560000000005"/>
    <n v="94332.07"/>
    <n v="51556.45"/>
    <n v="92141.501650000064"/>
    <n v="50732.221667500031"/>
    <n v="95213.170000000027"/>
    <n v="52512.979764931202"/>
    <n v="95213.169999999955"/>
    <n v="52517.630000000005"/>
    <n v="95213.169999999969"/>
    <n v="52517.630000000012"/>
    <n v="99021.696799999976"/>
    <n v="52681.67245368076"/>
    <n v="0"/>
    <n v="0"/>
    <n v="0.83948043394887484"/>
    <n v="0.93561354602787694"/>
    <n v="0.94168852360275379"/>
    <n v="0.94168852360275379"/>
    <n v="0.94168852360275379"/>
    <n v="0.9"/>
    <n v="0"/>
    <n v="80354.32000000008"/>
    <n v="88258.362516849913"/>
    <n v="89661.149484837966"/>
    <n v="89661.149484838039"/>
    <n v="89661.149484837981"/>
    <n v="89119.527119999984"/>
    <n v="0"/>
  </r>
  <r>
    <x v="0"/>
    <s v="MEGA"/>
    <n v="407"/>
    <x v="0"/>
    <x v="2"/>
    <x v="0"/>
    <s v="SANTA CRUZ"/>
    <s v="A 2"/>
    <x v="6"/>
    <n v="102601.28000000001"/>
    <n v="54973.69"/>
    <n v="95023.209999999992"/>
    <n v="51767.749999999985"/>
    <n v="97507.016200000027"/>
    <n v="53465.948824000006"/>
    <n v="100686.31999999993"/>
    <n v="54445.550000000716"/>
    <n v="100686.31999999998"/>
    <n v="54445.549999999959"/>
    <n v="100686.3200000006"/>
    <n v="54445.550000000301"/>
    <n v="104713.77280000063"/>
    <n v="55709.979310703755"/>
    <n v="0"/>
    <n v="0"/>
    <n v="0.88261988544392478"/>
    <n v="0.91662054804494286"/>
    <n v="0.92429189983306659"/>
    <n v="0.92429189983306659"/>
    <n v="0.92429189983306659"/>
    <n v="0.9"/>
    <n v="0"/>
    <n v="90557.930000000066"/>
    <n v="87100.22682718969"/>
    <n v="93063.550000000076"/>
    <n v="93063.550000000032"/>
    <n v="93063.550000000643"/>
    <n v="94242.395520000573"/>
    <n v="0"/>
  </r>
  <r>
    <x v="0"/>
    <s v="MEGA"/>
    <n v="407"/>
    <x v="0"/>
    <x v="2"/>
    <x v="0"/>
    <s v="SANTA CRUZ"/>
    <s v="A 2"/>
    <x v="7"/>
    <n v="269760.5"/>
    <n v="99620.279999999955"/>
    <n v="183761.69999999995"/>
    <n v="72536.779999999955"/>
    <n v="193389.02898000024"/>
    <n v="79895.229739500079"/>
    <n v="176448.55197037209"/>
    <n v="75837.587636865937"/>
    <n v="263339.09000000049"/>
    <n v="118272.79000000047"/>
    <n v="263339.09000000026"/>
    <n v="113183.14088200012"/>
    <n v="271239.26270000025"/>
    <n v="123311.30836978261"/>
    <n v="0"/>
    <n v="0"/>
    <n v="0.31631843802187759"/>
    <n v="0.37572036975734396"/>
    <n v="0.42444865709391821"/>
    <n v="0.30000000000000004"/>
    <n v="0.30000000000000004"/>
    <n v="0.43999999999999995"/>
    <n v="0"/>
    <n v="85330.220000000714"/>
    <n v="69043.013871238101"/>
    <n v="111773.92311083467"/>
    <n v="52934.565591111634"/>
    <n v="79001.727000000086"/>
    <n v="119345.27558800009"/>
    <n v="0"/>
  </r>
  <r>
    <x v="0"/>
    <s v="MEGA"/>
    <n v="407"/>
    <x v="0"/>
    <x v="2"/>
    <x v="0"/>
    <s v="SANTA CRUZ"/>
    <s v="A 2"/>
    <x v="8"/>
    <n v="68028.990000000005"/>
    <n v="34894.729999999996"/>
    <n v="94631.03"/>
    <n v="48308.95"/>
    <n v="92378.541320000018"/>
    <n v="49615.471924000005"/>
    <n v="93466.760536749614"/>
    <n v="48976.582521256802"/>
    <n v="93935.100000000108"/>
    <n v="50038.61000000011"/>
    <n v="93935.100000000108"/>
    <n v="50038.610000000102"/>
    <n v="94874.451000000132"/>
    <n v="48719.254994896604"/>
    <n v="0"/>
    <n v="0"/>
    <n v="0.75916723149939525"/>
    <n v="0.75868957778613932"/>
    <n v="0.88821792918728004"/>
    <n v="0.79999999999999993"/>
    <n v="0.79999999999999993"/>
    <n v="0.79000000000000015"/>
    <n v="0"/>
    <n v="51645.380000000048"/>
    <n v="71795.576196167487"/>
    <n v="83434.840000000171"/>
    <n v="74773.408429399686"/>
    <n v="75148.080000000075"/>
    <n v="74950.816290000119"/>
    <n v="0"/>
  </r>
  <r>
    <x v="0"/>
    <s v="MEGA"/>
    <n v="407"/>
    <x v="0"/>
    <x v="2"/>
    <x v="0"/>
    <s v="SANTA CRUZ"/>
    <s v="A 2"/>
    <x v="9"/>
    <n v="55540.009999999995"/>
    <n v="29867.129999999997"/>
    <n v="69407.899999999994"/>
    <n v="37771.599999999999"/>
    <n v="97388.088669999983"/>
    <n v="53022.531146249996"/>
    <n v="84601.032627628985"/>
    <n v="45625.336896080313"/>
    <n v="72666.590000000273"/>
    <n v="38448.50000000032"/>
    <n v="107218.31999999999"/>
    <n v="57822.839975999996"/>
    <n v="111507.0528"/>
    <n v="59324.150380393061"/>
    <n v="0"/>
    <n v="0"/>
    <n v="0.8592020419153692"/>
    <n v="0.87063604334788613"/>
    <n v="0.80077598247007375"/>
    <n v="0.89999999999999991"/>
    <n v="0.89999999999999991"/>
    <n v="0.89999999999999991"/>
    <n v="0"/>
    <n v="47720.090000000018"/>
    <n v="60429.019433085741"/>
    <n v="58189.660000000258"/>
    <n v="76140.929364866082"/>
    <n v="96496.487999999983"/>
    <n v="100356.34752"/>
    <n v="0"/>
  </r>
  <r>
    <x v="0"/>
    <s v="MEGA"/>
    <n v="407"/>
    <x v="0"/>
    <x v="2"/>
    <x v="0"/>
    <s v="SANTA CRUZ"/>
    <s v="A 2"/>
    <x v="10"/>
    <n v="83140.989999999991"/>
    <n v="39271.69999999999"/>
    <n v="80339.849999999977"/>
    <n v="41179.179999999986"/>
    <n v="134683.89443000019"/>
    <n v="68084.748215750093"/>
    <n v="136270.47070638559"/>
    <n v="67181.342058248105"/>
    <n v="69509.626436781618"/>
    <n v="26619.713968383025"/>
    <n v="136270.47070638559"/>
    <n v="67181.342058248105"/>
    <n v="141721.28953464102"/>
    <n v="69437.267343257801"/>
    <n v="0"/>
    <n v="0"/>
    <n v="0.45333042101134585"/>
    <n v="0.5823384369111626"/>
    <n v="0.42444865709391821"/>
    <n v="0.6"/>
    <n v="0.6"/>
    <n v="0.64999999999999991"/>
    <n v="0"/>
    <n v="37690.340000000091"/>
    <n v="46784.982670677251"/>
    <n v="29503.267596191872"/>
    <n v="81762.282423831348"/>
    <n v="81762.282423831348"/>
    <n v="92118.838197516656"/>
    <n v="0"/>
  </r>
  <r>
    <x v="0"/>
    <s v="MEGA"/>
    <n v="407"/>
    <x v="0"/>
    <x v="2"/>
    <x v="0"/>
    <s v="SANTA CRUZ"/>
    <s v="A 2"/>
    <x v="11"/>
    <n v="244533.26999999996"/>
    <n v="119910.16999999994"/>
    <n v="262795.90999999992"/>
    <n v="139760.36999999997"/>
    <n v="262440.78935000056"/>
    <n v="142245.02354525033"/>
    <n v="265532.34184854355"/>
    <n v="139138.94712863682"/>
    <n v="275222.08333333343"/>
    <n v="130227.34954087921"/>
    <n v="265532.34184854355"/>
    <n v="139138.94712863682"/>
    <n v="277481.29723172804"/>
    <n v="144357.78754365462"/>
    <n v="0"/>
    <n v="0"/>
    <n v="0.49446842141357888"/>
    <n v="0.77372704112281432"/>
    <n v="0.57948908848412928"/>
    <n v="0.79999999999999993"/>
    <n v="0.79999999999999993"/>
    <n v="0.83"/>
    <n v="0"/>
    <n v="120913.98000000045"/>
    <n v="203332.30186347733"/>
    <n v="159488.19420153645"/>
    <n v="212425.87347883484"/>
    <n v="212425.87347883484"/>
    <n v="230309.47670233427"/>
    <n v="0"/>
  </r>
  <r>
    <x v="0"/>
    <s v="MEGACENTER ADIDAS"/>
    <n v="209"/>
    <x v="2"/>
    <x v="0"/>
    <x v="1"/>
    <s v="LA PAZ"/>
    <s v="A 3"/>
    <x v="0"/>
    <n v="29433.630000000005"/>
    <n v="15783.550000000007"/>
    <n v="14761.010000000006"/>
    <n v="7787.2300000000032"/>
    <n v="32163.165499999996"/>
    <n v="16675.967012500001"/>
    <n v="21128.160000000014"/>
    <n v="11729.137816629278"/>
    <n v="21128.160000000014"/>
    <n v="11431.500000000025"/>
    <n v="21128.160000000022"/>
    <n v="11431.500000000029"/>
    <n v="0"/>
    <n v="0"/>
    <n v="0"/>
    <n v="0"/>
    <n v="0.73719075764694963"/>
    <n v="0.76463784218256137"/>
    <n v="0.86369754006597899"/>
    <n v="0.86369754006597887"/>
    <n v="0.86369754006597887"/>
    <n v="0"/>
    <n v="0"/>
    <n v="21698.19999999999"/>
    <n v="11286.826834835214"/>
    <n v="18248.339818120428"/>
    <n v="18248.339818120425"/>
    <n v="18248.339818120432"/>
    <n v="0"/>
    <n v="0"/>
  </r>
  <r>
    <x v="0"/>
    <s v="MEGACENTER ADIDAS"/>
    <n v="209"/>
    <x v="2"/>
    <x v="0"/>
    <x v="1"/>
    <s v="LA PAZ"/>
    <s v="A 3"/>
    <x v="1"/>
    <n v="35853.100000000006"/>
    <n v="15441.820000000007"/>
    <n v="19742.150000000001"/>
    <n v="8822.4699999999957"/>
    <n v="41709.812999999987"/>
    <n v="18827.169714999996"/>
    <n v="35604.090000000004"/>
    <n v="16655.233437294875"/>
    <n v="35604.090000000011"/>
    <n v="16087.540000000015"/>
    <n v="35604.089999999975"/>
    <n v="16087.539999999999"/>
    <n v="0"/>
    <n v="0"/>
    <n v="0"/>
    <n v="0"/>
    <n v="0.34033905017976135"/>
    <n v="0.46148615410594118"/>
    <n v="0.29901788148067432"/>
    <n v="0.29901788148067365"/>
    <n v="0.29901788148067365"/>
    <n v="0"/>
    <n v="0"/>
    <n v="12202.210000000003"/>
    <n v="9110.7288772826068"/>
    <n v="10646.259563847265"/>
    <n v="10646.259563847239"/>
    <n v="10646.25956384723"/>
    <n v="0"/>
    <n v="0"/>
  </r>
  <r>
    <x v="0"/>
    <s v="MEGACENTER ADIDAS"/>
    <n v="209"/>
    <x v="2"/>
    <x v="0"/>
    <x v="1"/>
    <s v="LA PAZ"/>
    <s v="A 3"/>
    <x v="2"/>
    <n v="40890.67"/>
    <n v="19179.629999999994"/>
    <n v="27844.91"/>
    <n v="12093.57"/>
    <n v="34470.605059999994"/>
    <n v="16739.311769199998"/>
    <n v="30904.429999999997"/>
    <n v="16202.906382347446"/>
    <n v="30904.429999999993"/>
    <n v="15671.029999999995"/>
    <n v="30904.429999999993"/>
    <n v="15671.029999999995"/>
    <n v="0"/>
    <n v="0"/>
    <n v="0"/>
    <n v="0"/>
    <n v="0.39755254682791952"/>
    <n v="0.38192455737373399"/>
    <n v="0.5819868090491418"/>
    <n v="0.58198680904914191"/>
    <n v="0.58198680904914191"/>
    <n v="0"/>
    <n v="0"/>
    <n v="16256.190000000002"/>
    <n v="10634.65492686146"/>
    <n v="17985.970601182566"/>
    <n v="17985.970601182569"/>
    <n v="17985.970601182569"/>
    <n v="0"/>
    <n v="0"/>
  </r>
  <r>
    <x v="0"/>
    <s v="MEGACENTER ADIDAS"/>
    <n v="209"/>
    <x v="2"/>
    <x v="0"/>
    <x v="1"/>
    <s v="LA PAZ"/>
    <s v="A 3"/>
    <x v="3"/>
    <n v="24650.010000000002"/>
    <n v="13090.469999999998"/>
    <n v="16661.02"/>
    <n v="9334.3799999999992"/>
    <n v="22561.187539999992"/>
    <n v="12396.743449799997"/>
    <n v="24529.670000000006"/>
    <n v="13327.262059109191"/>
    <n v="24529.670000000002"/>
    <n v="13291.170000000002"/>
    <n v="24529.670000000002"/>
    <n v="13291.170000000002"/>
    <n v="0"/>
    <n v="0"/>
    <n v="0"/>
    <n v="0"/>
    <n v="0.77029623923073465"/>
    <n v="0.86214483694049648"/>
    <n v="0.85586723394571829"/>
    <n v="0.8558672339457184"/>
    <n v="0.8558672339457184"/>
    <n v="0"/>
    <n v="0"/>
    <n v="18987.810000000001"/>
    <n v="14364.212371162352"/>
    <n v="20994.140812501268"/>
    <n v="20994.140812501275"/>
    <n v="20994.140812501271"/>
    <n v="0"/>
    <n v="0"/>
  </r>
  <r>
    <x v="0"/>
    <s v="MEGACENTER ADIDAS"/>
    <n v="209"/>
    <x v="2"/>
    <x v="0"/>
    <x v="1"/>
    <s v="LA PAZ"/>
    <s v="A 3"/>
    <x v="4"/>
    <n v="24895.310000000005"/>
    <n v="13253.940000000006"/>
    <n v="17009.05"/>
    <n v="9187.8799999999992"/>
    <n v="31981"/>
    <n v="16702"/>
    <n v="28817.940000000002"/>
    <n v="16182.248769494259"/>
    <n v="28817.94"/>
    <n v="16014.039999999997"/>
    <n v="28817.94"/>
    <n v="16014.039999999995"/>
    <n v="0"/>
    <n v="0"/>
    <n v="0"/>
    <n v="0"/>
    <n v="0.74600878639390311"/>
    <n v="0.84721183822595891"/>
    <n v="0.93459050318184933"/>
    <n v="0.93459050318184944"/>
    <n v="0.93459050318184944"/>
    <n v="0"/>
    <n v="0"/>
    <n v="18572.120000000003"/>
    <n v="14410.268516977247"/>
    <n v="26932.973045264342"/>
    <n v="26932.973045264349"/>
    <n v="26932.973045264345"/>
    <n v="0"/>
    <n v="0"/>
  </r>
  <r>
    <x v="0"/>
    <s v="MEGACENTER ADIDAS"/>
    <n v="209"/>
    <x v="2"/>
    <x v="0"/>
    <x v="1"/>
    <s v="LA PAZ"/>
    <s v="A 3"/>
    <x v="5"/>
    <n v="28059.899999999994"/>
    <n v="14813.409999999996"/>
    <n v="13271.670000000002"/>
    <n v="7245.2100000000028"/>
    <n v="29910"/>
    <n v="16591"/>
    <n v="21020.749999999989"/>
    <n v="11807.375192136633"/>
    <n v="21020.749999999989"/>
    <n v="11807.939999999995"/>
    <n v="21020.749999999993"/>
    <n v="11807.939999999999"/>
    <n v="0"/>
    <n v="0"/>
    <n v="0"/>
    <n v="0"/>
    <n v="0.75433554645597434"/>
    <n v="0.88551574735571092"/>
    <n v="0.9483461999217323"/>
    <n v="0.94834619992173219"/>
    <n v="0.94834619992173219"/>
    <n v="0"/>
    <n v="0"/>
    <n v="21166.579999999991"/>
    <n v="11752.27277870837"/>
    <n v="19934.948382004743"/>
    <n v="19934.948382004743"/>
    <n v="19934.948382004746"/>
    <n v="0"/>
    <n v="0"/>
  </r>
  <r>
    <x v="0"/>
    <s v="MEGACENTER ADIDAS"/>
    <n v="209"/>
    <x v="2"/>
    <x v="0"/>
    <x v="1"/>
    <s v="LA PAZ"/>
    <s v="A 3"/>
    <x v="6"/>
    <n v="24677.480000000003"/>
    <n v="13471.210000000003"/>
    <n v="13410.289999999999"/>
    <n v="7266.0899999999983"/>
    <n v="30833"/>
    <n v="17131"/>
    <n v="20975.170000000013"/>
    <n v="11767.239999999971"/>
    <n v="20975.170000000013"/>
    <n v="11767.240000000013"/>
    <n v="20975.17"/>
    <n v="11767.240000000005"/>
    <n v="0"/>
    <n v="0"/>
    <n v="0"/>
    <n v="0"/>
    <n v="0.83823307728341767"/>
    <n v="0.8992399568910846"/>
    <n v="0.94117568534605434"/>
    <n v="0.94117568534605434"/>
    <n v="0.94117568534605434"/>
    <n v="0"/>
    <n v="0"/>
    <n v="20685.479999999996"/>
    <n v="12059.068601496941"/>
    <n v="19741.320000000011"/>
    <n v="19741.320000000011"/>
    <n v="19741.319999999996"/>
    <n v="0"/>
    <n v="0"/>
  </r>
  <r>
    <x v="0"/>
    <s v="MEGACENTER ADIDAS"/>
    <n v="209"/>
    <x v="2"/>
    <x v="0"/>
    <x v="1"/>
    <s v="LA PAZ"/>
    <s v="A 3"/>
    <x v="7"/>
    <n v="56498.940000000017"/>
    <n v="20440.180000000008"/>
    <n v="27352.62"/>
    <n v="9858.4599999999955"/>
    <n v="57582"/>
    <n v="25790"/>
    <n v="35597.056920740215"/>
    <n v="16550.495644728955"/>
    <n v="45247.75999999998"/>
    <n v="19579.389999999985"/>
    <n v="45247.759999999966"/>
    <n v="21037.493534399982"/>
    <n v="0"/>
    <n v="0"/>
    <n v="0"/>
    <n v="0"/>
    <n v="0.26895301044585962"/>
    <n v="0.28709650816002741"/>
    <n v="0.28638898367565607"/>
    <n v="0.37"/>
    <n v="0.37"/>
    <n v="0"/>
    <n v="0"/>
    <n v="15195.560000000001"/>
    <n v="7852.8416910281285"/>
    <n v="12958.459999999997"/>
    <n v="13170.91106067388"/>
    <n v="16741.671199999986"/>
    <n v="0"/>
    <n v="0"/>
  </r>
  <r>
    <x v="0"/>
    <s v="MEGACENTER ADIDAS"/>
    <n v="209"/>
    <x v="2"/>
    <x v="0"/>
    <x v="1"/>
    <s v="LA PAZ"/>
    <s v="A 3"/>
    <x v="8"/>
    <n v="18107.590000000004"/>
    <n v="9350.0300000000025"/>
    <n v="17789.190000000002"/>
    <n v="8536.7700000000023"/>
    <n v="28941"/>
    <n v="15564"/>
    <n v="17794.881300000005"/>
    <n v="9705.3282610200004"/>
    <n v="17863.150000000001"/>
    <n v="9492.3599999999988"/>
    <n v="17863.150000000001"/>
    <n v="9492.3599999999988"/>
    <n v="0"/>
    <n v="0"/>
    <n v="0"/>
    <n v="0"/>
    <n v="0.69564088871020402"/>
    <n v="0.62619874570335032"/>
    <n v="0.79089970134046894"/>
    <n v="0.79999999999999993"/>
    <n v="0.79999999999999993"/>
    <n v="0"/>
    <n v="0"/>
    <n v="12596.380000000006"/>
    <n v="11139.568465078584"/>
    <n v="14127.96"/>
    <n v="14235.905040000003"/>
    <n v="14290.52"/>
    <n v="0"/>
    <n v="0"/>
  </r>
  <r>
    <x v="0"/>
    <s v="MEGACENTER ADIDAS"/>
    <n v="209"/>
    <x v="2"/>
    <x v="0"/>
    <x v="1"/>
    <s v="LA PAZ"/>
    <s v="A 3"/>
    <x v="9"/>
    <n v="18250.409999999996"/>
    <n v="9892.239999999998"/>
    <n v="18624.669999999998"/>
    <n v="9852.6299999999974"/>
    <n v="30390"/>
    <n v="16690"/>
    <n v="21125.263320000002"/>
    <n v="11876.623038503996"/>
    <n v="15616.98"/>
    <n v="8038.489999999998"/>
    <n v="21125.263320000002"/>
    <n v="11876.623038503996"/>
    <n v="0"/>
    <n v="0"/>
    <n v="0"/>
    <n v="0"/>
    <n v="0.82049060815620034"/>
    <n v="0.80010982887951987"/>
    <n v="0.64069749721136882"/>
    <n v="0.89999999999999991"/>
    <n v="0.89999999999999991"/>
    <n v="0"/>
    <n v="0"/>
    <n v="14974.289999999997"/>
    <n v="14901.781526637526"/>
    <n v="10005.760000000002"/>
    <n v="19012.736988000001"/>
    <n v="19012.736988000001"/>
    <n v="0"/>
    <n v="0"/>
  </r>
  <r>
    <x v="0"/>
    <s v="MEGACENTER ADIDAS"/>
    <n v="209"/>
    <x v="2"/>
    <x v="0"/>
    <x v="1"/>
    <s v="LA PAZ"/>
    <s v="A 3"/>
    <x v="10"/>
    <n v="27951.140000000003"/>
    <n v="13912.810000000001"/>
    <n v="26006.990000000005"/>
    <n v="13468.510000000004"/>
    <n v="51742"/>
    <n v="25524"/>
    <n v="30038.073450000007"/>
    <n v="14581.682375568003"/>
    <n v="0"/>
    <n v="0"/>
    <n v="0"/>
    <n v="0"/>
    <n v="0"/>
    <n v="0"/>
    <n v="0"/>
    <n v="0"/>
    <n v="0.5493042502023171"/>
    <n v="0.60951767197972573"/>
    <n v="0.28638898367565607"/>
    <n v="0.48"/>
    <n v="0.48"/>
    <n v="0"/>
    <n v="0"/>
    <n v="15353.679999999995"/>
    <n v="15851.72000000001"/>
    <n v="0"/>
    <n v="14418.275256000003"/>
    <n v="0"/>
    <n v="0"/>
    <n v="0"/>
  </r>
  <r>
    <x v="0"/>
    <s v="MEGACENTER ADIDAS"/>
    <n v="209"/>
    <x v="2"/>
    <x v="0"/>
    <x v="1"/>
    <s v="LA PAZ"/>
    <s v="A 3"/>
    <x v="11"/>
    <n v="50719.710000000006"/>
    <n v="24965.57"/>
    <n v="48187.66"/>
    <n v="25863.21"/>
    <n v="87816"/>
    <n v="48457"/>
    <n v="55889.063999999998"/>
    <n v="30314.228313600001"/>
    <n v="0"/>
    <n v="0"/>
    <n v="0"/>
    <n v="0"/>
    <n v="0"/>
    <n v="0"/>
    <n v="0"/>
    <n v="0"/>
    <n v="0.4805435598902279"/>
    <n v="0.77011705187977419"/>
    <n v="0.5819868090491418"/>
    <n v="0.8"/>
    <n v="0.8"/>
    <n v="0"/>
    <n v="0"/>
    <n v="24373.029999999995"/>
    <n v="37110.138656184921"/>
    <n v="0"/>
    <n v="44711.251199999999"/>
    <n v="0"/>
    <n v="0"/>
    <n v="0"/>
  </r>
  <r>
    <x v="0"/>
    <s v="MEGACENTER FP"/>
    <n v="208"/>
    <x v="2"/>
    <x v="0"/>
    <x v="2"/>
    <s v="LA PAZ"/>
    <s v="A 3"/>
    <x v="0"/>
    <n v="49031.469999999994"/>
    <n v="25555.929999999997"/>
    <n v="24865.309999999998"/>
    <n v="12434.479999999994"/>
    <n v="18583.417166666666"/>
    <n v="9850.1035724999983"/>
    <n v="28443.330000000027"/>
    <n v="15176.35692003608"/>
    <n v="28443.33000000002"/>
    <n v="14988.710000000021"/>
    <n v="39626.320000000043"/>
    <n v="20881.782085543469"/>
    <n v="43588.952000000048"/>
    <n v="23141.408610997532"/>
    <n v="58779.885057471227"/>
    <n v="32796.277415995297"/>
    <n v="0.79659716504522571"/>
    <n v="0.81557830664080255"/>
    <n v="0.83287936508927007"/>
    <n v="0.83287936508926996"/>
    <n v="0.83287936508926996"/>
    <n v="0.88"/>
    <n v="0.98227851814190881"/>
    <n v="39058.330000000031"/>
    <n v="20279.607423898611"/>
    <n v="23689.862631424603"/>
    <n v="23689.862631424607"/>
    <n v="33003.944242424273"/>
    <n v="38358.277760000041"/>
    <n v="57738.218390804563"/>
  </r>
  <r>
    <x v="0"/>
    <s v="MEGACENTER FP"/>
    <n v="208"/>
    <x v="2"/>
    <x v="0"/>
    <x v="2"/>
    <s v="LA PAZ"/>
    <s v="A 3"/>
    <x v="1"/>
    <n v="65348.409999999989"/>
    <n v="27843.449999999983"/>
    <n v="27662.729999999996"/>
    <n v="13097.979999999994"/>
    <n v="26751.908999999992"/>
    <n v="11347.179516999997"/>
    <n v="46657.879999999976"/>
    <n v="21219.719999999983"/>
    <n v="46657.879999999983"/>
    <n v="21235.409999999989"/>
    <n v="47404.880000000063"/>
    <n v="21575.392255301809"/>
    <n v="51671.319200000071"/>
    <n v="23807.090202503015"/>
    <n v="77091.091954023199"/>
    <n v="36199.536471426116"/>
    <n v="0.37721927740858635"/>
    <n v="0.55081695248612494"/>
    <n v="0.34827964751077434"/>
    <n v="0.34827964751077417"/>
    <n v="0.34827964751077417"/>
    <n v="0.4"/>
    <n v="0.44928935391405134"/>
    <n v="24650.680000000033"/>
    <n v="15237.100636046502"/>
    <n v="16249.990000000002"/>
    <n v="16249.989999999991"/>
    <n v="16510.154896690568"/>
    <n v="20668.527680000028"/>
    <n v="34636.206896551805"/>
  </r>
  <r>
    <x v="0"/>
    <s v="MEGACENTER FP"/>
    <n v="208"/>
    <x v="2"/>
    <x v="0"/>
    <x v="2"/>
    <s v="LA PAZ"/>
    <s v="A 3"/>
    <x v="2"/>
    <n v="55579.78"/>
    <n v="25387.119999999995"/>
    <n v="37750.979999999996"/>
    <n v="17851.019999999997"/>
    <n v="19061.598874999996"/>
    <n v="9042.636146249999"/>
    <n v="43449.780000000057"/>
    <n v="22021.900600991008"/>
    <n v="43449.780000000072"/>
    <n v="21920.580000000075"/>
    <n v="65595.890000000072"/>
    <n v="33093.377099175283"/>
    <n v="72155.479000000079"/>
    <n v="37990.998847942377"/>
    <n v="63285.85572489693"/>
    <n v="31896.071285348055"/>
    <n v="0.49676339129086194"/>
    <n v="0.54368385151820364"/>
    <n v="0.61815525883153088"/>
    <n v="0.61815525883153055"/>
    <n v="0.61815525883153055"/>
    <n v="0.85"/>
    <n v="0.68005795103520494"/>
    <n v="27610.000000000022"/>
    <n v="20524.598204986672"/>
    <n v="26858.71000207312"/>
    <n v="26858.710002073094"/>
    <n v="40548.444361234651"/>
    <n v="61332.157150000065"/>
    <n v="43038.049373783004"/>
  </r>
  <r>
    <x v="0"/>
    <s v="MEGACENTER FP"/>
    <n v="208"/>
    <x v="2"/>
    <x v="0"/>
    <x v="2"/>
    <s v="LA PAZ"/>
    <s v="A 3"/>
    <x v="3"/>
    <n v="30986.129999999997"/>
    <n v="16213.049999999996"/>
    <n v="27580.329999999998"/>
    <n v="15392.349999999999"/>
    <n v="12545.844825"/>
    <n v="6918.1379547500001"/>
    <n v="36329.14999999998"/>
    <n v="19875.012780072077"/>
    <n v="36329.149999999987"/>
    <n v="19544.179999999986"/>
    <n v="44241.350000000137"/>
    <n v="23800.746999117851"/>
    <n v="48665.485000000153"/>
    <n v="25836.543939789452"/>
    <n v="0"/>
    <n v="0"/>
    <n v="0.79828168280453238"/>
    <n v="0.89590565239128706"/>
    <n v="0.86732855972931622"/>
    <n v="0.86732855972931611"/>
    <n v="0.86732855972931611"/>
    <n v="0.88"/>
    <n v="0"/>
    <n v="24735.660000000003"/>
    <n v="24709.373541816985"/>
    <n v="31509.309345690275"/>
    <n v="31509.309345690268"/>
    <n v="38371.786375980701"/>
    <n v="42825.626800000136"/>
    <n v="0"/>
  </r>
  <r>
    <x v="0"/>
    <s v="MEGACENTER FP"/>
    <n v="208"/>
    <x v="2"/>
    <x v="0"/>
    <x v="2"/>
    <s v="LA PAZ"/>
    <s v="A 3"/>
    <x v="4"/>
    <n v="36103.849999999991"/>
    <n v="19089.819999999989"/>
    <n v="35733.179999999993"/>
    <n v="19821.119999999992"/>
    <n v="17579"/>
    <n v="8895"/>
    <n v="40278.280000000035"/>
    <n v="22310.467866000497"/>
    <n v="40278.280000000035"/>
    <n v="21979.140000000039"/>
    <n v="52742.230000000112"/>
    <n v="28780.495519724365"/>
    <n v="58016.453000000132"/>
    <n v="30800.980143632143"/>
    <n v="0"/>
    <n v="0"/>
    <n v="0.78488166774457579"/>
    <n v="0.94062386978089962"/>
    <n v="0.92484907854964693"/>
    <n v="0.92484907854964704"/>
    <n v="0.92484907854964704"/>
    <n v="0.88"/>
    <n v="0"/>
    <n v="28337.249999999996"/>
    <n v="33611.482051177438"/>
    <n v="37251.330143564708"/>
    <n v="37251.330143564708"/>
    <n v="48778.602816153652"/>
    <n v="51054.478640000118"/>
    <n v="0"/>
  </r>
  <r>
    <x v="0"/>
    <s v="MEGACENTER FP"/>
    <n v="208"/>
    <x v="2"/>
    <x v="0"/>
    <x v="2"/>
    <s v="LA PAZ"/>
    <s v="A 3"/>
    <x v="5"/>
    <n v="43694.95"/>
    <n v="23328.85"/>
    <n v="32414.529999999995"/>
    <n v="18161.439999999995"/>
    <n v="15720"/>
    <n v="8696"/>
    <n v="31787.589999999982"/>
    <n v="17505.348589384474"/>
    <n v="31787.590000000011"/>
    <n v="17505.310000000005"/>
    <n v="45686.200000000012"/>
    <n v="25159.223889637437"/>
    <n v="51168.544000000009"/>
    <n v="27165.419914977647"/>
    <n v="0"/>
    <n v="0"/>
    <n v="0.82836895339163974"/>
    <n v="0.93657113695377758"/>
    <n v="0.93715907787301156"/>
    <n v="0.93715907787301156"/>
    <n v="0.93715907787301156"/>
    <n v="0.88"/>
    <n v="0"/>
    <n v="36195.54000000003"/>
    <n v="30358.513215922329"/>
    <n v="29790.028532205375"/>
    <n v="29790.028532205346"/>
    <n v="42815.237063521992"/>
    <n v="45028.31872000001"/>
    <n v="0"/>
  </r>
  <r>
    <x v="0"/>
    <s v="MEGACENTER FP"/>
    <n v="208"/>
    <x v="2"/>
    <x v="0"/>
    <x v="2"/>
    <s v="LA PAZ"/>
    <s v="A 3"/>
    <x v="6"/>
    <n v="37905.31"/>
    <n v="20509.149999999998"/>
    <n v="31011.78999999999"/>
    <n v="17344.919999999987"/>
    <n v="16572"/>
    <n v="9030"/>
    <n v="33620.079999999994"/>
    <n v="18414.170000000016"/>
    <n v="33620.079999999973"/>
    <n v="18414.169999999966"/>
    <n v="44422.080000000045"/>
    <n v="24330.570684947801"/>
    <n v="49752.729600000057"/>
    <n v="26413.762945850856"/>
    <n v="0"/>
    <n v="0"/>
    <n v="0.89464879722656288"/>
    <n v="0.95599323502435218"/>
    <n v="0.95036716152965739"/>
    <n v="0.95036716152965739"/>
    <n v="0.95036716152965739"/>
    <n v="0.88000000000000012"/>
    <n v="0"/>
    <n v="33911.94"/>
    <n v="29647.061445995845"/>
    <n v="31951.419999999976"/>
    <n v="31951.42"/>
    <n v="42217.286078843405"/>
    <n v="43782.402048000054"/>
    <n v="0"/>
  </r>
  <r>
    <x v="0"/>
    <s v="MEGACENTER FP"/>
    <n v="208"/>
    <x v="2"/>
    <x v="0"/>
    <x v="2"/>
    <s v="LA PAZ"/>
    <s v="A 3"/>
    <x v="7"/>
    <n v="83701.419999999984"/>
    <n v="30531.05"/>
    <n v="52391.969999999979"/>
    <n v="24195.379999999983"/>
    <n v="33520"/>
    <n v="12406"/>
    <n v="57181.010965373389"/>
    <n v="26226.070679268509"/>
    <n v="65939.419999999955"/>
    <n v="30647.069999999956"/>
    <n v="79744.590000000113"/>
    <n v="36574.856203500058"/>
    <n v="84529.26540000012"/>
    <n v="38946.089964142375"/>
    <n v="0"/>
    <n v="0"/>
    <n v="0.27880458897829979"/>
    <n v="0.42405456298718608"/>
    <n v="0.4873464158465462"/>
    <n v="0.37"/>
    <n v="0.37"/>
    <n v="0.40000000000000008"/>
    <n v="0"/>
    <n v="23336.340000000037"/>
    <n v="22217.053942387756"/>
    <n v="32135.340000000044"/>
    <n v="21156.974057188152"/>
    <n v="29505.498300000043"/>
    <n v="33811.706160000052"/>
    <n v="0"/>
  </r>
  <r>
    <x v="0"/>
    <s v="MEGACENTER FP"/>
    <n v="208"/>
    <x v="2"/>
    <x v="0"/>
    <x v="2"/>
    <s v="LA PAZ"/>
    <s v="A 3"/>
    <x v="8"/>
    <n v="25540.720000000001"/>
    <n v="12582.21"/>
    <n v="24333.349999999991"/>
    <n v="12627.799999999996"/>
    <n v="16975"/>
    <n v="9127"/>
    <n v="24049.201169999986"/>
    <n v="12813.414383375994"/>
    <n v="19184.140000000014"/>
    <n v="10257.250000000013"/>
    <n v="42122.539999999994"/>
    <n v="22521.803083953731"/>
    <n v="46334.793999999987"/>
    <n v="24396.000551443165"/>
    <n v="0"/>
    <n v="0"/>
    <n v="0.75042755255137716"/>
    <n v="0.73402265963913615"/>
    <n v="0.88038921734307618"/>
    <n v="0.8"/>
    <n v="0.8"/>
    <n v="0.85"/>
    <n v="0"/>
    <n v="19166.46000000001"/>
    <n v="17861.230284929967"/>
    <n v="16889.510000000013"/>
    <n v="19239.36093599999"/>
    <n v="33698.031999999999"/>
    <n v="39384.574899999985"/>
    <n v="0"/>
  </r>
  <r>
    <x v="0"/>
    <s v="MEGACENTER FP"/>
    <n v="208"/>
    <x v="2"/>
    <x v="0"/>
    <x v="2"/>
    <s v="LA PAZ"/>
    <s v="A 3"/>
    <x v="9"/>
    <n v="32106.789999999994"/>
    <n v="16995.219999999994"/>
    <n v="30566.729999999996"/>
    <n v="16698.549999999992"/>
    <n v="17161"/>
    <n v="9171"/>
    <n v="34071.165648000024"/>
    <n v="18633.520492891214"/>
    <n v="0"/>
    <n v="0"/>
    <n v="49191.400000000023"/>
    <n v="26902.776660000014"/>
    <n v="54602.45400000002"/>
    <n v="28988.485412018978"/>
    <n v="0"/>
    <n v="0"/>
    <n v="0.88022502405254477"/>
    <n v="0.867136250788481"/>
    <n v="0"/>
    <n v="0.9"/>
    <n v="0.9"/>
    <n v="0.88"/>
    <n v="0"/>
    <n v="28261.199999999997"/>
    <n v="26505.519651063783"/>
    <n v="0"/>
    <n v="30664.049083200021"/>
    <n v="44272.260000000024"/>
    <n v="48050.159520000016"/>
    <n v="0"/>
  </r>
  <r>
    <x v="0"/>
    <s v="MEGACENTER FP"/>
    <n v="208"/>
    <x v="2"/>
    <x v="0"/>
    <x v="2"/>
    <s v="LA PAZ"/>
    <s v="A 3"/>
    <x v="10"/>
    <n v="46448.239999999991"/>
    <n v="22811.679999999989"/>
    <n v="49851.829999999987"/>
    <n v="26317.479999999989"/>
    <n v="26886"/>
    <n v="12997"/>
    <n v="56926.553970000168"/>
    <n v="27169.905678801682"/>
    <n v="124150.83333333334"/>
    <n v="52700.22312112341"/>
    <n v="75858.820000000123"/>
    <n v="36205.897609600062"/>
    <n v="83444.702000000136"/>
    <n v="40885.749796691998"/>
    <n v="0"/>
    <n v="0"/>
    <n v="0.56825899108340816"/>
    <n v="0.64789251830414329"/>
    <n v="0.4873464158465462"/>
    <n v="0.48"/>
    <n v="0.48"/>
    <n v="0.6"/>
    <n v="0"/>
    <n v="26394.629999999997"/>
    <n v="32298.627680770031"/>
    <n v="60504.463649361918"/>
    <n v="27324.745905600081"/>
    <n v="36412.233600000058"/>
    <n v="50066.821200000079"/>
    <n v="0"/>
  </r>
  <r>
    <x v="0"/>
    <s v="MEGACENTER FP"/>
    <n v="208"/>
    <x v="2"/>
    <x v="0"/>
    <x v="2"/>
    <s v="LA PAZ"/>
    <s v="A 3"/>
    <x v="11"/>
    <n v="90541.599999999977"/>
    <n v="43222.909999999996"/>
    <n v="81150.869999999981"/>
    <n v="43620.319999999992"/>
    <n v="50846"/>
    <n v="27924"/>
    <n v="92884.869550000265"/>
    <n v="49117.519018040148"/>
    <n v="124245.83333333333"/>
    <n v="61113.542975215925"/>
    <n v="129338.53000000023"/>
    <n v="68394.21466400013"/>
    <n v="143565.76830000023"/>
    <n v="75589.643554154303"/>
    <n v="0"/>
    <n v="0"/>
    <n v="0.55516083214787493"/>
    <n v="0.8064963555735547"/>
    <n v="0.61815525883153088"/>
    <n v="0.79999999999999993"/>
    <n v="0.79999999999999993"/>
    <n v="0.85000000000000009"/>
    <n v="0"/>
    <n v="50265.150000000016"/>
    <n v="65447.880906623301"/>
    <n v="76803.215262905913"/>
    <n v="74307.895640000206"/>
    <n v="103470.82400000018"/>
    <n v="122030.90305500021"/>
    <n v="0"/>
  </r>
  <r>
    <x v="0"/>
    <s v="MONTERO"/>
    <n v="410"/>
    <x v="0"/>
    <x v="2"/>
    <x v="0"/>
    <s v="SANTA CRUZ"/>
    <s v="B 2"/>
    <x v="0"/>
    <n v="24307.919999999998"/>
    <n v="11991.509999999998"/>
    <n v="23138.739999999998"/>
    <n v="10960.05"/>
    <n v="24210.842066666657"/>
    <n v="11146.681565999997"/>
    <n v="17504.01999999999"/>
    <n v="8303.9306603915757"/>
    <n v="17504.01999999999"/>
    <n v="8352.9099999999853"/>
    <n v="24210.842066666657"/>
    <n v="11553.402293134968"/>
    <n v="25905.601011333318"/>
    <n v="12470.216122207743"/>
    <n v="16955.028735632182"/>
    <n v="9482.7115155401516"/>
    <n v="0.69301569200491042"/>
    <n v="0.566118984871259"/>
    <n v="0.61902203208653883"/>
    <n v="0.61902203208653861"/>
    <n v="0.61902203208653861"/>
    <n v="0.7"/>
    <n v="0.96333268365435942"/>
    <n v="16845.77"/>
    <n v="13099.279999999995"/>
    <n v="10835.374030083411"/>
    <n v="10835.374030083407"/>
    <n v="14987.044654634246"/>
    <n v="18133.920707933321"/>
    <n v="16333.33333333333"/>
  </r>
  <r>
    <x v="0"/>
    <s v="MONTERO"/>
    <n v="410"/>
    <x v="0"/>
    <x v="2"/>
    <x v="0"/>
    <s v="SANTA CRUZ"/>
    <s v="B 2"/>
    <x v="1"/>
    <n v="51470.17"/>
    <n v="18431.969999999998"/>
    <n v="18712.560000000001"/>
    <n v="8231.1500000000015"/>
    <n v="43680.615599999976"/>
    <n v="17250.89284199999"/>
    <n v="36209.859999999986"/>
    <n v="13007.708569360124"/>
    <n v="36209.859999999986"/>
    <n v="13013.149999999987"/>
    <n v="43680.615599999976"/>
    <n v="15698.000569323918"/>
    <n v="45427.840223999985"/>
    <n v="18336.966127852349"/>
    <n v="29115.660919540253"/>
    <n v="12668.905468268804"/>
    <n v="0.26119323095299757"/>
    <n v="0.42781405224270919"/>
    <n v="0.16469301084335408"/>
    <n v="0.16469301084335392"/>
    <n v="0.16469301084335392"/>
    <n v="0.39"/>
    <n v="0.31503861432554447"/>
    <n v="13443.660000000047"/>
    <n v="8005.4961214348305"/>
    <n v="5963.5108656163311"/>
    <n v="5963.5108656163247"/>
    <n v="7193.8920986551702"/>
    <n v="17716.857687359996"/>
    <n v="9172.5574712643684"/>
  </r>
  <r>
    <x v="0"/>
    <s v="MONTERO"/>
    <n v="410"/>
    <x v="0"/>
    <x v="2"/>
    <x v="0"/>
    <s v="SANTA CRUZ"/>
    <s v="B 2"/>
    <x v="2"/>
    <n v="37420.719999999994"/>
    <n v="16809.98"/>
    <n v="49498.53"/>
    <n v="19246.470000000008"/>
    <n v="27305.212920000005"/>
    <n v="11144.459254700003"/>
    <n v="25026.01"/>
    <n v="10571.308201852798"/>
    <n v="25026.009999999995"/>
    <n v="10663.619999999995"/>
    <n v="25026.010000000006"/>
    <n v="10663.62"/>
    <n v="26027.050400000007"/>
    <n v="12398.172004524306"/>
    <n v="20877.219896154274"/>
    <n v="10438.609948077137"/>
    <n v="0.47667735949495416"/>
    <n v="0.24442764464135766"/>
    <n v="0.45705289441166497"/>
    <n v="0.45705289441166436"/>
    <n v="0.45705289441166436"/>
    <n v="0.68"/>
    <n v="0.733091497145685"/>
    <n v="17837.610000000019"/>
    <n v="12098.80910110958"/>
    <n v="11438.210306075269"/>
    <n v="11438.210306075256"/>
    <n v="11438.21030607526"/>
    <n v="17698.394272000005"/>
    <n v="15304.91238991142"/>
  </r>
  <r>
    <x v="0"/>
    <s v="MONTERO"/>
    <n v="410"/>
    <x v="0"/>
    <x v="2"/>
    <x v="0"/>
    <s v="SANTA CRUZ"/>
    <s v="B 2"/>
    <x v="3"/>
    <n v="28843.199999999997"/>
    <n v="15342.21"/>
    <n v="21342.340000000004"/>
    <n v="10073.84"/>
    <n v="23194.17132999999"/>
    <n v="10897.188420049995"/>
    <n v="26084.290000000015"/>
    <n v="11912.011735938308"/>
    <n v="26084.290000000015"/>
    <n v="11909.670000000018"/>
    <n v="26084.290000000008"/>
    <n v="11909.670000000016"/>
    <n v="27910.190300000006"/>
    <n v="13435.16812833955"/>
    <n v="0"/>
    <n v="0"/>
    <n v="0.77588859765906704"/>
    <n v="0.56874058385043147"/>
    <n v="0.64050849796462839"/>
    <n v="0.64050849796462828"/>
    <n v="0.64050849796462828"/>
    <n v="0.7"/>
    <n v="0"/>
    <n v="22379.11"/>
    <n v="12138.25491233442"/>
    <n v="16707.209408373787"/>
    <n v="16707.209408373783"/>
    <n v="16707.209408373779"/>
    <n v="19537.133210000004"/>
    <n v="0"/>
  </r>
  <r>
    <x v="0"/>
    <s v="MONTERO"/>
    <n v="410"/>
    <x v="0"/>
    <x v="2"/>
    <x v="0"/>
    <s v="SANTA CRUZ"/>
    <s v="B 2"/>
    <x v="4"/>
    <n v="27704.01"/>
    <n v="14529.16"/>
    <n v="20195.96"/>
    <n v="9488.1200000000008"/>
    <n v="25464.042549999987"/>
    <n v="10939.886576749996"/>
    <n v="26868.729999999989"/>
    <n v="12937.24474282031"/>
    <n v="26868.729999999992"/>
    <n v="12935.009999999998"/>
    <n v="26868.729999999992"/>
    <n v="12935.009999999998"/>
    <n v="28749.541099999988"/>
    <n v="13839.207620562436"/>
    <n v="0"/>
    <n v="0"/>
    <n v="0.75697380992859886"/>
    <n v="0.55941435811914864"/>
    <n v="0.69030039027962631"/>
    <n v="0.69030039027962609"/>
    <n v="0.69030039027962609"/>
    <n v="0.7"/>
    <n v="0"/>
    <n v="20971.21"/>
    <n v="11297.91"/>
    <n v="18547.4948053179"/>
    <n v="18547.494805317889"/>
    <n v="18547.494805317892"/>
    <n v="20124.678769999991"/>
    <n v="0"/>
  </r>
  <r>
    <x v="0"/>
    <s v="MONTERO"/>
    <n v="410"/>
    <x v="0"/>
    <x v="2"/>
    <x v="0"/>
    <s v="SANTA CRUZ"/>
    <s v="B 2"/>
    <x v="5"/>
    <n v="24066.039999999997"/>
    <n v="12256.949999999997"/>
    <n v="19248.259999999998"/>
    <n v="9562.01"/>
    <n v="22228.425999999985"/>
    <n v="10821.210369999993"/>
    <n v="23241.999999999989"/>
    <n v="11627.13000000001"/>
    <n v="23242"/>
    <n v="11627.130000000005"/>
    <n v="23242"/>
    <n v="11627.130000000005"/>
    <n v="24868.939999999995"/>
    <n v="11971.197132023444"/>
    <n v="0"/>
    <n v="0"/>
    <n v="0.66609836932041988"/>
    <n v="0.6462802352004805"/>
    <n v="0.74875096807503694"/>
    <n v="0.74875096807503683"/>
    <n v="0.74875096807503683"/>
    <n v="0.70000000000000007"/>
    <n v="0"/>
    <n v="16030.349999999997"/>
    <n v="12439.77"/>
    <n v="17402.470000000008"/>
    <n v="17402.469999999998"/>
    <n v="17402.470000000005"/>
    <n v="17408.257999999998"/>
    <n v="0"/>
  </r>
  <r>
    <x v="0"/>
    <s v="MONTERO"/>
    <n v="410"/>
    <x v="0"/>
    <x v="2"/>
    <x v="0"/>
    <s v="SANTA CRUZ"/>
    <s v="B 2"/>
    <x v="6"/>
    <n v="22128.62"/>
    <n v="11666.049999999997"/>
    <n v="24011.800000000003"/>
    <n v="11649.730000000003"/>
    <n v="23600.143399999994"/>
    <n v="11442.270962499995"/>
    <n v="20775.199999999993"/>
    <n v="10513.010000000006"/>
    <n v="20775.199999999993"/>
    <n v="10513.009999999998"/>
    <n v="20775.199999999993"/>
    <n v="10513.009999999998"/>
    <n v="22437.215999999989"/>
    <n v="10800.634680440358"/>
    <n v="0"/>
    <n v="0"/>
    <n v="0.76862859048598597"/>
    <n v="0.5965277316443699"/>
    <n v="0.7879986714929339"/>
    <n v="0.7879986714929339"/>
    <n v="0.7879986714929339"/>
    <n v="0.7"/>
    <n v="0"/>
    <n v="17008.689999999999"/>
    <n v="14323.704586698283"/>
    <n v="16370.829999999994"/>
    <n v="16370.829999999994"/>
    <n v="16370.829999999994"/>
    <n v="15706.051199999991"/>
    <n v="0"/>
  </r>
  <r>
    <x v="0"/>
    <s v="MONTERO"/>
    <n v="410"/>
    <x v="0"/>
    <x v="2"/>
    <x v="0"/>
    <s v="SANTA CRUZ"/>
    <s v="B 2"/>
    <x v="7"/>
    <n v="92608.53"/>
    <n v="32593.780000000002"/>
    <n v="55937.409999999996"/>
    <n v="20184.599999999999"/>
    <n v="59565.252400000005"/>
    <n v="21657.731342500003"/>
    <n v="40331.689408246937"/>
    <n v="15418.804860772805"/>
    <n v="56737.55000000001"/>
    <n v="22229.969999999965"/>
    <n v="56737.549999999974"/>
    <n v="21690.765364999992"/>
    <n v="59574.427499999976"/>
    <n v="24047.24181838963"/>
    <n v="0"/>
    <n v="0"/>
    <n v="0.14869299836634925"/>
    <n v="0.16025462396527551"/>
    <n v="0.2644271738910125"/>
    <n v="0.22"/>
    <n v="0.22"/>
    <n v="0.39"/>
    <n v="0"/>
    <n v="13770.240000000005"/>
    <n v="8964.2286051414412"/>
    <n v="15002.950000000019"/>
    <n v="8872.9716698143257"/>
    <n v="12482.260999999995"/>
    <n v="23234.026724999992"/>
    <n v="0"/>
  </r>
  <r>
    <x v="0"/>
    <s v="MONTERO"/>
    <n v="410"/>
    <x v="0"/>
    <x v="2"/>
    <x v="0"/>
    <s v="SANTA CRUZ"/>
    <s v="B 2"/>
    <x v="8"/>
    <n v="19051.150000000001"/>
    <n v="9276.260000000002"/>
    <n v="24024.759999999995"/>
    <n v="10226.769999999997"/>
    <n v="22756.965459999996"/>
    <n v="10574.387586699999"/>
    <n v="22754.689763453996"/>
    <n v="10831.232327404105"/>
    <n v="16562.590000000004"/>
    <n v="8221.2300000000014"/>
    <n v="16562.590000000004"/>
    <n v="8221.2300000000014"/>
    <n v="19046.978500000008"/>
    <n v="9073.1647259374568"/>
    <n v="0"/>
    <n v="0"/>
    <n v="0.57423305154806958"/>
    <n v="0.41497344083146281"/>
    <n v="0.75488918097954472"/>
    <n v="0.65"/>
    <n v="0.65"/>
    <n v="0.68"/>
    <n v="0"/>
    <n v="10939.800000000007"/>
    <n v="9969.6373223500923"/>
    <n v="12502.92"/>
    <n v="14790.548346245097"/>
    <n v="10765.683500000003"/>
    <n v="12951.945380000006"/>
    <n v="0"/>
  </r>
  <r>
    <x v="0"/>
    <s v="MONTERO"/>
    <n v="410"/>
    <x v="0"/>
    <x v="2"/>
    <x v="0"/>
    <s v="SANTA CRUZ"/>
    <s v="B 2"/>
    <x v="9"/>
    <n v="13135.77"/>
    <n v="6775.27"/>
    <n v="17290.660000000003"/>
    <n v="7751.9900000000007"/>
    <n v="23594.088114999988"/>
    <n v="10684.543018424994"/>
    <n v="23591.728706188489"/>
    <n v="11548.151201679266"/>
    <n v="12868.570000000005"/>
    <n v="6548.8400000000038"/>
    <n v="23591.728706188489"/>
    <n v="11548.151201679266"/>
    <n v="25243.149715621683"/>
    <n v="12151.330996773031"/>
    <n v="0"/>
    <n v="0"/>
    <n v="0.69259662737700201"/>
    <n v="0.51162824322495537"/>
    <n v="0.68889006315387058"/>
    <n v="0.7"/>
    <n v="0.7"/>
    <n v="0.7"/>
    <n v="0"/>
    <n v="9097.7900000000027"/>
    <n v="8846.3900000000085"/>
    <n v="8865.0300000000079"/>
    <n v="16514.210094331942"/>
    <n v="16514.210094331942"/>
    <n v="17670.204800935178"/>
    <n v="0"/>
  </r>
  <r>
    <x v="0"/>
    <s v="MONTERO"/>
    <n v="410"/>
    <x v="0"/>
    <x v="2"/>
    <x v="0"/>
    <s v="SANTA CRUZ"/>
    <s v="B 2"/>
    <x v="10"/>
    <n v="16164.029999999999"/>
    <n v="7500.6999999999989"/>
    <n v="14330.63"/>
    <n v="6306.79"/>
    <n v="27368.282924999989"/>
    <n v="11520.902119874996"/>
    <n v="27089.126439164989"/>
    <n v="11120.08640327723"/>
    <n v="14456.17816091954"/>
    <n v="5803.4818430617343"/>
    <n v="27089.126439164989"/>
    <n v="11120.08640327723"/>
    <n v="28985.365289906546"/>
    <n v="12644.665373278545"/>
    <n v="0"/>
    <n v="0"/>
    <n v="0.41803745724302649"/>
    <n v="0.44906399788425244"/>
    <n v="0.2644271738910125"/>
    <n v="0.34999999999999992"/>
    <n v="0.34999999999999992"/>
    <n v="0.52"/>
    <n v="0"/>
    <n v="6757.1699999999973"/>
    <n v="6435.3700000000044"/>
    <n v="3822.6063363569288"/>
    <n v="9481.1942537077448"/>
    <n v="9481.1942537077448"/>
    <n v="15072.389950751403"/>
    <n v="0"/>
  </r>
  <r>
    <x v="0"/>
    <s v="MONTERO"/>
    <n v="410"/>
    <x v="0"/>
    <x v="2"/>
    <x v="0"/>
    <s v="SANTA CRUZ"/>
    <s v="B 2"/>
    <x v="11"/>
    <n v="50033.38"/>
    <n v="24400.569999999989"/>
    <n v="44290.23"/>
    <n v="22065.5"/>
    <n v="45801.140999999981"/>
    <n v="22050.98739749999"/>
    <n v="45333.96936179998"/>
    <n v="21397.633538769594"/>
    <n v="53000.229885057473"/>
    <n v="25764.240464356815"/>
    <n v="45333.96936179998"/>
    <n v="21397.633538769594"/>
    <n v="48507.347217125978"/>
    <n v="23106.822518817233"/>
    <n v="0"/>
    <n v="0"/>
    <n v="0.4773391283978814"/>
    <n v="0.6560817137323518"/>
    <n v="0.45705289441166497"/>
    <n v="0.6"/>
    <n v="0.6"/>
    <n v="0.68"/>
    <n v="0"/>
    <n v="23882.889999999989"/>
    <n v="29058.01000000002"/>
    <n v="24223.908473449144"/>
    <n v="27200.381617079987"/>
    <n v="27200.381617079987"/>
    <n v="32984.996107645668"/>
    <n v="0"/>
  </r>
  <r>
    <x v="0"/>
    <s v="MUTUALISTA"/>
    <s v="FP-MUT"/>
    <x v="3"/>
    <x v="3"/>
    <x v="3"/>
    <s v="SANTA CRUZ"/>
    <s v="B 2"/>
    <x v="5"/>
    <n v="0"/>
    <n v="0"/>
    <n v="0"/>
    <n v="0"/>
    <n v="0"/>
    <n v="0"/>
    <n v="0"/>
    <n v="0"/>
    <n v="0"/>
    <n v="0"/>
    <n v="0"/>
    <n v="0"/>
    <n v="36870.561000000009"/>
    <n v="18288.931483717875"/>
    <n v="0"/>
    <n v="0"/>
    <n v="0"/>
    <n v="0"/>
    <n v="0"/>
    <n v="0"/>
    <n v="0"/>
    <n v="0.7"/>
    <n v="0"/>
    <n v="0"/>
    <n v="0"/>
    <n v="0"/>
    <n v="0"/>
    <n v="0"/>
    <n v="25809.392700000004"/>
    <n v="0"/>
  </r>
  <r>
    <x v="0"/>
    <s v="MUTUALISTA"/>
    <s v="FP-MUT"/>
    <x v="3"/>
    <x v="3"/>
    <x v="3"/>
    <s v="SANTA CRUZ"/>
    <s v="B 2"/>
    <x v="6"/>
    <n v="0"/>
    <n v="0"/>
    <n v="0"/>
    <n v="0"/>
    <n v="0"/>
    <n v="0"/>
    <n v="0"/>
    <n v="0"/>
    <n v="0"/>
    <n v="0"/>
    <n v="0"/>
    <n v="0"/>
    <n v="38314.874000000018"/>
    <n v="19005.355123109835"/>
    <n v="0"/>
    <n v="0"/>
    <n v="0"/>
    <n v="0"/>
    <n v="0"/>
    <n v="0"/>
    <n v="0"/>
    <n v="0.70000000000000007"/>
    <n v="0"/>
    <n v="0"/>
    <n v="0"/>
    <n v="0"/>
    <n v="0"/>
    <n v="0"/>
    <n v="26820.411800000016"/>
    <n v="0"/>
  </r>
  <r>
    <x v="0"/>
    <s v="MUTUALISTA"/>
    <s v="FP-MUT"/>
    <x v="3"/>
    <x v="3"/>
    <x v="3"/>
    <s v="SANTA CRUZ"/>
    <s v="B 2"/>
    <x v="7"/>
    <n v="0"/>
    <n v="0"/>
    <n v="0"/>
    <n v="0"/>
    <n v="0"/>
    <n v="0"/>
    <n v="0"/>
    <n v="0"/>
    <n v="0"/>
    <n v="0"/>
    <n v="0"/>
    <n v="0"/>
    <n v="101052.35478000029"/>
    <n v="43943.745300056689"/>
    <n v="0"/>
    <n v="0"/>
    <n v="0"/>
    <n v="0"/>
    <n v="0"/>
    <n v="0"/>
    <n v="0"/>
    <n v="0.39"/>
    <n v="0"/>
    <n v="0"/>
    <n v="0"/>
    <n v="0"/>
    <n v="0"/>
    <n v="0"/>
    <n v="39410.418364200115"/>
    <n v="0"/>
  </r>
  <r>
    <x v="0"/>
    <s v="MUTUALISTA"/>
    <s v="FP-MUT"/>
    <x v="3"/>
    <x v="3"/>
    <x v="3"/>
    <s v="SANTA CRUZ"/>
    <s v="B 2"/>
    <x v="8"/>
    <n v="0"/>
    <n v="0"/>
    <n v="0"/>
    <n v="0"/>
    <n v="0"/>
    <n v="0"/>
    <n v="0"/>
    <n v="0"/>
    <n v="0"/>
    <n v="0"/>
    <n v="0"/>
    <n v="0"/>
    <n v="39503.295000000013"/>
    <n v="19438.951732940171"/>
    <n v="0"/>
    <n v="0"/>
    <n v="0"/>
    <n v="0"/>
    <n v="0"/>
    <n v="0"/>
    <n v="0"/>
    <n v="0.68"/>
    <n v="0"/>
    <n v="0"/>
    <n v="0"/>
    <n v="0"/>
    <n v="0"/>
    <n v="0"/>
    <n v="26862.240600000012"/>
    <n v="0"/>
  </r>
  <r>
    <x v="0"/>
    <s v="MUTUALISTA"/>
    <s v="FP-MUT"/>
    <x v="3"/>
    <x v="3"/>
    <x v="3"/>
    <s v="SANTA CRUZ"/>
    <s v="B 2"/>
    <x v="9"/>
    <n v="0"/>
    <n v="0"/>
    <n v="0"/>
    <n v="0"/>
    <n v="0"/>
    <n v="0"/>
    <n v="0"/>
    <n v="0"/>
    <n v="0"/>
    <n v="0"/>
    <n v="0"/>
    <n v="0"/>
    <n v="32077.421999999991"/>
    <n v="15911.387221157394"/>
    <n v="0"/>
    <n v="0"/>
    <n v="0"/>
    <n v="0"/>
    <n v="0"/>
    <n v="0"/>
    <n v="0"/>
    <n v="0.7"/>
    <n v="0"/>
    <n v="0"/>
    <n v="0"/>
    <n v="0"/>
    <n v="0"/>
    <n v="0"/>
    <n v="22454.195399999993"/>
    <n v="0"/>
  </r>
  <r>
    <x v="0"/>
    <s v="MUTUALISTA"/>
    <s v="FP-MUT"/>
    <x v="3"/>
    <x v="3"/>
    <x v="3"/>
    <s v="SANTA CRUZ"/>
    <s v="B 2"/>
    <x v="10"/>
    <n v="0"/>
    <n v="0"/>
    <n v="0"/>
    <n v="0"/>
    <n v="0"/>
    <n v="0"/>
    <n v="0"/>
    <n v="0"/>
    <n v="0"/>
    <n v="0"/>
    <n v="0"/>
    <n v="0"/>
    <n v="50115.960076519994"/>
    <n v="23079.047293226184"/>
    <n v="0"/>
    <n v="0"/>
    <n v="0"/>
    <n v="0"/>
    <n v="0"/>
    <n v="0"/>
    <n v="0"/>
    <n v="0.52000000000000013"/>
    <n v="0"/>
    <n v="0"/>
    <n v="0"/>
    <n v="0"/>
    <n v="0"/>
    <n v="0"/>
    <n v="26060.299239790402"/>
    <n v="0"/>
  </r>
  <r>
    <x v="0"/>
    <s v="MUTUALISTA"/>
    <s v="FP-MUT"/>
    <x v="3"/>
    <x v="3"/>
    <x v="3"/>
    <s v="SANTA CRUZ"/>
    <s v="B 2"/>
    <x v="11"/>
    <n v="0"/>
    <n v="0"/>
    <n v="0"/>
    <n v="0"/>
    <n v="0"/>
    <n v="0"/>
    <n v="0"/>
    <n v="0"/>
    <n v="0"/>
    <n v="0"/>
    <n v="0"/>
    <n v="0"/>
    <n v="93821.371986615064"/>
    <n v="46168.025263868112"/>
    <n v="0"/>
    <n v="0"/>
    <n v="0"/>
    <n v="0"/>
    <n v="0"/>
    <n v="0"/>
    <n v="0"/>
    <n v="0.67999999999999994"/>
    <n v="0"/>
    <n v="0"/>
    <n v="0"/>
    <n v="0"/>
    <n v="0"/>
    <n v="0"/>
    <n v="63798.53295089824"/>
    <n v="0"/>
  </r>
  <r>
    <x v="0"/>
    <s v="ORURO FP"/>
    <n v="190"/>
    <x v="0"/>
    <x v="2"/>
    <x v="0"/>
    <s v="LA PAZ"/>
    <s v="B 1"/>
    <x v="0"/>
    <n v="0"/>
    <n v="0"/>
    <n v="51777.02"/>
    <n v="26070.609999999993"/>
    <n v="57943.283349999983"/>
    <n v="29292.111715999996"/>
    <n v="54494.250000000022"/>
    <n v="26426.289603105884"/>
    <n v="54494.250000000015"/>
    <n v="26560.049999999996"/>
    <n v="57943.283349999983"/>
    <n v="28241.080534921875"/>
    <n v="61419.880351"/>
    <n v="32737.554585460646"/>
    <n v="39394.10919540238"/>
    <n v="22179.972753562237"/>
    <n v="0"/>
    <n v="0.6939440936478305"/>
    <n v="0.65204160995527927"/>
    <n v="0.65204160995527904"/>
    <n v="0.65204160995527904"/>
    <n v="0.88"/>
    <n v="0.97836116754138658"/>
    <n v="0"/>
    <n v="35930.357215685588"/>
    <n v="35532.518503305488"/>
    <n v="35532.51850330548"/>
    <n v="37781.431761628904"/>
    <n v="54049.494708880004"/>
    <n v="38541.666666666744"/>
  </r>
  <r>
    <x v="0"/>
    <s v="ORURO FP"/>
    <n v="190"/>
    <x v="0"/>
    <x v="2"/>
    <x v="0"/>
    <s v="LA PAZ"/>
    <s v="B 1"/>
    <x v="1"/>
    <n v="0"/>
    <n v="0"/>
    <n v="62509.57"/>
    <n v="27685.34"/>
    <n v="92470.390800000052"/>
    <n v="39019.387322000024"/>
    <n v="83330.510000000082"/>
    <n v="35789.764453334436"/>
    <n v="83330.510000000068"/>
    <n v="35822.020000000062"/>
    <n v="95244.502524000054"/>
    <n v="40943.592860583522"/>
    <n v="100006.72765020008"/>
    <n v="44801.766774317883"/>
    <n v="67916.954022988619"/>
    <n v="32257.783568854742"/>
    <n v="0"/>
    <n v="0.48474789431157472"/>
    <n v="0.29747291188724084"/>
    <n v="0.29747291188724073"/>
    <n v="0.29747291188724073"/>
    <n v="0.39999999999999997"/>
    <n v="0.46232087023113944"/>
    <n v="0"/>
    <n v="30301.382431821981"/>
    <n v="24788.569458748862"/>
    <n v="24788.569458748858"/>
    <n v="28332.659507065946"/>
    <n v="40002.691060080026"/>
    <n v="31399.425287356386"/>
  </r>
  <r>
    <x v="0"/>
    <s v="ORURO FP"/>
    <n v="190"/>
    <x v="0"/>
    <x v="2"/>
    <x v="0"/>
    <s v="LA PAZ"/>
    <s v="B 1"/>
    <x v="2"/>
    <n v="0"/>
    <n v="0"/>
    <n v="91716.42"/>
    <n v="38132.320000000007"/>
    <n v="64310.563175000003"/>
    <n v="29291.885501625002"/>
    <n v="71233.46000000005"/>
    <n v="34535.651643767735"/>
    <n v="71233.460000000021"/>
    <n v="34549.340000000033"/>
    <n v="71233.460000000181"/>
    <n v="34549.340000000113"/>
    <n v="75507.467600000193"/>
    <n v="39845.161985185245"/>
    <n v="72821.759116956368"/>
    <n v="37648.849463466446"/>
    <n v="0"/>
    <n v="0.40852305092464497"/>
    <n v="0.56279629533464315"/>
    <n v="0.56279629533464237"/>
    <n v="0.56279629533464237"/>
    <n v="0.85000000000000009"/>
    <n v="0.77338740309107468"/>
    <n v="0"/>
    <n v="37468.271718286123"/>
    <n v="40089.927391868499"/>
    <n v="40089.927391868463"/>
    <n v="40089.927391868536"/>
    <n v="64181.347460000172"/>
    <n v="56319.431171986675"/>
  </r>
  <r>
    <x v="0"/>
    <s v="ORURO FP"/>
    <n v="190"/>
    <x v="0"/>
    <x v="2"/>
    <x v="0"/>
    <s v="LA PAZ"/>
    <s v="B 1"/>
    <x v="3"/>
    <n v="0"/>
    <n v="0"/>
    <n v="56678.2"/>
    <n v="28461.039999999997"/>
    <n v="58756.714325000001"/>
    <n v="29607.526675375"/>
    <n v="64874.380000000041"/>
    <n v="33154.543892488669"/>
    <n v="64874.380000000048"/>
    <n v="32924.120000000061"/>
    <n v="64874.380000000019"/>
    <n v="32924.120000000046"/>
    <n v="69415.586600000024"/>
    <n v="36999.36474008896"/>
    <n v="0"/>
    <n v="0"/>
    <n v="0"/>
    <n v="0.66508578153848286"/>
    <n v="0.70830743898025295"/>
    <n v="0.70830743898025361"/>
    <n v="0.70830743898025361"/>
    <n v="0.88"/>
    <n v="0"/>
    <n v="0"/>
    <n v="37695.864943194436"/>
    <n v="45951.005953231775"/>
    <n v="45951.005953231812"/>
    <n v="45951.005953231797"/>
    <n v="61085.71620800002"/>
    <n v="0"/>
  </r>
  <r>
    <x v="0"/>
    <s v="ORURO FP"/>
    <n v="190"/>
    <x v="0"/>
    <x v="2"/>
    <x v="0"/>
    <s v="LA PAZ"/>
    <s v="B 1"/>
    <x v="4"/>
    <n v="59219.719999999987"/>
    <n v="28642.009999999995"/>
    <n v="61241.939999999988"/>
    <n v="31065.76999999999"/>
    <n v="63696.041900000033"/>
    <n v="30884.18948600001"/>
    <n v="63097.089999999953"/>
    <n v="33481.883484706334"/>
    <n v="63097.08999999996"/>
    <n v="32694.199999999932"/>
    <n v="63097.08999999996"/>
    <n v="32694.199999999928"/>
    <n v="67513.88629999994"/>
    <n v="35985.734999675027"/>
    <n v="0"/>
    <n v="0"/>
    <n v="0.32337353165465915"/>
    <n v="0.69894045471841293"/>
    <n v="0.78490211546685218"/>
    <n v="0.7849021154668524"/>
    <n v="0.7849021154668524"/>
    <n v="0.87999999999999989"/>
    <n v="0"/>
    <n v="19150.090000000047"/>
    <n v="42804.469391437749"/>
    <n v="49525.039420802335"/>
    <n v="49525.039420802343"/>
    <n v="49525.03942080235"/>
    <n v="59412.219943999939"/>
    <n v="0"/>
  </r>
  <r>
    <x v="0"/>
    <s v="ORURO FP"/>
    <n v="190"/>
    <x v="0"/>
    <x v="2"/>
    <x v="0"/>
    <s v="LA PAZ"/>
    <s v="B 1"/>
    <x v="5"/>
    <n v="55780.59"/>
    <n v="29201.389999999992"/>
    <n v="38703.099999999991"/>
    <n v="19732.289999999997"/>
    <n v="53018.528399999988"/>
    <n v="27691.350029999994"/>
    <n v="55492.849999999991"/>
    <n v="29503.239999999987"/>
    <n v="55492.849999999984"/>
    <n v="29503.239999999983"/>
    <n v="57157.635499999989"/>
    <n v="30388.337199999987"/>
    <n v="61158.669984999986"/>
    <n v="32598.326235187997"/>
    <n v="0"/>
    <n v="0"/>
    <n v="0.75522632514285071"/>
    <n v="0.70346321336083073"/>
    <n v="0.80830359226458959"/>
    <n v="0.80830359226458959"/>
    <n v="0.80830359226458959"/>
    <n v="0.88"/>
    <n v="0"/>
    <n v="42126.970000000045"/>
    <n v="27226.207093025561"/>
    <n v="44855.070000000014"/>
    <n v="44855.070000000022"/>
    <n v="46200.722100000021"/>
    <n v="53819.629586799987"/>
    <n v="0"/>
  </r>
  <r>
    <x v="0"/>
    <s v="ORURO FP"/>
    <n v="190"/>
    <x v="0"/>
    <x v="2"/>
    <x v="0"/>
    <s v="LA PAZ"/>
    <s v="B 1"/>
    <x v="6"/>
    <n v="54146.939999999995"/>
    <n v="28216.53999999999"/>
    <n v="49458.13"/>
    <n v="25267.299999999996"/>
    <n v="56651.818699999982"/>
    <n v="29555.572357999994"/>
    <n v="49991.019999999982"/>
    <n v="26683.930000000022"/>
    <n v="49991.019999999968"/>
    <n v="26683.929999999949"/>
    <n v="51490.750599999999"/>
    <n v="27484.447899999966"/>
    <n v="57669.640672000016"/>
    <n v="30738.630531909901"/>
    <n v="0"/>
    <n v="0"/>
    <n v="0.76155254572095943"/>
    <n v="0.73401591270851496"/>
    <n v="0.82532522841102296"/>
    <n v="0.82532522841102296"/>
    <n v="0.82532522841102296"/>
    <n v="0.88"/>
    <n v="0"/>
    <n v="41235.740000000042"/>
    <n v="36303.054432806384"/>
    <n v="41258.849999999991"/>
    <n v="41258.850000000006"/>
    <n v="42496.615500000014"/>
    <n v="50749.283791360016"/>
    <n v="0"/>
  </r>
  <r>
    <x v="0"/>
    <s v="ORURO FP"/>
    <n v="190"/>
    <x v="0"/>
    <x v="2"/>
    <x v="0"/>
    <s v="LA PAZ"/>
    <s v="B 1"/>
    <x v="7"/>
    <n v="155179.47"/>
    <n v="57855.519999999982"/>
    <n v="101721.26999999999"/>
    <n v="41003.87999999999"/>
    <n v="106281.74318000011"/>
    <n v="44941.467058700051"/>
    <n v="88044.605329223152"/>
    <n v="37658.438591415324"/>
    <n v="138514.91000000015"/>
    <n v="60743.110000000248"/>
    <n v="138514.91000000018"/>
    <n v="59245.597305200077"/>
    <n v="146825.80460000018"/>
    <n v="65776.129353509721"/>
    <n v="0"/>
    <n v="0"/>
    <n v="0.26473289282403145"/>
    <n v="0.36083632065986693"/>
    <n v="0.38514359212304056"/>
    <n v="0.32"/>
    <n v="0.32"/>
    <n v="0.39999999999999997"/>
    <n v="0"/>
    <n v="41081.110000000008"/>
    <n v="36704.728799648896"/>
    <n v="53348.129999999728"/>
    <n v="28174.27370535141"/>
    <n v="44324.771200000061"/>
    <n v="58730.32184000007"/>
    <n v="0"/>
  </r>
  <r>
    <x v="0"/>
    <s v="ORURO FP"/>
    <n v="190"/>
    <x v="0"/>
    <x v="2"/>
    <x v="0"/>
    <s v="LA PAZ"/>
    <s v="B 1"/>
    <x v="8"/>
    <n v="41194.99"/>
    <n v="19996.569999999996"/>
    <n v="67563.039999999994"/>
    <n v="32017.149999999994"/>
    <n v="53441.805920000028"/>
    <n v="27607.589934300013"/>
    <n v="55328.301668976026"/>
    <n v="28034.850455670155"/>
    <n v="46876.219999999943"/>
    <n v="24875.46999999995"/>
    <n v="50626.317599999944"/>
    <n v="26865.50759999995"/>
    <n v="58726.528415999936"/>
    <n v="30989.888973088742"/>
    <n v="0"/>
    <n v="0"/>
    <n v="0.59204772230797964"/>
    <n v="0.59027941339739554"/>
    <n v="0.83360902393580361"/>
    <n v="0.7"/>
    <n v="0.7"/>
    <n v="0.85"/>
    <n v="0"/>
    <n v="24389.399999999998"/>
    <n v="39881.071618544767"/>
    <n v="39076.439999999951"/>
    <n v="38729.811168283217"/>
    <n v="35438.422319999961"/>
    <n v="49917.549153599946"/>
    <n v="0"/>
  </r>
  <r>
    <x v="0"/>
    <s v="ORURO FP"/>
    <n v="190"/>
    <x v="0"/>
    <x v="2"/>
    <x v="0"/>
    <s v="LA PAZ"/>
    <s v="B 1"/>
    <x v="9"/>
    <n v="27154.239999999998"/>
    <n v="13367.999999999998"/>
    <n v="61191.05999999999"/>
    <n v="30379.319999999989"/>
    <n v="56216.638900000005"/>
    <n v="28794.528464000003"/>
    <n v="54473.923094100006"/>
    <n v="28587.914839783687"/>
    <n v="62482.580000000038"/>
    <n v="32367.810000000049"/>
    <n v="63732.231600000006"/>
    <n v="33446.675143680004"/>
    <n v="68193.487812000007"/>
    <n v="36347.970996689633"/>
    <n v="0"/>
    <n v="0"/>
    <n v="0.59193334079687021"/>
    <n v="0.68290163016295846"/>
    <n v="0.66736824887832802"/>
    <n v="0.79999999999999993"/>
    <n v="0.79999999999999993"/>
    <n v="0.88"/>
    <n v="0"/>
    <n v="16073.500000000004"/>
    <n v="41787.474625399394"/>
    <n v="41698.890000000065"/>
    <n v="43579.13847528"/>
    <n v="50985.785280000004"/>
    <n v="60010.269274560007"/>
    <n v="0"/>
  </r>
  <r>
    <x v="0"/>
    <s v="ORURO FP"/>
    <n v="190"/>
    <x v="0"/>
    <x v="2"/>
    <x v="0"/>
    <s v="LA PAZ"/>
    <s v="B 1"/>
    <x v="10"/>
    <n v="67379.26999999999"/>
    <n v="30289.739999999998"/>
    <n v="74884.179999999993"/>
    <n v="36459.019999999975"/>
    <n v="83395.436500000142"/>
    <n v="37282.638392500055"/>
    <n v="85063.345230000152"/>
    <n v="40022.303930715076"/>
    <n v="97796.551724137913"/>
    <n v="41274.324166095677"/>
    <n v="97796.551724137957"/>
    <n v="46013.27758620691"/>
    <n v="105131.29310344832"/>
    <n v="50821.995314496322"/>
    <n v="0"/>
    <n v="0"/>
    <n v="0.39679058559108821"/>
    <n v="0.54259129412098295"/>
    <n v="0.38514359212304056"/>
    <n v="0.5"/>
    <n v="0.5"/>
    <n v="0.6"/>
    <n v="0"/>
    <n v="26735.460000000039"/>
    <n v="40631.504135388626"/>
    <n v="37665.715228281209"/>
    <n v="42531.672615000076"/>
    <n v="48898.275862068978"/>
    <n v="63078.775862068986"/>
    <n v="0"/>
  </r>
  <r>
    <x v="0"/>
    <s v="ORURO FP"/>
    <n v="190"/>
    <x v="0"/>
    <x v="2"/>
    <x v="0"/>
    <s v="LA PAZ"/>
    <s v="B 1"/>
    <x v="11"/>
    <n v="115318.93999999997"/>
    <n v="53507.359999999971"/>
    <n v="138236.94"/>
    <n v="70253.669999999984"/>
    <n v="141943.56290000008"/>
    <n v="74393.293429000027"/>
    <n v="144782.43415800008"/>
    <n v="72050.978358728738"/>
    <n v="138991.52298850578"/>
    <n v="69169.767764234814"/>
    <n v="152021.5558659001"/>
    <n v="75653.527276665176"/>
    <n v="163423.17255584255"/>
    <n v="86238.129678983038"/>
    <n v="0"/>
    <n v="0"/>
    <n v="0.37327554346233194"/>
    <n v="0.68749362154902938"/>
    <n v="0.56279629533464315"/>
    <n v="0.65"/>
    <n v="0.65"/>
    <n v="0.85000000000000009"/>
    <n v="0"/>
    <n v="43045.740000000042"/>
    <n v="95037.014512455877"/>
    <n v="78223.914220850944"/>
    <n v="94108.582202700054"/>
    <n v="98814.011312835064"/>
    <n v="138909.69667246618"/>
    <n v="0"/>
  </r>
  <r>
    <x v="0"/>
    <s v="PANDO"/>
    <n v="309"/>
    <x v="0"/>
    <x v="2"/>
    <x v="0"/>
    <s v="COCHABAMBA"/>
    <s v="A 1"/>
    <x v="0"/>
    <n v="179260.50999999995"/>
    <n v="90946.819999999963"/>
    <n v="167219.47"/>
    <n v="87021.209999999992"/>
    <n v="163822.40015000018"/>
    <n v="86070.347263000105"/>
    <n v="148019.7300000003"/>
    <n v="78136.468741004603"/>
    <n v="148019.73000000024"/>
    <n v="78439.60000000021"/>
    <n v="163822.40015000018"/>
    <n v="86813.856090711473"/>
    <n v="172013.52015750017"/>
    <n v="91580.241306111071"/>
    <n v="163063.79310344785"/>
    <n v="90256.022596199546"/>
    <n v="0.72871699405518975"/>
    <n v="0.81905021191683547"/>
    <n v="0.89137323416875547"/>
    <n v="0.8913732341687548"/>
    <n v="0.8913732341687548"/>
    <n v="0.9"/>
    <n v="0.97779234556675154"/>
    <n v="130630.18000000024"/>
    <n v="136961.14234012092"/>
    <n v="131940.82545088619"/>
    <n v="131940.82545088613"/>
    <n v="146026.90265099355"/>
    <n v="154812.16814175015"/>
    <n v="159442.52873563176"/>
  </r>
  <r>
    <x v="0"/>
    <s v="PANDO"/>
    <n v="309"/>
    <x v="0"/>
    <x v="2"/>
    <x v="0"/>
    <s v="COCHABAMBA"/>
    <s v="A 1"/>
    <x v="1"/>
    <n v="236405.92999999993"/>
    <n v="99311.419999999969"/>
    <n v="188631.09"/>
    <n v="89707.179999999978"/>
    <n v="250434.31080000033"/>
    <n v="113507.33636550016"/>
    <n v="208087.66000000032"/>
    <n v="93885.82476302961"/>
    <n v="208087.66000000029"/>
    <n v="94018.980000000316"/>
    <n v="260451.68323200036"/>
    <n v="117678.29767875628"/>
    <n v="273474.26739360037"/>
    <n v="125916.17094074091"/>
    <n v="229826.29310344908"/>
    <n v="106845.69180464941"/>
    <n v="0.44181218296850677"/>
    <n v="0.58191136064657212"/>
    <n v="0.35833343983248128"/>
    <n v="0.35833343983248162"/>
    <n v="0.35833343983248162"/>
    <n v="0.4"/>
    <n v="0.47814660122493796"/>
    <n v="104447.01999999997"/>
    <n v="109766.574242146"/>
    <n v="74564.766994491933"/>
    <n v="74564.766994492005"/>
    <n v="93328.547562682565"/>
    <n v="109389.70695744015"/>
    <n v="109890.66091954058"/>
  </r>
  <r>
    <x v="0"/>
    <s v="PANDO"/>
    <n v="309"/>
    <x v="0"/>
    <x v="2"/>
    <x v="0"/>
    <s v="COCHABAMBA"/>
    <s v="A 1"/>
    <x v="2"/>
    <n v="207166.60999999996"/>
    <n v="97997.999999999942"/>
    <n v="258667.21999999991"/>
    <n v="118497.06999999992"/>
    <n v="185582.02674000023"/>
    <n v="90802.660505700114"/>
    <n v="199569.04000000053"/>
    <n v="99981.759812413497"/>
    <n v="199569.04000000039"/>
    <n v="99787.610000000452"/>
    <n v="199569.03999999963"/>
    <n v="99787.610000000073"/>
    <n v="197573.34959999964"/>
    <n v="103766.39721722297"/>
    <n v="209530.80117200824"/>
    <n v="107908.36260358425"/>
    <n v="0.56689854605430867"/>
    <n v="0.4915818548538739"/>
    <n v="0.63749878531245363"/>
    <n v="0.63749878531245263"/>
    <n v="0.63749878531245263"/>
    <n v="0.85"/>
    <n v="0.7767367415523686"/>
    <n v="117442.44999999998"/>
    <n v="127156.11179749503"/>
    <n v="127225.02058597271"/>
    <n v="127225.02058597261"/>
    <n v="127225.02058597203"/>
    <n v="167937.34715999968"/>
    <n v="162750.27175720289"/>
  </r>
  <r>
    <x v="0"/>
    <s v="PANDO"/>
    <n v="309"/>
    <x v="0"/>
    <x v="2"/>
    <x v="0"/>
    <s v="COCHABAMBA"/>
    <s v="A 1"/>
    <x v="3"/>
    <n v="158359.98999999996"/>
    <n v="83587.149999999965"/>
    <n v="151188.6"/>
    <n v="81085.040000000008"/>
    <n v="153858.71743000028"/>
    <n v="83084.977764450174"/>
    <n v="159987.30000000031"/>
    <n v="87137.070990006963"/>
    <n v="159987.30000000022"/>
    <n v="86274.770000000179"/>
    <n v="163187.04600000047"/>
    <n v="88000.265400000309"/>
    <n v="177057.94491000051"/>
    <n v="93756.18647329486"/>
    <n v="0"/>
    <n v="0"/>
    <n v="0.81736087505436283"/>
    <n v="0.89330729655976338"/>
    <n v="0.89038837847626573"/>
    <n v="0.89038837847626473"/>
    <n v="0.89038837847626473"/>
    <n v="0.88"/>
    <n v="0"/>
    <n v="129437.26000000011"/>
    <n v="135057.87953665544"/>
    <n v="142450.83262379607"/>
    <n v="142450.83262379598"/>
    <n v="145299.84927627203"/>
    <n v="155810.99152080045"/>
    <n v="0"/>
  </r>
  <r>
    <x v="0"/>
    <s v="PANDO"/>
    <n v="309"/>
    <x v="0"/>
    <x v="2"/>
    <x v="0"/>
    <s v="COCHABAMBA"/>
    <s v="A 1"/>
    <x v="4"/>
    <n v="176204.02"/>
    <n v="93058.349999999977"/>
    <n v="144289.37"/>
    <n v="78192.799999999988"/>
    <n v="161902.19953000025"/>
    <n v="84517.402038350134"/>
    <n v="171080.75000000064"/>
    <n v="94867.479759929833"/>
    <n v="171080.75000000047"/>
    <n v="93993.760000000329"/>
    <n v="172791.55750000046"/>
    <n v="94933.69760000032"/>
    <n v="183159.05095000053"/>
    <n v="97514.137656393796"/>
    <n v="0"/>
    <n v="0"/>
    <n v="0.82350164315206853"/>
    <n v="0.92256241745320589"/>
    <n v="0.95877523091725148"/>
    <n v="0.95877523091725148"/>
    <n v="0.95877523091725148"/>
    <n v="0.9"/>
    <n v="0"/>
    <n v="145104.29999999993"/>
    <n v="133115.95000000007"/>
    <n v="164027.985586747"/>
    <n v="164027.98558674718"/>
    <n v="165668.26544261447"/>
    <n v="164843.14585500048"/>
    <n v="0"/>
  </r>
  <r>
    <x v="0"/>
    <s v="PANDO"/>
    <n v="309"/>
    <x v="0"/>
    <x v="2"/>
    <x v="0"/>
    <s v="COCHABAMBA"/>
    <s v="A 1"/>
    <x v="5"/>
    <n v="167546.87"/>
    <n v="89907.26"/>
    <n v="106919.19"/>
    <n v="58053.62"/>
    <n v="149549.45040000012"/>
    <n v="82384.718996500073"/>
    <n v="146862.30000000042"/>
    <n v="80891.069355125481"/>
    <n v="146862.30000000042"/>
    <n v="80896.850000000355"/>
    <n v="160079.9070000005"/>
    <n v="88177.566500000408"/>
    <n v="173686.69909500054"/>
    <n v="92471.044137797086"/>
    <n v="0"/>
    <n v="0"/>
    <n v="0.87329993093872804"/>
    <n v="0.9291305952811606"/>
    <n v="0.96291641411177198"/>
    <n v="0.96291641411177198"/>
    <n v="0.96291641411177198"/>
    <n v="0.9"/>
    <n v="0"/>
    <n v="146318.67000000004"/>
    <n v="99341.89065167951"/>
    <n v="141416.1192842077"/>
    <n v="141416.1192842077"/>
    <n v="154143.57001978642"/>
    <n v="156318.02918550049"/>
    <n v="0"/>
  </r>
  <r>
    <x v="0"/>
    <s v="PANDO"/>
    <n v="309"/>
    <x v="0"/>
    <x v="2"/>
    <x v="0"/>
    <s v="COCHABAMBA"/>
    <s v="A 1"/>
    <x v="6"/>
    <n v="164302.38999999996"/>
    <n v="87403.759999999951"/>
    <n v="183408.37"/>
    <n v="100202.15"/>
    <n v="159454.60525000026"/>
    <n v="89028.322773500142"/>
    <n v="163343.75000000015"/>
    <n v="89125.150000000009"/>
    <n v="163343.75000000064"/>
    <n v="89125.150000000605"/>
    <n v="166610.62499999953"/>
    <n v="90907.653000000006"/>
    <n v="180772.52812499955"/>
    <n v="96243.54953055334"/>
    <n v="0"/>
    <n v="0"/>
    <n v="0.88058889465941403"/>
    <n v="0.94629471903310802"/>
    <n v="0.93182059307442122"/>
    <n v="0.93182059307442122"/>
    <n v="0.93182059307442122"/>
    <n v="0.90000000000000013"/>
    <n v="0"/>
    <n v="144682.85999999993"/>
    <n v="173558.37195747031"/>
    <n v="152207.07000000059"/>
    <n v="152207.07000000012"/>
    <n v="155251.21139999956"/>
    <n v="162695.27531249961"/>
    <n v="0"/>
  </r>
  <r>
    <x v="0"/>
    <s v="PANDO"/>
    <n v="309"/>
    <x v="0"/>
    <x v="2"/>
    <x v="0"/>
    <s v="COCHABAMBA"/>
    <s v="A 1"/>
    <x v="7"/>
    <n v="383898.45999999996"/>
    <n v="139294.62999999989"/>
    <n v="255725.45999999996"/>
    <n v="111190.00999999994"/>
    <n v="265186.89010000078"/>
    <n v="118627.33698750034"/>
    <n v="280157.93369728728"/>
    <n v="144029.1937137754"/>
    <n v="352680.1100000015"/>
    <n v="158316.76000000173"/>
    <n v="356206.91110000096"/>
    <n v="183125.97299651051"/>
    <n v="374017.25665500102"/>
    <n v="172209.33169546232"/>
    <n v="0"/>
    <n v="0"/>
    <n v="0.3690298992082432"/>
    <n v="0.43899425913814577"/>
    <n v="0.44829060533070364"/>
    <n v="0.70000000000000007"/>
    <n v="0.70000000000000007"/>
    <n v="0.39999999999999997"/>
    <n v="0"/>
    <n v="141670.00999999978"/>
    <n v="112262.00885546152"/>
    <n v="158103.17999999982"/>
    <n v="196110.55358810112"/>
    <n v="249344.83777000068"/>
    <n v="149606.90266200039"/>
    <n v="0"/>
  </r>
  <r>
    <x v="0"/>
    <s v="PANDO"/>
    <n v="309"/>
    <x v="0"/>
    <x v="2"/>
    <x v="0"/>
    <s v="COCHABAMBA"/>
    <s v="A 1"/>
    <x v="8"/>
    <n v="128094.12999999998"/>
    <n v="65066.25999999998"/>
    <n v="168292.75000000003"/>
    <n v="84660.36"/>
    <n v="150885.86318000022"/>
    <n v="80925.722161100115"/>
    <n v="157774.25549175678"/>
    <n v="83904.349070516255"/>
    <n v="159670.37000000075"/>
    <n v="85163.3900000008"/>
    <n v="166057.18480000077"/>
    <n v="88569.925600000832"/>
    <n v="175190.32996400082"/>
    <n v="92767.242118233786"/>
    <n v="0"/>
    <n v="0"/>
    <n v="0.77885122448624433"/>
    <n v="0.72239913866074434"/>
    <n v="0.89275549370869589"/>
    <n v="0.8"/>
    <n v="0.8"/>
    <n v="0.88"/>
    <n v="0"/>
    <n v="99766.27000000015"/>
    <n v="121574.53764284801"/>
    <n v="142546.60000000082"/>
    <n v="126219.40439340542"/>
    <n v="132845.74784000064"/>
    <n v="154167.49036832072"/>
    <n v="0"/>
  </r>
  <r>
    <x v="0"/>
    <s v="PANDO"/>
    <n v="309"/>
    <x v="0"/>
    <x v="2"/>
    <x v="0"/>
    <s v="COCHABAMBA"/>
    <s v="A 1"/>
    <x v="9"/>
    <n v="90386.189999999988"/>
    <n v="47116.359999999993"/>
    <n v="155622.03999999998"/>
    <n v="83947.919999999969"/>
    <n v="160526.54468000011"/>
    <n v="88968.511503200061"/>
    <n v="167855.06302427614"/>
    <n v="90977.444159157676"/>
    <n v="203085.41000000111"/>
    <n v="106044.8200000011"/>
    <n v="203085.41000000003"/>
    <n v="110072.29222000003"/>
    <n v="211208.82640000002"/>
    <n v="112447.87775973632"/>
    <n v="0"/>
    <n v="0"/>
    <n v="0.81191297033319076"/>
    <n v="0.88216704901978138"/>
    <n v="0.7227608324989967"/>
    <n v="0.9"/>
    <n v="0.9"/>
    <n v="0.9"/>
    <n v="0"/>
    <n v="73385.720000000132"/>
    <n v="137284.63578923835"/>
    <n v="146782.18000000087"/>
    <n v="151069.55672184852"/>
    <n v="182776.86900000004"/>
    <n v="190087.94376000002"/>
    <n v="0"/>
  </r>
  <r>
    <x v="0"/>
    <s v="PANDO"/>
    <n v="309"/>
    <x v="0"/>
    <x v="2"/>
    <x v="0"/>
    <s v="COCHABAMBA"/>
    <s v="A 1"/>
    <x v="10"/>
    <n v="180875.24"/>
    <n v="86140.93"/>
    <n v="181271.45999999996"/>
    <n v="94797.26999999999"/>
    <n v="210484.99939000042"/>
    <n v="106115.75154070021"/>
    <n v="220094.27106715209"/>
    <n v="108506.475636106"/>
    <n v="289461.92528735637"/>
    <n v="120148.16324358866"/>
    <n v="286567.30603448278"/>
    <n v="141277.68187500004"/>
    <n v="309492.69051724143"/>
    <n v="153637.26699286734"/>
    <n v="0"/>
    <n v="0"/>
    <n v="0.51912163323183491"/>
    <n v="0.70095669987497133"/>
    <n v="0.44829060533070364"/>
    <n v="0.6"/>
    <n v="0.6"/>
    <n v="0.64999999999999991"/>
    <n v="0"/>
    <n v="93896.250000000116"/>
    <n v="127063.44438311785"/>
    <n v="129763.0617072599"/>
    <n v="132056.56264029126"/>
    <n v="171940.38362068965"/>
    <n v="201170.24883620691"/>
    <n v="0"/>
  </r>
  <r>
    <x v="0"/>
    <s v="PANDO"/>
    <n v="309"/>
    <x v="0"/>
    <x v="2"/>
    <x v="0"/>
    <s v="COCHABAMBA"/>
    <s v="A 1"/>
    <x v="11"/>
    <n v="363681.29000000004"/>
    <n v="171267.51999999996"/>
    <n v="408656.4"/>
    <n v="217481.30000000002"/>
    <n v="408498.19539999944"/>
    <n v="226391.08761299969"/>
    <n v="422918.18169761938"/>
    <n v="216534.10902918113"/>
    <n v="410406.89655172429"/>
    <n v="204052.92163566104"/>
    <n v="422917.17169761937"/>
    <n v="216533.59190918112"/>
    <n v="456750.54543342901"/>
    <n v="239887.40699382525"/>
    <n v="0"/>
    <n v="0"/>
    <n v="0.48344903857990623"/>
    <n v="0.82393500975734424"/>
    <n v="0.63749878531245363"/>
    <n v="0.8"/>
    <n v="0.8"/>
    <n v="0.85"/>
    <n v="0"/>
    <n v="175821.37000000008"/>
    <n v="336706.31492140121"/>
    <n v="261633.89803557805"/>
    <n v="338334.54535809555"/>
    <n v="338333.73735809553"/>
    <n v="388237.96361841465"/>
    <n v="0"/>
  </r>
  <r>
    <x v="0"/>
    <s v="PATINO"/>
    <n v="207"/>
    <x v="0"/>
    <x v="2"/>
    <x v="0"/>
    <s v="LA PAZ"/>
    <s v="A 2"/>
    <x v="0"/>
    <n v="103021.20999999998"/>
    <n v="53350.639999999985"/>
    <n v="82232.579999999987"/>
    <n v="42855.969999999987"/>
    <n v="97929.09877333339"/>
    <n v="51322.542055133359"/>
    <n v="84799.240000000136"/>
    <n v="45263.908259680247"/>
    <n v="84799.240000000151"/>
    <n v="45392.150000000198"/>
    <n v="97929.09877333339"/>
    <n v="52420.426655757481"/>
    <n v="104784.13568746673"/>
    <n v="56088.032524790062"/>
    <n v="83718.965517241246"/>
    <n v="46505.598067665494"/>
    <n v="0.76809765678349251"/>
    <n v="0.82856616328954669"/>
    <n v="0.87528440788627393"/>
    <n v="0.87528440788627393"/>
    <n v="0.87528440788627393"/>
    <n v="0.89999999999999991"/>
    <n v="0.98332887122351043"/>
    <n v="79130.350000000093"/>
    <n v="68135.133308000703"/>
    <n v="74223.452572606169"/>
    <n v="74223.452572606155"/>
    <n v="85715.813234653557"/>
    <n v="94305.722118720048"/>
    <n v="82323.275862068826"/>
  </r>
  <r>
    <x v="0"/>
    <s v="PATINO"/>
    <n v="207"/>
    <x v="0"/>
    <x v="2"/>
    <x v="0"/>
    <s v="LA PAZ"/>
    <s v="A 2"/>
    <x v="1"/>
    <n v="170921.14999999997"/>
    <n v="65066.319999999956"/>
    <n v="131326.56999999998"/>
    <n v="61168.839999999967"/>
    <n v="164296.79871000021"/>
    <n v="71474.282287200098"/>
    <n v="162805.05000000042"/>
    <n v="70697.195346580425"/>
    <n v="162805.0500000004"/>
    <n v="70664.940000000497"/>
    <n v="172511.63864550024"/>
    <n v="74878.049508820593"/>
    <n v="176824.42961163778"/>
    <n v="80724.456489785778"/>
    <n v="144017.67241379336"/>
    <n v="65727.566170848266"/>
    <n v="0.33030476333677805"/>
    <n v="0.56231037953832419"/>
    <n v="0.31478387402449665"/>
    <n v="0.31478387402449609"/>
    <n v="0.31478387402449609"/>
    <n v="0.38999999999999996"/>
    <n v="0.42352920049921988"/>
    <n v="56456.069999999927"/>
    <n v="73846.293420166287"/>
    <n v="51248.404349752003"/>
    <n v="51248.404349751923"/>
    <n v="54303.881927144539"/>
    <n v="68961.527548538725"/>
    <n v="60995.689655172457"/>
  </r>
  <r>
    <x v="0"/>
    <s v="PATINO"/>
    <n v="207"/>
    <x v="0"/>
    <x v="2"/>
    <x v="0"/>
    <s v="LA PAZ"/>
    <s v="A 2"/>
    <x v="2"/>
    <n v="109707.97"/>
    <n v="51242.379999999983"/>
    <n v="162671.88999999998"/>
    <n v="73082.949999999983"/>
    <n v="111473.86610000009"/>
    <n v="53799.427446000045"/>
    <n v="129778.63000000019"/>
    <n v="64691.160062526869"/>
    <n v="129778.63000000009"/>
    <n v="64381.400000000183"/>
    <n v="129778.63000000016"/>
    <n v="64381.40000000022"/>
    <n v="133671.98890000017"/>
    <n v="69280.468383834392"/>
    <n v="116823.77046677857"/>
    <n v="58996.00408572318"/>
    <n v="0.54528217047494409"/>
    <n v="0.47459817620280548"/>
    <n v="0.62368356555547066"/>
    <n v="0.62368356555546933"/>
    <n v="0.62368356555546933"/>
    <n v="0.79"/>
    <n v="0.73808749191950263"/>
    <n v="59821.800000000054"/>
    <n v="77203.78231346338"/>
    <n v="80940.798691304226"/>
    <n v="80940.798691304124"/>
    <n v="80940.798691304095"/>
    <n v="105600.87123100014"/>
    <n v="86226.163740404256"/>
  </r>
  <r>
    <x v="0"/>
    <s v="PATINO"/>
    <n v="207"/>
    <x v="0"/>
    <x v="2"/>
    <x v="0"/>
    <s v="LA PAZ"/>
    <s v="A 2"/>
    <x v="3"/>
    <n v="84843.109999999986"/>
    <n v="45038.109999999993"/>
    <n v="82595.139999999985"/>
    <n v="45934.2"/>
    <n v="94059.44648000013"/>
    <n v="51884.916120800073"/>
    <n v="105367.54000000018"/>
    <n v="58241.276451393343"/>
    <n v="105367.5400000002"/>
    <n v="57401.180000000204"/>
    <n v="105367.54000000018"/>
    <n v="57401.180000000197"/>
    <n v="113270.10550000018"/>
    <n v="59755.83570263494"/>
    <n v="0"/>
    <n v="0"/>
    <n v="0.82569945868321037"/>
    <n v="0.9138327188959573"/>
    <n v="0.89416515453020151"/>
    <n v="0.89416515453020073"/>
    <n v="0.89416515453020073"/>
    <n v="0.85"/>
    <n v="0"/>
    <n v="70054.910000000062"/>
    <n v="75478.14135379222"/>
    <n v="94215.982686567368"/>
    <n v="94215.982686567266"/>
    <n v="94215.982686567266"/>
    <n v="96279.589675000156"/>
    <n v="0"/>
  </r>
  <r>
    <x v="0"/>
    <s v="PATINO"/>
    <n v="207"/>
    <x v="0"/>
    <x v="2"/>
    <x v="0"/>
    <s v="LA PAZ"/>
    <s v="A 2"/>
    <x v="4"/>
    <n v="99975.040000000008"/>
    <n v="53162.91"/>
    <n v="103298.99999999997"/>
    <n v="56399.379999999976"/>
    <n v="103995.51829500012"/>
    <n v="53927.325014575057"/>
    <n v="99344.360000000102"/>
    <n v="54700.195572566729"/>
    <n v="99344.360000000102"/>
    <n v="54731.430000000058"/>
    <n v="102324.69080000011"/>
    <n v="56373.37290000006"/>
    <n v="109999.04261000014"/>
    <n v="58879.427111058452"/>
    <n v="0"/>
    <n v="0"/>
    <n v="0.83142162283706111"/>
    <n v="0.9246544446576167"/>
    <n v="0.95862304596190684"/>
    <n v="0.95862304596190651"/>
    <n v="0.95862304596190651"/>
    <n v="0.9"/>
    <n v="0"/>
    <n v="83121.410000000105"/>
    <n v="95515.879478687115"/>
    <n v="95233.792982336323"/>
    <n v="95233.792982336279"/>
    <n v="98090.806771806383"/>
    <n v="98999.138349000117"/>
    <n v="0"/>
  </r>
  <r>
    <x v="0"/>
    <s v="PATINO"/>
    <n v="207"/>
    <x v="0"/>
    <x v="2"/>
    <x v="0"/>
    <s v="LA PAZ"/>
    <s v="A 2"/>
    <x v="5"/>
    <n v="80007.900000000009"/>
    <n v="42704.020000000004"/>
    <n v="89906.97"/>
    <n v="49165.54"/>
    <n v="91031.177325000055"/>
    <n v="49666.745674125043"/>
    <n v="93463.180000000109"/>
    <n v="52172.574199317613"/>
    <n v="93463.180000000109"/>
    <n v="52173.760000000046"/>
    <n v="100940.23440000012"/>
    <n v="56347.660800000049"/>
    <n v="108510.75198000013"/>
    <n v="58082.786544105096"/>
    <n v="0"/>
    <n v="0"/>
    <n v="0.82674385904392023"/>
    <n v="0.93689723763835808"/>
    <n v="0.97026387570167094"/>
    <n v="0.97026387570167094"/>
    <n v="0.97026387570167094"/>
    <n v="0.89999999999999991"/>
    <n v="0"/>
    <n v="66146.040000000066"/>
    <n v="84233.591837434738"/>
    <n v="90683.947262203001"/>
    <n v="90683.947262203001"/>
    <n v="97938.663043179244"/>
    <n v="97659.676782000111"/>
    <n v="0"/>
  </r>
  <r>
    <x v="0"/>
    <s v="PATINO"/>
    <n v="207"/>
    <x v="0"/>
    <x v="2"/>
    <x v="0"/>
    <s v="LA PAZ"/>
    <s v="A 2"/>
    <x v="6"/>
    <n v="89525.25"/>
    <n v="47718.909999999989"/>
    <n v="93588.289999999979"/>
    <n v="51244.929999999978"/>
    <n v="97612.725400000054"/>
    <n v="53693.363458500025"/>
    <n v="94595.379999999946"/>
    <n v="52435.470000000649"/>
    <n v="94595.380000000237"/>
    <n v="52435.470000000234"/>
    <n v="97433.241400000814"/>
    <n v="54008.53410000055"/>
    <n v="104740.73450500087"/>
    <n v="56064.801079325654"/>
    <n v="0"/>
    <n v="0"/>
    <n v="0.86107963954303457"/>
    <n v="0.9385446333489208"/>
    <n v="0.96019308765396416"/>
    <n v="0.96019308765396416"/>
    <n v="0.96019308765396416"/>
    <n v="0.9"/>
    <n v="0"/>
    <n v="77088.370000000054"/>
    <n v="87836.787323802448"/>
    <n v="90829.830000000278"/>
    <n v="90829.83"/>
    <n v="93554.724900000831"/>
    <n v="94266.661054500786"/>
    <n v="0"/>
  </r>
  <r>
    <x v="0"/>
    <s v="PATINO"/>
    <n v="207"/>
    <x v="0"/>
    <x v="2"/>
    <x v="0"/>
    <s v="LA PAZ"/>
    <s v="A 2"/>
    <x v="7"/>
    <n v="269005.47999999992"/>
    <n v="83411.319999999905"/>
    <n v="168150.88"/>
    <n v="70964.25999999998"/>
    <n v="180354.58800000016"/>
    <n v="76389.906301500072"/>
    <n v="168776.8757977472"/>
    <n v="75978.286177871865"/>
    <n v="267293.78000000096"/>
    <n v="121074.16000000111"/>
    <n v="267293.7800000009"/>
    <n v="120327.64094260042"/>
    <n v="275312.59340000094"/>
    <n v="127812.1365948014"/>
    <n v="0"/>
    <n v="0"/>
    <n v="0.27490176036562819"/>
    <n v="0.37940199190459983"/>
    <n v="0.42286730353396929"/>
    <n v="0.33"/>
    <n v="0.33"/>
    <n v="0.44"/>
    <n v="0"/>
    <n v="73950.080000000758"/>
    <n v="63796.778812511337"/>
    <n v="113029.80000000242"/>
    <n v="55696.369013256575"/>
    <n v="88206.947400000296"/>
    <n v="121137.54109600042"/>
    <n v="0"/>
  </r>
  <r>
    <x v="0"/>
    <s v="PATINO"/>
    <n v="207"/>
    <x v="0"/>
    <x v="2"/>
    <x v="0"/>
    <s v="LA PAZ"/>
    <s v="A 2"/>
    <x v="8"/>
    <n v="79819.010000000009"/>
    <n v="40482.439999999995"/>
    <n v="100909.23999999998"/>
    <n v="50780.729999999996"/>
    <n v="92001.397224999979"/>
    <n v="49096.006387499991"/>
    <n v="95523.210710772983"/>
    <n v="50722.824887420458"/>
    <n v="97527.710000000225"/>
    <n v="52921.640000000232"/>
    <n v="100453.54130000023"/>
    <n v="54509.289200000239"/>
    <n v="105476.21836500026"/>
    <n v="54666.964049958871"/>
    <n v="0"/>
    <n v="0"/>
    <n v="0.74455884631994373"/>
    <n v="0.70079890290566904"/>
    <n v="0.91312858673704234"/>
    <n v="0.8"/>
    <n v="0.8"/>
    <n v="0.79"/>
    <n v="0"/>
    <n v="59429.950000000063"/>
    <n v="70717.084685044843"/>
    <n v="89055.340000000317"/>
    <n v="76418.568568618386"/>
    <n v="80362.833040000187"/>
    <n v="83326.212508350203"/>
    <n v="0"/>
  </r>
  <r>
    <x v="0"/>
    <s v="PATINO"/>
    <n v="207"/>
    <x v="0"/>
    <x v="2"/>
    <x v="0"/>
    <s v="LA PAZ"/>
    <s v="A 2"/>
    <x v="9"/>
    <n v="47656.840000000004"/>
    <n v="24655.56"/>
    <n v="98707.49000000002"/>
    <n v="53713.30999999999"/>
    <n v="97288.332225000064"/>
    <n v="53309.729272250028"/>
    <n v="101012.52958257306"/>
    <n v="55152.841152084897"/>
    <n v="115756.58000000023"/>
    <n v="60774.250000000131"/>
    <n v="115756.58000000005"/>
    <n v="63203.092680000031"/>
    <n v="124438.32350000004"/>
    <n v="66608.372441184067"/>
    <n v="0"/>
    <n v="0"/>
    <n v="0.84107989535185346"/>
    <n v="0.87536452757963723"/>
    <n v="0.7263413449153393"/>
    <n v="0.9"/>
    <n v="0.9"/>
    <n v="0.89999999999999991"/>
    <n v="0"/>
    <n v="40083.210000000028"/>
    <n v="86405.035352421779"/>
    <n v="84078.790000000241"/>
    <n v="90911.276624315753"/>
    <n v="104180.92200000005"/>
    <n v="111994.49115000003"/>
    <n v="0"/>
  </r>
  <r>
    <x v="0"/>
    <s v="PATINO"/>
    <n v="207"/>
    <x v="0"/>
    <x v="2"/>
    <x v="0"/>
    <s v="LA PAZ"/>
    <s v="A 2"/>
    <x v="10"/>
    <n v="114426.95999999998"/>
    <n v="53218.829999999973"/>
    <n v="129413.23999999996"/>
    <n v="67787.669999999955"/>
    <n v="142001.00060000029"/>
    <n v="69666.400736250129"/>
    <n v="145977.02861680029"/>
    <n v="72404.606193932952"/>
    <n v="215571.98275862072"/>
    <n v="88210.884576887503"/>
    <n v="213416.26293103452"/>
    <n v="105854.46641379314"/>
    <n v="226221.23870689658"/>
    <n v="112357.24459197609"/>
    <n v="0"/>
    <n v="0"/>
    <n v="0.40874484474637829"/>
    <n v="0.65394296562556309"/>
    <n v="0.42286730353396929"/>
    <n v="0.6"/>
    <n v="0.6"/>
    <n v="0.64999999999999991"/>
    <n v="0"/>
    <n v="46771.430000000029"/>
    <n v="84628.877956812721"/>
    <n v="91158.343066609261"/>
    <n v="87586.21717008017"/>
    <n v="128049.7577586207"/>
    <n v="147043.80515948276"/>
    <n v="0"/>
  </r>
  <r>
    <x v="0"/>
    <s v="PATINO"/>
    <n v="207"/>
    <x v="0"/>
    <x v="2"/>
    <x v="0"/>
    <s v="LA PAZ"/>
    <s v="A 2"/>
    <x v="11"/>
    <n v="233933.2399999999"/>
    <n v="112196.67999999993"/>
    <n v="238460.24"/>
    <n v="127751.69"/>
    <n v="244997.5564500007"/>
    <n v="133260.88579050038"/>
    <n v="251857.48803060071"/>
    <n v="132980.75368015718"/>
    <n v="242514.87068965516"/>
    <n v="120377.90259441519"/>
    <n v="259413.21267151873"/>
    <n v="136970.17629056191"/>
    <n v="276275.07149516739"/>
    <n v="144896.18993571601"/>
    <n v="0"/>
    <n v="0"/>
    <n v="0.48981555592527293"/>
    <n v="0.82341429202066618"/>
    <n v="0.62368356555547066"/>
    <n v="0.8"/>
    <n v="0.8"/>
    <n v="0.83"/>
    <n v="0"/>
    <n v="114584.14000000025"/>
    <n v="196351.56969467812"/>
    <n v="151252.53925194804"/>
    <n v="201485.99042448058"/>
    <n v="207530.57013721499"/>
    <n v="229308.30934098893"/>
    <n v="0"/>
  </r>
  <r>
    <x v="0"/>
    <s v="PATIO DESIGN CENTER FAIR PLAY"/>
    <n v="417"/>
    <x v="2"/>
    <x v="2"/>
    <x v="0"/>
    <s v="SANTA CRUZ"/>
    <s v="A 1"/>
    <x v="0"/>
    <n v="69869.760000000009"/>
    <n v="37167.089999999997"/>
    <n v="69361.739999999991"/>
    <n v="35804.969999999987"/>
    <n v="75917.019450000007"/>
    <n v="38596.467520749997"/>
    <n v="47723.300000000076"/>
    <n v="24689.391224016876"/>
    <n v="47723.300000000032"/>
    <n v="24811.380000000026"/>
    <n v="75917.019450000007"/>
    <n v="39469.316204900795"/>
    <n v="78953.700228000016"/>
    <n v="41923.533801920996"/>
    <n v="82792.385057471198"/>
    <n v="45290.547059273958"/>
    <n v="0.86463943771955187"/>
    <n v="0.8046934251987613"/>
    <n v="0.86767955077877557"/>
    <n v="0.86767955077877501"/>
    <n v="0.86767955077877501"/>
    <n v="0.9"/>
    <n v="0.97537810094839783"/>
    <n v="60412.150000000045"/>
    <n v="55814.936138345925"/>
    <n v="41408.531505680767"/>
    <n v="41408.531505680781"/>
    <n v="65871.645332839529"/>
    <n v="71058.330205200022"/>
    <n v="80753.879310344768"/>
  </r>
  <r>
    <x v="0"/>
    <s v="PATIO DESIGN CENTER FAIR PLAY"/>
    <n v="417"/>
    <x v="2"/>
    <x v="2"/>
    <x v="0"/>
    <s v="SANTA CRUZ"/>
    <s v="A 1"/>
    <x v="1"/>
    <n v="95861.949999999983"/>
    <n v="44662.379999999983"/>
    <n v="101352.61999999998"/>
    <n v="46154.929999999978"/>
    <n v="126654.50850000011"/>
    <n v="54130.360365000044"/>
    <n v="102464.69999999998"/>
    <n v="42259.027130909089"/>
    <n v="102464.70000000001"/>
    <n v="42282.120000000046"/>
    <n v="130454.14375500011"/>
    <n v="53831.980777244949"/>
    <n v="135672.30950520013"/>
    <n v="61146.379262884628"/>
    <n v="117351.72413793109"/>
    <n v="53412.867085268728"/>
    <n v="0.53974866983198333"/>
    <n v="0.54020874559181609"/>
    <n v="0.26091657075129704"/>
    <n v="0.26091657075129704"/>
    <n v="0.26091657075129704"/>
    <n v="0.4"/>
    <n v="0.37954474220341561"/>
    <n v="51741.360000000088"/>
    <n v="54751.571712643999"/>
    <n v="26734.73814706043"/>
    <n v="26734.73814706042"/>
    <n v="34037.647828851361"/>
    <n v="54268.923802080055"/>
    <n v="44540.229885057401"/>
  </r>
  <r>
    <x v="0"/>
    <s v="PATIO DESIGN CENTER FAIR PLAY"/>
    <n v="417"/>
    <x v="2"/>
    <x v="2"/>
    <x v="0"/>
    <s v="SANTA CRUZ"/>
    <s v="A 1"/>
    <x v="2"/>
    <n v="79229.08"/>
    <n v="38937.449999999983"/>
    <n v="135813.31999999998"/>
    <n v="61575.509999999973"/>
    <n v="87409.006125000073"/>
    <n v="41384.620620000023"/>
    <n v="70662.26000000014"/>
    <n v="33186.640776577216"/>
    <n v="70662.260000000068"/>
    <n v="33022.940000000031"/>
    <n v="70662.260000000271"/>
    <n v="33022.940000000126"/>
    <n v="74195.373000000298"/>
    <n v="38801.147256529781"/>
    <n v="74679.758545697856"/>
    <n v="37339.879272848928"/>
    <n v="0.60404349009227476"/>
    <n v="0.48473163409976644"/>
    <n v="0.53161664490828642"/>
    <n v="0.53161664490828542"/>
    <n v="0.53161664490828542"/>
    <n v="0.85000000000000009"/>
    <n v="0.70355690386578673"/>
    <n v="47857.810000000049"/>
    <n v="65833.012536114475"/>
    <n v="37565.233582837049"/>
    <n v="37565.233582837012"/>
    <n v="37565.233582837085"/>
    <n v="63066.06705000026"/>
    <n v="52541.459703855711"/>
  </r>
  <r>
    <x v="0"/>
    <s v="PATIO DESIGN CENTER FAIR PLAY"/>
    <n v="417"/>
    <x v="2"/>
    <x v="2"/>
    <x v="0"/>
    <s v="SANTA CRUZ"/>
    <s v="A 1"/>
    <x v="3"/>
    <n v="64192.909999999989"/>
    <n v="34102.239999999991"/>
    <n v="79092.889999999985"/>
    <n v="42123.779999999977"/>
    <n v="79042.603645000039"/>
    <n v="42155.303836450017"/>
    <n v="65650.79000000011"/>
    <n v="34646.956822786247"/>
    <n v="65650.790000000066"/>
    <n v="34561.460000000094"/>
    <n v="65650.790000000125"/>
    <n v="34561.460000000123"/>
    <n v="69261.583450000137"/>
    <n v="36554.667564939351"/>
    <n v="0"/>
    <n v="0"/>
    <n v="0.82480588588365988"/>
    <n v="0.89564243623393125"/>
    <n v="0.8353615568639059"/>
    <n v="0.83536155686390612"/>
    <n v="0.83536155686390612"/>
    <n v="0.88"/>
    <n v="0"/>
    <n v="52946.690000000039"/>
    <n v="70838.948688382327"/>
    <n v="54842.146143745398"/>
    <n v="54842.146143745449"/>
    <n v="54842.146143745464"/>
    <n v="60950.193436000118"/>
    <n v="0"/>
  </r>
  <r>
    <x v="0"/>
    <s v="PATIO DESIGN CENTER FAIR PLAY"/>
    <n v="417"/>
    <x v="2"/>
    <x v="2"/>
    <x v="0"/>
    <s v="SANTA CRUZ"/>
    <s v="A 1"/>
    <x v="4"/>
    <n v="78722.340000000011"/>
    <n v="41784.870000000003"/>
    <n v="82820.589999999982"/>
    <n v="44530.75999999998"/>
    <n v="77457.386129999999"/>
    <n v="39750.241051050012"/>
    <n v="61856.209999999992"/>
    <n v="33725.330095718549"/>
    <n v="61856.210000000028"/>
    <n v="33735.300000000017"/>
    <n v="64330.458400000032"/>
    <n v="35084.712000000021"/>
    <n v="67868.633612000034"/>
    <n v="36037.487123546176"/>
    <n v="0"/>
    <n v="0"/>
    <n v="0.80871401942574439"/>
    <n v="0.90456419671992605"/>
    <n v="0.92743578618479139"/>
    <n v="0.92743578618479117"/>
    <n v="0.92743578618479117"/>
    <n v="0.9"/>
    <n v="0"/>
    <n v="63663.860000000066"/>
    <n v="74916.540465220329"/>
    <n v="57367.662751761578"/>
    <n v="57367.662751761534"/>
    <n v="59662.369261832035"/>
    <n v="61081.770250800029"/>
    <n v="0"/>
  </r>
  <r>
    <x v="0"/>
    <s v="PATIO DESIGN CENTER FAIR PLAY"/>
    <n v="417"/>
    <x v="2"/>
    <x v="2"/>
    <x v="0"/>
    <s v="SANTA CRUZ"/>
    <s v="A 1"/>
    <x v="5"/>
    <n v="65218.83"/>
    <n v="33933.050000000003"/>
    <n v="81649.509999999995"/>
    <n v="43121.9"/>
    <n v="70045.70689999999"/>
    <n v="37616.947488499995"/>
    <n v="63810.270000000033"/>
    <n v="35384.404034678104"/>
    <n v="63810.270000000048"/>
    <n v="35388.11000000003"/>
    <n v="65724.578100000057"/>
    <n v="36449.753300000033"/>
    <n v="69339.429895500056"/>
    <n v="36818.463537938274"/>
    <n v="0"/>
    <n v="0"/>
    <n v="0.83695414345826258"/>
    <n v="0.89089969581320716"/>
    <n v="0.9463304821485794"/>
    <n v="0.9463304821485794"/>
    <n v="0.9463304821485794"/>
    <n v="0.9"/>
    <n v="0"/>
    <n v="54585.170000000042"/>
    <n v="72741.523622297405"/>
    <n v="60385.603575131077"/>
    <n v="60385.603575131063"/>
    <n v="62197.171682385015"/>
    <n v="62405.486905950049"/>
    <n v="0"/>
  </r>
  <r>
    <x v="0"/>
    <s v="PATIO DESIGN CENTER FAIR PLAY"/>
    <n v="417"/>
    <x v="2"/>
    <x v="2"/>
    <x v="0"/>
    <s v="SANTA CRUZ"/>
    <s v="A 1"/>
    <x v="6"/>
    <n v="75729.7"/>
    <n v="40117.719999999979"/>
    <n v="88204.229999999981"/>
    <n v="48264.399999999972"/>
    <n v="74880.978800000026"/>
    <n v="41144.54454000001"/>
    <n v="65428.229999999938"/>
    <n v="36118.920000000006"/>
    <n v="65428.23000000001"/>
    <n v="36118.92000000002"/>
    <n v="66736.794600000008"/>
    <n v="36841.298400000022"/>
    <n v="70407.318303000007"/>
    <n v="37385.500366094784"/>
    <n v="0"/>
    <n v="0"/>
    <n v="0.89211339804594536"/>
    <n v="0.95497092775944137"/>
    <n v="0.95113699392448792"/>
    <n v="0.95113699392448792"/>
    <n v="0.95113699392448792"/>
    <n v="0.9"/>
    <n v="0"/>
    <n v="67559.480000000025"/>
    <n v="84232.475355407136"/>
    <n v="62231.210000000006"/>
    <n v="62231.209999999941"/>
    <n v="63475.834200000005"/>
    <n v="63366.586472700008"/>
    <n v="0"/>
  </r>
  <r>
    <x v="0"/>
    <s v="PATIO DESIGN CENTER FAIR PLAY"/>
    <n v="417"/>
    <x v="2"/>
    <x v="2"/>
    <x v="0"/>
    <s v="SANTA CRUZ"/>
    <s v="A 1"/>
    <x v="7"/>
    <n v="174693.19000000003"/>
    <n v="72507.480000000025"/>
    <n v="110699.69999999998"/>
    <n v="47495.669999999976"/>
    <n v="118965.1330000001"/>
    <n v="52148.097562500043"/>
    <n v="120475.10119295075"/>
    <n v="52811.465358941896"/>
    <n v="142959.53999999992"/>
    <n v="63882.269999999888"/>
    <n v="142959.54000000015"/>
    <n v="62667.743954400074"/>
    <n v="150107.51700000017"/>
    <n v="67652.206984359698"/>
    <n v="0"/>
    <n v="0"/>
    <n v="0.41475486251066906"/>
    <n v="0.37294594536343351"/>
    <n v="0.4075625872886825"/>
    <n v="0.32000000000000006"/>
    <n v="0.32000000000000006"/>
    <n v="0.40000000000000008"/>
    <n v="0"/>
    <n v="72454.850000000195"/>
    <n v="41285.004267948476"/>
    <n v="58264.959999999868"/>
    <n v="38552.032381744248"/>
    <n v="45747.052800000056"/>
    <n v="60043.006800000076"/>
    <n v="0"/>
  </r>
  <r>
    <x v="0"/>
    <s v="PATIO DESIGN CENTER FAIR PLAY"/>
    <n v="417"/>
    <x v="2"/>
    <x v="2"/>
    <x v="0"/>
    <s v="SANTA CRUZ"/>
    <s v="A 1"/>
    <x v="8"/>
    <n v="58730.400000000001"/>
    <n v="30138.720000000008"/>
    <n v="42022.380000000005"/>
    <n v="20110.039999999994"/>
    <n v="69311.993250000014"/>
    <n v="36417.238523000007"/>
    <n v="70692.878763521439"/>
    <n v="37311.701411386617"/>
    <n v="59805.989999999983"/>
    <n v="32162.159999999974"/>
    <n v="66384.648899999986"/>
    <n v="35699.997599999973"/>
    <n v="69703.881344999987"/>
    <n v="36788.102200866539"/>
    <n v="0"/>
    <n v="0"/>
    <n v="0.76384666203533447"/>
    <n v="0.66340251804407002"/>
    <n v="0.90346736171410225"/>
    <n v="0.8"/>
    <n v="0.8"/>
    <n v="0.87999999999999989"/>
    <n v="0"/>
    <n v="44861.020000000011"/>
    <n v="27877.75270620477"/>
    <n v="54032.759999999966"/>
    <n v="56554.303010817152"/>
    <n v="53107.719119999994"/>
    <n v="61339.415583599985"/>
    <n v="0"/>
  </r>
  <r>
    <x v="0"/>
    <s v="PATIO DESIGN CENTER FAIR PLAY"/>
    <n v="417"/>
    <x v="2"/>
    <x v="2"/>
    <x v="0"/>
    <s v="SANTA CRUZ"/>
    <s v="A 1"/>
    <x v="9"/>
    <n v="46473.48"/>
    <n v="23765.259999999995"/>
    <n v="50542.01999999999"/>
    <n v="27381.159999999989"/>
    <n v="72071.518149999989"/>
    <n v="39488.586778500008"/>
    <n v="73507.380988222896"/>
    <n v="39870.403448012104"/>
    <n v="48312.750000000116"/>
    <n v="25717.210000000119"/>
    <n v="73507.380988222896"/>
    <n v="39870.403448012104"/>
    <n v="76447.676227751814"/>
    <n v="40592.863021711368"/>
    <n v="0"/>
    <n v="0"/>
    <n v="0.8495236423009429"/>
    <n v="0.87288899720224333"/>
    <n v="0.83662780528949432"/>
    <n v="0.9"/>
    <n v="0.9"/>
    <n v="0.9"/>
    <n v="0"/>
    <n v="39480.320000000029"/>
    <n v="44117.573154375721"/>
    <n v="40419.790000000117"/>
    <n v="66156.642889400609"/>
    <n v="66156.642889400609"/>
    <n v="68802.908604976634"/>
    <n v="0"/>
  </r>
  <r>
    <x v="0"/>
    <s v="PATIO DESIGN CENTER FAIR PLAY"/>
    <n v="417"/>
    <x v="2"/>
    <x v="2"/>
    <x v="0"/>
    <s v="SANTA CRUZ"/>
    <s v="A 1"/>
    <x v="10"/>
    <n v="75486.429999999993"/>
    <n v="35604.689999999995"/>
    <n v="52174.51999999999"/>
    <n v="26600.55999999999"/>
    <n v="85395.26080000012"/>
    <n v="42345.323030000058"/>
    <n v="86216.805906526512"/>
    <n v="42556.615395461486"/>
    <n v="39206.6091954023"/>
    <n v="14727.938627647678"/>
    <n v="86216.805906526512"/>
    <n v="42556.615395461486"/>
    <n v="90958.73023138546"/>
    <n v="44646.206240079599"/>
    <n v="0"/>
    <n v="0"/>
    <n v="0.45707645731822283"/>
    <n v="0.60336723755984933"/>
    <n v="0.4075625872886825"/>
    <n v="0.6"/>
    <n v="0.6"/>
    <n v="0.65"/>
    <n v="0"/>
    <n v="34503.070000000014"/>
    <n v="31480.396003411104"/>
    <n v="15979.147082494412"/>
    <n v="51730.083543915905"/>
    <n v="51730.083543915905"/>
    <n v="59123.17465040055"/>
    <n v="0"/>
  </r>
  <r>
    <x v="0"/>
    <s v="PATIO DESIGN CENTER FAIR PLAY"/>
    <n v="417"/>
    <x v="2"/>
    <x v="2"/>
    <x v="0"/>
    <s v="SANTA CRUZ"/>
    <s v="A 1"/>
    <x v="11"/>
    <n v="192805.33999999997"/>
    <n v="94375.389999999985"/>
    <n v="130441.87"/>
    <n v="69169.37"/>
    <n v="133761.43600000037"/>
    <n v="73350.022452500198"/>
    <n v="135048.28789503835"/>
    <n v="70873.341487316138"/>
    <n v="183617.31321839083"/>
    <n v="85544.955869606987"/>
    <n v="135048.28789503835"/>
    <n v="70873.341487316138"/>
    <n v="142475.94372926542"/>
    <n v="74509.094699911497"/>
    <n v="0"/>
    <n v="0"/>
    <n v="0.60995691301911137"/>
    <n v="0.80575812075554931"/>
    <n v="0.53161664490828642"/>
    <n v="0.8"/>
    <n v="0.8"/>
    <n v="0.84999999999999987"/>
    <n v="0"/>
    <n v="117602.95000000017"/>
    <n v="105104.59603903966"/>
    <n v="97614.020000234887"/>
    <n v="108038.63031603069"/>
    <n v="108038.63031603069"/>
    <n v="121104.55216987559"/>
    <n v="0"/>
  </r>
  <r>
    <x v="0"/>
    <s v="POCITOS"/>
    <n v="130"/>
    <x v="1"/>
    <x v="1"/>
    <x v="1"/>
    <s v="ZONA SUR"/>
    <s v="CLOSED"/>
    <x v="0"/>
    <n v="21433.760000000002"/>
    <n v="9923.82"/>
    <n v="0"/>
    <n v="0"/>
    <n v="0"/>
    <n v="0"/>
    <n v="0"/>
    <n v="0"/>
    <n v="0"/>
    <n v="0"/>
    <n v="0"/>
    <n v="0"/>
    <n v="0"/>
    <n v="0"/>
    <n v="0"/>
    <n v="0"/>
    <n v="0.46666377913491769"/>
    <n v="0"/>
    <n v="0"/>
    <n v="0"/>
    <n v="0"/>
    <n v="0"/>
    <n v="0"/>
    <n v="10002.359442670835"/>
    <n v="0"/>
    <n v="0"/>
    <n v="0"/>
    <n v="0"/>
    <n v="0"/>
    <n v="0"/>
  </r>
  <r>
    <x v="0"/>
    <s v="POCITOS"/>
    <n v="130"/>
    <x v="1"/>
    <x v="1"/>
    <x v="1"/>
    <s v="ZONA SUR"/>
    <s v="CLOSED"/>
    <x v="1"/>
    <n v="36564.58"/>
    <n v="13021.859999999999"/>
    <n v="0"/>
    <n v="0"/>
    <n v="0"/>
    <n v="0"/>
    <n v="0"/>
    <n v="0"/>
    <n v="0"/>
    <n v="0"/>
    <n v="0"/>
    <n v="0"/>
    <n v="0"/>
    <n v="0"/>
    <n v="0"/>
    <n v="0"/>
    <n v="0.280212315957651"/>
    <n v="0"/>
    <n v="0"/>
    <n v="0"/>
    <n v="0"/>
    <n v="0"/>
    <n v="0"/>
    <n v="10245.845643818808"/>
    <n v="0"/>
    <n v="0"/>
    <n v="0"/>
    <n v="0"/>
    <n v="0"/>
    <n v="0"/>
  </r>
  <r>
    <x v="0"/>
    <s v="POCITOS"/>
    <n v="130"/>
    <x v="1"/>
    <x v="1"/>
    <x v="1"/>
    <s v="ZONA SUR"/>
    <s v="CLOSED"/>
    <x v="2"/>
    <n v="31746.78"/>
    <n v="14141.959999999997"/>
    <n v="0"/>
    <n v="0"/>
    <n v="0"/>
    <n v="0"/>
    <n v="0"/>
    <n v="0"/>
    <n v="0"/>
    <n v="0"/>
    <n v="0"/>
    <n v="0"/>
    <n v="0"/>
    <n v="0"/>
    <n v="0"/>
    <n v="0"/>
    <n v="0.33135084929595443"/>
    <n v="0"/>
    <n v="0"/>
    <n v="0"/>
    <n v="0"/>
    <n v="0"/>
    <n v="0"/>
    <n v="10519.322515411819"/>
    <n v="0"/>
    <n v="0"/>
    <n v="0"/>
    <n v="0"/>
    <n v="0"/>
    <n v="0"/>
  </r>
  <r>
    <x v="0"/>
    <s v="POCITOS"/>
    <n v="130"/>
    <x v="1"/>
    <x v="1"/>
    <x v="1"/>
    <s v="ZONA SUR"/>
    <s v="CLOSED"/>
    <x v="3"/>
    <n v="20840.500000000004"/>
    <n v="10133.050000000001"/>
    <n v="0"/>
    <n v="0"/>
    <n v="0"/>
    <n v="0"/>
    <n v="0"/>
    <n v="0"/>
    <n v="0"/>
    <n v="0"/>
    <n v="0"/>
    <n v="0"/>
    <n v="0"/>
    <n v="0"/>
    <n v="0"/>
    <n v="0"/>
    <n v="0.53660933079427697"/>
    <n v="0"/>
    <n v="0"/>
    <n v="0"/>
    <n v="0"/>
    <n v="0"/>
    <n v="0"/>
    <n v="11183.206758418131"/>
    <n v="0"/>
    <n v="0"/>
    <n v="0"/>
    <n v="0"/>
    <n v="0"/>
    <n v="0"/>
  </r>
  <r>
    <x v="0"/>
    <s v="POCITOS"/>
    <n v="130"/>
    <x v="1"/>
    <x v="1"/>
    <x v="1"/>
    <s v="ZONA SUR"/>
    <s v="CLOSED"/>
    <x v="4"/>
    <n v="20273.900000000001"/>
    <n v="10083.5"/>
    <n v="0"/>
    <n v="0"/>
    <n v="0"/>
    <n v="0"/>
    <n v="0"/>
    <n v="0"/>
    <n v="0"/>
    <n v="0"/>
    <n v="0"/>
    <n v="0"/>
    <n v="0"/>
    <n v="0"/>
    <n v="0"/>
    <n v="0"/>
    <n v="0.5622312583527117"/>
    <n v="0"/>
    <n v="0"/>
    <n v="0"/>
    <n v="0"/>
    <n v="0"/>
    <n v="0"/>
    <n v="11398.620308717043"/>
    <n v="0"/>
    <n v="0"/>
    <n v="0"/>
    <n v="0"/>
    <n v="0"/>
    <n v="0"/>
  </r>
  <r>
    <x v="0"/>
    <s v="POCITOS"/>
    <n v="130"/>
    <x v="1"/>
    <x v="1"/>
    <x v="1"/>
    <s v="ZONA SUR"/>
    <s v="CLOSED"/>
    <x v="5"/>
    <n v="23995.629999999997"/>
    <n v="11970.2"/>
    <n v="0"/>
    <n v="0"/>
    <n v="0"/>
    <n v="0"/>
    <n v="0"/>
    <n v="0"/>
    <n v="0"/>
    <n v="0"/>
    <n v="0"/>
    <n v="0"/>
    <n v="0"/>
    <n v="0"/>
    <n v="0"/>
    <n v="0"/>
    <n v="0.45817526041450557"/>
    <n v="0"/>
    <n v="0"/>
    <n v="0"/>
    <n v="0"/>
    <n v="0"/>
    <n v="0"/>
    <n v="10994.204024060122"/>
    <n v="0"/>
    <n v="0"/>
    <n v="0"/>
    <n v="0"/>
    <n v="0"/>
    <n v="0"/>
  </r>
  <r>
    <x v="0"/>
    <s v="POCITOS"/>
    <n v="130"/>
    <x v="1"/>
    <x v="1"/>
    <x v="1"/>
    <s v="ZONA SUR"/>
    <s v="CLOSED"/>
    <x v="6"/>
    <n v="16979.869999999995"/>
    <n v="8284.7099999999973"/>
    <n v="0"/>
    <n v="0"/>
    <n v="0"/>
    <n v="0"/>
    <n v="0"/>
    <n v="0"/>
    <n v="0"/>
    <n v="0"/>
    <n v="0"/>
    <n v="0"/>
    <n v="0"/>
    <n v="0"/>
    <n v="0"/>
    <n v="0"/>
    <n v="0.51339867785354976"/>
    <n v="0"/>
    <n v="0"/>
    <n v="0"/>
    <n v="0"/>
    <n v="0"/>
    <n v="0"/>
    <n v="8717.4428081251517"/>
    <n v="0"/>
    <n v="0"/>
    <n v="0"/>
    <n v="0"/>
    <n v="0"/>
    <n v="0"/>
  </r>
  <r>
    <x v="0"/>
    <s v="POTOSI FP"/>
    <n v="170"/>
    <x v="0"/>
    <x v="2"/>
    <x v="0"/>
    <s v="ZONA SUR"/>
    <s v="B 1"/>
    <x v="0"/>
    <n v="0"/>
    <n v="0"/>
    <n v="51010.04"/>
    <n v="24230.85"/>
    <n v="56300.546416666642"/>
    <n v="26811.821706416653"/>
    <n v="48775.35"/>
    <n v="24021.730047082307"/>
    <n v="48775.349999999991"/>
    <n v="24141.539999999979"/>
    <n v="56300.546416666642"/>
    <n v="27866.163817170222"/>
    <n v="60804.590129999982"/>
    <n v="32212.052985796068"/>
    <n v="43109.195402298938"/>
    <n v="24083.072442097811"/>
    <n v="0"/>
    <n v="0.59342380477359269"/>
    <n v="0.70694226044226083"/>
    <n v="0.70694226044226038"/>
    <n v="0.70694226044226038"/>
    <n v="0.88"/>
    <n v="0.97786628449540069"/>
    <n v="0"/>
    <n v="30270.572018453153"/>
    <n v="34481.356182862422"/>
    <n v="34481.356182862401"/>
    <n v="39801.235547932716"/>
    <n v="53508.039314399983"/>
    <n v="42155.028735632273"/>
  </r>
  <r>
    <x v="0"/>
    <s v="POTOSI FP"/>
    <n v="170"/>
    <x v="0"/>
    <x v="2"/>
    <x v="0"/>
    <s v="ZONA SUR"/>
    <s v="B 1"/>
    <x v="1"/>
    <n v="0"/>
    <n v="0"/>
    <n v="64752.009999999995"/>
    <n v="25946.249999999996"/>
    <n v="87509.340899999981"/>
    <n v="33594.722495999995"/>
    <n v="86227.339999999953"/>
    <n v="35327.407982898083"/>
    <n v="86227.339999999909"/>
    <n v="35313.909999999945"/>
    <n v="87509.340899999981"/>
    <n v="35838.946077913533"/>
    <n v="91009.714535999985"/>
    <n v="39637.135164993364"/>
    <n v="83088.936781609213"/>
    <n v="38300.960459047921"/>
    <n v="0"/>
    <n v="0.4020080886188368"/>
    <n v="0.27908399015962532"/>
    <n v="0.27908399015962509"/>
    <n v="0.27908399015962509"/>
    <n v="0.4"/>
    <n v="0.4501823451190472"/>
    <n v="0"/>
    <n v="26030.831774327806"/>
    <n v="24064.670108050643"/>
    <n v="24064.670108050635"/>
    <n v="24422.456034610874"/>
    <n v="36403.885814399997"/>
    <n v="37405.172413793094"/>
  </r>
  <r>
    <x v="0"/>
    <s v="POTOSI FP"/>
    <n v="170"/>
    <x v="0"/>
    <x v="2"/>
    <x v="0"/>
    <s v="ZONA SUR"/>
    <s v="B 1"/>
    <x v="2"/>
    <n v="0"/>
    <n v="0"/>
    <n v="79433.39"/>
    <n v="31586.390000000003"/>
    <n v="62308.933319999989"/>
    <n v="27560.171034200001"/>
    <n v="70847.560000000056"/>
    <n v="34178.133996602446"/>
    <n v="70847.560000000056"/>
    <n v="34109.720000000081"/>
    <n v="70847.560000000201"/>
    <n v="34109.720000000154"/>
    <n v="74744.175800000216"/>
    <n v="39156.507201228407"/>
    <n v="88136.426313545206"/>
    <n v="45302.123125162238"/>
    <n v="0"/>
    <n v="0.33726154512196921"/>
    <n v="0.53397814644009844"/>
    <n v="0.53397814644009678"/>
    <n v="0.53397814644009678"/>
    <n v="0.85"/>
    <n v="0.74017822168555891"/>
    <n v="0"/>
    <n v="26789.827845675976"/>
    <n v="37831.048768603694"/>
    <n v="37831.04876860357"/>
    <n v="37831.04876860365"/>
    <n v="63532.549430000181"/>
    <n v="65236.66329448019"/>
  </r>
  <r>
    <x v="0"/>
    <s v="POTOSI FP"/>
    <n v="170"/>
    <x v="0"/>
    <x v="2"/>
    <x v="0"/>
    <s v="ZONA SUR"/>
    <s v="B 1"/>
    <x v="3"/>
    <n v="0"/>
    <n v="0"/>
    <n v="51291.139999999992"/>
    <n v="25515.05999999999"/>
    <n v="53203.52643000002"/>
    <n v="26865.786830550009"/>
    <n v="66866.120000000083"/>
    <n v="33147.890859511768"/>
    <n v="66866.120000000083"/>
    <n v="32916.040000000088"/>
    <n v="66866.120000000155"/>
    <n v="32916.040000000125"/>
    <n v="72215.409600000174"/>
    <n v="38257.088740385407"/>
    <n v="0"/>
    <n v="0"/>
    <n v="0"/>
    <n v="0.6591840736556086"/>
    <n v="0.67637877844930427"/>
    <n v="0.67637877844930427"/>
    <n v="0.67637877844930427"/>
    <n v="0.88"/>
    <n v="0"/>
    <n v="0"/>
    <n v="33810.302607640129"/>
    <n v="45226.824565244649"/>
    <n v="45226.824565244649"/>
    <n v="45226.8245652447"/>
    <n v="63549.560448000157"/>
    <n v="0"/>
  </r>
  <r>
    <x v="0"/>
    <s v="POTOSI FP"/>
    <n v="170"/>
    <x v="0"/>
    <x v="2"/>
    <x v="0"/>
    <s v="ZONA SUR"/>
    <s v="B 1"/>
    <x v="4"/>
    <n v="0"/>
    <n v="0"/>
    <n v="53737.510000000009"/>
    <n v="26808.83"/>
    <n v="59194.319149999981"/>
    <n v="27600.006316499992"/>
    <n v="64396.21"/>
    <n v="33346.477360307712"/>
    <n v="64396.210000000028"/>
    <n v="33104.00999999998"/>
    <n v="64396.210000000028"/>
    <n v="33104.00999999998"/>
    <n v="69547.906800000041"/>
    <n v="36843.943098754484"/>
    <n v="0"/>
    <n v="0"/>
    <n v="0"/>
    <n v="0.68020973286266406"/>
    <n v="0.76537494830435182"/>
    <n v="0.76537494830435193"/>
    <n v="0.76537494830435193"/>
    <n v="0.88"/>
    <n v="0"/>
    <n v="0"/>
    <n v="36552.777321804744"/>
    <n v="49287.245899746202"/>
    <n v="49287.245899746187"/>
    <n v="49287.245899746209"/>
    <n v="61202.157984000034"/>
    <n v="0"/>
  </r>
  <r>
    <x v="0"/>
    <s v="POTOSI FP"/>
    <n v="170"/>
    <x v="0"/>
    <x v="2"/>
    <x v="0"/>
    <s v="ZONA SUR"/>
    <s v="B 1"/>
    <x v="5"/>
    <n v="0"/>
    <n v="0"/>
    <n v="44356.710000000006"/>
    <n v="21910.409999999996"/>
    <n v="52286.935849999994"/>
    <n v="26267.056105999993"/>
    <n v="50646.979999999923"/>
    <n v="26547.809999999998"/>
    <n v="50646.979999999938"/>
    <n v="26547.80999999995"/>
    <n v="50646.979999999952"/>
    <n v="26547.809999999954"/>
    <n v="54698.738399999951"/>
    <n v="28977.395552374186"/>
    <n v="0"/>
    <n v="0"/>
    <n v="0"/>
    <n v="0.66335681860013473"/>
    <n v="0.80447679210093104"/>
    <n v="0.80447679210093115"/>
    <n v="0.80447679210093115"/>
    <n v="0.88"/>
    <n v="0"/>
    <n v="0"/>
    <n v="29424.326029168787"/>
    <n v="40744.319999999963"/>
    <n v="40744.319999999956"/>
    <n v="40744.319999999978"/>
    <n v="48134.889791999958"/>
    <n v="0"/>
  </r>
  <r>
    <x v="0"/>
    <s v="POTOSI FP"/>
    <n v="170"/>
    <x v="0"/>
    <x v="2"/>
    <x v="0"/>
    <s v="ZONA SUR"/>
    <s v="B 1"/>
    <x v="6"/>
    <n v="0"/>
    <n v="0"/>
    <n v="63092.6"/>
    <n v="31570.89"/>
    <n v="56141.934899999978"/>
    <n v="28754.946488999991"/>
    <n v="55693.669999999969"/>
    <n v="29296.49999999992"/>
    <n v="55693.670000000006"/>
    <n v="29296.500000000011"/>
    <n v="55693.670000000049"/>
    <n v="29296.500000000036"/>
    <n v="60149.163600000044"/>
    <n v="31864.831927854306"/>
    <n v="0"/>
    <n v="0"/>
    <n v="0"/>
    <n v="0.69085363463374105"/>
    <n v="0.82476859578476314"/>
    <n v="0.82476859578476314"/>
    <n v="0.82476859578476314"/>
    <n v="0.88"/>
    <n v="0"/>
    <n v="0"/>
    <n v="43587.752028492767"/>
    <n v="45934.389999999992"/>
    <n v="45934.389999999963"/>
    <n v="45934.390000000029"/>
    <n v="52931.263968000036"/>
    <n v="0"/>
  </r>
  <r>
    <x v="0"/>
    <s v="POTOSI FP"/>
    <n v="170"/>
    <x v="0"/>
    <x v="2"/>
    <x v="0"/>
    <s v="ZONA SUR"/>
    <s v="B 1"/>
    <x v="7"/>
    <n v="0"/>
    <n v="0"/>
    <n v="100350.15"/>
    <n v="38082.12999999999"/>
    <n v="102039.73232"/>
    <n v="39581.825223399996"/>
    <n v="92961.286692306327"/>
    <n v="38802.041065368663"/>
    <n v="136201.94"/>
    <n v="58214.97000000003"/>
    <n v="136201.94000000018"/>
    <n v="56850.68975600008"/>
    <n v="141650.0176000002"/>
    <n v="61692.32507057226"/>
    <n v="0"/>
    <n v="0"/>
    <n v="0"/>
    <n v="0.28639037451220278"/>
    <n v="0.40117644432964827"/>
    <n v="0.32"/>
    <n v="0.32"/>
    <n v="0.4"/>
    <n v="0"/>
    <n v="0"/>
    <n v="28739.317040855723"/>
    <n v="54641.010000000097"/>
    <n v="29747.611741538025"/>
    <n v="43584.620800000055"/>
    <n v="56660.007040000084"/>
    <n v="0"/>
  </r>
  <r>
    <x v="0"/>
    <s v="POTOSI FP"/>
    <n v="170"/>
    <x v="0"/>
    <x v="2"/>
    <x v="0"/>
    <s v="ZONA SUR"/>
    <s v="B 1"/>
    <x v="8"/>
    <n v="0"/>
    <n v="0"/>
    <n v="58295.69"/>
    <n v="27825.18"/>
    <n v="53203.622780000012"/>
    <n v="27317.647947100009"/>
    <n v="55624.387616490014"/>
    <n v="27945.692338524586"/>
    <n v="48305.099999999977"/>
    <n v="24972.959999999963"/>
    <n v="48305.099999999977"/>
    <n v="24972.959999999963"/>
    <n v="51203.405999999974"/>
    <n v="26824.117254717468"/>
    <n v="0"/>
    <n v="0"/>
    <n v="0"/>
    <n v="0.59858826916313201"/>
    <n v="0.82070423205831278"/>
    <n v="0.7"/>
    <n v="0.7"/>
    <n v="0.85000000000000009"/>
    <n v="0"/>
    <n v="0"/>
    <n v="34895.116176770505"/>
    <n v="39644.199999999983"/>
    <n v="38937.071331543004"/>
    <n v="33813.569999999985"/>
    <n v="43522.89509999998"/>
    <n v="0"/>
  </r>
  <r>
    <x v="0"/>
    <s v="POTOSI FP"/>
    <n v="170"/>
    <x v="0"/>
    <x v="2"/>
    <x v="0"/>
    <s v="ZONA SUR"/>
    <s v="B 1"/>
    <x v="9"/>
    <n v="0"/>
    <n v="0"/>
    <n v="56877.069999999992"/>
    <n v="27862.879999999994"/>
    <n v="56133.646874999991"/>
    <n v="28971.414827625002"/>
    <n v="54660.138644531246"/>
    <n v="28510.728316987494"/>
    <n v="63166.03000000005"/>
    <n v="33035.240000000063"/>
    <n v="63166.030000000013"/>
    <n v="32947.401248000002"/>
    <n v="69482.633000000016"/>
    <n v="36809.363421468785"/>
    <n v="0"/>
    <n v="0"/>
    <n v="0"/>
    <n v="0.67623029469849749"/>
    <n v="0.69418325007919679"/>
    <n v="0.8"/>
    <n v="0.8"/>
    <n v="0.88"/>
    <n v="0"/>
    <n v="0"/>
    <n v="38461.997807687068"/>
    <n v="43848.800000000083"/>
    <n v="43728.110915625002"/>
    <n v="50532.824000000015"/>
    <n v="61144.717040000018"/>
    <n v="0"/>
  </r>
  <r>
    <x v="0"/>
    <s v="POTOSI FP"/>
    <n v="170"/>
    <x v="0"/>
    <x v="2"/>
    <x v="0"/>
    <s v="ZONA SUR"/>
    <s v="B 1"/>
    <x v="10"/>
    <n v="0"/>
    <n v="0"/>
    <n v="59420.969999999987"/>
    <n v="28634.01"/>
    <n v="75193.114125000066"/>
    <n v="33947.888708375023"/>
    <n v="78614.40081768758"/>
    <n v="36555.696380224726"/>
    <n v="103380.31609195402"/>
    <n v="42005.907938733202"/>
    <n v="98211.300287356324"/>
    <n v="45668.254633620694"/>
    <n v="108032.43031609195"/>
    <n v="51292.919987868809"/>
    <n v="0"/>
    <n v="0"/>
    <n v="0"/>
    <n v="0.51780033703374595"/>
    <n v="0.40117644432964827"/>
    <n v="0.5"/>
    <n v="0.5"/>
    <n v="0.6"/>
    <n v="0"/>
    <n v="0"/>
    <n v="30768.198292872101"/>
    <n v="41473.747623445233"/>
    <n v="39307.20040884379"/>
    <n v="49105.650143678162"/>
    <n v="64819.458189655168"/>
    <n v="0"/>
  </r>
  <r>
    <x v="0"/>
    <s v="POTOSI FP"/>
    <n v="170"/>
    <x v="0"/>
    <x v="2"/>
    <x v="0"/>
    <s v="ZONA SUR"/>
    <s v="B 1"/>
    <x v="11"/>
    <n v="0"/>
    <n v="0"/>
    <n v="151874.21"/>
    <n v="77457.069999999978"/>
    <n v="153117.5835000001"/>
    <n v="80126.651692500047"/>
    <n v="158514.9783183751"/>
    <n v="78781.944224232429"/>
    <n v="130660.05747126436"/>
    <n v="64047.410116071704"/>
    <n v="158514.9783183751"/>
    <n v="78781.944224232429"/>
    <n v="174366.47615021258"/>
    <n v="91346.009317137999"/>
    <n v="0"/>
    <n v="0"/>
    <n v="0"/>
    <n v="0.67077617871540307"/>
    <n v="0.53397814644009844"/>
    <n v="0.65"/>
    <n v="0.65"/>
    <n v="0.85000000000000009"/>
    <n v="0"/>
    <n v="0"/>
    <n v="101873.60222922065"/>
    <n v="69769.615302262479"/>
    <n v="103034.73590694382"/>
    <n v="103034.73590694382"/>
    <n v="148211.5047276807"/>
    <n v="0"/>
  </r>
  <r>
    <x v="0"/>
    <s v="POZOS"/>
    <n v="406"/>
    <x v="0"/>
    <x v="0"/>
    <x v="0"/>
    <s v="SANTA CRUZ"/>
    <s v="B 2"/>
    <x v="0"/>
    <n v="24187.770000000004"/>
    <n v="10730.149999999998"/>
    <n v="17813.77"/>
    <n v="8064.74"/>
    <n v="20300.387649999997"/>
    <n v="8970.5214432499997"/>
    <n v="13855.250000000004"/>
    <n v="5652.4683367202797"/>
    <n v="13855.249999999996"/>
    <n v="5942.7599999999984"/>
    <n v="20300.387649999997"/>
    <n v="8707.1927039146885"/>
    <n v="20300.387649999997"/>
    <n v="9963.0942217422125"/>
    <n v="14318.965517241384"/>
    <n v="7713.8118182552653"/>
    <n v="0.50413659465093363"/>
    <n v="0.49314363938375022"/>
    <n v="0.46809999423498244"/>
    <n v="0.46809999423498211"/>
    <n v="0.46809999423498211"/>
    <n v="0.7"/>
    <n v="0.90347180413405581"/>
    <n v="12193.940000000015"/>
    <n v="8784.747368945069"/>
    <n v="6485.6424451242392"/>
    <n v="6485.6424451242374"/>
    <n v="9502.6113419329013"/>
    <n v="14210.271354999997"/>
    <n v="12936.781609195406"/>
  </r>
  <r>
    <x v="0"/>
    <s v="POZOS"/>
    <n v="406"/>
    <x v="0"/>
    <x v="0"/>
    <x v="0"/>
    <s v="SANTA CRUZ"/>
    <s v="B 2"/>
    <x v="1"/>
    <n v="52842"/>
    <n v="19004.740000000002"/>
    <n v="21274.239999999998"/>
    <n v="8038.3299999999981"/>
    <n v="33228.583199999979"/>
    <n v="10605.491746499994"/>
    <n v="21961.199999999983"/>
    <n v="7349.8156036774462"/>
    <n v="21961.199999999983"/>
    <n v="7444.4499999999789"/>
    <n v="33228.583199999979"/>
    <n v="11263.889323135318"/>
    <n v="33228.583199999979"/>
    <n v="13893.304146440354"/>
    <n v="22781.465517241399"/>
    <n v="9683.7366757757118"/>
    <n v="0.22937322584308012"/>
    <n v="0.29301959541739248"/>
    <n v="0.14893816208650121"/>
    <n v="0.14893816208650124"/>
    <n v="0.14893816208650124"/>
    <n v="0.39"/>
    <n v="0.29244634489369886"/>
    <n v="12120.540000000039"/>
    <n v="6233.769197612507"/>
    <n v="3270.8607652140677"/>
    <n v="3270.8607652140681"/>
    <n v="4949.0041105463888"/>
    <n v="12959.147447999992"/>
    <n v="6662.3563218390855"/>
  </r>
  <r>
    <x v="0"/>
    <s v="POZOS"/>
    <n v="406"/>
    <x v="0"/>
    <x v="0"/>
    <x v="0"/>
    <s v="SANTA CRUZ"/>
    <s v="B 2"/>
    <x v="2"/>
    <n v="35848.950000000004"/>
    <n v="15487.060000000001"/>
    <n v="33473.99"/>
    <n v="11013.849999999999"/>
    <n v="21623.977749999998"/>
    <n v="7698.2071037499991"/>
    <n v="21277.160000000003"/>
    <n v="8896.9345703098334"/>
    <n v="21277.159999999996"/>
    <n v="9008.159999999998"/>
    <n v="21277.160000000011"/>
    <n v="9008.1600000000035"/>
    <n v="10638.580000000005"/>
    <n v="5171.36090513419"/>
    <n v="9253.7843248043228"/>
    <n v="4228.9794364355757"/>
    <n v="0.36281229994183933"/>
    <n v="0.1982963735339339"/>
    <n v="0.40216723540678284"/>
    <n v="0.40216723540678267"/>
    <n v="0.40216723540678267"/>
    <n v="0.68000000000000016"/>
    <n v="0.50901933717158798"/>
    <n v="13006.440000000002"/>
    <n v="6637.7708247111677"/>
    <n v="8556.9766145077829"/>
    <n v="8556.9766145077811"/>
    <n v="8556.9766145077847"/>
    <n v="7234.2344000000057"/>
    <n v="4710.3551633407269"/>
  </r>
  <r>
    <x v="0"/>
    <s v="POZOS"/>
    <n v="406"/>
    <x v="0"/>
    <x v="0"/>
    <x v="0"/>
    <s v="SANTA CRUZ"/>
    <s v="B 2"/>
    <x v="3"/>
    <n v="29283.17"/>
    <n v="14018.729999999998"/>
    <n v="15001.33"/>
    <n v="6322.6200000000008"/>
    <n v="22245.522749999989"/>
    <n v="9115.6231147499966"/>
    <n v="17232.180000000004"/>
    <n v="7666.3199999999943"/>
    <n v="17232.180000000008"/>
    <n v="7666.320000000007"/>
    <n v="17232.180000000015"/>
    <n v="7666.3200000000106"/>
    <n v="0"/>
    <n v="0"/>
    <n v="0"/>
    <n v="0"/>
    <n v="0.53721506244030348"/>
    <n v="0.38191809194499204"/>
    <n v="0.50693934255561446"/>
    <n v="0.50693934255561413"/>
    <n v="0.50693934255561413"/>
    <n v="0"/>
    <n v="0"/>
    <n v="15731.360000000021"/>
    <n v="5729.2793302371674"/>
    <n v="8735.6700000000128"/>
    <n v="8735.6700000000037"/>
    <n v="8735.670000000011"/>
    <n v="0"/>
    <n v="0"/>
  </r>
  <r>
    <x v="0"/>
    <s v="POZOS"/>
    <n v="406"/>
    <x v="0"/>
    <x v="0"/>
    <x v="0"/>
    <s v="SANTA CRUZ"/>
    <s v="B 2"/>
    <x v="4"/>
    <n v="26131.389999999992"/>
    <n v="12242.339999999997"/>
    <n v="17410.680000000004"/>
    <n v="7706.8000000000011"/>
    <n v="21528.850299999995"/>
    <n v="8583.043459499997"/>
    <n v="15017.42"/>
    <n v="7062.03"/>
    <n v="15017.419999999995"/>
    <n v="7062.0299999999916"/>
    <n v="15017.419999999995"/>
    <n v="7062.0299999999916"/>
    <n v="20588.398387096764"/>
    <n v="10104.445124002867"/>
    <n v="0"/>
    <n v="0"/>
    <n v="0.5245706409035269"/>
    <n v="0.44114443949708282"/>
    <n v="0.5786433355396603"/>
    <n v="0.57864333553965996"/>
    <n v="0.57864333553965996"/>
    <n v="0.70000000000000007"/>
    <n v="0"/>
    <n v="13707.760000000009"/>
    <n v="7680.6246698630712"/>
    <n v="8689.7300000000014"/>
    <n v="8689.73"/>
    <n v="8689.7299999999977"/>
    <n v="14411.878870967736"/>
    <n v="0"/>
  </r>
  <r>
    <x v="0"/>
    <s v="POZOS"/>
    <n v="406"/>
    <x v="0"/>
    <x v="0"/>
    <x v="0"/>
    <s v="SANTA CRUZ"/>
    <s v="B 2"/>
    <x v="5"/>
    <n v="20423.8"/>
    <n v="9603.11"/>
    <n v="17480.75"/>
    <n v="7638.2399999999989"/>
    <n v="18139.233799999995"/>
    <n v="7749.6786289999982"/>
    <n v="16472.439999999984"/>
    <n v="7929.3299999999927"/>
    <n v="16472.439999999984"/>
    <n v="7929.3299999999817"/>
    <n v="16472.439999999988"/>
    <n v="7929.3299999999836"/>
    <n v="22583.183870967725"/>
    <n v="11083.452819354439"/>
    <n v="0"/>
    <n v="0"/>
    <n v="0.56327813629197321"/>
    <n v="0.42491361196358474"/>
    <n v="0.62443511708040866"/>
    <n v="0.62443511708040855"/>
    <n v="0.62443511708040855"/>
    <n v="0.7"/>
    <n v="0"/>
    <n v="11504.280000000002"/>
    <n v="7427.8086223324335"/>
    <n v="10285.969999999998"/>
    <n v="10285.969999999996"/>
    <n v="10285.969999999998"/>
    <n v="15808.228709677407"/>
    <n v="0"/>
  </r>
  <r>
    <x v="0"/>
    <s v="POZOS"/>
    <n v="406"/>
    <x v="0"/>
    <x v="0"/>
    <x v="0"/>
    <s v="SANTA CRUZ"/>
    <s v="B 2"/>
    <x v="6"/>
    <n v="21974.33"/>
    <n v="10308.520000000004"/>
    <n v="21129.540000000005"/>
    <n v="9246.0600000000013"/>
    <n v="20472.420299999987"/>
    <n v="8857.719417499995"/>
    <n v="15451.319999999996"/>
    <n v="7430.5999999999985"/>
    <n v="15451.319999999992"/>
    <n v="7430.5999999999949"/>
    <n v="15451.319999999985"/>
    <n v="7430.5999999999913"/>
    <n v="21183.26129032256"/>
    <n v="10396.393990006796"/>
    <n v="0"/>
    <n v="0"/>
    <n v="0.50973749825364456"/>
    <n v="0.44201952181107346"/>
    <n v="0.66263464869020905"/>
    <n v="0.66263464869020905"/>
    <n v="0.66263464869020905"/>
    <n v="0.7"/>
    <n v="0"/>
    <n v="11201.14000000001"/>
    <n v="9339.6691668879503"/>
    <n v="10238.579999999996"/>
    <n v="10238.579999999998"/>
    <n v="10238.579999999991"/>
    <n v="14828.282903225791"/>
    <n v="0"/>
  </r>
  <r>
    <x v="0"/>
    <s v="POZOS"/>
    <n v="406"/>
    <x v="0"/>
    <x v="0"/>
    <x v="0"/>
    <s v="SANTA CRUZ"/>
    <s v="B 2"/>
    <x v="7"/>
    <n v="73010.510000000009"/>
    <n v="19650.479999999996"/>
    <n v="39274.560000000005"/>
    <n v="11675.730000000007"/>
    <n v="39947.511499999986"/>
    <n v="11488.750884999998"/>
    <n v="27660.324336351128"/>
    <n v="9217.8030850890136"/>
    <n v="41348.169999999991"/>
    <n v="15947.180000000004"/>
    <n v="41348.169999999976"/>
    <n v="13779.277652499992"/>
    <n v="52718.916749999968"/>
    <n v="22042.466880701038"/>
    <n v="0"/>
    <n v="0"/>
    <n v="0.11020207912532078"/>
    <n v="9.4031720932217622E-2"/>
    <n v="0.23451993159552187"/>
    <n v="0.17"/>
    <n v="0.17"/>
    <n v="0.39"/>
    <n v="0"/>
    <n v="8045.9100000000244"/>
    <n v="3693.0544656556372"/>
    <n v="9696.9700000000066"/>
    <n v="4702.2551371796917"/>
    <n v="7029.1888999999965"/>
    <n v="20560.377532499988"/>
    <n v="0"/>
  </r>
  <r>
    <x v="0"/>
    <s v="POZOS"/>
    <n v="406"/>
    <x v="0"/>
    <x v="0"/>
    <x v="0"/>
    <s v="SANTA CRUZ"/>
    <s v="B 2"/>
    <x v="8"/>
    <n v="23196.159999999996"/>
    <n v="9963.369999999999"/>
    <n v="17462.080000000002"/>
    <n v="6160.800000000002"/>
    <n v="18539.168099999995"/>
    <n v="7614.106085999998"/>
    <n v="17982.993056999996"/>
    <n v="7786.6359936809968"/>
    <n v="14217.239999999996"/>
    <n v="7038.2399999999961"/>
    <n v="14217.239999999996"/>
    <n v="7038.2399999999961"/>
    <n v="19491.377419354834"/>
    <n v="9474.6617662946428"/>
    <n v="0"/>
    <n v="0"/>
    <n v="0.40577492136629562"/>
    <n v="0.24454913253908292"/>
    <n v="0.63889967391701941"/>
    <n v="0.54999999999999993"/>
    <n v="0.54999999999999993"/>
    <n v="0.68"/>
    <n v="0"/>
    <n v="9412.420000000011"/>
    <n v="4270.3365163280696"/>
    <n v="9083.3900000000031"/>
    <n v="9890.6461813499973"/>
    <n v="7819.4819999999972"/>
    <n v="13254.136645161288"/>
    <n v="0"/>
  </r>
  <r>
    <x v="0"/>
    <s v="POZOS"/>
    <n v="406"/>
    <x v="0"/>
    <x v="0"/>
    <x v="0"/>
    <s v="SANTA CRUZ"/>
    <s v="B 2"/>
    <x v="9"/>
    <n v="12680.22"/>
    <n v="5619.6399999999994"/>
    <n v="17251.260000000002"/>
    <n v="6865.5099999999984"/>
    <n v="19378.373599999995"/>
    <n v="7960.9742489999981"/>
    <n v="18797.022391999995"/>
    <n v="8458.6600763999995"/>
    <n v="8919.8899999999976"/>
    <n v="4654.1299999999965"/>
    <n v="18797.022391999995"/>
    <n v="8458.6600763999995"/>
    <n v="18608.172580645169"/>
    <n v="9132.5830773191083"/>
    <n v="0"/>
    <n v="0"/>
    <n v="0.45436593371408357"/>
    <n v="0.41226684425398824"/>
    <n v="0.76899378803998697"/>
    <n v="0.6"/>
    <n v="0.6"/>
    <n v="0.7"/>
    <n v="0"/>
    <n v="5761.4599999999964"/>
    <n v="7112.1225196050582"/>
    <n v="6859.3399999999974"/>
    <n v="11278.213435199998"/>
    <n v="11278.213435199998"/>
    <n v="13025.720806451618"/>
    <n v="0"/>
  </r>
  <r>
    <x v="0"/>
    <s v="POZOS"/>
    <n v="406"/>
    <x v="0"/>
    <x v="0"/>
    <x v="0"/>
    <s v="SANTA CRUZ"/>
    <s v="B 2"/>
    <x v="10"/>
    <n v="18221.5"/>
    <n v="6939.2999999999984"/>
    <n v="14408.12"/>
    <n v="5603.7900000000009"/>
    <n v="24266.261549999996"/>
    <n v="9240.8793252499981"/>
    <n v="23052.948472499997"/>
    <n v="9082.8616981649993"/>
    <n v="8452.5862068965507"/>
    <n v="3220.2210985916595"/>
    <n v="23052.948472499997"/>
    <n v="9082.8616981649993"/>
    <n v="31604.848712298386"/>
    <n v="14177.547352798019"/>
    <n v="0"/>
    <n v="0"/>
    <n v="0.20162061301210107"/>
    <n v="0.30375307980680549"/>
    <n v="0.23451993159552187"/>
    <n v="0.35"/>
    <n v="0.35"/>
    <n v="0.52"/>
    <n v="0"/>
    <n v="3673.83"/>
    <n v="4376.5108242260303"/>
    <n v="1982.2999390466307"/>
    <n v="8068.5319653749984"/>
    <n v="8068.5319653749984"/>
    <n v="16434.52133039516"/>
    <n v="0"/>
  </r>
  <r>
    <x v="0"/>
    <s v="POZOS"/>
    <n v="406"/>
    <x v="0"/>
    <x v="0"/>
    <x v="0"/>
    <s v="SANTA CRUZ"/>
    <s v="B 2"/>
    <x v="11"/>
    <n v="51908.919999999991"/>
    <n v="21372.539999999986"/>
    <n v="40631.210000000006"/>
    <n v="17648.230000000003"/>
    <n v="41225.952250000017"/>
    <n v="18266.054139250005"/>
    <n v="39164.654637500018"/>
    <n v="17937.41182397501"/>
    <n v="32429.798850574709"/>
    <n v="15434.82785331063"/>
    <n v="39164.654637500018"/>
    <n v="17937.41182397501"/>
    <n v="53693.47813205648"/>
    <n v="26100.133069713651"/>
    <n v="0"/>
    <n v="0"/>
    <n v="0.28291399628426095"/>
    <n v="0.43230940479298524"/>
    <n v="0.40216723540678284"/>
    <n v="0.6"/>
    <n v="0.6"/>
    <n v="0.68"/>
    <n v="0"/>
    <n v="14685.759999999997"/>
    <n v="17565.254211118794"/>
    <n v="13042.202548533694"/>
    <n v="23498.792782500012"/>
    <n v="23498.792782500012"/>
    <n v="36511.565129798408"/>
    <n v="0"/>
  </r>
  <r>
    <x v="0"/>
    <s v="RAMADA"/>
    <n v="409"/>
    <x v="0"/>
    <x v="2"/>
    <x v="0"/>
    <s v="SANTA CRUZ"/>
    <s v="B 2"/>
    <x v="0"/>
    <n v="45021.150000000009"/>
    <n v="19463.600000000002"/>
    <n v="36282.36"/>
    <n v="14658.920000000002"/>
    <n v="40178.690683333305"/>
    <n v="15847.570255666653"/>
    <n v="25052.150000000027"/>
    <n v="10171.390205229138"/>
    <n v="25052.150000000023"/>
    <n v="10272.670000000022"/>
    <n v="40178.690683333305"/>
    <n v="16475.329679167578"/>
    <n v="42589.412124333299"/>
    <n v="20783.890543036563"/>
    <n v="23139.367816091963"/>
    <n v="12703.76737021448"/>
    <n v="0.46666377913491769"/>
    <n v="0.38023577253024343"/>
    <n v="0.47029959574266894"/>
    <n v="0.47029959574266866"/>
    <n v="0.47029959574266866"/>
    <n v="0.70000000000000007"/>
    <n v="0.94405464141570949"/>
    <n v="21009.740000000005"/>
    <n v="13795.851183820403"/>
    <n v="11782.016017484715"/>
    <n v="11782.01601748471"/>
    <n v="18896.02198584138"/>
    <n v="29812.588487033314"/>
    <n v="21844.827586206906"/>
  </r>
  <r>
    <x v="0"/>
    <s v="RAMADA"/>
    <n v="409"/>
    <x v="0"/>
    <x v="2"/>
    <x v="0"/>
    <s v="SANTA CRUZ"/>
    <s v="B 2"/>
    <x v="1"/>
    <n v="81612.33"/>
    <n v="29301.95"/>
    <n v="46264.660000000011"/>
    <n v="15129.180000000013"/>
    <n v="69292.915499999974"/>
    <n v="19691.879302499994"/>
    <n v="43571.349999999948"/>
    <n v="13929.254286166324"/>
    <n v="43571.349999999977"/>
    <n v="13979.509999999969"/>
    <n v="69292.915499999974"/>
    <n v="22232.063159883801"/>
    <n v="72064.632119999966"/>
    <n v="29914.528889840454"/>
    <n v="40606.32183908049"/>
    <n v="18431.649988780016"/>
    <n v="0.280212315957651"/>
    <n v="0.22307504486656005"/>
    <n v="0.14921969886624559"/>
    <n v="0.14921969886624525"/>
    <n v="0.14921969886624525"/>
    <n v="0.39000000000000007"/>
    <n v="0.32694076852310511"/>
    <n v="22868.780000000079"/>
    <n v="10320.491105236148"/>
    <n v="6501.7037261957857"/>
    <n v="6501.7037261957676"/>
    <n v="10339.867984474175"/>
    <n v="28105.206526799993"/>
    <n v="13275.862068965522"/>
  </r>
  <r>
    <x v="0"/>
    <s v="RAMADA"/>
    <n v="409"/>
    <x v="0"/>
    <x v="2"/>
    <x v="0"/>
    <s v="SANTA CRUZ"/>
    <s v="B 2"/>
    <x v="2"/>
    <n v="57762.549999999996"/>
    <n v="24158.30999999999"/>
    <n v="75249.42"/>
    <n v="23872.319999999992"/>
    <n v="44171.007075000001"/>
    <n v="15070.923060749998"/>
    <n v="36896.100000000013"/>
    <n v="15273.615819986835"/>
    <n v="36896.10000000002"/>
    <n v="15292.610000000033"/>
    <n v="36896.100000000028"/>
    <n v="15292.610000000037"/>
    <n v="38740.905000000028"/>
    <n v="18723.590817819655"/>
    <n v="28963.37558414488"/>
    <n v="14829.248299082179"/>
    <n v="0.33135084929595443"/>
    <n v="0.17487582707298313"/>
    <n v="0.4003272592364151"/>
    <n v="0.40032725923641499"/>
    <n v="0.40032725923641499"/>
    <n v="0.68"/>
    <n v="0.74159061917378066"/>
    <n v="19139.670000000031"/>
    <n v="13159.304559262278"/>
    <n v="14770.514589512703"/>
    <n v="14770.514589512697"/>
    <n v="14770.514589512703"/>
    <n v="26343.815400000021"/>
    <n v="21478.967632808763"/>
  </r>
  <r>
    <x v="0"/>
    <s v="RAMADA"/>
    <n v="409"/>
    <x v="0"/>
    <x v="2"/>
    <x v="0"/>
    <s v="SANTA CRUZ"/>
    <s v="B 2"/>
    <x v="3"/>
    <n v="54083.069999999992"/>
    <n v="25429.029999999995"/>
    <n v="34854.429999999993"/>
    <n v="14229.100000000002"/>
    <n v="3722.3030249999983"/>
    <n v="1526.1442402499993"/>
    <n v="36544.020000000026"/>
    <n v="17020.350000000017"/>
    <n v="36544.020000000033"/>
    <n v="17020.350000000028"/>
    <n v="36544.020000000033"/>
    <n v="17020.350000000028"/>
    <n v="39102.101400000029"/>
    <n v="19082.061830949478"/>
    <n v="0"/>
    <n v="0"/>
    <n v="0.53660933079427697"/>
    <n v="0.33505455373220827"/>
    <n v="0.61483848793865636"/>
    <n v="0.61483848793865603"/>
    <n v="0.61483848793865603"/>
    <n v="0.7"/>
    <n v="0"/>
    <n v="29021.480000000032"/>
    <n v="11678.135489240489"/>
    <n v="22468.670000000038"/>
    <n v="22468.67000000002"/>
    <n v="22468.670000000024"/>
    <n v="27371.47098000002"/>
    <n v="0"/>
  </r>
  <r>
    <x v="0"/>
    <s v="RAMADA"/>
    <n v="409"/>
    <x v="0"/>
    <x v="2"/>
    <x v="0"/>
    <s v="SANTA CRUZ"/>
    <s v="B 2"/>
    <x v="4"/>
    <n v="48457.320000000007"/>
    <n v="23342.910000000007"/>
    <n v="37059.110000000008"/>
    <n v="14821.340000000006"/>
    <n v="41568.562724999982"/>
    <n v="15445.532997874992"/>
    <n v="30891.090000000011"/>
    <n v="15221.580000000005"/>
    <n v="30891.090000000011"/>
    <n v="15221.580000000016"/>
    <n v="30891.090000000011"/>
    <n v="15221.580000000016"/>
    <n v="33053.466300000015"/>
    <n v="16130.29134193296"/>
    <n v="0"/>
    <n v="0"/>
    <n v="0.5622312583527117"/>
    <n v="0.34623251042457165"/>
    <n v="0.69390526523991247"/>
    <n v="0.69390526523991214"/>
    <n v="0.69390526523991214"/>
    <n v="0.7"/>
    <n v="0"/>
    <n v="27244.220000000027"/>
    <n v="12831.06868940035"/>
    <n v="21435.490000000016"/>
    <n v="21435.490000000005"/>
    <n v="21435.490000000005"/>
    <n v="23137.426410000007"/>
    <n v="0"/>
  </r>
  <r>
    <x v="0"/>
    <s v="RAMADA"/>
    <n v="409"/>
    <x v="0"/>
    <x v="2"/>
    <x v="0"/>
    <s v="SANTA CRUZ"/>
    <s v="B 2"/>
    <x v="5"/>
    <n v="40967.379999999997"/>
    <n v="18939.409999999996"/>
    <n v="32611.279999999999"/>
    <n v="13748.919999999998"/>
    <n v="37962.380474999976"/>
    <n v="15934.474769624991"/>
    <n v="28361.970000000008"/>
    <n v="13495.160109647524"/>
    <n v="28361.970000000019"/>
    <n v="13517.120000000012"/>
    <n v="28361.970000000008"/>
    <n v="13517.120000000006"/>
    <n v="30347.307900000011"/>
    <n v="14809.669685697796"/>
    <n v="0"/>
    <n v="0"/>
    <n v="0.45817526041450557"/>
    <n v="0.39444449211916488"/>
    <n v="0.64228802218018044"/>
    <n v="0.64228802218018044"/>
    <n v="0.64228802218018044"/>
    <n v="0.70000000000000007"/>
    <n v="0"/>
    <n v="18770.240000000005"/>
    <n v="12863.33977695588"/>
    <n v="18216.553616433626"/>
    <n v="18216.553616433619"/>
    <n v="18216.553616433619"/>
    <n v="21243.11553000001"/>
    <n v="0"/>
  </r>
  <r>
    <x v="0"/>
    <s v="RAMADA"/>
    <n v="409"/>
    <x v="0"/>
    <x v="2"/>
    <x v="0"/>
    <s v="SANTA CRUZ"/>
    <s v="B 2"/>
    <x v="6"/>
    <n v="45227.97"/>
    <n v="21319.449999999997"/>
    <n v="39625.14"/>
    <n v="16869.689999999999"/>
    <n v="42176.716699999961"/>
    <n v="17874.359858499985"/>
    <n v="29472.979999999992"/>
    <n v="14504.620000000012"/>
    <n v="29472.979999999989"/>
    <n v="14504.619999999992"/>
    <n v="29472.980000000014"/>
    <n v="14504.620000000004"/>
    <n v="35072.846200000015"/>
    <n v="17115.760939021584"/>
    <n v="0"/>
    <n v="0"/>
    <n v="0.51339867785354976"/>
    <n v="0.398127056760602"/>
    <n v="0.68316810855230881"/>
    <n v="0.68316810855230892"/>
    <n v="0.68316810855230892"/>
    <n v="0.70000000000000007"/>
    <n v="0"/>
    <n v="23219.980000000014"/>
    <n v="15775.840361926801"/>
    <n v="20135.000000000018"/>
    <n v="20135.000000000025"/>
    <n v="20135.00000000004"/>
    <n v="24550.992340000012"/>
    <n v="0"/>
  </r>
  <r>
    <x v="0"/>
    <s v="RAMADA"/>
    <n v="409"/>
    <x v="0"/>
    <x v="2"/>
    <x v="0"/>
    <s v="SANTA CRUZ"/>
    <s v="B 2"/>
    <x v="7"/>
    <n v="143802.85"/>
    <n v="42365.240000000005"/>
    <n v="91904.320000000022"/>
    <n v="26554.710000000028"/>
    <n v="105868.13183999993"/>
    <n v="30627.660260199984"/>
    <n v="60222.657955105264"/>
    <n v="19774.109739558811"/>
    <n v="83583.420000000115"/>
    <n v="33599.430000000095"/>
    <n v="83583.420000000231"/>
    <n v="27444.615957000075"/>
    <n v="86926.756800000236"/>
    <n v="36083.899981112438"/>
    <n v="0"/>
    <n v="0"/>
    <n v="0.17609052949924087"/>
    <n v="9.6353156550621946E-2"/>
    <n v="0.27022620036366224"/>
    <n v="0.16999999999999998"/>
    <n v="0.16999999999999998"/>
    <n v="0.39"/>
    <n v="0"/>
    <n v="25322.319999999909"/>
    <n v="8855.2713326384583"/>
    <n v="22586.430000000164"/>
    <n v="10237.851852367894"/>
    <n v="14209.181400000038"/>
    <n v="33901.435152000093"/>
    <n v="0"/>
  </r>
  <r>
    <x v="0"/>
    <s v="RAMADA"/>
    <n v="409"/>
    <x v="0"/>
    <x v="2"/>
    <x v="0"/>
    <s v="SANTA CRUZ"/>
    <s v="B 2"/>
    <x v="8"/>
    <n v="36836.21"/>
    <n v="15341.949999999995"/>
    <n v="40711.74"/>
    <n v="13393.929999999993"/>
    <n v="39357.899784999972"/>
    <n v="16092.008329674987"/>
    <n v="39751.478782849968"/>
    <n v="18285.680240110989"/>
    <n v="30387.150000000012"/>
    <n v="15606.870000000014"/>
    <n v="30387.150000000012"/>
    <n v="15606.870000000012"/>
    <n v="34337.479500000023"/>
    <n v="16595.402607999749"/>
    <n v="0"/>
    <n v="0"/>
    <n v="0.35747868741110961"/>
    <n v="0.22471160532238202"/>
    <n v="0.7425852704185818"/>
    <n v="0.6"/>
    <n v="0.6"/>
    <n v="0.68"/>
    <n v="0"/>
    <n v="13168.159999999989"/>
    <n v="9148.4004508674316"/>
    <n v="22565.050000000017"/>
    <n v="23850.88726970998"/>
    <n v="18232.290000000008"/>
    <n v="23349.486060000017"/>
    <n v="0"/>
  </r>
  <r>
    <x v="0"/>
    <s v="RAMADA"/>
    <n v="409"/>
    <x v="0"/>
    <x v="2"/>
    <x v="0"/>
    <s v="SANTA CRUZ"/>
    <s v="B 2"/>
    <x v="9"/>
    <n v="31229.559999999998"/>
    <n v="13723.169999999998"/>
    <n v="33788.01999999999"/>
    <n v="12620.769999999993"/>
    <n v="41781.493924999966"/>
    <n v="17053.200689124984"/>
    <n v="48529.205193887457"/>
    <n v="23536.664519035417"/>
    <n v="18249.290000000008"/>
    <n v="9636.9500000000044"/>
    <n v="48529.205193887457"/>
    <n v="23536.664519035417"/>
    <n v="41249.824414804338"/>
    <n v="20130.163643816471"/>
    <n v="0"/>
    <n v="0"/>
    <n v="0.42331047891805146"/>
    <n v="0.36352489478244021"/>
    <n v="0.73905834144780447"/>
    <n v="0.7"/>
    <n v="0.7"/>
    <n v="0.7"/>
    <n v="0"/>
    <n v="13219.800000000023"/>
    <n v="12282.786415406981"/>
    <n v="13487.29000000001"/>
    <n v="33970.443635721218"/>
    <n v="33970.443635721218"/>
    <n v="28874.877090363036"/>
    <n v="0"/>
  </r>
  <r>
    <x v="0"/>
    <s v="RAMADA"/>
    <n v="409"/>
    <x v="0"/>
    <x v="2"/>
    <x v="0"/>
    <s v="SANTA CRUZ"/>
    <s v="B 2"/>
    <x v="10"/>
    <n v="41243.18"/>
    <n v="16004.799999999997"/>
    <n v="25850.739999999998"/>
    <n v="9646.7799999999988"/>
    <n v="47711.310049999985"/>
    <n v="17236.665662999992"/>
    <n v="38550.738520399987"/>
    <n v="15323.918561858995"/>
    <n v="17444.540229885057"/>
    <n v="6819.3976887574217"/>
    <n v="38550.738520399987"/>
    <n v="15323.918561858995"/>
    <n v="46646.393609683975"/>
    <n v="20789.249576071539"/>
    <n v="0"/>
    <n v="0"/>
    <n v="0.27866182966492897"/>
    <n v="0.23724262521794548"/>
    <n v="0.27022620036366224"/>
    <n v="0.35"/>
    <n v="0.35"/>
    <n v="0.52"/>
    <n v="0"/>
    <n v="11492.900000000005"/>
    <n v="6132.8974214265518"/>
    <n v="4713.9718234128859"/>
    <n v="13492.758482139994"/>
    <n v="13492.758482139994"/>
    <n v="24256.124677035667"/>
    <n v="0"/>
  </r>
  <r>
    <x v="0"/>
    <s v="RAMADA"/>
    <n v="409"/>
    <x v="0"/>
    <x v="2"/>
    <x v="0"/>
    <s v="SANTA CRUZ"/>
    <s v="B 2"/>
    <x v="11"/>
    <n v="96111.689999999988"/>
    <n v="38492.619999999988"/>
    <n v="63440.45"/>
    <n v="26199.729999999992"/>
    <n v="68053.075100000031"/>
    <n v="28230.358040000017"/>
    <n v="72170.286143550038"/>
    <n v="33487.012770607224"/>
    <n v="56886.594827586203"/>
    <n v="26785.297966355924"/>
    <n v="72170.286143550038"/>
    <n v="33487.012770607224"/>
    <n v="77222.206173598548"/>
    <n v="37321.714359635247"/>
    <n v="0"/>
    <n v="0"/>
    <n v="0.30740641434980498"/>
    <n v="0.44584053664295747"/>
    <n v="0.4003272592364151"/>
    <n v="0.6"/>
    <n v="0.6"/>
    <n v="0.68"/>
    <n v="0"/>
    <n v="29545.350000000002"/>
    <n v="28284.324272870712"/>
    <n v="22773.254594620012"/>
    <n v="43302.171686130023"/>
    <n v="43302.171686130023"/>
    <n v="52511.100198047017"/>
    <n v="0"/>
  </r>
  <r>
    <x v="0"/>
    <s v="SAN MARTIN"/>
    <n v="301"/>
    <x v="0"/>
    <x v="2"/>
    <x v="0"/>
    <s v="COCHABAMBA"/>
    <s v="B 2"/>
    <x v="0"/>
    <n v="43807.320000000007"/>
    <n v="20984.65"/>
    <n v="40623.100000000006"/>
    <n v="18691.04"/>
    <n v="38581.197350000002"/>
    <n v="17452.000923750002"/>
    <n v="34338.87000000001"/>
    <n v="16756.74877537533"/>
    <n v="34338.87000000001"/>
    <n v="16705.250000000007"/>
    <n v="38581.197350000002"/>
    <n v="18769.066863035612"/>
    <n v="41281.88116450001"/>
    <n v="20481.025796236056"/>
    <n v="28607.040229885071"/>
    <n v="16265.162768511214"/>
    <n v="0.59940096769215745"/>
    <n v="0.56857781335959801"/>
    <n v="0.63199267119538849"/>
    <n v="0.63199267119538771"/>
    <n v="0.63199267119538771"/>
    <n v="0.7"/>
    <n v="0.98149217749428697"/>
    <n v="26258.150000000009"/>
    <n v="23097.39336988829"/>
    <n v="21701.914177131195"/>
    <n v="21701.91417713117"/>
    <n v="24383.033971142915"/>
    <n v="28897.316815150003"/>
    <n v="28077.586206896565"/>
  </r>
  <r>
    <x v="0"/>
    <s v="SAN MARTIN"/>
    <n v="301"/>
    <x v="0"/>
    <x v="2"/>
    <x v="0"/>
    <s v="COCHABAMBA"/>
    <s v="B 2"/>
    <x v="1"/>
    <n v="80154.12"/>
    <n v="29988.879999999997"/>
    <n v="46072"/>
    <n v="19468.130000000008"/>
    <n v="72167.434449999986"/>
    <n v="28583.867993749995"/>
    <n v="52763.929999999986"/>
    <n v="19659.979146070615"/>
    <n v="52763.929999999978"/>
    <n v="19573.539999999979"/>
    <n v="72167.434449999986"/>
    <n v="26771.549520751236"/>
    <n v="75054.131827999983"/>
    <n v="32597.608958720441"/>
    <n v="47271.408045977078"/>
    <n v="20529.712163911445"/>
    <n v="0.29459408948660482"/>
    <n v="0.40129250800562893"/>
    <n v="0.21834023298353802"/>
    <n v="0.21834023298353714"/>
    <n v="0.21834023298353714"/>
    <n v="0.39000000000000007"/>
    <n v="0.3861292548228164"/>
    <n v="23612.930000000058"/>
    <n v="18488.348428835336"/>
    <n v="11520.488769327087"/>
    <n v="11520.488769327041"/>
    <n v="15757.054451637141"/>
    <n v="29271.11141292"/>
    <n v="18252.873563218418"/>
  </r>
  <r>
    <x v="0"/>
    <s v="SAN MARTIN"/>
    <n v="301"/>
    <x v="0"/>
    <x v="2"/>
    <x v="0"/>
    <s v="COCHABAMBA"/>
    <s v="B 2"/>
    <x v="2"/>
    <n v="49930.28"/>
    <n v="22023.279999999999"/>
    <n v="71681.310000000012"/>
    <n v="29193.130000000008"/>
    <n v="41600.356134999987"/>
    <n v="17521.793113599997"/>
    <n v="45949.160000000025"/>
    <n v="21198.502054722147"/>
    <n v="45949.160000000011"/>
    <n v="21166.770000000011"/>
    <n v="45949.160000000062"/>
    <n v="21166.770000000037"/>
    <n v="47787.126400000066"/>
    <n v="23517.901671422758"/>
    <n v="46911.270995689789"/>
    <n v="23267.990413862135"/>
    <n v="0.41548995919910742"/>
    <n v="0.32347327792709674"/>
    <n v="0.48200609154002783"/>
    <n v="0.48200609154002766"/>
    <n v="0.48200609154002766"/>
    <n v="0.68"/>
    <n v="0.68701635628203939"/>
    <n v="20745.53000000001"/>
    <n v="23186.988311808382"/>
    <n v="22147.77502114739"/>
    <n v="22147.77502114739"/>
    <n v="22147.775021147409"/>
    <n v="32495.245952000048"/>
    <n v="32228.810468018117"/>
  </r>
  <r>
    <x v="0"/>
    <s v="SAN MARTIN"/>
    <n v="301"/>
    <x v="0"/>
    <x v="2"/>
    <x v="0"/>
    <s v="COCHABAMBA"/>
    <s v="B 2"/>
    <x v="3"/>
    <n v="35637.409999999996"/>
    <n v="17608.449999999993"/>
    <n v="29856.94"/>
    <n v="13770.009999999998"/>
    <n v="34689.53676499999"/>
    <n v="16165.489742399997"/>
    <n v="35710.250000000015"/>
    <n v="17486.58000000002"/>
    <n v="35710.250000000029"/>
    <n v="17486.580000000027"/>
    <n v="35710.250000000029"/>
    <n v="17486.580000000027"/>
    <n v="38209.967500000028"/>
    <n v="18956.968722486759"/>
    <n v="0"/>
    <n v="0"/>
    <n v="0.61970693156433099"/>
    <n v="0.56079483545436837"/>
    <n v="0.66669289629728223"/>
    <n v="0.66669289629728168"/>
    <n v="0.66669289629728168"/>
    <n v="0.7"/>
    <n v="0"/>
    <n v="22084.750000000004"/>
    <n v="16743.61775447095"/>
    <n v="23807.770000000044"/>
    <n v="23807.770000000011"/>
    <n v="23807.770000000022"/>
    <n v="26746.977250000018"/>
    <n v="0"/>
  </r>
  <r>
    <x v="0"/>
    <s v="SAN MARTIN"/>
    <n v="301"/>
    <x v="0"/>
    <x v="2"/>
    <x v="0"/>
    <s v="COCHABAMBA"/>
    <s v="B 2"/>
    <x v="4"/>
    <n v="39849.730000000003"/>
    <n v="19823.350000000002"/>
    <n v="27152.100000000002"/>
    <n v="12889"/>
    <n v="36130.436349999989"/>
    <n v="16000.831406499992"/>
    <n v="31270.959999999999"/>
    <n v="15981.287743043544"/>
    <n v="31270.959999999999"/>
    <n v="15932.110000000011"/>
    <n v="31270.959999999999"/>
    <n v="15932.110000000013"/>
    <n v="33459.927199999991"/>
    <n v="16600.348937409683"/>
    <n v="0"/>
    <n v="0"/>
    <n v="0.61938286658403985"/>
    <n v="0.577341101414101"/>
    <n v="0.71822486240713757"/>
    <n v="0.71822486240713723"/>
    <n v="0.71822486240713723"/>
    <n v="0.70000000000000007"/>
    <n v="0"/>
    <n v="24682.240000000013"/>
    <n v="15676.023319705813"/>
    <n v="22459.5809433391"/>
    <n v="22459.580943339093"/>
    <n v="22459.580943339093"/>
    <n v="23421.949039999996"/>
    <n v="0"/>
  </r>
  <r>
    <x v="0"/>
    <s v="SAN MARTIN"/>
    <n v="301"/>
    <x v="0"/>
    <x v="2"/>
    <x v="0"/>
    <s v="COCHABAMBA"/>
    <s v="B 2"/>
    <x v="5"/>
    <n v="38990.710000000006"/>
    <n v="19076.280000000002"/>
    <n v="20977.22"/>
    <n v="10158.500000000002"/>
    <n v="31035.315249999981"/>
    <n v="14660.223602499993"/>
    <n v="36894.419999999984"/>
    <n v="19158.909999999989"/>
    <n v="36894.42"/>
    <n v="19158.910000000018"/>
    <n v="36894.42"/>
    <n v="19158.910000000018"/>
    <n v="39477.029399999992"/>
    <n v="19585.591419110468"/>
    <n v="0"/>
    <n v="0"/>
    <n v="0.57300469778570295"/>
    <n v="0.65102333761110365"/>
    <n v="0.76480887895784821"/>
    <n v="0.76480887895784833"/>
    <n v="0.76480887895784833"/>
    <n v="0.7"/>
    <n v="0"/>
    <n v="22341.85999999999"/>
    <n v="13656.659778202396"/>
    <n v="28217.180000000011"/>
    <n v="28217.180000000008"/>
    <n v="28217.180000000018"/>
    <n v="27633.920579999995"/>
    <n v="0"/>
  </r>
  <r>
    <x v="0"/>
    <s v="SAN MARTIN"/>
    <n v="301"/>
    <x v="0"/>
    <x v="2"/>
    <x v="0"/>
    <s v="COCHABAMBA"/>
    <s v="B 2"/>
    <x v="6"/>
    <n v="41490.229999999996"/>
    <n v="20498.279999999992"/>
    <n v="36107.01999999999"/>
    <n v="17373.939999999995"/>
    <n v="32602.66759999999"/>
    <n v="15399.361303999993"/>
    <n v="35803.49"/>
    <n v="18795.400000000041"/>
    <n v="35803.489999999969"/>
    <n v="18795.399999999958"/>
    <n v="35803.490000000005"/>
    <n v="18795.399999999976"/>
    <n v="37951.699400000005"/>
    <n v="18828.835132901357"/>
    <n v="0"/>
    <n v="0"/>
    <n v="0.63659878482235488"/>
    <n v="0.61012378066947659"/>
    <n v="0.81142592523801482"/>
    <n v="0.81142592523801493"/>
    <n v="0.81142592523801493"/>
    <n v="0.70000000000000007"/>
    <n v="0"/>
    <n v="26412.630000000012"/>
    <n v="22029.751551108398"/>
    <n v="29051.879999999986"/>
    <n v="29051.880000000012"/>
    <n v="29051.880000000019"/>
    <n v="26566.189580000006"/>
    <n v="0"/>
  </r>
  <r>
    <x v="0"/>
    <s v="SAN MARTIN"/>
    <n v="301"/>
    <x v="0"/>
    <x v="2"/>
    <x v="0"/>
    <s v="COCHABAMBA"/>
    <s v="B 2"/>
    <x v="7"/>
    <n v="127657.23000000001"/>
    <n v="42533.139999999992"/>
    <n v="71054.049999999988"/>
    <n v="26130.989999999991"/>
    <n v="73070.621800000037"/>
    <n v="27340.728579500017"/>
    <n v="67907.011572605436"/>
    <n v="26910.869616107811"/>
    <n v="78747.749999999927"/>
    <n v="33442.719999999921"/>
    <n v="78747.750000000189"/>
    <n v="31206.945847500076"/>
    <n v="81110.182500000199"/>
    <n v="35227.880828262088"/>
    <n v="0"/>
    <n v="0"/>
    <n v="0.17852870534634013"/>
    <n v="0.24513312528444076"/>
    <n v="0.3621844433650499"/>
    <n v="0.27"/>
    <n v="0.27"/>
    <n v="0.38999999999999996"/>
    <n v="0"/>
    <n v="22790.479999999974"/>
    <n v="17417.701340616914"/>
    <n v="28521.210000000083"/>
    <n v="18334.89312460347"/>
    <n v="21261.892500000053"/>
    <n v="31632.971175000075"/>
    <n v="0"/>
  </r>
  <r>
    <x v="0"/>
    <s v="SAN MARTIN"/>
    <n v="301"/>
    <x v="0"/>
    <x v="2"/>
    <x v="0"/>
    <s v="COCHABAMBA"/>
    <s v="B 2"/>
    <x v="8"/>
    <n v="18879.599999999999"/>
    <n v="8630.7899999999972"/>
    <n v="40005.919999999998"/>
    <n v="17760.209999999992"/>
    <n v="32451.523649999988"/>
    <n v="15064.919951999993"/>
    <n v="32608.913539702487"/>
    <n v="15792.496827277915"/>
    <n v="31389.860000000022"/>
    <n v="15926.110000000022"/>
    <n v="31389.860000000022"/>
    <n v="15926.110000000022"/>
    <n v="33273.251600000025"/>
    <n v="16375.059945377036"/>
    <n v="0"/>
    <n v="0"/>
    <n v="0.44946556071103244"/>
    <n v="0.48462639202433594"/>
    <n v="0.72517335215894574"/>
    <n v="0.64999999999999991"/>
    <n v="0.64999999999999991"/>
    <n v="0.67999999999999994"/>
    <n v="0"/>
    <n v="8485.7300000000068"/>
    <n v="19387.924669214222"/>
    <n v="22763.090000000022"/>
    <n v="21195.793800806616"/>
    <n v="20403.409000000011"/>
    <n v="22625.811088000017"/>
    <n v="0"/>
  </r>
  <r>
    <x v="0"/>
    <s v="SAN MARTIN"/>
    <n v="301"/>
    <x v="0"/>
    <x v="2"/>
    <x v="0"/>
    <s v="COCHABAMBA"/>
    <s v="B 2"/>
    <x v="9"/>
    <n v="0"/>
    <n v="0"/>
    <n v="32819.54"/>
    <n v="15128.759999999995"/>
    <n v="34634.808499999985"/>
    <n v="16265.665744499993"/>
    <n v="34802.787321224983"/>
    <n v="17590.720823639957"/>
    <n v="33968.200000000048"/>
    <n v="17589.940000000053"/>
    <n v="34802.787321224983"/>
    <n v="17590.720823639957"/>
    <n v="36890.954560498474"/>
    <n v="18302.571750317489"/>
    <n v="0"/>
    <n v="0"/>
    <n v="0"/>
    <n v="0.59106864581529828"/>
    <n v="0.68414546546475852"/>
    <n v="0.72"/>
    <n v="0.72"/>
    <n v="0.70000000000000007"/>
    <n v="0"/>
    <n v="0"/>
    <n v="19398.601064081016"/>
    <n v="23239.190000000042"/>
    <n v="25058.006871281988"/>
    <n v="25058.006871281988"/>
    <n v="25823.668192348934"/>
    <n v="0"/>
  </r>
  <r>
    <x v="0"/>
    <s v="SAN MARTIN"/>
    <n v="301"/>
    <x v="0"/>
    <x v="2"/>
    <x v="0"/>
    <s v="COCHABAMBA"/>
    <s v="B 2"/>
    <x v="10"/>
    <n v="0"/>
    <n v="0"/>
    <n v="34301.869999999995"/>
    <n v="15646.310000000001"/>
    <n v="40290.105499999983"/>
    <n v="17083.034795499992"/>
    <n v="40076.567940849985"/>
    <n v="17260.977812124089"/>
    <n v="48653.017241379304"/>
    <n v="20264.923326508033"/>
    <n v="46220.366379310341"/>
    <n v="19907.111799568964"/>
    <n v="48993.588362068971"/>
    <n v="22548.785619767419"/>
    <n v="0"/>
    <n v="0"/>
    <n v="0"/>
    <n v="0.48924531198251409"/>
    <n v="0.3621844433650499"/>
    <n v="0.35"/>
    <n v="0.35"/>
    <n v="0.52"/>
    <n v="0"/>
    <n v="0"/>
    <n v="16782.029089733638"/>
    <n v="17621.36596759914"/>
    <n v="14026.798779297495"/>
    <n v="16177.128232758618"/>
    <n v="25476.665948275866"/>
    <n v="0"/>
  </r>
  <r>
    <x v="0"/>
    <s v="SAN MARTIN"/>
    <n v="301"/>
    <x v="0"/>
    <x v="2"/>
    <x v="0"/>
    <s v="COCHABAMBA"/>
    <s v="B 2"/>
    <x v="11"/>
    <n v="50874.720000000001"/>
    <n v="22377.619999999995"/>
    <n v="85321.989999999976"/>
    <n v="41656.07999999998"/>
    <n v="88837.773550000027"/>
    <n v="44085.637210500012"/>
    <n v="88366.933350185034"/>
    <n v="42875.63606150978"/>
    <n v="74920.114942528715"/>
    <n v="36825.36558679201"/>
    <n v="88366.933350185034"/>
    <n v="42875.63606150978"/>
    <n v="93668.949351196119"/>
    <n v="46098.12948507625"/>
    <n v="0"/>
    <n v="0"/>
    <n v="0.273351283309274"/>
    <n v="0.596765829149705"/>
    <n v="0.48200609154002783"/>
    <n v="0.6"/>
    <n v="0.6"/>
    <n v="0.68"/>
    <n v="0"/>
    <n v="13906.669999999989"/>
    <n v="50917.248107052823"/>
    <n v="36111.951781177901"/>
    <n v="53020.160010111016"/>
    <n v="53020.160010111016"/>
    <n v="63694.885558813367"/>
    <n v="0"/>
  </r>
  <r>
    <x v="0"/>
    <s v="SHOPPING NORTE"/>
    <n v="203"/>
    <x v="0"/>
    <x v="2"/>
    <x v="0"/>
    <s v="LA PAZ"/>
    <s v="A 3"/>
    <x v="0"/>
    <n v="66544.170000000013"/>
    <n v="35210.47"/>
    <n v="35894.569999999992"/>
    <n v="18295.669999999998"/>
    <n v="43986.245616666667"/>
    <n v="22385.699937583329"/>
    <n v="33410.260000000009"/>
    <n v="18111.420132985371"/>
    <n v="33410.260000000009"/>
    <n v="17990.770000000004"/>
    <n v="43986.245616666667"/>
    <n v="23685.730911790513"/>
    <n v="45305.832985166664"/>
    <n v="24290.658742411968"/>
    <n v="36061.063218390846"/>
    <n v="20086.340246491232"/>
    <n v="0.77000900304264153"/>
    <n v="0.67507933409275178"/>
    <n v="0.85842065639573817"/>
    <n v="0.85842065639573828"/>
    <n v="0.85842065639573828"/>
    <n v="0.88"/>
    <n v="0.9737514194075344"/>
    <n v="51239.610000000066"/>
    <n v="24231.68241314566"/>
    <n v="28680.057319552285"/>
    <n v="28680.057319552288"/>
    <n v="37758.701834643165"/>
    <n v="39869.133026946663"/>
    <n v="35114.511494252918"/>
  </r>
  <r>
    <x v="0"/>
    <s v="SHOPPING NORTE"/>
    <n v="203"/>
    <x v="0"/>
    <x v="2"/>
    <x v="0"/>
    <s v="LA PAZ"/>
    <s v="A 3"/>
    <x v="1"/>
    <n v="106402.2"/>
    <n v="42111.729999999996"/>
    <n v="39338.699999999997"/>
    <n v="17890.309999999998"/>
    <n v="63310.271899999992"/>
    <n v="27107.944579499999"/>
    <n v="60399.52999999997"/>
    <n v="26756.659726826125"/>
    <n v="60399.529999999933"/>
    <n v="26552.349999999911"/>
    <n v="63310.271899999992"/>
    <n v="27831.946673822811"/>
    <n v="63943.374618999995"/>
    <n v="29375.014535528426"/>
    <n v="63952.011494253013"/>
    <n v="29489.728941581023"/>
    <n v="0.30251385779617307"/>
    <n v="0.49583222468141452"/>
    <n v="0.32065149985157854"/>
    <n v="0.32065149985157787"/>
    <n v="0.32065149985157787"/>
    <n v="0.4"/>
    <n v="0.41286794606228622"/>
    <n v="32188.139999999967"/>
    <n v="19505.39513707476"/>
    <n v="19367.199884830392"/>
    <n v="19367.199884830363"/>
    <n v="20300.533640746202"/>
    <n v="25577.349847599999"/>
    <n v="26403.735632183962"/>
  </r>
  <r>
    <x v="0"/>
    <s v="SHOPPING NORTE"/>
    <n v="203"/>
    <x v="0"/>
    <x v="2"/>
    <x v="0"/>
    <s v="LA PAZ"/>
    <s v="A 3"/>
    <x v="2"/>
    <n v="62990.44"/>
    <n v="28570.53"/>
    <n v="66753.17"/>
    <n v="28283.900000000009"/>
    <n v="45859.318174999993"/>
    <n v="21933.568797624994"/>
    <n v="52962.640000000043"/>
    <n v="26629.5448267502"/>
    <n v="52962.640000000058"/>
    <n v="26376.770000000055"/>
    <n v="52962.640000000094"/>
    <n v="26376.770000000073"/>
    <n v="54551.519200000097"/>
    <n v="28986.017906810772"/>
    <n v="57372.140169005812"/>
    <n v="28571.325804164895"/>
    <n v="0.47182048577530228"/>
    <n v="0.38822120242188085"/>
    <n v="0.61083936486677659"/>
    <n v="0.61083936486677626"/>
    <n v="0.61083936486677626"/>
    <n v="0.85"/>
    <n v="0.65183205304663439"/>
    <n v="29720.180000000033"/>
    <n v="25914.995922872222"/>
    <n v="32351.665379267772"/>
    <n v="32351.665379267746"/>
    <n v="32351.665379267775"/>
    <n v="46368.791320000084"/>
    <n v="37396.999914042339"/>
  </r>
  <r>
    <x v="0"/>
    <s v="SHOPPING NORTE"/>
    <n v="203"/>
    <x v="0"/>
    <x v="2"/>
    <x v="0"/>
    <s v="LA PAZ"/>
    <s v="A 3"/>
    <x v="3"/>
    <n v="40721.57"/>
    <n v="21768.329999999998"/>
    <n v="42270.64"/>
    <n v="22559.669999999991"/>
    <n v="41409.583025"/>
    <n v="22180.595631875"/>
    <n v="47610.160000000069"/>
    <n v="25994.167473330039"/>
    <n v="47610.160000000054"/>
    <n v="25756.070000000062"/>
    <n v="49038.464800000074"/>
    <n v="26528.752100000071"/>
    <n v="50509.618744000079"/>
    <n v="27080.661170528248"/>
    <n v="0"/>
    <n v="0"/>
    <n v="0.79108614918334474"/>
    <n v="0.7312010764555561"/>
    <n v="0.8259070713819463"/>
    <n v="0.8259070713819463"/>
    <n v="0.8259070713819463"/>
    <n v="0.88"/>
    <n v="0"/>
    <n v="32214.270000000015"/>
    <n v="30908.337470465289"/>
    <n v="39321.56781362593"/>
    <n v="39321.567813625945"/>
    <n v="40501.214848034724"/>
    <n v="44448.464494720072"/>
    <n v="0"/>
  </r>
  <r>
    <x v="0"/>
    <s v="SHOPPING NORTE"/>
    <n v="203"/>
    <x v="0"/>
    <x v="2"/>
    <x v="0"/>
    <s v="LA PAZ"/>
    <s v="A 3"/>
    <x v="4"/>
    <n v="54979.270000000004"/>
    <n v="29424.74"/>
    <n v="40138.799999999996"/>
    <n v="20868.259999999987"/>
    <n v="47260.937299999991"/>
    <n v="23575.050724999994"/>
    <n v="48344.239999999991"/>
    <n v="27014.955145158401"/>
    <n v="48344.239999999983"/>
    <n v="26672.639999999978"/>
    <n v="49794.567199999983"/>
    <n v="27472.819199999976"/>
    <n v="51288.404215999981"/>
    <n v="27498.205907871259"/>
    <n v="0"/>
    <n v="0"/>
    <n v="0.77067229157462502"/>
    <n v="0.70753502934503476"/>
    <n v="0.93341689718999044"/>
    <n v="0.93341689718999066"/>
    <n v="0.93341689718999066"/>
    <n v="0.88"/>
    <n v="0"/>
    <n v="42371.000000000036"/>
    <n v="28399.607035874476"/>
    <n v="45125.330497808209"/>
    <n v="45125.330497808223"/>
    <n v="46479.090412742466"/>
    <n v="45133.795710079983"/>
    <n v="0"/>
  </r>
  <r>
    <x v="0"/>
    <s v="SHOPPING NORTE"/>
    <n v="203"/>
    <x v="0"/>
    <x v="2"/>
    <x v="0"/>
    <s v="LA PAZ"/>
    <s v="A 3"/>
    <x v="5"/>
    <n v="50442.73"/>
    <n v="27078.820000000003"/>
    <n v="34753.58"/>
    <n v="18266.269999999997"/>
    <n v="40145.720150000001"/>
    <n v="21550.461927750002"/>
    <n v="45889.229999999981"/>
    <n v="25524.670000000038"/>
    <n v="45889.229999999989"/>
    <n v="25524.669999999976"/>
    <n v="46807.014599999988"/>
    <n v="26035.163399999972"/>
    <n v="48211.225037999997"/>
    <n v="25848.380612163179"/>
    <n v="0"/>
    <n v="0"/>
    <n v="0.80969784942250456"/>
    <n v="0.75877145409617242"/>
    <n v="0.95285255385631895"/>
    <n v="0.95285255385631884"/>
    <n v="0.95285255385631884"/>
    <n v="0.88"/>
    <n v="0"/>
    <n v="40843.370000000054"/>
    <n v="26370.024431647656"/>
    <n v="43725.67"/>
    <n v="43725.669999999984"/>
    <n v="44600.183399999987"/>
    <n v="42425.87803344"/>
    <n v="0"/>
  </r>
  <r>
    <x v="0"/>
    <s v="SHOPPING NORTE"/>
    <n v="203"/>
    <x v="0"/>
    <x v="2"/>
    <x v="0"/>
    <s v="LA PAZ"/>
    <s v="A 3"/>
    <x v="6"/>
    <n v="55363.75"/>
    <n v="29496.17"/>
    <n v="47905.08"/>
    <n v="25082.670000000002"/>
    <n v="43418.736550000001"/>
    <n v="23324.12899075"/>
    <n v="40094.92"/>
    <n v="22106.440000000024"/>
    <n v="40094.919999999984"/>
    <n v="22106.439999999981"/>
    <n v="40896.818399999975"/>
    <n v="22548.568799999975"/>
    <n v="45804.436607999975"/>
    <n v="24557.984374719388"/>
    <n v="0"/>
    <n v="0"/>
    <n v="0.81841674380799756"/>
    <n v="0.77042058581805672"/>
    <n v="0.92976591548255993"/>
    <n v="0.92976591548255993"/>
    <n v="0.92976591548255993"/>
    <n v="0.88"/>
    <n v="0"/>
    <n v="45310.620000000024"/>
    <n v="36907.059797260874"/>
    <n v="37278.889999999985"/>
    <n v="37278.89"/>
    <n v="38024.467799999977"/>
    <n v="40307.904215039976"/>
    <n v="0"/>
  </r>
  <r>
    <x v="0"/>
    <s v="SHOPPING NORTE"/>
    <n v="203"/>
    <x v="0"/>
    <x v="2"/>
    <x v="0"/>
    <s v="LA PAZ"/>
    <s v="A 3"/>
    <x v="7"/>
    <n v="142224.19"/>
    <n v="53048.75"/>
    <n v="69673.42"/>
    <n v="28352.309999999994"/>
    <n v="76952.615500000044"/>
    <n v="32135.319914500018"/>
    <n v="71635.177683835063"/>
    <n v="32616.212751226944"/>
    <n v="108168.78999999992"/>
    <n v="48898.629999999932"/>
    <n v="108168.79000000018"/>
    <n v="49250.331774900085"/>
    <n v="109250.47790000019"/>
    <n v="50188.692658900552"/>
    <n v="0"/>
    <n v="0"/>
    <n v="0.2486858951349965"/>
    <n v="0.32783407773970469"/>
    <n v="0.38764656607511416"/>
    <n v="0.37"/>
    <n v="0.37"/>
    <n v="0.4"/>
    <n v="0"/>
    <n v="35369.14999999982"/>
    <n v="22841.321388671095"/>
    <n v="41931.260000000118"/>
    <n v="26505.015743018972"/>
    <n v="40022.45230000007"/>
    <n v="43700.191160000075"/>
    <n v="0"/>
  </r>
  <r>
    <x v="0"/>
    <s v="SHOPPING NORTE"/>
    <n v="203"/>
    <x v="0"/>
    <x v="2"/>
    <x v="0"/>
    <s v="LA PAZ"/>
    <s v="A 3"/>
    <x v="8"/>
    <n v="45246.47"/>
    <n v="22874.46"/>
    <n v="53540.2"/>
    <n v="26139.570000000003"/>
    <n v="41825.331999999988"/>
    <n v="21528.156681999993"/>
    <n v="43726.293339399985"/>
    <n v="23000.030296524394"/>
    <n v="38708.520000000004"/>
    <n v="20863.590000000018"/>
    <n v="40643.946000000004"/>
    <n v="21906.769500000017"/>
    <n v="45114.780060000005"/>
    <n v="23971.794770492612"/>
    <n v="0"/>
    <n v="0"/>
    <n v="0.64195770410376751"/>
    <n v="0.60847924231337436"/>
    <n v="0.84926987650264074"/>
    <n v="0.79999999999999993"/>
    <n v="0.79999999999999993"/>
    <n v="0.85"/>
    <n v="0"/>
    <n v="29046.319999999996"/>
    <n v="32578.100329306522"/>
    <n v="32873.980000000003"/>
    <n v="34981.034671519985"/>
    <n v="32515.156800000001"/>
    <n v="38347.563051000005"/>
    <n v="0"/>
  </r>
  <r>
    <x v="0"/>
    <s v="SHOPPING NORTE"/>
    <n v="203"/>
    <x v="0"/>
    <x v="2"/>
    <x v="0"/>
    <s v="LA PAZ"/>
    <s v="A 3"/>
    <x v="9"/>
    <n v="28680.85"/>
    <n v="15167.109999999999"/>
    <n v="46931.02"/>
    <n v="24342.45"/>
    <n v="43711.641024999975"/>
    <n v="22963.983039374991"/>
    <n v="45698.335109586224"/>
    <n v="24928.441802279285"/>
    <n v="39045.330000000016"/>
    <n v="20600.880000000019"/>
    <n v="45698.335109586224"/>
    <n v="24928.441802279285"/>
    <n v="47983.251865065547"/>
    <n v="25726.153115584788"/>
    <n v="0"/>
    <n v="0"/>
    <n v="0.80934804930816195"/>
    <n v="0.70324762738743496"/>
    <n v="0.74600214673560217"/>
    <n v="0.89999999999999991"/>
    <n v="0.89999999999999991"/>
    <n v="0.88"/>
    <n v="0"/>
    <n v="23212.789999999997"/>
    <n v="33004.128465872258"/>
    <n v="29127.900000000023"/>
    <n v="41128.501598627598"/>
    <n v="41128.501598627598"/>
    <n v="42225.261641257683"/>
    <n v="0"/>
  </r>
  <r>
    <x v="0"/>
    <s v="SHOPPING NORTE"/>
    <n v="203"/>
    <x v="0"/>
    <x v="2"/>
    <x v="0"/>
    <s v="LA PAZ"/>
    <s v="A 3"/>
    <x v="10"/>
    <n v="48088.53"/>
    <n v="22206.84"/>
    <n v="62515.17"/>
    <n v="31305.449999999993"/>
    <n v="70667.147975000116"/>
    <n v="33672.085001125051"/>
    <n v="73878.969850463865"/>
    <n v="35225.49282470117"/>
    <n v="76664.080459770106"/>
    <n v="32246.763018555157"/>
    <n v="71297.594827586203"/>
    <n v="33994.6932137931"/>
    <n v="74149.498620689657"/>
    <n v="36435.08869685205"/>
    <n v="0"/>
    <n v="0"/>
    <n v="0.34915165841002038"/>
    <n v="0.53003854153073482"/>
    <n v="0.38764656607511416"/>
    <n v="0.48"/>
    <n v="0.48"/>
    <n v="0.6"/>
    <n v="0"/>
    <n v="16790.190000000017"/>
    <n v="33135.449530345948"/>
    <n v="29718.56753153614"/>
    <n v="35461.905528222655"/>
    <n v="34222.845517241374"/>
    <n v="44489.699172413792"/>
    <n v="0"/>
  </r>
  <r>
    <x v="0"/>
    <s v="SHOPPING NORTE"/>
    <n v="203"/>
    <x v="0"/>
    <x v="2"/>
    <x v="0"/>
    <s v="LA PAZ"/>
    <s v="A 3"/>
    <x v="11"/>
    <n v="144927.30999999997"/>
    <n v="71654.949999999968"/>
    <n v="129331.34"/>
    <n v="69365.930000000008"/>
    <n v="128804.81620000009"/>
    <n v="70027.683458000058"/>
    <n v="134658.99509629011"/>
    <n v="71099.949410841189"/>
    <n v="125708.83620689655"/>
    <n v="61991.78310483072"/>
    <n v="134658.99509629011"/>
    <n v="71099.949410841189"/>
    <n v="141391.94485110461"/>
    <n v="75128.786611921008"/>
    <n v="0"/>
    <n v="0"/>
    <n v="0.52743075131940353"/>
    <n v="0.79450634224747307"/>
    <n v="0.61083936486677659"/>
    <n v="0.8"/>
    <n v="0.8"/>
    <n v="0.85"/>
    <n v="0"/>
    <n v="76439.120000000083"/>
    <n v="102754.5698813643"/>
    <n v="76787.905666762337"/>
    <n v="107727.19607703209"/>
    <n v="107727.19607703209"/>
    <n v="120183.15312343891"/>
    <n v="0"/>
  </r>
  <r>
    <x v="0"/>
    <s v="TARATA"/>
    <n v="304"/>
    <x v="2"/>
    <x v="0"/>
    <x v="2"/>
    <s v="COCHABAMBA"/>
    <s v="B 2"/>
    <x v="0"/>
    <n v="60329.020000000004"/>
    <n v="26836.71"/>
    <n v="50056.74"/>
    <n v="20858.829999999998"/>
    <n v="45722.354883333348"/>
    <n v="18933.291470083335"/>
    <n v="37460.619999999966"/>
    <n v="17009.75591379487"/>
    <n v="37460.619999999966"/>
    <n v="17149.95999999997"/>
    <n v="45722.354883333348"/>
    <n v="20932.289891490611"/>
    <n v="48922.919725166677"/>
    <n v="23586.388815268918"/>
    <n v="33088.649425287389"/>
    <n v="18109.515288460807"/>
    <n v="0.5171443195994232"/>
    <n v="0.35433741013746883"/>
    <n v="0.58626996437611245"/>
    <n v="0.58626996437611245"/>
    <n v="0.58626996437611245"/>
    <n v="0.69999999999999984"/>
    <n v="0.95593950420543916"/>
    <n v="31198.809999999998"/>
    <n v="17736.975611524642"/>
    <n v="21962.036352907067"/>
    <n v="21962.036352907067"/>
    <n v="26805.643368643814"/>
    <n v="34246.043807616668"/>
    <n v="31630.747126436818"/>
  </r>
  <r>
    <x v="0"/>
    <s v="TARATA"/>
    <n v="304"/>
    <x v="2"/>
    <x v="0"/>
    <x v="2"/>
    <s v="COCHABAMBA"/>
    <s v="B 2"/>
    <x v="1"/>
    <n v="75551.12000000001"/>
    <n v="28147.920000000006"/>
    <n v="44977.429999999993"/>
    <n v="17341.249999999993"/>
    <n v="60621.263100000011"/>
    <n v="21434.615673"/>
    <n v="44540.80999999999"/>
    <n v="16725.191582696953"/>
    <n v="44540.81"/>
    <n v="16701.280000000006"/>
    <n v="60621.263100000011"/>
    <n v="22730.899796989965"/>
    <n v="64864.751517000026"/>
    <n v="26303.196972513924"/>
    <n v="44024.712643678176"/>
    <n v="19983.256050438038"/>
    <n v="0.30549289011202058"/>
    <n v="0.31201619428175426"/>
    <n v="0.24532685804231766"/>
    <n v="0.24532685804231677"/>
    <n v="0.24532685804231677"/>
    <n v="0.3899999999999999"/>
    <n v="0.39701447723979461"/>
    <n v="23080.330000000082"/>
    <n v="14033.686537174"/>
    <n v="10927.056971959842"/>
    <n v="10927.056971959801"/>
    <n v="14872.024006879639"/>
    <n v="25297.253091630002"/>
    <n v="17478.448275862069"/>
  </r>
  <r>
    <x v="0"/>
    <s v="TARATA"/>
    <n v="304"/>
    <x v="2"/>
    <x v="0"/>
    <x v="2"/>
    <s v="COCHABAMBA"/>
    <s v="B 2"/>
    <x v="2"/>
    <n v="59349.25"/>
    <n v="25574.18"/>
    <n v="65436.630000000005"/>
    <n v="22942.119999999995"/>
    <n v="48212.16081999999"/>
    <n v="18209.618301999999"/>
    <n v="39310.460000000028"/>
    <n v="16713.786956157732"/>
    <n v="39310.460000000021"/>
    <n v="16188.60000000002"/>
    <n v="41027.320000000007"/>
    <n v="16895.627081239971"/>
    <n v="43899.232400000008"/>
    <n v="20947.441320694645"/>
    <n v="44904.765111542569"/>
    <n v="22362.573025548198"/>
    <n v="0.4123175945778596"/>
    <n v="0.23781970694674154"/>
    <n v="0.430208724657408"/>
    <n v="0.43020872465740811"/>
    <n v="0.43020872465740811"/>
    <n v="0.68"/>
    <n v="0.70066657604210147"/>
    <n v="24470.740000000034"/>
    <n v="15562.120170182357"/>
    <n v="16911.702862296061"/>
    <n v="16911.702862296068"/>
    <n v="17650.311013311377"/>
    <n v="29851.478032000006"/>
    <n v="31463.268018679348"/>
  </r>
  <r>
    <x v="0"/>
    <s v="TARATA"/>
    <n v="304"/>
    <x v="2"/>
    <x v="0"/>
    <x v="2"/>
    <s v="COCHABAMBA"/>
    <s v="B 2"/>
    <x v="3"/>
    <n v="41944.93"/>
    <n v="20814.919999999998"/>
    <n v="46825.189999999988"/>
    <n v="18300.969999999994"/>
    <n v="4331.4148799999984"/>
    <n v="1732.5659519999997"/>
    <n v="34484.340000000011"/>
    <n v="14422.609882809655"/>
    <n v="34484.340000000018"/>
    <n v="14405.890000000003"/>
    <n v="39199.440000000024"/>
    <n v="16375.630813917278"/>
    <n v="41943.400800000025"/>
    <n v="20221.470121999995"/>
    <n v="0"/>
    <n v="0"/>
    <n v="0.63475943338086416"/>
    <n v="0.36880586310123364"/>
    <n v="0.49307364048644831"/>
    <n v="0.49307364048644742"/>
    <n v="0.49307364048644742"/>
    <n v="0.7"/>
    <n v="0"/>
    <n v="26624.94000000001"/>
    <n v="17269.40461282925"/>
    <n v="17003.319063572457"/>
    <n v="17003.319063572424"/>
    <n v="19328.210585830078"/>
    <n v="29360.380560000016"/>
    <n v="0"/>
  </r>
  <r>
    <x v="0"/>
    <s v="TARATA"/>
    <n v="304"/>
    <x v="2"/>
    <x v="0"/>
    <x v="2"/>
    <s v="COCHABAMBA"/>
    <s v="B 2"/>
    <x v="4"/>
    <n v="46474.240000000005"/>
    <n v="22092.450000000004"/>
    <n v="38588.11"/>
    <n v="16344.250000000002"/>
    <n v="32015.241599999994"/>
    <n v="12570.114014999999"/>
    <n v="32827.35"/>
    <n v="15077.573949069858"/>
    <n v="32827.35"/>
    <n v="15038.729999999996"/>
    <n v="39199.440000000024"/>
    <n v="17957.885553089123"/>
    <n v="41943.400800000025"/>
    <n v="20221.470121999995"/>
    <n v="0"/>
    <n v="0"/>
    <n v="0.55412869581084001"/>
    <n v="0.41928311310874017"/>
    <n v="0.63351559719251493"/>
    <n v="0.6335155971925146"/>
    <n v="0.6335155971925146"/>
    <n v="0.7"/>
    <n v="0"/>
    <n v="25752.709999999977"/>
    <n v="16179.342889782507"/>
    <n v="20796.638239497704"/>
    <n v="20796.638239497694"/>
    <n v="24833.45664121216"/>
    <n v="29360.380560000016"/>
    <n v="0"/>
  </r>
  <r>
    <x v="0"/>
    <s v="TARATA"/>
    <n v="304"/>
    <x v="2"/>
    <x v="0"/>
    <x v="2"/>
    <s v="COCHABAMBA"/>
    <s v="B 2"/>
    <x v="5"/>
    <n v="46930.069999999992"/>
    <n v="21664.119999999995"/>
    <n v="31444.599999999991"/>
    <n v="13959.649999999994"/>
    <n v="40657.104899999991"/>
    <n v="18113.067304499993"/>
    <n v="162.36000000000001"/>
    <n v="99.760000000000048"/>
    <n v="162.36000000000001"/>
    <n v="99.760000000000019"/>
    <n v="41027.320000000007"/>
    <n v="25208.705612219765"/>
    <n v="41943.400800000025"/>
    <n v="20221.470121999995"/>
    <n v="0"/>
    <n v="0"/>
    <n v="0.478073439907505"/>
    <n v="0.4775917617111855"/>
    <n v="1"/>
    <n v="1"/>
    <n v="1"/>
    <n v="0.7"/>
    <n v="0"/>
    <n v="22436.02"/>
    <n v="15017.68191030354"/>
    <n v="162.36000000000001"/>
    <n v="162.36000000000001"/>
    <n v="41027.320000000007"/>
    <n v="29360.380560000016"/>
    <n v="0"/>
  </r>
  <r>
    <x v="0"/>
    <s v="TARATA"/>
    <n v="304"/>
    <x v="2"/>
    <x v="0"/>
    <x v="2"/>
    <s v="COCHABAMBA"/>
    <s v="B 2"/>
    <x v="6"/>
    <n v="57387.3"/>
    <n v="27017.199999999997"/>
    <n v="48220.12999999999"/>
    <n v="20821.839999999989"/>
    <n v="44347.249599999981"/>
    <n v="19265.620288999995"/>
    <n v="16392.630000000005"/>
    <n v="7911.3000000000056"/>
    <n v="16392.629999999997"/>
    <n v="7911.3000000000029"/>
    <n v="41027.320000000007"/>
    <n v="19800.327141892438"/>
    <n v="48410.088831067624"/>
    <n v="23339.146235867429"/>
    <n v="0"/>
    <n v="0"/>
    <n v="0.54741606592399394"/>
    <n v="0.4554284093293785"/>
    <n v="0.67988602195010805"/>
    <n v="0.67988602195010805"/>
    <n v="0.67988602195010805"/>
    <n v="0.7"/>
    <n v="0"/>
    <n v="31414.730000000018"/>
    <n v="21960.817103555841"/>
    <n v="11145.119999999997"/>
    <n v="11145.120000000003"/>
    <n v="27893.901386074111"/>
    <n v="33887.062181747337"/>
    <n v="0"/>
  </r>
  <r>
    <x v="0"/>
    <s v="TARATA"/>
    <n v="304"/>
    <x v="2"/>
    <x v="0"/>
    <x v="2"/>
    <s v="COCHABAMBA"/>
    <s v="B 2"/>
    <x v="7"/>
    <n v="113268.12"/>
    <n v="31425.719999999994"/>
    <n v="69956.589999999967"/>
    <n v="20241.559999999983"/>
    <n v="74077.244040000034"/>
    <n v="21948.856086000011"/>
    <n v="70004.045075201982"/>
    <n v="24013.487582146539"/>
    <n v="75093.410000000018"/>
    <n v="29294.620000000046"/>
    <n v="75093.41000000012"/>
    <n v="25759.292432300044"/>
    <n v="80349.948700000125"/>
    <n v="32582.573400186207"/>
    <n v="0"/>
    <n v="0"/>
    <n v="0.13113892947106406"/>
    <n v="0.16731413907084164"/>
    <n v="0.35823636188581665"/>
    <n v="0.27"/>
    <n v="0.27"/>
    <n v="0.39"/>
    <n v="0"/>
    <n v="14853.860000000021"/>
    <n v="11704.726628181845"/>
    <n v="26901.19000000001"/>
    <n v="18901.092170304535"/>
    <n v="20275.220700000034"/>
    <n v="31336.479993000048"/>
    <n v="0"/>
  </r>
  <r>
    <x v="0"/>
    <s v="TARATA"/>
    <n v="304"/>
    <x v="2"/>
    <x v="0"/>
    <x v="2"/>
    <s v="COCHABAMBA"/>
    <s v="B 2"/>
    <x v="8"/>
    <n v="42700.710000000006"/>
    <n v="18453.900000000001"/>
    <n v="43881.159999999982"/>
    <n v="14840.309999999983"/>
    <n v="42568.598144999996"/>
    <n v="16672.508427774996"/>
    <n v="44722.569211136994"/>
    <n v="20766.92501319146"/>
    <n v="41027.320000000007"/>
    <n v="20110.760000000031"/>
    <n v="41027.320000000007"/>
    <n v="20110.760000000031"/>
    <n v="43899.232400000008"/>
    <n v="20947.441320694645"/>
    <n v="0"/>
    <n v="0"/>
    <n v="0.39674047574384658"/>
    <n v="0.33767932118971039"/>
    <n v="0.7263974346849853"/>
    <n v="0.65"/>
    <n v="0.65"/>
    <n v="0.68"/>
    <n v="0"/>
    <n v="16941.100000000031"/>
    <n v="14817.760321817066"/>
    <n v="29802.139999999996"/>
    <n v="29069.669987239045"/>
    <n v="26667.758000000005"/>
    <n v="29851.478032000006"/>
    <n v="0"/>
  </r>
  <r>
    <x v="0"/>
    <s v="TARATA"/>
    <n v="304"/>
    <x v="2"/>
    <x v="0"/>
    <x v="2"/>
    <s v="COCHABAMBA"/>
    <s v="B 2"/>
    <x v="9"/>
    <n v="36790.199999999997"/>
    <n v="16533.670000000002"/>
    <n v="36114.359999999993"/>
    <n v="13514.599999999993"/>
    <n v="43064.033574999972"/>
    <n v="17160.639556624988"/>
    <n v="45243.073673894971"/>
    <n v="21166.972018331762"/>
    <n v="39199.440000000017"/>
    <n v="19256.200000000019"/>
    <n v="45243.073673894971"/>
    <n v="21166.972018331762"/>
    <n v="48410.088831067624"/>
    <n v="23339.146235867429"/>
    <n v="0"/>
    <n v="0"/>
    <n v="0.45473767470685134"/>
    <n v="0.42827469583411731"/>
    <n v="0.60199967142387756"/>
    <n v="0.65"/>
    <n v="0.65"/>
    <n v="0.7"/>
    <n v="0"/>
    <n v="16729.89"/>
    <n v="15466.86654424381"/>
    <n v="23598.050000000014"/>
    <n v="29407.997888031732"/>
    <n v="29407.997888031732"/>
    <n v="33887.062181747337"/>
    <n v="0"/>
  </r>
  <r>
    <x v="0"/>
    <s v="TARATA"/>
    <n v="304"/>
    <x v="2"/>
    <x v="0"/>
    <x v="2"/>
    <s v="COCHABAMBA"/>
    <s v="B 2"/>
    <x v="10"/>
    <n v="38172.61"/>
    <n v="14690.28"/>
    <n v="34160.909999999996"/>
    <n v="13585.599999999997"/>
    <n v="48533.28793999998"/>
    <n v="18958.11868159999"/>
    <n v="50989.072309763978"/>
    <n v="19765.913880880005"/>
    <n v="45873.706896551725"/>
    <n v="19022.040536795208"/>
    <n v="50989.072309763978"/>
    <n v="19765.913880880005"/>
    <n v="54558.307371447459"/>
    <n v="23876.514721502695"/>
    <n v="0"/>
    <n v="0"/>
    <n v="0.25189317680923584"/>
    <n v="0.38105028976624938"/>
    <n v="0.35823636188581665"/>
    <n v="0.35"/>
    <n v="0.35"/>
    <n v="0.52"/>
    <n v="0"/>
    <n v="9615.4200000000037"/>
    <n v="13017.024654178766"/>
    <n v="16433.629864836985"/>
    <n v="17846.175308417391"/>
    <n v="17846.175308417391"/>
    <n v="28370.31983315268"/>
    <n v="0"/>
  </r>
  <r>
    <x v="0"/>
    <s v="TARATA"/>
    <n v="304"/>
    <x v="2"/>
    <x v="0"/>
    <x v="2"/>
    <s v="COCHABAMBA"/>
    <s v="B 2"/>
    <x v="11"/>
    <n v="114099.69999999998"/>
    <n v="47791.929999999986"/>
    <n v="79232.439999999988"/>
    <n v="35335.24"/>
    <n v="82607.946800000034"/>
    <n v="37190.772510500006"/>
    <n v="86787.908908080048"/>
    <n v="40043.941170188133"/>
    <n v="76141.810344827565"/>
    <n v="37975.040981206257"/>
    <n v="86787.908908080048"/>
    <n v="40043.941170188133"/>
    <n v="92863.062531645672"/>
    <n v="44311.56188602616"/>
    <n v="0"/>
    <n v="0"/>
    <n v="0.32883355521530705"/>
    <n v="0.51280800379883484"/>
    <n v="0.430208724657408"/>
    <n v="0.6"/>
    <n v="0.6"/>
    <n v="0.67999999999999994"/>
    <n v="0"/>
    <n v="37519.809999999961"/>
    <n v="40631.029392510951"/>
    <n v="32756.871121554501"/>
    <n v="52072.74534484803"/>
    <n v="52072.74534484803"/>
    <n v="63146.882521519052"/>
    <n v="0"/>
  </r>
  <r>
    <x v="0"/>
    <s v="TORRES DEL POETA FAIR PLAY"/>
    <n v="212"/>
    <x v="0"/>
    <x v="2"/>
    <x v="0"/>
    <s v="LA PAZ"/>
    <s v="A 3"/>
    <x v="0"/>
    <n v="88258.01"/>
    <n v="46723.41"/>
    <n v="41867.359999999993"/>
    <n v="21545.769999999997"/>
    <n v="44148.554133333331"/>
    <n v="22801.495056916665"/>
    <n v="39744.02000000004"/>
    <n v="20726.295821027725"/>
    <n v="39744.020000000055"/>
    <n v="20659.760000000053"/>
    <n v="44148.554133333331"/>
    <n v="22949.327540134986"/>
    <n v="48121.924005333334"/>
    <n v="25648.785442851247"/>
    <n v="47223.275862069037"/>
    <n v="26407.257649217099"/>
    <n v="0.83142855815579786"/>
    <n v="0.78672343673709488"/>
    <n v="0.84208442704930031"/>
    <n v="0.8420844270493002"/>
    <n v="0.8420844270493002"/>
    <n v="0.88"/>
    <n v="0.98951848944546883"/>
    <n v="73380.229999999981"/>
    <n v="32938.033346309174"/>
    <n v="33467.820310335977"/>
    <n v="33467.820310335963"/>
    <n v="37176.809912423014"/>
    <n v="42347.293124693337"/>
    <n v="46728.304597701223"/>
  </r>
  <r>
    <x v="0"/>
    <s v="TORRES DEL POETA FAIR PLAY"/>
    <n v="212"/>
    <x v="0"/>
    <x v="2"/>
    <x v="0"/>
    <s v="LA PAZ"/>
    <s v="A 3"/>
    <x v="1"/>
    <n v="117926.99999999997"/>
    <n v="52475.130000000012"/>
    <n v="57056.609999999986"/>
    <n v="25220.709999999992"/>
    <n v="78611.043650000036"/>
    <n v="33454.645054000015"/>
    <n v="75203.270000000048"/>
    <n v="34297.243087737763"/>
    <n v="75203.270000000019"/>
    <n v="34302.440000000046"/>
    <n v="82541.595832500039"/>
    <n v="37649.667874130813"/>
    <n v="85843.259665800055"/>
    <n v="39489.19861693729"/>
    <n v="67689.655172413855"/>
    <n v="31538.896995755342"/>
    <n v="0.41558727009081919"/>
    <n v="0.48925807185366477"/>
    <n v="0.29574258702807493"/>
    <n v="0.29574258702807554"/>
    <n v="0.29574258702807554"/>
    <n v="0.40000000000000008"/>
    <n v="0.4126740533197486"/>
    <n v="49008.960000000021"/>
    <n v="27915.406995106521"/>
    <n v="22240.809622770823"/>
    <n v="22240.809622770877"/>
    <n v="24411.065088929379"/>
    <n v="34337.303866320028"/>
    <n v="27933.764367816111"/>
  </r>
  <r>
    <x v="0"/>
    <s v="TORRES DEL POETA FAIR PLAY"/>
    <n v="212"/>
    <x v="0"/>
    <x v="2"/>
    <x v="0"/>
    <s v="LA PAZ"/>
    <s v="A 3"/>
    <x v="2"/>
    <n v="82480.19"/>
    <n v="38751.149999999987"/>
    <n v="74641.5"/>
    <n v="34559.699999999997"/>
    <n v="46827.367214999977"/>
    <n v="22777.910161949989"/>
    <n v="60958.530000000042"/>
    <n v="30893.079450125784"/>
    <n v="60958.530000000057"/>
    <n v="30627.120000000083"/>
    <n v="62177.700600000033"/>
    <n v="31239.66240000007"/>
    <n v="65908.362636000034"/>
    <n v="34828.255853434843"/>
    <n v="64999.032458092428"/>
    <n v="33344.503651001418"/>
    <n v="0.49076172108720995"/>
    <n v="0.48330682139299425"/>
    <n v="0.60996233976207193"/>
    <n v="0.60996233976207104"/>
    <n v="0.60996233976207104"/>
    <n v="0.85000000000000009"/>
    <n v="0.69799935963499216"/>
    <n v="40478.120000000083"/>
    <n v="36074.74610900518"/>
    <n v="37182.407587256486"/>
    <n v="37182.407587256428"/>
    <n v="37926.055739001546"/>
    <n v="56022.108240600035"/>
    <n v="45369.283032642583"/>
  </r>
  <r>
    <x v="0"/>
    <s v="TORRES DEL POETA FAIR PLAY"/>
    <n v="212"/>
    <x v="0"/>
    <x v="2"/>
    <x v="0"/>
    <s v="LA PAZ"/>
    <s v="A 3"/>
    <x v="3"/>
    <n v="55020.859999999986"/>
    <n v="28360.76999999999"/>
    <n v="38230.269999999997"/>
    <n v="21430.249999999996"/>
    <n v="43343"/>
    <n v="23843"/>
    <n v="53993.85000000002"/>
    <n v="29297.007806422367"/>
    <n v="53993.850000000035"/>
    <n v="29161.710000000036"/>
    <n v="55613.665500000061"/>
    <n v="30036.561300000049"/>
    <n v="60618.895395000058"/>
    <n v="32309.619241256485"/>
    <n v="0"/>
    <n v="0"/>
    <n v="0.72524657011904292"/>
    <n v="0.92620205030155012"/>
    <n v="0.87034602350021839"/>
    <n v="0.87034602350021817"/>
    <n v="0.87034602350021817"/>
    <n v="0.88"/>
    <n v="0"/>
    <n v="39903.690000000031"/>
    <n v="35408.954457581836"/>
    <n v="46993.332640967295"/>
    <n v="46993.332640967274"/>
    <n v="48403.132620196324"/>
    <n v="53344.627947600049"/>
    <n v="0"/>
  </r>
  <r>
    <x v="0"/>
    <s v="TORRES DEL POETA FAIR PLAY"/>
    <n v="212"/>
    <x v="0"/>
    <x v="2"/>
    <x v="0"/>
    <s v="LA PAZ"/>
    <s v="A 3"/>
    <x v="4"/>
    <n v="59124.510000000009"/>
    <n v="31152.830000000009"/>
    <n v="45870.659999999996"/>
    <n v="25423.14"/>
    <n v="47494"/>
    <n v="24658"/>
    <n v="55132.219999999987"/>
    <n v="30681.319175437729"/>
    <n v="55132.219999999979"/>
    <n v="30274.780000000006"/>
    <n v="55132.219999999979"/>
    <n v="30274.780000000006"/>
    <n v="60094.119799999979"/>
    <n v="32029.916030713401"/>
    <n v="0"/>
    <n v="0"/>
    <n v="0.77975800560545905"/>
    <n v="0.9417695463003285"/>
    <n v="0.95464548896508039"/>
    <n v="0.95464548896508039"/>
    <n v="0.95464548896508039"/>
    <n v="0.88"/>
    <n v="0"/>
    <n v="46102.810000000027"/>
    <n v="43199.590656696622"/>
    <n v="52631.725119630362"/>
    <n v="52631.72511963037"/>
    <n v="52631.725119630362"/>
    <n v="52882.825423999981"/>
    <n v="0"/>
  </r>
  <r>
    <x v="0"/>
    <s v="TORRES DEL POETA FAIR PLAY"/>
    <n v="212"/>
    <x v="0"/>
    <x v="2"/>
    <x v="0"/>
    <s v="LA PAZ"/>
    <s v="A 3"/>
    <x v="5"/>
    <n v="53445.959999999992"/>
    <n v="28505.029999999988"/>
    <n v="42101.77"/>
    <n v="23274.139999999996"/>
    <n v="43192"/>
    <n v="23721"/>
    <n v="49913.029999999984"/>
    <n v="27749.611959038994"/>
    <n v="49913.029999999948"/>
    <n v="27749.519999999968"/>
    <n v="50911.290599999949"/>
    <n v="28304.510399999966"/>
    <n v="55493.306753999939"/>
    <n v="29577.701803650347"/>
    <n v="0"/>
    <n v="0"/>
    <n v="0.79614193476925199"/>
    <n v="0.94102581758863302"/>
    <n v="0.96011855073156427"/>
    <n v="0.96011855073156416"/>
    <n v="0.96011855073156416"/>
    <n v="0.88"/>
    <n v="0"/>
    <n v="42550.570000000043"/>
    <n v="39618.85253617858"/>
    <n v="47922.426026221037"/>
    <n v="47922.426026221066"/>
    <n v="48880.874546745457"/>
    <n v="48834.10994351995"/>
    <n v="0"/>
  </r>
  <r>
    <x v="0"/>
    <s v="TORRES DEL POETA FAIR PLAY"/>
    <n v="212"/>
    <x v="0"/>
    <x v="2"/>
    <x v="0"/>
    <s v="LA PAZ"/>
    <s v="A 3"/>
    <x v="6"/>
    <n v="53334.939999999995"/>
    <n v="28581.899999999994"/>
    <n v="48214.179999999986"/>
    <n v="26818.029999999984"/>
    <n v="46128"/>
    <n v="25574"/>
    <n v="47235.00999999998"/>
    <n v="26292.740000000042"/>
    <n v="47235.009999999966"/>
    <n v="26292.739999999976"/>
    <n v="50541.460700000083"/>
    <n v="28133.231800000041"/>
    <n v="55595.6067700001"/>
    <n v="29632.227286897807"/>
    <n v="0"/>
    <n v="0"/>
    <n v="0.85666431798742126"/>
    <n v="0.95798735567072457"/>
    <n v="0.97493829259271891"/>
    <n v="0.97493829259271891"/>
    <n v="0.97493829259271891"/>
    <n v="0.88"/>
    <n v="0"/>
    <n v="45690.140000000029"/>
    <n v="46188.574804032323"/>
    <n v="46051.219999999972"/>
    <n v="46051.219999999987"/>
    <n v="49274.805400000085"/>
    <n v="48924.13395760009"/>
    <n v="0"/>
  </r>
  <r>
    <x v="0"/>
    <s v="TORRES DEL POETA FAIR PLAY"/>
    <n v="212"/>
    <x v="0"/>
    <x v="2"/>
    <x v="0"/>
    <s v="LA PAZ"/>
    <s v="A 3"/>
    <x v="7"/>
    <n v="161412.84999999998"/>
    <n v="61842.049999999988"/>
    <n v="64762.89"/>
    <n v="29116.55"/>
    <n v="74452"/>
    <n v="33345"/>
    <n v="83468.872434441888"/>
    <n v="36705.436653045821"/>
    <n v="115662.23999999992"/>
    <n v="51618.879999999932"/>
    <n v="115662.24000000018"/>
    <n v="50862.47004000008"/>
    <n v="119132.10720000017"/>
    <n v="54802.572283369591"/>
    <n v="0"/>
    <n v="0"/>
    <n v="0.29502713073959169"/>
    <n v="0.45626792562871304"/>
    <n v="0.35143578405536469"/>
    <n v="0.37"/>
    <n v="0.37"/>
    <n v="0.4"/>
    <n v="0"/>
    <n v="47621.170000000093"/>
    <n v="29549.229478020523"/>
    <n v="40647.849999999737"/>
    <n v="30883.482800743499"/>
    <n v="42795.028800000066"/>
    <n v="47652.842880000069"/>
    <n v="0"/>
  </r>
  <r>
    <x v="0"/>
    <s v="TORRES DEL POETA FAIR PLAY"/>
    <n v="212"/>
    <x v="0"/>
    <x v="2"/>
    <x v="0"/>
    <s v="LA PAZ"/>
    <s v="A 3"/>
    <x v="8"/>
    <n v="50385.53"/>
    <n v="24771.599999999995"/>
    <n v="38233.93"/>
    <n v="19736.999999999996"/>
    <n v="43094"/>
    <n v="23171"/>
    <n v="44830.972482780999"/>
    <n v="23850.077360839499"/>
    <n v="41860.049999999988"/>
    <n v="22452.939999999995"/>
    <n v="50232.059999999983"/>
    <n v="26943.527999999991"/>
    <n v="56259.90719999998"/>
    <n v="29729.678661169339"/>
    <n v="0"/>
    <n v="0"/>
    <n v="0.64018280645256653"/>
    <n v="0.7211094172689595"/>
    <n v="0.88390434316251409"/>
    <n v="0.8"/>
    <n v="0.8"/>
    <n v="0.85"/>
    <n v="0"/>
    <n v="32255.949999999983"/>
    <n v="27570.846982202187"/>
    <n v="37000.279999999984"/>
    <n v="35864.777986224799"/>
    <n v="40185.647999999986"/>
    <n v="47820.921119999985"/>
    <n v="0"/>
  </r>
  <r>
    <x v="0"/>
    <s v="TORRES DEL POETA FAIR PLAY"/>
    <n v="212"/>
    <x v="0"/>
    <x v="2"/>
    <x v="0"/>
    <s v="LA PAZ"/>
    <s v="A 3"/>
    <x v="9"/>
    <n v="40964.659999999996"/>
    <n v="21631.539999999994"/>
    <n v="38049.979999999996"/>
    <n v="20446.749999999993"/>
    <n v="45714"/>
    <n v="24685"/>
    <n v="47555.909970163993"/>
    <n v="26013.082753679708"/>
    <n v="58293.329999999922"/>
    <n v="31020.159999999938"/>
    <n v="58293.329999999994"/>
    <n v="31886.451509999999"/>
    <n v="62956.796399999992"/>
    <n v="33555.710757822271"/>
    <n v="0"/>
    <n v="0"/>
    <n v="0.83851397765781543"/>
    <n v="0.82602976514950421"/>
    <n v="0.74829590280740566"/>
    <n v="0.9"/>
    <n v="0.9"/>
    <n v="0.88"/>
    <n v="0"/>
    <n v="34349.440000000002"/>
    <n v="31430.416043343328"/>
    <n v="43620.659999999967"/>
    <n v="42800.318973147594"/>
    <n v="52463.996999999996"/>
    <n v="55401.980831999994"/>
    <n v="0"/>
  </r>
  <r>
    <x v="0"/>
    <s v="TORRES DEL POETA FAIR PLAY"/>
    <n v="212"/>
    <x v="0"/>
    <x v="2"/>
    <x v="0"/>
    <s v="LA PAZ"/>
    <s v="A 3"/>
    <x v="10"/>
    <n v="98470.559999999983"/>
    <n v="48947.649999999972"/>
    <n v="61274.039999999994"/>
    <n v="32289.189999999988"/>
    <n v="70195"/>
    <n v="34288"/>
    <n v="73023.797559226063"/>
    <n v="34817.746676238989"/>
    <n v="100144.54022988505"/>
    <n v="41176.247759329854"/>
    <n v="100144.54022988508"/>
    <n v="47748.916781609209"/>
    <n v="108156.10344827588"/>
    <n v="53042.323222710467"/>
    <n v="0"/>
    <n v="0"/>
    <n v="0.58042779486579654"/>
    <n v="0.66516872273601468"/>
    <n v="0.35143578405536469"/>
    <n v="0.47999999999999993"/>
    <n v="0.47999999999999993"/>
    <n v="0.59999999999999987"/>
    <n v="0"/>
    <n v="57155.050000000097"/>
    <n v="40757.574923675471"/>
    <n v="35194.375014553661"/>
    <n v="35051.422828428505"/>
    <n v="48069.379310344833"/>
    <n v="64893.662068965517"/>
    <n v="0"/>
  </r>
  <r>
    <x v="0"/>
    <s v="TORRES DEL POETA FAIR PLAY"/>
    <n v="212"/>
    <x v="0"/>
    <x v="2"/>
    <x v="0"/>
    <s v="LA PAZ"/>
    <s v="A 3"/>
    <x v="11"/>
    <n v="132572.25999999998"/>
    <n v="64412.969999999994"/>
    <n v="116109.75"/>
    <n v="62270.49"/>
    <n v="127066.21925000026"/>
    <n v="70035.011311250142"/>
    <n v="132186.98788577528"/>
    <n v="69794.729603689368"/>
    <n v="132551.29310344826"/>
    <n v="65541.20302430127"/>
    <n v="132551.29310344826"/>
    <n v="69987.082758620701"/>
    <n v="144480.90948275864"/>
    <n v="76348.704172692058"/>
    <n v="0"/>
    <n v="0"/>
    <n v="0.5385940467485435"/>
    <n v="0.81464737072655757"/>
    <n v="0.60996233976207193"/>
    <n v="0.8"/>
    <n v="0.8"/>
    <n v="0.85000000000000009"/>
    <n v="0"/>
    <n v="71402.630000000048"/>
    <n v="94588.502553217913"/>
    <n v="80851.296879867485"/>
    <n v="105749.59030862023"/>
    <n v="106041.03448275861"/>
    <n v="122808.77306034486"/>
    <n v="0"/>
  </r>
  <r>
    <x v="0"/>
    <s v="TORRES SOFER"/>
    <n v="310"/>
    <x v="2"/>
    <x v="2"/>
    <x v="0"/>
    <s v="COCHABAMBA"/>
    <s v="B 1"/>
    <x v="0"/>
    <n v="27958.709999999995"/>
    <n v="13898.859999999997"/>
    <n v="17301.519999999997"/>
    <n v="9033.2599999999966"/>
    <n v="23273.821331034476"/>
    <n v="11813.625398948272"/>
    <n v="19709.489999999998"/>
    <n v="10415.714689540859"/>
    <n v="19709.490000000005"/>
    <n v="10215.400000000009"/>
    <n v="19709.490000000013"/>
    <n v="10215.400000000012"/>
    <n v="22074.62880000002"/>
    <n v="11795.997839231595"/>
    <n v="16569.39655172413"/>
    <n v="9163.6973290228416"/>
    <n v="0.61909973671889751"/>
    <n v="0.71724673130384375"/>
    <n v="0.76435733481329993"/>
    <n v="0.76435733481330015"/>
    <n v="0.76435733481330015"/>
    <n v="0.88"/>
    <n v="0.97872930811720116"/>
    <n v="17309.230000000003"/>
    <n v="12409.458666588076"/>
    <n v="15065.093246929391"/>
    <n v="15065.093246929389"/>
    <n v="15065.0932469294"/>
    <n v="19425.673344000017"/>
    <n v="16216.954022988497"/>
  </r>
  <r>
    <x v="0"/>
    <s v="TORRES SOFER"/>
    <n v="310"/>
    <x v="2"/>
    <x v="2"/>
    <x v="0"/>
    <s v="COCHABAMBA"/>
    <s v="B 1"/>
    <x v="1"/>
    <n v="40916.49"/>
    <n v="17145.129999999997"/>
    <n v="16841.73"/>
    <n v="7867.5800000000008"/>
    <n v="34649.198099999994"/>
    <n v="14847.551279499996"/>
    <n v="36459.64999999998"/>
    <n v="15454.037888360082"/>
    <n v="36459.649999999994"/>
    <n v="15363.25"/>
    <n v="36459.650000000009"/>
    <n v="15363.250000000007"/>
    <n v="36824.246500000008"/>
    <n v="16592.886282544685"/>
    <n v="36930.028735632186"/>
    <n v="15940.045022066784"/>
    <n v="0.28034613917274048"/>
    <n v="0.45577921534451987"/>
    <n v="0.28252161642357843"/>
    <n v="0.28252161642357837"/>
    <n v="0.28252161642357837"/>
    <n v="0.39999999999999997"/>
    <n v="0.33256430108196222"/>
    <n v="11470.780000000044"/>
    <n v="7676.1104844442607"/>
    <n v="10300.639252237919"/>
    <n v="10300.639252237914"/>
    <n v="10300.639252237921"/>
    <n v="14729.698600000002"/>
    <n v="12281.6091954023"/>
  </r>
  <r>
    <x v="0"/>
    <s v="TORRES SOFER"/>
    <n v="310"/>
    <x v="2"/>
    <x v="2"/>
    <x v="0"/>
    <s v="COCHABAMBA"/>
    <s v="B 1"/>
    <x v="2"/>
    <n v="24075.78"/>
    <n v="11004.380000000001"/>
    <n v="28290.12"/>
    <n v="12589.700000000003"/>
    <n v="28069.485049999999"/>
    <n v="13304.401714"/>
    <n v="25786.319999999992"/>
    <n v="12329.037027255075"/>
    <n v="25786.319999999985"/>
    <n v="12238.309999999979"/>
    <n v="25786.319999999956"/>
    <n v="12238.309999999967"/>
    <n v="26688.841199999959"/>
    <n v="14121.953479675169"/>
    <n v="32906.376741321226"/>
    <n v="15827.96721257551"/>
    <n v="0.43933072988704908"/>
    <n v="0.35837155113326341"/>
    <n v="0.53991452508012117"/>
    <n v="0.53991452508012072"/>
    <n v="0.53991452508012072"/>
    <n v="0.85"/>
    <n v="0.60535428927249391"/>
    <n v="10577.230000000018"/>
    <n v="10138.374186146157"/>
    <n v="13922.408716364022"/>
    <n v="13922.408716364014"/>
    <n v="13922.408716363994"/>
    <n v="22685.515019999966"/>
    <n v="19920.016304775436"/>
  </r>
  <r>
    <x v="0"/>
    <s v="TORRES SOFER"/>
    <n v="310"/>
    <x v="2"/>
    <x v="2"/>
    <x v="0"/>
    <s v="COCHABAMBA"/>
    <s v="B 1"/>
    <x v="3"/>
    <n v="13733.820000000002"/>
    <n v="6770.8199999999979"/>
    <n v="16588.64"/>
    <n v="8758.75"/>
    <n v="24385.623049999995"/>
    <n v="12924.264588499998"/>
    <n v="19757.370000000006"/>
    <n v="10459.085652808613"/>
    <n v="19757.370000000003"/>
    <n v="10334.170000000009"/>
    <n v="19757.37000000001"/>
    <n v="10334.170000000013"/>
    <n v="21021.841680000012"/>
    <n v="11233.421013808786"/>
    <n v="0"/>
    <n v="0"/>
    <n v="0.53647856168203789"/>
    <n v="0.65741754964373678"/>
    <n v="0.77294184617734252"/>
    <n v="0.77294184617734241"/>
    <n v="0.77294184617734241"/>
    <n v="0.88"/>
    <n v="0"/>
    <n v="7367.900000000006"/>
    <n v="10905.663060722078"/>
    <n v="15271.298043408844"/>
    <n v="15271.298043408844"/>
    <n v="15271.298043408848"/>
    <n v="18499.220678400012"/>
    <n v="0"/>
  </r>
  <r>
    <x v="0"/>
    <s v="TORRES SOFER"/>
    <n v="310"/>
    <x v="2"/>
    <x v="2"/>
    <x v="0"/>
    <s v="COCHABAMBA"/>
    <s v="B 1"/>
    <x v="4"/>
    <n v="20034.159999999996"/>
    <n v="10363.109999999999"/>
    <n v="12793.170000000002"/>
    <n v="6632.7800000000007"/>
    <n v="25627.680899999992"/>
    <n v="12506.842729999997"/>
    <n v="19822.69000000001"/>
    <n v="10746.169964867291"/>
    <n v="19822.690000000017"/>
    <n v="10229.080000000027"/>
    <n v="19822.690000000017"/>
    <n v="10229.080000000027"/>
    <n v="21210.27830000002"/>
    <n v="11334.115706457582"/>
    <n v="0"/>
    <n v="0"/>
    <n v="0.68698463025153023"/>
    <n v="0.69293689960647331"/>
    <n v="0.81275621074656856"/>
    <n v="0.81275621074656867"/>
    <n v="0.81275621074656867"/>
    <n v="0.88"/>
    <n v="0"/>
    <n v="13763.159999999994"/>
    <n v="8864.8595559385467"/>
    <n v="16111.014411203911"/>
    <n v="16111.014411203907"/>
    <n v="16111.014411203912"/>
    <n v="18665.044904000017"/>
    <n v="0"/>
  </r>
  <r>
    <x v="0"/>
    <s v="TORRES SOFER"/>
    <n v="310"/>
    <x v="2"/>
    <x v="2"/>
    <x v="0"/>
    <s v="COCHABAMBA"/>
    <s v="B 1"/>
    <x v="5"/>
    <n v="19162.03"/>
    <n v="10213.41"/>
    <n v="6045.77"/>
    <n v="3048.4799999999991"/>
    <n v="22127.834499999997"/>
    <n v="11612.790864999997"/>
    <n v="15849.759999999998"/>
    <n v="8489.1754064158558"/>
    <n v="15849.76"/>
    <n v="8476.5"/>
    <n v="15849.76"/>
    <n v="8476.5000000000018"/>
    <n v="16959.243200000001"/>
    <n v="9062.4942305803579"/>
    <n v="0"/>
    <n v="0"/>
    <n v="0.73383926442031466"/>
    <n v="0.6692872546164339"/>
    <n v="0.8310030255799028"/>
    <n v="0.8310030255799028"/>
    <n v="0.8310030255799028"/>
    <n v="0.88"/>
    <n v="0"/>
    <n v="14061.850000000002"/>
    <n v="4046.3568053423978"/>
    <n v="13171.198514715321"/>
    <n v="13171.198514715319"/>
    <n v="13171.198514715321"/>
    <n v="14924.134016"/>
    <n v="0"/>
  </r>
  <r>
    <x v="0"/>
    <s v="TORRES SOFER"/>
    <n v="310"/>
    <x v="2"/>
    <x v="2"/>
    <x v="0"/>
    <s v="COCHABAMBA"/>
    <s v="B 1"/>
    <x v="6"/>
    <n v="19339.309999999998"/>
    <n v="10270.029999999999"/>
    <n v="13381.73"/>
    <n v="6980.1"/>
    <n v="23946.458499999997"/>
    <n v="12720.8208175"/>
    <n v="42551.91000000004"/>
    <n v="20532.190000000017"/>
    <n v="42595.01000000006"/>
    <n v="20559.310000000063"/>
    <n v="42595.010000000089"/>
    <n v="20559.310000000078"/>
    <n v="45576.660700000102"/>
    <n v="24354.755679361293"/>
    <n v="0"/>
    <n v="0"/>
    <n v="0.77948179123246908"/>
    <n v="0.71209590985404525"/>
    <n v="0.37256729486408446"/>
    <n v="0.37256729486408452"/>
    <n v="0.37256729486408452"/>
    <n v="0.88000000000000012"/>
    <n v="0"/>
    <n v="15074.64"/>
    <n v="9529.0751997711723"/>
    <n v="15869.507650408648"/>
    <n v="15853.45"/>
    <n v="15869.507650408663"/>
    <n v="40107.461416000093"/>
    <n v="0"/>
  </r>
  <r>
    <x v="0"/>
    <s v="TORRES SOFER"/>
    <n v="310"/>
    <x v="2"/>
    <x v="2"/>
    <x v="0"/>
    <s v="COCHABAMBA"/>
    <s v="B 1"/>
    <x v="7"/>
    <n v="54087.459999999992"/>
    <n v="19011.519999999997"/>
    <n v="24121.789999999997"/>
    <n v="10435.469999999999"/>
    <n v="32881.970599999971"/>
    <n v="14029.03285999999"/>
    <n v="35998.841781091003"/>
    <n v="15875.489225461133"/>
    <n v="73896.549999999959"/>
    <n v="31045.619999999995"/>
    <n v="73896.550000000163"/>
    <n v="32588.37855000007"/>
    <n v="76852.412000000171"/>
    <n v="34629.448096250257"/>
    <n v="0"/>
    <n v="0"/>
    <n v="0.21090285992353885"/>
    <n v="0.24637726180387626"/>
    <n v="0.27080519997212421"/>
    <n v="0.32"/>
    <n v="0.32"/>
    <n v="0.4"/>
    <n v="0"/>
    <n v="11407.20000000001"/>
    <n v="5943.0605700081232"/>
    <n v="20011.570000000065"/>
    <n v="11519.629369949122"/>
    <n v="23646.896000000052"/>
    <n v="30740.964800000071"/>
    <n v="0"/>
  </r>
  <r>
    <x v="0"/>
    <s v="TORRES SOFER"/>
    <n v="310"/>
    <x v="2"/>
    <x v="2"/>
    <x v="0"/>
    <s v="COCHABAMBA"/>
    <s v="B 1"/>
    <x v="8"/>
    <n v="16968.710000000003"/>
    <n v="8282.4800000000032"/>
    <n v="11792.530000000002"/>
    <n v="5641.74"/>
    <n v="22597.388149999992"/>
    <n v="11928.411118749997"/>
    <n v="22577.050500664995"/>
    <n v="11740.066260345797"/>
    <n v="14375.310000000007"/>
    <n v="7530.2500000000091"/>
    <n v="14375.310000000007"/>
    <n v="7530.2500000000091"/>
    <n v="15094.075500000006"/>
    <n v="7986.7773363537854"/>
    <n v="0"/>
    <n v="0"/>
    <n v="0.58982857270823819"/>
    <n v="0.50081471253246246"/>
    <n v="0.75571378982435866"/>
    <n v="0.75"/>
    <n v="0.75"/>
    <n v="0.85"/>
    <n v="0"/>
    <n v="10008.63000000001"/>
    <n v="5905.872521980441"/>
    <n v="10863.620000000006"/>
    <n v="16932.787875498747"/>
    <n v="10781.482500000006"/>
    <n v="12829.964175000005"/>
    <n v="0"/>
  </r>
  <r>
    <x v="0"/>
    <s v="TORRES SOFER"/>
    <n v="310"/>
    <x v="2"/>
    <x v="2"/>
    <x v="0"/>
    <s v="COCHABAMBA"/>
    <s v="B 1"/>
    <x v="9"/>
    <n v="11224.890000000001"/>
    <n v="5927.5099999999984"/>
    <n v="10340.669999999998"/>
    <n v="5389.7300000000005"/>
    <n v="24983.00752499999"/>
    <n v="13211.189899499996"/>
    <n v="24960.522818227491"/>
    <n v="13266.517877887914"/>
    <n v="18345.670000000002"/>
    <n v="9243.14"/>
    <n v="24960.522818227491"/>
    <n v="13266.517877887914"/>
    <n v="26707.759415503413"/>
    <n v="14271.799322668352"/>
    <n v="0"/>
    <n v="0"/>
    <n v="0.76185067292418918"/>
    <n v="0.67112848126584668"/>
    <n v="0.61957181176811793"/>
    <n v="0.80999999999999994"/>
    <n v="0.80999999999999994"/>
    <n v="0.88"/>
    <n v="0"/>
    <n v="8551.6900000000023"/>
    <n v="6939.9181523713014"/>
    <n v="11366.46000000001"/>
    <n v="20218.023482764267"/>
    <n v="20218.023482764267"/>
    <n v="23502.828285643005"/>
    <n v="0"/>
  </r>
  <r>
    <x v="0"/>
    <s v="TORRES SOFER"/>
    <n v="310"/>
    <x v="2"/>
    <x v="2"/>
    <x v="0"/>
    <s v="COCHABAMBA"/>
    <s v="B 1"/>
    <x v="10"/>
    <n v="20750.66"/>
    <n v="9441.4200000000019"/>
    <n v="29524.47"/>
    <n v="14248.399999999998"/>
    <n v="37894.970975000018"/>
    <n v="17012.815025500007"/>
    <n v="37860.865501122513"/>
    <n v="17510.650294269162"/>
    <n v="41358.620689655159"/>
    <n v="16325.203268692552"/>
    <n v="37894.970975000018"/>
    <n v="17526.42407593751"/>
    <n v="40547.618943250025"/>
    <n v="19685.944892244195"/>
    <n v="0"/>
    <n v="0"/>
    <n v="0.38587447339024394"/>
    <n v="0.4636883580980341"/>
    <n v="0.27080519997212421"/>
    <n v="0.35"/>
    <n v="0.35"/>
    <n v="0.6"/>
    <n v="0"/>
    <n v="8007.15"/>
    <n v="13690.153018014666"/>
    <n v="11200.1295464333"/>
    <n v="13251.302925392878"/>
    <n v="13263.239841250006"/>
    <n v="24328.571365950014"/>
    <n v="0"/>
  </r>
  <r>
    <x v="0"/>
    <s v="TORRES SOFER"/>
    <n v="310"/>
    <x v="2"/>
    <x v="2"/>
    <x v="0"/>
    <s v="COCHABAMBA"/>
    <s v="B 1"/>
    <x v="11"/>
    <n v="72655.059999999983"/>
    <n v="31786.619999999984"/>
    <n v="58525.890000000007"/>
    <n v="29819.730000000003"/>
    <n v="66277.647350000072"/>
    <n v="36232.764517250042"/>
    <n v="66217.997467385081"/>
    <n v="33373.870723562082"/>
    <n v="50217.456896551732"/>
    <n v="23761.372476288019"/>
    <n v="66217.997467385081"/>
    <n v="33373.870723562082"/>
    <n v="71515.437264775886"/>
    <n v="37841.196272387984"/>
    <n v="0"/>
    <n v="0"/>
    <n v="0.32787186467122914"/>
    <n v="0.66885958454316807"/>
    <n v="0.53991452508012117"/>
    <n v="0.6"/>
    <n v="0.6"/>
    <n v="0.85"/>
    <n v="0"/>
    <n v="23821.550000000028"/>
    <n v="39145.602470419159"/>
    <n v="27113.134391033185"/>
    <n v="39730.798480431047"/>
    <n v="39730.798480431047"/>
    <n v="60788.121675059505"/>
    <n v="0"/>
  </r>
  <r>
    <x v="0"/>
    <s v="UYUSTUS"/>
    <s v="FP-UYU"/>
    <x v="3"/>
    <x v="3"/>
    <x v="3"/>
    <s v="LA PAZ"/>
    <s v="B 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UYUSTUS"/>
    <s v="FP-UYU"/>
    <x v="3"/>
    <x v="3"/>
    <x v="3"/>
    <s v="LA PAZ"/>
    <s v="B 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UYUSTUS"/>
    <s v="FP-UYU"/>
    <x v="3"/>
    <x v="3"/>
    <x v="3"/>
    <s v="LA PAZ"/>
    <s v="B 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UYUSTUS"/>
    <s v="FP-UYU"/>
    <x v="3"/>
    <x v="3"/>
    <x v="3"/>
    <s v="LA PAZ"/>
    <s v="B 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UYUSTUS"/>
    <s v="FP-UYU"/>
    <x v="3"/>
    <x v="3"/>
    <x v="3"/>
    <s v="LA PAZ"/>
    <s v="B 2"/>
    <x v="4"/>
    <n v="0"/>
    <n v="0"/>
    <n v="0"/>
    <n v="0"/>
    <n v="0"/>
    <n v="0"/>
    <n v="0"/>
    <n v="0"/>
    <n v="0"/>
    <n v="0"/>
    <n v="0"/>
    <n v="0"/>
    <n v="56284.864000000111"/>
    <n v="27366.210314790591"/>
    <n v="0"/>
    <n v="0"/>
    <n v="0"/>
    <n v="0"/>
    <n v="0"/>
    <n v="0"/>
    <n v="0"/>
    <n v="0.69999999999999984"/>
    <n v="0"/>
    <n v="0"/>
    <n v="0"/>
    <n v="0"/>
    <n v="0"/>
    <n v="0"/>
    <n v="39399.404800000069"/>
    <n v="0"/>
  </r>
  <r>
    <x v="0"/>
    <s v="UYUSTUS"/>
    <s v="FP-UYU"/>
    <x v="3"/>
    <x v="3"/>
    <x v="3"/>
    <s v="LA PAZ"/>
    <s v="B 2"/>
    <x v="5"/>
    <n v="0"/>
    <n v="0"/>
    <n v="0"/>
    <n v="0"/>
    <n v="0"/>
    <n v="0"/>
    <n v="0"/>
    <n v="0"/>
    <n v="0"/>
    <n v="0"/>
    <n v="0"/>
    <n v="0"/>
    <n v="53932.780499999921"/>
    <n v="26222.606028228685"/>
    <n v="0"/>
    <n v="0"/>
    <n v="0"/>
    <n v="0"/>
    <n v="0"/>
    <n v="0"/>
    <n v="0"/>
    <n v="0.69999999999999984"/>
    <n v="0"/>
    <n v="0"/>
    <n v="0"/>
    <n v="0"/>
    <n v="0"/>
    <n v="0"/>
    <n v="37752.946349999933"/>
    <n v="0"/>
  </r>
  <r>
    <x v="0"/>
    <s v="UYUSTUS"/>
    <s v="FP-UYU"/>
    <x v="3"/>
    <x v="3"/>
    <x v="3"/>
    <s v="LA PAZ"/>
    <s v="B 2"/>
    <x v="6"/>
    <n v="0"/>
    <n v="0"/>
    <n v="0"/>
    <n v="0"/>
    <n v="21115.418309999986"/>
    <n v="9711.7337511499936"/>
    <n v="0"/>
    <n v="0"/>
    <n v="0"/>
    <n v="0"/>
    <n v="0"/>
    <n v="0"/>
    <n v="56284.864000000111"/>
    <n v="27366.210314790591"/>
    <n v="0"/>
    <n v="0"/>
    <n v="0"/>
    <n v="0"/>
    <n v="0"/>
    <n v="0"/>
    <n v="0"/>
    <n v="0.69999999999999984"/>
    <n v="0"/>
    <n v="0"/>
    <n v="0"/>
    <n v="0"/>
    <n v="0"/>
    <n v="0"/>
    <n v="39399.404800000069"/>
    <n v="0"/>
  </r>
  <r>
    <x v="0"/>
    <s v="UYUSTUS"/>
    <s v="FP-UYU"/>
    <x v="3"/>
    <x v="3"/>
    <x v="3"/>
    <s v="LA PAZ"/>
    <s v="B 2"/>
    <x v="7"/>
    <n v="0"/>
    <n v="0"/>
    <n v="0"/>
    <n v="0"/>
    <n v="73841.260503000085"/>
    <n v="25103.873319520026"/>
    <n v="0"/>
    <n v="0"/>
    <n v="0"/>
    <n v="0"/>
    <n v="0"/>
    <n v="0"/>
    <n v="115944.80515500021"/>
    <n v="47930.319759177735"/>
    <n v="0"/>
    <n v="0"/>
    <n v="0"/>
    <n v="0"/>
    <n v="0"/>
    <n v="0"/>
    <n v="0"/>
    <n v="0.38999999999999996"/>
    <n v="0"/>
    <n v="0"/>
    <n v="0"/>
    <n v="0"/>
    <n v="0"/>
    <n v="0"/>
    <n v="45218.474010450082"/>
    <n v="0"/>
  </r>
  <r>
    <x v="0"/>
    <s v="UYUSTUS"/>
    <s v="FP-UYU"/>
    <x v="3"/>
    <x v="3"/>
    <x v="3"/>
    <s v="LA PAZ"/>
    <s v="B 2"/>
    <x v="8"/>
    <n v="0"/>
    <n v="0"/>
    <n v="0"/>
    <n v="0"/>
    <n v="44623.457606999989"/>
    <n v="19493.064505504997"/>
    <n v="0"/>
    <n v="0"/>
    <n v="0"/>
    <n v="0"/>
    <n v="0"/>
    <n v="0"/>
    <n v="45499.290000000008"/>
    <n v="21908.408186853263"/>
    <n v="0"/>
    <n v="0"/>
    <n v="0"/>
    <n v="0"/>
    <n v="0"/>
    <n v="0"/>
    <n v="0"/>
    <n v="0.68"/>
    <n v="0"/>
    <n v="0"/>
    <n v="0"/>
    <n v="0"/>
    <n v="0"/>
    <n v="0"/>
    <n v="30939.517200000009"/>
    <n v="0"/>
  </r>
  <r>
    <x v="0"/>
    <s v="UYUSTUS"/>
    <s v="FP-UYU"/>
    <x v="3"/>
    <x v="3"/>
    <x v="3"/>
    <s v="LA PAZ"/>
    <s v="B 2"/>
    <x v="9"/>
    <n v="0"/>
    <n v="0"/>
    <n v="0"/>
    <n v="0"/>
    <n v="47741.664144999995"/>
    <n v="21158.694701274999"/>
    <n v="0"/>
    <n v="0"/>
    <n v="0"/>
    <n v="0"/>
    <n v="0"/>
    <n v="0"/>
    <n v="45393.248499999987"/>
    <n v="22070.608277965275"/>
    <n v="0"/>
    <n v="0"/>
    <n v="0"/>
    <n v="0"/>
    <n v="0"/>
    <n v="0"/>
    <n v="0"/>
    <n v="0.7"/>
    <n v="0"/>
    <n v="0"/>
    <n v="0"/>
    <n v="0"/>
    <n v="0"/>
    <n v="0"/>
    <n v="31775.273949999988"/>
    <n v="0"/>
  </r>
  <r>
    <x v="0"/>
    <s v="UYUSTUS"/>
    <s v="FP-UYU"/>
    <x v="3"/>
    <x v="3"/>
    <x v="3"/>
    <s v="LA PAZ"/>
    <s v="B 2"/>
    <x v="10"/>
    <n v="0"/>
    <n v="0"/>
    <n v="0"/>
    <n v="0"/>
    <n v="53325.274874999996"/>
    <n v="21687.778520049993"/>
    <n v="53325.274874999996"/>
    <n v="24289.662705562499"/>
    <n v="0"/>
    <n v="0"/>
    <n v="0"/>
    <n v="0"/>
    <n v="52444.081178160908"/>
    <n v="23281.31763258456"/>
    <n v="0"/>
    <n v="0"/>
    <n v="0"/>
    <n v="0"/>
    <n v="0"/>
    <n v="0.5"/>
    <n v="0.5"/>
    <n v="0.52"/>
    <n v="0"/>
    <n v="0"/>
    <n v="0"/>
    <n v="0"/>
    <n v="26662.637437499998"/>
    <n v="0"/>
    <n v="27270.922212643673"/>
    <n v="0"/>
  </r>
  <r>
    <x v="0"/>
    <s v="UYUSTUS"/>
    <s v="FP-UYU"/>
    <x v="3"/>
    <x v="3"/>
    <x v="3"/>
    <s v="LA PAZ"/>
    <s v="B 2"/>
    <x v="11"/>
    <n v="0"/>
    <n v="0"/>
    <n v="0"/>
    <n v="0"/>
    <n v="106034.7209250001"/>
    <n v="49571.608348050046"/>
    <n v="106034.7209250001"/>
    <n v="51654.814298613805"/>
    <n v="0"/>
    <n v="0"/>
    <n v="0"/>
    <n v="0"/>
    <n v="144893.32747575018"/>
    <n v="69767.729603915475"/>
    <n v="0"/>
    <n v="0"/>
    <n v="0"/>
    <n v="0"/>
    <n v="0"/>
    <n v="0.65"/>
    <n v="0.65"/>
    <n v="0.67999999999999994"/>
    <n v="0"/>
    <n v="0"/>
    <n v="0"/>
    <n v="0"/>
    <n v="68922.568601250066"/>
    <n v="0"/>
    <n v="98527.462683510108"/>
    <n v="0"/>
  </r>
  <r>
    <x v="0"/>
    <s v="VENTURA FAIR PLAY"/>
    <n v="414"/>
    <x v="0"/>
    <x v="0"/>
    <x v="0"/>
    <s v="SANTA CRUZ"/>
    <s v="XL"/>
    <x v="0"/>
    <n v="290317.75999999995"/>
    <n v="154588.88999999993"/>
    <n v="216549.51999999993"/>
    <n v="116213.50999999995"/>
    <n v="258703.83763666693"/>
    <n v="137803.6773181835"/>
    <n v="197419.84999999998"/>
    <n v="106851.71693059881"/>
    <n v="197419.85000000044"/>
    <n v="106083.1100000006"/>
    <n v="258703.83763666693"/>
    <n v="139013.92218377622"/>
    <n v="266464.952765767"/>
    <n v="142358.52822561041"/>
    <n v="238338.07471264416"/>
    <n v="131533.56227556127"/>
    <n v="0.89340345557915579"/>
    <n v="0.88021430033075543"/>
    <n v="0.90674381458009456"/>
    <n v="0.90674381458009479"/>
    <n v="0.90674381458009479"/>
    <n v="0.89999999999999991"/>
    <n v="0.97024112734675527"/>
    <n v="259370.88999999996"/>
    <n v="190609.98423376086"/>
    <n v="179009.22786283048"/>
    <n v="179009.2278628301"/>
    <n v="234578.10458518087"/>
    <n v="239818.45748919027"/>
    <n v="231245.40229885106"/>
  </r>
  <r>
    <x v="0"/>
    <s v="VENTURA FAIR PLAY"/>
    <n v="414"/>
    <x v="0"/>
    <x v="0"/>
    <x v="0"/>
    <s v="SANTA CRUZ"/>
    <s v="XL"/>
    <x v="1"/>
    <n v="446778.6999999999"/>
    <n v="167601.14999999985"/>
    <n v="297764.65999999992"/>
    <n v="131723.41999999987"/>
    <n v="378995.01798000035"/>
    <n v="156956.82026040016"/>
    <n v="361222.84000000055"/>
    <n v="154583.75843238298"/>
    <n v="361222.84"/>
    <n v="153993.08999999973"/>
    <n v="378995.01798000035"/>
    <n v="161569.55610377711"/>
    <n v="390364.86851940042"/>
    <n v="180039.56121624817"/>
    <n v="352526.14942528459"/>
    <n v="159536.06372173896"/>
    <n v="0.30864002693055714"/>
    <n v="0.54616547582384556"/>
    <n v="0.26916516592819345"/>
    <n v="0.26916516592819306"/>
    <n v="0.26916516592819306"/>
    <n v="0.4"/>
    <n v="0.45021931200995208"/>
    <n v="137893.78999999928"/>
    <n v="162628.77721242554"/>
    <n v="97228.605665653275"/>
    <n v="97228.605665653275"/>
    <n v="102012.25690054531"/>
    <n v="156145.94740776016"/>
    <n v="158714.0804597692"/>
  </r>
  <r>
    <x v="0"/>
    <s v="VENTURA FAIR PLAY"/>
    <n v="414"/>
    <x v="0"/>
    <x v="0"/>
    <x v="0"/>
    <s v="SANTA CRUZ"/>
    <s v="XL"/>
    <x v="2"/>
    <n v="342340.92999999993"/>
    <n v="166167.32999999996"/>
    <n v="393786.55999999982"/>
    <n v="174133.89999999982"/>
    <n v="309827.31843000068"/>
    <n v="145913.23084225031"/>
    <n v="294854.31000000081"/>
    <n v="148376.33707091433"/>
    <n v="294854.30999999959"/>
    <n v="148125.7499999993"/>
    <n v="294854.30999999802"/>
    <n v="148125.74999999852"/>
    <n v="303699.93929999793"/>
    <n v="160033.03760130468"/>
    <n v="267903.81658162212"/>
    <n v="140381.59988877"/>
    <n v="0.61648696228055277"/>
    <n v="0.49616897971036961"/>
    <n v="0.64621968736811908"/>
    <n v="0.6462196873681193"/>
    <n v="0.6462196873681193"/>
    <n v="0.85"/>
    <n v="0.83156000273014163"/>
    <n v="211048.71999999933"/>
    <n v="195384.67569885615"/>
    <n v="190540.66002734221"/>
    <n v="190540.66002734305"/>
    <n v="190540.66002734125"/>
    <n v="258144.94840499823"/>
    <n v="222778.09844802905"/>
  </r>
  <r>
    <x v="0"/>
    <s v="VENTURA FAIR PLAY"/>
    <n v="414"/>
    <x v="0"/>
    <x v="0"/>
    <x v="0"/>
    <s v="SANTA CRUZ"/>
    <s v="XL"/>
    <x v="3"/>
    <n v="292777.31999999995"/>
    <n v="159235.15"/>
    <n v="255730.62999999995"/>
    <n v="136689.75999999992"/>
    <n v="260140.7057700005"/>
    <n v="141215.37478875028"/>
    <n v="265827.99000000017"/>
    <n v="146910.47306618124"/>
    <n v="265827.98999999964"/>
    <n v="144802.33999999968"/>
    <n v="265827.98999999947"/>
    <n v="144802.33999999956"/>
    <n v="273802.82969999954"/>
    <n v="145478.83429787075"/>
    <n v="0"/>
    <n v="0"/>
    <n v="0.8864746763854523"/>
    <n v="0.90041661264119421"/>
    <n v="0.91954831974108664"/>
    <n v="0.91954831974108631"/>
    <n v="0.91954831974108631"/>
    <n v="0.87999999999999989"/>
    <n v="0"/>
    <n v="259539.67999999996"/>
    <n v="230264.10761319852"/>
    <n v="244441.68154465006"/>
    <n v="244441.68154465043"/>
    <n v="244441.68154464979"/>
    <n v="240946.49013599957"/>
    <n v="0"/>
  </r>
  <r>
    <x v="0"/>
    <s v="VENTURA FAIR PLAY"/>
    <n v="414"/>
    <x v="0"/>
    <x v="0"/>
    <x v="0"/>
    <s v="SANTA CRUZ"/>
    <s v="XL"/>
    <x v="4"/>
    <n v="309640.72999999986"/>
    <n v="166056.35999999987"/>
    <n v="254554.05999999997"/>
    <n v="137947.91999999998"/>
    <n v="259821.82710000058"/>
    <n v="135796.09963700033"/>
    <n v="260690.59000000203"/>
    <n v="144929.49070249006"/>
    <n v="260690.5900000011"/>
    <n v="144629.62000000107"/>
    <n v="260690.5900000011"/>
    <n v="144629.62000000107"/>
    <n v="0"/>
    <n v="0"/>
    <n v="0"/>
    <n v="0"/>
    <n v="0.85142700703489538"/>
    <n v="0.92049004468332685"/>
    <n v="0.9689263201100955"/>
    <n v="0.96892632011009538"/>
    <n v="0.96892632011009538"/>
    <n v="0"/>
    <n v="0"/>
    <n v="263636.48000000004"/>
    <n v="234314.47806372223"/>
    <n v="252589.97405603074"/>
    <n v="252589.97405603161"/>
    <n v="252589.97405603071"/>
    <n v="0"/>
    <n v="0"/>
  </r>
  <r>
    <x v="0"/>
    <s v="VENTURA FAIR PLAY"/>
    <n v="414"/>
    <x v="0"/>
    <x v="0"/>
    <x v="0"/>
    <s v="SANTA CRUZ"/>
    <s v="XL"/>
    <x v="5"/>
    <n v="291598.17000000004"/>
    <n v="157094.42000000004"/>
    <n v="238500.7099999999"/>
    <n v="128609.27999999991"/>
    <n v="241786.03660000025"/>
    <n v="131420.40182100015"/>
    <n v="244802.31999999954"/>
    <n v="135948.40324007391"/>
    <n v="244802.3199999994"/>
    <n v="135941.64999999938"/>
    <n v="244802.31999999913"/>
    <n v="135941.64999999924"/>
    <n v="0"/>
    <n v="0"/>
    <n v="0"/>
    <n v="0"/>
    <n v="0.87025878797524714"/>
    <n v="0.90902014130543218"/>
    <n v="0.96186160009813471"/>
    <n v="0.96186160009813471"/>
    <n v="0.96186160009813471"/>
    <n v="0"/>
    <n v="0"/>
    <n v="253765.87000000011"/>
    <n v="216801.94910564582"/>
    <n v="235465.95122293502"/>
    <n v="235465.95122293517"/>
    <n v="235465.95122293476"/>
    <n v="0"/>
    <n v="0"/>
  </r>
  <r>
    <x v="0"/>
    <s v="VENTURA FAIR PLAY"/>
    <n v="414"/>
    <x v="0"/>
    <x v="0"/>
    <x v="0"/>
    <s v="SANTA CRUZ"/>
    <s v="XL"/>
    <x v="6"/>
    <n v="282218.73000000004"/>
    <n v="152287.44000000006"/>
    <n v="273787.56999999995"/>
    <n v="149489.76999999993"/>
    <n v="259293.66040000069"/>
    <n v="142322.38727500039"/>
    <n v="279587.02000000112"/>
    <n v="153101.60000000097"/>
    <n v="279587.0200000006"/>
    <n v="153101.60000000065"/>
    <n v="279587.01999999769"/>
    <n v="153101.59999999905"/>
    <n v="321525.07299999741"/>
    <n v="171774.32043060008"/>
    <n v="0"/>
    <n v="0"/>
    <n v="0.89959075359739582"/>
    <n v="0.94408496068773951"/>
    <n v="0.92450107304695361"/>
    <n v="0.92450107304695361"/>
    <n v="0.92450107304695361"/>
    <n v="0.89999999999999991"/>
    <n v="0"/>
    <n v="253881.36000000002"/>
    <n v="258478.72726024169"/>
    <n v="258478.50000000064"/>
    <n v="258478.50000000114"/>
    <n v="258478.49999999793"/>
    <n v="289372.56569999765"/>
    <n v="0"/>
  </r>
  <r>
    <x v="0"/>
    <s v="VENTURA FAIR PLAY"/>
    <n v="414"/>
    <x v="0"/>
    <x v="0"/>
    <x v="0"/>
    <s v="SANTA CRUZ"/>
    <s v="XL"/>
    <x v="7"/>
    <n v="642420.55999999971"/>
    <n v="195012.51999999964"/>
    <n v="432221.0999999998"/>
    <n v="169945.63999999984"/>
    <n v="456786.1743000024"/>
    <n v="187712.39331600099"/>
    <n v="451921.4505666091"/>
    <n v="202334.49950916049"/>
    <n v="515771.43000000226"/>
    <n v="220558.32000000204"/>
    <n v="515771.42999999668"/>
    <n v="230921.44446635834"/>
    <n v="551617.54438499652"/>
    <n v="254410.65182668559"/>
    <n v="0"/>
    <n v="0"/>
    <n v="0.25057691179746627"/>
    <n v="0.3573068995041464"/>
    <n v="0.38777896247568133"/>
    <n v="0.32000000000000006"/>
    <n v="0.32000000000000006"/>
    <n v="0.4"/>
    <n v="0"/>
    <n v="160975.75999999882"/>
    <n v="154435.58114127154"/>
    <n v="200005.30999999939"/>
    <n v="144614.86418131494"/>
    <n v="165046.85759999897"/>
    <n v="220647.01775399863"/>
    <n v="0"/>
  </r>
  <r>
    <x v="0"/>
    <s v="VENTURA FAIR PLAY"/>
    <n v="414"/>
    <x v="0"/>
    <x v="0"/>
    <x v="0"/>
    <s v="SANTA CRUZ"/>
    <s v="XL"/>
    <x v="8"/>
    <n v="262080.55999999994"/>
    <n v="135526.18"/>
    <n v="230791.73999999996"/>
    <n v="116807.18999999994"/>
    <n v="244035.75385000033"/>
    <n v="131464.24491400018"/>
    <n v="255870.26773295607"/>
    <n v="135816.26035783152"/>
    <n v="259017.49000000081"/>
    <n v="138758.76000000071"/>
    <n v="259017.49000000081"/>
    <n v="138758.76000000071"/>
    <n v="297870.11350000097"/>
    <n v="158266.43183941743"/>
    <n v="0"/>
    <n v="0"/>
    <n v="0.79358175211469273"/>
    <n v="0.75176647243477634"/>
    <n v="0.90002393274678116"/>
    <n v="0.79999999999999993"/>
    <n v="0.79999999999999993"/>
    <n v="0.88"/>
    <n v="0"/>
    <n v="207982.3499999998"/>
    <n v="173501.49224688404"/>
    <n v="233121.94000000079"/>
    <n v="204696.21418636484"/>
    <n v="207213.99200000064"/>
    <n v="262125.69988000084"/>
    <n v="0"/>
  </r>
  <r>
    <x v="0"/>
    <s v="VENTURA FAIR PLAY"/>
    <n v="414"/>
    <x v="0"/>
    <x v="0"/>
    <x v="0"/>
    <s v="SANTA CRUZ"/>
    <s v="XL"/>
    <x v="9"/>
    <n v="174082.77999999997"/>
    <n v="92158.76999999996"/>
    <n v="238951.20999999993"/>
    <n v="130166.48999999993"/>
    <n v="258140.8301100005"/>
    <n v="141735.19636205028"/>
    <n v="270659.36966618494"/>
    <n v="148125.49001359707"/>
    <n v="170382.07000000033"/>
    <n v="90606.970000000336"/>
    <n v="270659.36966618494"/>
    <n v="148125.49001359707"/>
    <n v="287297.15150000009"/>
    <n v="153488.10125473505"/>
    <n v="0"/>
    <n v="0"/>
    <n v="0.82413338068245423"/>
    <n v="0.90893579739294605"/>
    <n v="0.81163687000633433"/>
    <n v="0.9"/>
    <n v="0.9"/>
    <n v="0.9"/>
    <n v="0"/>
    <n v="143467.42999999991"/>
    <n v="217191.30859935924"/>
    <n v="138288.37000000043"/>
    <n v="243593.43269956645"/>
    <n v="243593.43269956645"/>
    <n v="258567.43635000009"/>
    <n v="0"/>
  </r>
  <r>
    <x v="0"/>
    <s v="VENTURA FAIR PLAY"/>
    <n v="414"/>
    <x v="0"/>
    <x v="0"/>
    <x v="0"/>
    <s v="SANTA CRUZ"/>
    <s v="XL"/>
    <x v="10"/>
    <n v="281059.00999999989"/>
    <n v="130584.67999999988"/>
    <n v="250229.34"/>
    <n v="130410.99999999999"/>
    <n v="349748.40404000017"/>
    <n v="173409.54949620008"/>
    <n v="363042.35836498073"/>
    <n v="180014.89630923726"/>
    <n v="132136.78160919558"/>
    <n v="51067.046846667712"/>
    <n v="363042.35836498073"/>
    <n v="180014.89630923726"/>
    <n v="417498.71211972786"/>
    <n v="207801.01050167507"/>
    <n v="0"/>
    <n v="0"/>
    <n v="0.45484893012325067"/>
    <n v="0.6636410650344754"/>
    <n v="0.38777896247568133"/>
    <n v="0.6"/>
    <n v="0.6"/>
    <n v="0.65"/>
    <n v="0"/>
    <n v="127839.38999999997"/>
    <n v="166062.46570047384"/>
    <n v="51239.864077289552"/>
    <n v="217825.41501898842"/>
    <n v="217825.41501898842"/>
    <n v="271374.16287782311"/>
    <n v="0"/>
  </r>
  <r>
    <x v="0"/>
    <s v="VENTURA FAIR PLAY"/>
    <n v="414"/>
    <x v="0"/>
    <x v="0"/>
    <x v="0"/>
    <s v="SANTA CRUZ"/>
    <s v="XL"/>
    <x v="11"/>
    <n v="577487.91999999993"/>
    <n v="276976.98999999976"/>
    <n v="496588.48999999993"/>
    <n v="268146.86999999988"/>
    <n v="496935.49644999928"/>
    <n v="271573.86064724962"/>
    <n v="515824.03951683856"/>
    <n v="272252.57769014378"/>
    <n v="585910.5747126441"/>
    <n v="280211.12929288979"/>
    <n v="515824.03951683856"/>
    <n v="272252.57769014378"/>
    <n v="593197.6454443644"/>
    <n v="312582.28538738465"/>
    <n v="0"/>
    <n v="0"/>
    <n v="0.52314302955462588"/>
    <n v="0.85535851247082684"/>
    <n v="0.64621968736811908"/>
    <n v="0.79999999999999993"/>
    <n v="0.79999999999999993"/>
    <n v="0.85000000000000009"/>
    <n v="0"/>
    <n v="302108.77999999939"/>
    <n v="424761.19211653399"/>
    <n v="378626.94841647986"/>
    <n v="412659.23161347082"/>
    <n v="412659.23161347082"/>
    <n v="504217.99862770981"/>
    <n v="0"/>
  </r>
  <r>
    <x v="0"/>
    <s v="VILLA 1RO DE MAYO"/>
    <n v="416"/>
    <x v="0"/>
    <x v="1"/>
    <x v="0"/>
    <s v="SANTA CRUZ"/>
    <s v="B 3"/>
    <x v="0"/>
    <n v="20374.660000000003"/>
    <n v="9226.3100000000031"/>
    <n v="16115.030000000002"/>
    <n v="7182.8600000000006"/>
    <n v="15889.465783333328"/>
    <n v="6858.4904406666647"/>
    <n v="13096.83"/>
    <n v="4991.5042744379698"/>
    <n v="13096.829999999998"/>
    <n v="5153.6199999999981"/>
    <n v="15889.465783333328"/>
    <n v="6252.5258898758166"/>
    <n v="16604.491743583327"/>
    <n v="7655.9136456298093"/>
    <n v="9676.7241379310381"/>
    <n v="5190.0232039001776"/>
    <n v="0.54771956930815091"/>
    <n v="0.49206672280473585"/>
    <n v="0.46671764738872856"/>
    <n v="0.46671764738872856"/>
    <n v="0.46671764738872856"/>
    <n v="0.6"/>
    <n v="0.88448403860430591"/>
    <n v="11159.600000000011"/>
    <n v="7929.6700000000037"/>
    <n v="6112.5216858501208"/>
    <n v="6112.5216858501217"/>
    <n v="7415.8940886610317"/>
    <n v="9962.6950461499964"/>
    <n v="8558.9080459770157"/>
  </r>
  <r>
    <x v="0"/>
    <s v="VILLA 1RO DE MAYO"/>
    <n v="416"/>
    <x v="0"/>
    <x v="1"/>
    <x v="0"/>
    <s v="SANTA CRUZ"/>
    <s v="B 3"/>
    <x v="1"/>
    <n v="45857.109999999993"/>
    <n v="17497.329999999998"/>
    <n v="16728.46"/>
    <n v="6796.5199999999995"/>
    <n v="28005.429549999979"/>
    <n v="9883.4019599999938"/>
    <n v="22580.330000000005"/>
    <n v="7413.624655603875"/>
    <n v="22580.330000000009"/>
    <n v="7448.4100000000089"/>
    <n v="28005.429549999979"/>
    <n v="9237.9483167214785"/>
    <n v="29265.673879749975"/>
    <n v="11744.211212971037"/>
    <n v="31246.40804597699"/>
    <n v="13582.900101196698"/>
    <n v="0.28903892984097806"/>
    <n v="0.35745482485594876"/>
    <n v="0.12504092579909273"/>
    <n v="0.12504092579909282"/>
    <n v="0.12504092579909282"/>
    <n v="0.35999999999999993"/>
    <n v="0.36045522473847597"/>
    <n v="13254.490000000013"/>
    <n v="5979.6687394097444"/>
    <n v="2823.4653680490287"/>
    <n v="2823.4653680490301"/>
    <n v="3501.8248383332689"/>
    <n v="10535.642596709989"/>
    <n v="11262.931034482759"/>
  </r>
  <r>
    <x v="0"/>
    <s v="VILLA 1RO DE MAYO"/>
    <n v="416"/>
    <x v="0"/>
    <x v="1"/>
    <x v="0"/>
    <s v="SANTA CRUZ"/>
    <s v="B 3"/>
    <x v="2"/>
    <n v="34812.31"/>
    <n v="14939.989999999996"/>
    <n v="28596.979999999996"/>
    <n v="10808.239999999998"/>
    <n v="17270.598749999997"/>
    <n v="6727.6298325000007"/>
    <n v="20191.809999999998"/>
    <n v="8601.1643319943141"/>
    <n v="20191.809999999998"/>
    <n v="8753.6800000000021"/>
    <n v="20191.810000000016"/>
    <n v="8753.6800000000112"/>
    <n v="21100.44145000002"/>
    <n v="9623.7704578125213"/>
    <n v="18529.086890398492"/>
    <n v="8986.6071418432675"/>
    <n v="0.36268463655528749"/>
    <n v="0.26297691905888543"/>
    <n v="0.415370331380921"/>
    <n v="0.41537033138092067"/>
    <n v="0.41537033138092067"/>
    <n v="0.57999999999999996"/>
    <n v="0.61687208919414782"/>
    <n v="12625.89"/>
    <n v="7520.3456947885643"/>
    <n v="8387.0788108805937"/>
    <n v="8387.0788108805864"/>
    <n v="8387.0788108805937"/>
    <n v="12238.256041000011"/>
    <n v="11430.076540940014"/>
  </r>
  <r>
    <x v="0"/>
    <s v="VILLA 1RO DE MAYO"/>
    <n v="416"/>
    <x v="0"/>
    <x v="1"/>
    <x v="0"/>
    <s v="SANTA CRUZ"/>
    <s v="B 3"/>
    <x v="3"/>
    <n v="23629.599999999999"/>
    <n v="11382.99"/>
    <n v="7943.71"/>
    <n v="3403.2699999999995"/>
    <n v="14751.828149999998"/>
    <n v="6539.3514689999993"/>
    <n v="16977.440000000002"/>
    <n v="7789.7899557336596"/>
    <n v="16977.440000000002"/>
    <n v="7748.5800000000017"/>
    <n v="16977.440000000006"/>
    <n v="7748.5800000000036"/>
    <n v="0"/>
    <n v="0"/>
    <n v="0"/>
    <n v="0"/>
    <n v="0.55222305921386772"/>
    <n v="0.42928297640047841"/>
    <n v="0.56356403549047496"/>
    <n v="0.56356403549047451"/>
    <n v="0.56356403549047451"/>
    <n v="0"/>
    <n v="0"/>
    <n v="13048.810000000009"/>
    <n v="3410.0994724622442"/>
    <n v="9567.87459869741"/>
    <n v="9567.8745986974027"/>
    <n v="9567.8745986974045"/>
    <n v="0"/>
    <n v="0"/>
  </r>
  <r>
    <x v="0"/>
    <s v="VILLA 1RO DE MAYO"/>
    <n v="416"/>
    <x v="0"/>
    <x v="1"/>
    <x v="0"/>
    <s v="SANTA CRUZ"/>
    <s v="B 3"/>
    <x v="4"/>
    <n v="22831.29"/>
    <n v="10253.960000000003"/>
    <n v="8168.93"/>
    <n v="3879.1699999999996"/>
    <n v="16588.766850000004"/>
    <n v="7187.4238260000011"/>
    <n v="16122.060000000003"/>
    <n v="7709.1490702867413"/>
    <n v="16122.059999999998"/>
    <n v="7715.07"/>
    <n v="16122.059999999998"/>
    <n v="7715.07"/>
    <n v="0"/>
    <n v="0"/>
    <n v="0"/>
    <n v="0"/>
    <n v="0.47336265274542172"/>
    <n v="0.59449156743906428"/>
    <n v="0.62598774553727854"/>
    <n v="0.62598774553727843"/>
    <n v="0.62598774553727843"/>
    <n v="0"/>
    <n v="0"/>
    <n v="10807.48000000002"/>
    <n v="4856.3599999999951"/>
    <n v="10092.211992816736"/>
    <n v="10092.211992816738"/>
    <n v="10092.211992816734"/>
    <n v="0"/>
    <n v="0"/>
  </r>
  <r>
    <x v="0"/>
    <s v="VILLA 1RO DE MAYO"/>
    <n v="416"/>
    <x v="0"/>
    <x v="1"/>
    <x v="0"/>
    <s v="SANTA CRUZ"/>
    <s v="B 3"/>
    <x v="5"/>
    <n v="19525.71"/>
    <n v="8958.49"/>
    <n v="12957.689999999999"/>
    <n v="5803.8499999999995"/>
    <n v="14630.657449999995"/>
    <n v="6440.5354544999964"/>
    <n v="15095.649999999998"/>
    <n v="7248.8826173852649"/>
    <n v="15095.649999999992"/>
    <n v="7247.4399999999914"/>
    <n v="15095.649999999994"/>
    <n v="7247.4399999999923"/>
    <n v="0"/>
    <n v="0"/>
    <n v="0"/>
    <n v="0"/>
    <n v="0.46822164213234801"/>
    <n v="0.47322410185480729"/>
    <n v="0.64058465999756131"/>
    <n v="0.64058465999756131"/>
    <n v="0.64058465999756131"/>
    <n v="0"/>
    <n v="0"/>
    <n v="9142.3600000000079"/>
    <n v="6131.8912123630171"/>
    <n v="9670.0418226921811"/>
    <n v="9670.0418226921847"/>
    <n v="9670.0418226921829"/>
    <n v="0"/>
    <n v="0"/>
  </r>
  <r>
    <x v="0"/>
    <s v="VILLA 1RO DE MAYO"/>
    <n v="416"/>
    <x v="0"/>
    <x v="1"/>
    <x v="0"/>
    <s v="SANTA CRUZ"/>
    <s v="B 3"/>
    <x v="6"/>
    <n v="17240.7"/>
    <n v="8067.2000000000007"/>
    <n v="19451.670000000006"/>
    <n v="8995.8300000000036"/>
    <n v="16422.656199999987"/>
    <n v="7557.6201634999943"/>
    <n v="14246.249999999993"/>
    <n v="6899.4900000000043"/>
    <n v="14246.249999999989"/>
    <n v="6899.4899999999916"/>
    <n v="14246.250000000013"/>
    <n v="6899.4900000000034"/>
    <n v="0"/>
    <n v="0"/>
    <n v="0"/>
    <n v="0"/>
    <n v="0.55486088151873192"/>
    <n v="0.52342365792787915"/>
    <n v="0.65292550671229288"/>
    <n v="0.65292550671229288"/>
    <n v="0.65292550671229288"/>
    <n v="0"/>
    <n v="0"/>
    <n v="9566.1900000000023"/>
    <n v="10181.464264205992"/>
    <n v="9301.7399999999961"/>
    <n v="9301.739999999998"/>
    <n v="9301.7400000000107"/>
    <n v="0"/>
    <n v="0"/>
  </r>
  <r>
    <x v="0"/>
    <s v="VILLA 1RO DE MAYO"/>
    <n v="416"/>
    <x v="0"/>
    <x v="1"/>
    <x v="0"/>
    <s v="SANTA CRUZ"/>
    <s v="B 3"/>
    <x v="7"/>
    <n v="57792.329999999994"/>
    <n v="16850.900000000001"/>
    <n v="39860.74"/>
    <n v="12976.689999999999"/>
    <n v="35709.913299999971"/>
    <n v="11744.30636599999"/>
    <n v="28343.736428998986"/>
    <n v="9825.3562331124976"/>
    <n v="53022.7"/>
    <n v="17036.449999999968"/>
    <n v="53022.700000000099"/>
    <n v="18380.318955000032"/>
    <n v="0"/>
    <n v="0"/>
    <n v="0"/>
    <n v="0"/>
    <n v="0.13231098313565173"/>
    <n v="0.13449279547646312"/>
    <n v="0.17930414709171758"/>
    <n v="0.16999999999999998"/>
    <n v="0.16999999999999998"/>
    <n v="0"/>
    <n v="0"/>
    <n v="7646.5600000000186"/>
    <n v="5360.9823523604719"/>
    <n v="9507.1900000000132"/>
    <n v="4818.4351929298273"/>
    <n v="9013.8590000000167"/>
    <n v="0"/>
    <n v="0"/>
  </r>
  <r>
    <x v="0"/>
    <s v="VILLA 1RO DE MAYO"/>
    <n v="416"/>
    <x v="0"/>
    <x v="1"/>
    <x v="0"/>
    <s v="SANTA CRUZ"/>
    <s v="B 3"/>
    <x v="8"/>
    <n v="15849.689999999999"/>
    <n v="7042.869999999999"/>
    <n v="15922.61"/>
    <n v="6391.6800000000012"/>
    <n v="14039.641149999996"/>
    <n v="5903.8693447499973"/>
    <n v="14038.237185884997"/>
    <n v="6306.6780557588345"/>
    <n v="11982.39"/>
    <n v="5816.46"/>
    <n v="11982.39"/>
    <n v="5816.46"/>
    <n v="0"/>
    <n v="0"/>
    <n v="0"/>
    <n v="0"/>
    <n v="0.48008951594636878"/>
    <n v="0.33033606428439499"/>
    <n v="0.69570261024720448"/>
    <n v="0.54999999999999993"/>
    <n v="0.54999999999999993"/>
    <n v="0"/>
    <n v="0"/>
    <n v="7609.2700000000013"/>
    <n v="5259.8123205353504"/>
    <n v="8336.18"/>
    <n v="7721.0304522367469"/>
    <n v="6590.3144999999986"/>
    <n v="0"/>
    <n v="0"/>
  </r>
  <r>
    <x v="0"/>
    <s v="VILLA 1RO DE MAYO"/>
    <n v="416"/>
    <x v="0"/>
    <x v="1"/>
    <x v="0"/>
    <s v="SANTA CRUZ"/>
    <s v="B 3"/>
    <x v="9"/>
    <n v="10730.130000000001"/>
    <n v="4735.08"/>
    <n v="13668.680000000004"/>
    <n v="5901.6500000000015"/>
    <n v="14726.261874999995"/>
    <n v="6506.2663704999968"/>
    <n v="14724.789248812496"/>
    <n v="6788.1278437025612"/>
    <n v="10788.499999999995"/>
    <n v="5500.3299999999963"/>
    <n v="14724.789248812496"/>
    <n v="6788.1278437025612"/>
    <n v="0"/>
    <n v="0"/>
    <n v="0"/>
    <n v="0"/>
    <n v="0.46102516931295306"/>
    <n v="0.45903774175706819"/>
    <n v="0.63952449367381947"/>
    <n v="0.6"/>
    <n v="0.6"/>
    <n v="0"/>
    <n v="0"/>
    <n v="4946.8599999999979"/>
    <n v="6274.4400000000041"/>
    <n v="6899.5099999999975"/>
    <n v="8834.8735492874966"/>
    <n v="8834.8735492874966"/>
    <n v="0"/>
    <n v="0"/>
  </r>
  <r>
    <x v="0"/>
    <s v="VILLA 1RO DE MAYO"/>
    <n v="416"/>
    <x v="0"/>
    <x v="1"/>
    <x v="0"/>
    <s v="SANTA CRUZ"/>
    <s v="B 3"/>
    <x v="10"/>
    <n v="14651.420000000002"/>
    <n v="6103.9600000000009"/>
    <n v="13212.670000000002"/>
    <n v="5055.1899999999987"/>
    <n v="21072.513674999995"/>
    <n v="7974.6499157499975"/>
    <n v="21070.406423632496"/>
    <n v="8475.570983906171"/>
    <n v="7780.0287356321842"/>
    <n v="2776.0617313195157"/>
    <n v="21070.406423632496"/>
    <n v="8475.570983906171"/>
    <n v="0"/>
    <n v="0"/>
    <n v="0"/>
    <n v="0"/>
    <n v="0.36490251456855377"/>
    <n v="0.23820625208554749"/>
    <n v="0.17930414709171758"/>
    <n v="0.35"/>
    <n v="0.35"/>
    <n v="0"/>
    <n v="0"/>
    <n v="5346.3400000000011"/>
    <n v="3147.3406007431513"/>
    <n v="1394.9914167915827"/>
    <n v="7374.6422482713733"/>
    <n v="7374.6422482713733"/>
    <n v="0"/>
    <n v="0"/>
  </r>
  <r>
    <x v="0"/>
    <s v="VILLA 1RO DE MAYO"/>
    <n v="416"/>
    <x v="0"/>
    <x v="1"/>
    <x v="0"/>
    <s v="SANTA CRUZ"/>
    <s v="B 3"/>
    <x v="11"/>
    <n v="36270.259999999995"/>
    <n v="15314.099999999999"/>
    <n v="29663.549999999996"/>
    <n v="12400.570000000003"/>
    <n v="30106.006099999995"/>
    <n v="13744.764126999999"/>
    <n v="30102.995499389996"/>
    <n v="13877.48092521879"/>
    <n v="36527.083333333314"/>
    <n v="16122.889989025844"/>
    <n v="30102.995499389996"/>
    <n v="13877.48092521879"/>
    <n v="0"/>
    <n v="0"/>
    <n v="0"/>
    <n v="0"/>
    <n v="0.3524239969605959"/>
    <n v="0.48326880266693278"/>
    <n v="0.415370331380921"/>
    <n v="0.6"/>
    <n v="0.6"/>
    <n v="0"/>
    <n v="0"/>
    <n v="12782.51000000002"/>
    <n v="14335.468291350691"/>
    <n v="15172.266708545176"/>
    <n v="18061.797299633996"/>
    <n v="18061.797299633996"/>
    <n v="0"/>
    <n v="0"/>
  </r>
  <r>
    <x v="0"/>
    <s v="YACUIBA"/>
    <n v="131"/>
    <x v="0"/>
    <x v="2"/>
    <x v="0"/>
    <s v="ZONA SUR"/>
    <s v="B 3"/>
    <x v="0"/>
    <n v="0"/>
    <n v="0"/>
    <n v="27333.749999999996"/>
    <n v="12646.26"/>
    <n v="34069.566583333319"/>
    <n v="15189.03687616666"/>
    <n v="24658.309999999987"/>
    <n v="10505.271384081221"/>
    <n v="24658.309999999998"/>
    <n v="10609.93"/>
    <n v="34069.566583333319"/>
    <n v="14659.387305111573"/>
    <n v="35773.044912499987"/>
    <n v="16021.550724884206"/>
    <n v="18680.603448275837"/>
    <n v="9579.5005411956918"/>
    <n v="0"/>
    <n v="0.54583765491379654"/>
    <n v="0.49787971743617288"/>
    <n v="0.49787971743617265"/>
    <n v="0.49787971743617265"/>
    <n v="0.6"/>
    <n v="0.86165655260465923"/>
    <n v="0"/>
    <n v="14919.789999999985"/>
    <n v="12276.872415253554"/>
    <n v="12276.872415253543"/>
    <n v="16962.546183682862"/>
    <n v="21463.826947499991"/>
    <n v="16096.264367816068"/>
  </r>
  <r>
    <x v="0"/>
    <s v="YACUIBA"/>
    <n v="131"/>
    <x v="0"/>
    <x v="2"/>
    <x v="0"/>
    <s v="ZONA SUR"/>
    <s v="B 3"/>
    <x v="1"/>
    <n v="0"/>
    <n v="0"/>
    <n v="29793"/>
    <n v="13376.51"/>
    <n v="47259.126699999979"/>
    <n v="19776.380384999989"/>
    <n v="44469.440000000031"/>
    <n v="15834.495312925052"/>
    <n v="44469.440000000039"/>
    <n v="15966.880000000041"/>
    <n v="47259.126699999979"/>
    <n v="16968.525012316255"/>
    <n v="49149.491767999978"/>
    <n v="18742.28870986493"/>
    <n v="44440.100574712706"/>
    <n v="15383.887123020784"/>
    <n v="0"/>
    <n v="0.50063468123705146"/>
    <n v="0.23341364287922678"/>
    <n v="0.23341364287922656"/>
    <n v="0.23341364287922656"/>
    <n v="0.36"/>
    <n v="0.30410299799775697"/>
    <n v="0"/>
    <n v="14915.409058095474"/>
    <n v="10379.773987199211"/>
    <n v="10379.7739871992"/>
    <n v="11030.924922337916"/>
    <n v="17693.817036479992"/>
    <n v="13514.367816091977"/>
  </r>
  <r>
    <x v="0"/>
    <s v="YACUIBA"/>
    <n v="131"/>
    <x v="0"/>
    <x v="2"/>
    <x v="0"/>
    <s v="ZONA SUR"/>
    <s v="B 3"/>
    <x v="2"/>
    <n v="0"/>
    <n v="0"/>
    <n v="49162.79"/>
    <n v="20038.46"/>
    <n v="37387.124909999962"/>
    <n v="15456.487139249988"/>
    <n v="40433.649999999987"/>
    <n v="15640.127101749384"/>
    <n v="40433.65"/>
    <n v="15725.140000000007"/>
    <n v="40433.650000000038"/>
    <n v="15725.140000000021"/>
    <n v="40837.986500000043"/>
    <n v="18063.541594634375"/>
    <n v="34757.388511722384"/>
    <n v="15397.523110693017"/>
    <n v="0"/>
    <n v="0.35521511475287887"/>
    <n v="0.35007838700963034"/>
    <n v="0.35007838700963023"/>
    <n v="0.35007838700963023"/>
    <n v="0.57999999999999985"/>
    <n v="0.61998607022873797"/>
    <n v="0"/>
    <n v="17463.366091421685"/>
    <n v="14154.946972911941"/>
    <n v="14154.94697291193"/>
    <n v="14154.946972911948"/>
    <n v="23686.03217000002"/>
    <n v="21549.096714796244"/>
  </r>
  <r>
    <x v="0"/>
    <s v="YACUIBA"/>
    <n v="131"/>
    <x v="0"/>
    <x v="2"/>
    <x v="0"/>
    <s v="ZONA SUR"/>
    <s v="B 3"/>
    <x v="3"/>
    <n v="0"/>
    <n v="0"/>
    <n v="34698.14"/>
    <n v="16132.52"/>
    <n v="33184.993989999974"/>
    <n v="15425.288810749991"/>
    <n v="36182.890000000043"/>
    <n v="15054.816714277444"/>
    <n v="36182.890000000014"/>
    <n v="15052.30000000001"/>
    <n v="36182.890000000029"/>
    <n v="15052.300000000016"/>
    <n v="38353.863400000031"/>
    <n v="17177.413034350422"/>
    <n v="0"/>
    <n v="0"/>
    <n v="0"/>
    <n v="0.5600689258847894"/>
    <n v="0.43337533713578275"/>
    <n v="0.4333753371357828"/>
    <n v="0.4333753371357828"/>
    <n v="0.6"/>
    <n v="0"/>
    <n v="0"/>
    <n v="19433.350000000046"/>
    <n v="15680.772152296948"/>
    <n v="15680.772152296962"/>
    <n v="15680.772152296957"/>
    <n v="23012.318040000016"/>
    <n v="0"/>
  </r>
  <r>
    <x v="0"/>
    <s v="YACUIBA"/>
    <n v="131"/>
    <x v="0"/>
    <x v="2"/>
    <x v="0"/>
    <s v="ZONA SUR"/>
    <s v="B 3"/>
    <x v="4"/>
    <n v="0"/>
    <n v="0"/>
    <n v="34420.980000000003"/>
    <n v="15883.019999999997"/>
    <n v="35205.617099999996"/>
    <n v="15202.2534725"/>
    <n v="38848.200000000026"/>
    <n v="18542.899999999994"/>
    <n v="38848.200000000026"/>
    <n v="18542.900000000031"/>
    <n v="38848.200000000026"/>
    <n v="18542.900000000031"/>
    <n v="40790.61000000003"/>
    <n v="18268.750362528139"/>
    <n v="0"/>
    <n v="0"/>
    <n v="0"/>
    <n v="0.51478945528820685"/>
    <n v="0.61834756822709946"/>
    <n v="0.61834756822709924"/>
    <n v="0.61834756822709924"/>
    <n v="0.6"/>
    <n v="0"/>
    <n v="0"/>
    <n v="17719.557544686264"/>
    <n v="24021.690000000021"/>
    <n v="24021.690000000013"/>
    <n v="24021.690000000013"/>
    <n v="24474.366000000016"/>
    <n v="0"/>
  </r>
  <r>
    <x v="0"/>
    <s v="YACUIBA"/>
    <n v="131"/>
    <x v="0"/>
    <x v="2"/>
    <x v="0"/>
    <s v="ZONA SUR"/>
    <s v="B 3"/>
    <x v="5"/>
    <n v="0"/>
    <n v="0"/>
    <n v="34681.449999999997"/>
    <n v="16502.359999999993"/>
    <n v="31550.937999999984"/>
    <n v="14938.210009999992"/>
    <n v="31063.43"/>
    <n v="14359.440000000035"/>
    <n v="31063.430000000008"/>
    <n v="14359.440000000002"/>
    <n v="31063.430000000015"/>
    <n v="14359.440000000006"/>
    <n v="32616.601500000019"/>
    <n v="14607.885257846367"/>
    <n v="0"/>
    <n v="0"/>
    <n v="0"/>
    <n v="0.59360964102984015"/>
    <n v="0.60050805722355927"/>
    <n v="0.60050805722355927"/>
    <n v="0.60050805722355927"/>
    <n v="0.6"/>
    <n v="0"/>
    <n v="0"/>
    <n v="20587.243084894348"/>
    <n v="18653.840000000033"/>
    <n v="18653.840000000029"/>
    <n v="18653.840000000037"/>
    <n v="19569.960900000009"/>
    <n v="0"/>
  </r>
  <r>
    <x v="0"/>
    <s v="YACUIBA"/>
    <n v="131"/>
    <x v="0"/>
    <x v="2"/>
    <x v="0"/>
    <s v="ZONA SUR"/>
    <s v="B 3"/>
    <x v="6"/>
    <n v="6876.8300000000008"/>
    <n v="3612.4900000000011"/>
    <n v="30752.02"/>
    <n v="14232.16"/>
    <n v="33423.38069999998"/>
    <n v="15518.79643849999"/>
    <n v="28308.649999999991"/>
    <n v="13364.170000000009"/>
    <n v="28308.649999999987"/>
    <n v="13364.169999999998"/>
    <n v="28308.649999999991"/>
    <n v="13364.17"/>
    <n v="32838.033999999985"/>
    <n v="14707.057470878972"/>
    <n v="0"/>
    <n v="0"/>
    <n v="0.72268908785007024"/>
    <n v="0.55145027051888607"/>
    <n v="0.67498308820802155"/>
    <n v="0.67498308820802155"/>
    <n v="0.67498308820802155"/>
    <n v="0.6"/>
    <n v="0"/>
    <n v="4969.8099999999995"/>
    <n v="16958.209748002195"/>
    <n v="19107.86"/>
    <n v="19107.860000000004"/>
    <n v="19107.860000000004"/>
    <n v="19702.82039999999"/>
    <n v="0"/>
  </r>
  <r>
    <x v="0"/>
    <s v="YACUIBA"/>
    <n v="131"/>
    <x v="0"/>
    <x v="2"/>
    <x v="0"/>
    <s v="ZONA SUR"/>
    <s v="B 3"/>
    <x v="7"/>
    <n v="107992.21999999999"/>
    <n v="38702.929999999993"/>
    <n v="56983.380000000005"/>
    <n v="19665.099999999999"/>
    <n v="59461.857099999994"/>
    <n v="20628.386358500004"/>
    <n v="58954.280554294783"/>
    <n v="21992.894360779668"/>
    <n v="63604.279999999962"/>
    <n v="21270.97999999996"/>
    <n v="63604.280000000013"/>
    <n v="23727.576654000004"/>
    <n v="64876.365600000005"/>
    <n v="24739.453670477476"/>
    <n v="0"/>
    <n v="0"/>
    <n v="0.25846158176950168"/>
    <n v="0.22695861379217741"/>
    <n v="0.27694834372781291"/>
    <n v="0.27"/>
    <n v="0.27"/>
    <n v="0.36000000000000004"/>
    <n v="0"/>
    <n v="27911.840000000011"/>
    <n v="12932.868933992888"/>
    <n v="17615.100000000046"/>
    <n v="15917.655749659592"/>
    <n v="17173.155600000006"/>
    <n v="23355.491616000003"/>
    <n v="0"/>
  </r>
  <r>
    <x v="0"/>
    <s v="YACUIBA"/>
    <n v="131"/>
    <x v="0"/>
    <x v="2"/>
    <x v="0"/>
    <s v="ZONA SUR"/>
    <s v="B 3"/>
    <x v="8"/>
    <n v="31992.52"/>
    <n v="15571.529999999999"/>
    <n v="40097.269999999997"/>
    <n v="16164.18"/>
    <n v="31812.098999999995"/>
    <n v="13854.127826999997"/>
    <n v="32289.280484999996"/>
    <n v="13819.812047579999"/>
    <n v="34147.39"/>
    <n v="15081.750000000007"/>
    <n v="34147.39"/>
    <n v="15081.750000000007"/>
    <n v="35171.811699999991"/>
    <n v="15557.2675847179"/>
    <n v="0"/>
    <n v="0"/>
    <n v="0.58248209268916684"/>
    <n v="0.39894342471090866"/>
    <n v="0.61124203050364923"/>
    <n v="0.44999999999999996"/>
    <n v="0.44999999999999996"/>
    <n v="0.58000000000000007"/>
    <n v="0"/>
    <n v="18635.070000000025"/>
    <n v="15996.542215357975"/>
    <n v="20872.320000000007"/>
    <n v="14530.176218249997"/>
    <n v="15366.325499999999"/>
    <n v="20399.650785999998"/>
    <n v="0"/>
  </r>
  <r>
    <x v="0"/>
    <s v="YACUIBA"/>
    <n v="131"/>
    <x v="0"/>
    <x v="2"/>
    <x v="0"/>
    <s v="ZONA SUR"/>
    <s v="B 3"/>
    <x v="9"/>
    <n v="30046.769999999997"/>
    <n v="12840.499999999996"/>
    <n v="29096.81"/>
    <n v="12875.740000000002"/>
    <n v="33058.463299999981"/>
    <n v="14628.061491499991"/>
    <n v="33554.340249499983"/>
    <n v="15971.865958761995"/>
    <n v="35924.980000000018"/>
    <n v="15278.210000000021"/>
    <n v="35924.979999999996"/>
    <n v="17100.29048"/>
    <n v="37721.228999999992"/>
    <n v="16894.077239069389"/>
    <n v="0"/>
    <n v="0"/>
    <n v="0.49735828510019525"/>
    <n v="0.51522031459037843"/>
    <n v="0.58085293297310114"/>
    <n v="0.65"/>
    <n v="0.65"/>
    <n v="0.59999999999999987"/>
    <n v="0"/>
    <n v="14944.009999999993"/>
    <n v="14991.26760177647"/>
    <n v="20867.130000000008"/>
    <n v="21810.321162174991"/>
    <n v="23351.236999999997"/>
    <n v="22632.737399999991"/>
    <n v="0"/>
  </r>
  <r>
    <x v="0"/>
    <s v="YACUIBA"/>
    <n v="131"/>
    <x v="0"/>
    <x v="2"/>
    <x v="0"/>
    <s v="ZONA SUR"/>
    <s v="B 3"/>
    <x v="10"/>
    <n v="21134.319999999996"/>
    <n v="9253.4800000000014"/>
    <n v="29931.29"/>
    <n v="12691.11"/>
    <n v="36687.75524999998"/>
    <n v="14641.904642499994"/>
    <n v="37238.071578749979"/>
    <n v="15044.180917814992"/>
    <n v="30636.637931034486"/>
    <n v="12224.113470202015"/>
    <n v="37238.071578749979"/>
    <n v="15044.180917814992"/>
    <n v="39472.355873474975"/>
    <n v="16365.216321740463"/>
    <n v="0"/>
    <n v="0"/>
    <n v="0.43555884457129435"/>
    <n v="0.45377462849078681"/>
    <n v="0.27694834372781291"/>
    <n v="0.35"/>
    <n v="0.35"/>
    <n v="0.48000000000000004"/>
    <n v="0"/>
    <n v="9205.2399999999961"/>
    <n v="13582.060000000003"/>
    <n v="8484.7661323886896"/>
    <n v="13033.325052562492"/>
    <n v="13033.325052562492"/>
    <n v="18946.730819267988"/>
    <n v="0"/>
  </r>
  <r>
    <x v="0"/>
    <s v="YACUIBA"/>
    <n v="131"/>
    <x v="0"/>
    <x v="2"/>
    <x v="0"/>
    <s v="ZONA SUR"/>
    <s v="B 3"/>
    <x v="11"/>
    <n v="59088.919999999991"/>
    <n v="23899.759999999984"/>
    <n v="69476.460000000006"/>
    <n v="31480.660000000003"/>
    <n v="72681.269250000012"/>
    <n v="33094.591545000003"/>
    <n v="73771.488288750013"/>
    <n v="34229.970565980009"/>
    <n v="49252.155172413775"/>
    <n v="23405.370279139788"/>
    <n v="73771.488288750013"/>
    <n v="34229.970565980009"/>
    <n v="78197.777586075026"/>
    <n v="33938.246732442793"/>
    <n v="0"/>
    <n v="0"/>
    <n v="0.32085186190575143"/>
    <n v="0.52250629891575384"/>
    <n v="0.35007838700963034"/>
    <n v="0.6"/>
    <n v="0.6"/>
    <n v="0.55000000000000004"/>
    <n v="0"/>
    <n v="18958.78999999999"/>
    <n v="36301.887976368416"/>
    <n v="17242.115039506636"/>
    <n v="44262.892973250004"/>
    <n v="44262.892973250004"/>
    <n v="43008.777672341268"/>
    <n v="0"/>
  </r>
  <r>
    <x v="1"/>
    <s v="HEROINAS"/>
    <n v="307"/>
    <x v="0"/>
    <x v="1"/>
    <x v="0"/>
    <s v="COCHABAMBA"/>
    <s v="OUTLET 1"/>
    <x v="0"/>
    <n v="52671.330000000016"/>
    <n v="10863.36000000001"/>
    <n v="56226.840000000011"/>
    <n v="10923.930000000013"/>
    <n v="58244.800683333342"/>
    <n v="11829"/>
    <n v="56839.659999999974"/>
    <n v="16857.91438936233"/>
    <n v="56839.659999999974"/>
    <n v="16900.809999999954"/>
    <n v="58244.800683333342"/>
    <n v="17318.617138752848"/>
    <n v="61157.040717500015"/>
    <n v="14213.77564211603"/>
    <n v="51278.879310344957"/>
    <n v="17555.556739167812"/>
    <n v="2.0181187754324842E-2"/>
    <n v="2.0517642728202893E-2"/>
    <n v="8.607422554354742E-2"/>
    <n v="8.6074225543547433E-2"/>
    <n v="8.6074225543547433E-2"/>
    <n v="0.11999999999999997"/>
    <n v="0.1889319447129594"/>
    <n v="1062.970000000003"/>
    <n v="1153.6422148558279"/>
    <n v="4892.4297146585486"/>
    <n v="4892.4297146585495"/>
    <n v="5013.3761107561995"/>
    <n v="7338.8448860999997"/>
    <n v="9688.2183908046118"/>
  </r>
  <r>
    <x v="1"/>
    <s v="HEROINAS"/>
    <n v="307"/>
    <x v="0"/>
    <x v="1"/>
    <x v="0"/>
    <s v="COCHABAMBA"/>
    <s v="OUTLET 1"/>
    <x v="1"/>
    <n v="82597.66"/>
    <n v="1154.0800000000045"/>
    <n v="53422.8"/>
    <n v="6533.5600000000049"/>
    <n v="70224.149250000017"/>
    <n v="8631"/>
    <n v="90031.769999999931"/>
    <n v="19010.070844016256"/>
    <n v="90031.76999999996"/>
    <n v="19169.809999999998"/>
    <n v="90031.770000000033"/>
    <n v="19169.810000000012"/>
    <n v="94533.358500000031"/>
    <n v="21017.244486686424"/>
    <n v="66903.879310344884"/>
    <n v="12059.850839238476"/>
    <n v="9.079918244657351E-3"/>
    <n v="9.0421223053720433E-3"/>
    <n v="6.0737312421969454E-2"/>
    <n v="6.07373124219696E-2"/>
    <n v="6.07373124219696E-2"/>
    <n v="8.9999999999999983E-2"/>
    <n v="0.12496483417838694"/>
    <n v="749.98000000000468"/>
    <n v="483.05549149542964"/>
    <n v="5468.2877423928949"/>
    <n v="5468.2877423929058"/>
    <n v="5468.2877423929122"/>
    <n v="8508.002265000001"/>
    <n v="8360.6321839080611"/>
  </r>
  <r>
    <x v="1"/>
    <s v="HEROINAS"/>
    <n v="307"/>
    <x v="0"/>
    <x v="1"/>
    <x v="0"/>
    <s v="COCHABAMBA"/>
    <s v="OUTLET 1"/>
    <x v="2"/>
    <n v="50161.01"/>
    <n v="4603.2500000000009"/>
    <n v="79525.039999999994"/>
    <n v="8967.7900000000027"/>
    <n v="60545.770090000013"/>
    <n v="10834"/>
    <n v="83897.330000000016"/>
    <n v="16546.334575126886"/>
    <n v="83897.329999999973"/>
    <n v="16574.819999999992"/>
    <n v="83897.330000000075"/>
    <n v="16574.820000000011"/>
    <n v="88092.196500000078"/>
    <n v="21066.351731751183"/>
    <n v="74836.715589845655"/>
    <n v="19083.362475410642"/>
    <n v="1.197822771112465E-2"/>
    <n v="1.1001034594990905E-2"/>
    <n v="8.7328000562677949E-2"/>
    <n v="8.7328000562678212E-2"/>
    <n v="8.7328000562678212E-2"/>
    <n v="0.14000000000000001"/>
    <n v="0.19746893195583815"/>
    <n v="600.84000000000071"/>
    <n v="874.85771620803553"/>
    <n v="7326.5860814471753"/>
    <n v="7326.5860814472007"/>
    <n v="7326.5860814472062"/>
    <n v="12332.907510000012"/>
    <n v="14777.926298609644"/>
  </r>
  <r>
    <x v="1"/>
    <s v="HEROINAS"/>
    <n v="307"/>
    <x v="0"/>
    <x v="1"/>
    <x v="0"/>
    <s v="COCHABAMBA"/>
    <s v="OUTLET 1"/>
    <x v="3"/>
    <n v="62777.170000000013"/>
    <n v="2881.0300000000152"/>
    <n v="58007.69"/>
    <n v="11716.070000000003"/>
    <n v="59834.953560000009"/>
    <n v="12467"/>
    <n v="81374.51999999999"/>
    <n v="20271.022255675325"/>
    <n v="81374.520000000077"/>
    <n v="20228.210000000152"/>
    <n v="81374.52000000012"/>
    <n v="20228.210000000163"/>
    <n v="85443.24600000013"/>
    <n v="21007.525426963621"/>
    <n v="0"/>
    <n v="0"/>
    <n v="8.7197304370362598E-3"/>
    <n v="1.2386246474346196E-2"/>
    <n v="0.13872526022262696"/>
    <n v="0.13872526022262649"/>
    <n v="0.13872526022262649"/>
    <n v="0.16"/>
    <n v="0"/>
    <n v="547.39999999999964"/>
    <n v="718.49754574746714"/>
    <n v="11288.701462491374"/>
    <n v="11288.701462491323"/>
    <n v="11288.701462491341"/>
    <n v="13670.919360000022"/>
    <n v="0"/>
  </r>
  <r>
    <x v="1"/>
    <s v="HEROINAS"/>
    <n v="307"/>
    <x v="0"/>
    <x v="1"/>
    <x v="0"/>
    <s v="COCHABAMBA"/>
    <s v="OUTLET 1"/>
    <x v="4"/>
    <n v="43225.53"/>
    <n v="8286.2200000000048"/>
    <n v="47556.179999999993"/>
    <n v="10321.499999999989"/>
    <n v="57773.227874999975"/>
    <n v="12295"/>
    <n v="71366.879999999946"/>
    <n v="18927.078455067174"/>
    <n v="71366.879999999961"/>
    <n v="18730.639999999941"/>
    <n v="71366.879999999961"/>
    <n v="18730.639999999941"/>
    <n v="74935.223999999958"/>
    <n v="18927.940107759408"/>
    <n v="0"/>
    <n v="0"/>
    <n v="4.9186210093896026E-3"/>
    <n v="1.6868688523419596E-2"/>
    <n v="0.12165811227294746"/>
    <n v="0.12165811227294744"/>
    <n v="0.12165811227294744"/>
    <n v="0.18000000000000002"/>
    <n v="0"/>
    <n v="212.61000000000055"/>
    <n v="802.21038778367642"/>
    <n v="8682.3598996099627"/>
    <n v="8682.3598996099608"/>
    <n v="8682.3598996099627"/>
    <n v="13488.340319999994"/>
    <n v="0"/>
  </r>
  <r>
    <x v="1"/>
    <s v="HEROINAS"/>
    <n v="307"/>
    <x v="0"/>
    <x v="1"/>
    <x v="0"/>
    <s v="COCHABAMBA"/>
    <s v="OUTLET 1"/>
    <x v="5"/>
    <n v="38086.550000000003"/>
    <n v="7462.6600000000026"/>
    <n v="27691.73"/>
    <n v="7088.15"/>
    <n v="58860.815574999971"/>
    <n v="13955"/>
    <n v="69033.16000000012"/>
    <n v="19050.996592627485"/>
    <n v="69033.160000000062"/>
    <n v="19059.280000000072"/>
    <n v="69033.160000000047"/>
    <n v="19059.280000000068"/>
    <n v="0"/>
    <n v="0"/>
    <n v="0"/>
    <n v="0"/>
    <n v="1.5164933552658379E-2"/>
    <n v="4.2637422561043789E-2"/>
    <n v="0.13364350057931657"/>
    <n v="0.13364350057931657"/>
    <n v="0.13364350057931657"/>
    <n v="0"/>
    <n v="0"/>
    <n v="577.58000000000106"/>
    <n v="1180.7039934563331"/>
    <n v="9225.833158452062"/>
    <n v="9225.8331584520693"/>
    <n v="9225.8331584520602"/>
    <n v="0"/>
    <n v="0"/>
  </r>
  <r>
    <x v="1"/>
    <s v="HEROINAS"/>
    <n v="307"/>
    <x v="0"/>
    <x v="1"/>
    <x v="0"/>
    <s v="COCHABAMBA"/>
    <s v="OUTLET 1"/>
    <x v="6"/>
    <n v="48262.880000000005"/>
    <n v="10676.560000000009"/>
    <n v="57451.829999999987"/>
    <n v="12932.359999999995"/>
    <n v="56337.896099999969"/>
    <n v="13327"/>
    <n v="72187.63"/>
    <n v="23728.989999999932"/>
    <n v="72187.629999999961"/>
    <n v="23728.989999999998"/>
    <n v="72187.63000000015"/>
    <n v="23728.990000000063"/>
    <n v="0"/>
    <n v="0"/>
    <n v="0"/>
    <n v="0"/>
    <n v="3.5068151755552147E-2"/>
    <n v="4.6576407681749692E-2"/>
    <n v="0.20008982148326571"/>
    <n v="0.20008982148326571"/>
    <n v="0.20008982148326571"/>
    <n v="0"/>
    <n v="0"/>
    <n v="1692.4900000000027"/>
    <n v="2675.8998561425769"/>
    <n v="14444.010000000028"/>
    <n v="14444.010000000037"/>
    <n v="14444.010000000066"/>
    <n v="0"/>
    <n v="0"/>
  </r>
  <r>
    <x v="1"/>
    <s v="HEROINAS"/>
    <n v="307"/>
    <x v="0"/>
    <x v="1"/>
    <x v="0"/>
    <s v="COCHABAMBA"/>
    <s v="OUTLET 1"/>
    <x v="7"/>
    <n v="120964.12000000002"/>
    <n v="9287.6800000000439"/>
    <n v="93370.98000000001"/>
    <n v="8491.2400000000234"/>
    <n v="101953.5156999999"/>
    <n v="13320"/>
    <n v="107514.78243801305"/>
    <n v="22260.935703790601"/>
    <n v="120705.11000000026"/>
    <n v="11440.8200000004"/>
    <n v="120705.11000000019"/>
    <n v="24991.993025500036"/>
    <n v="0"/>
    <n v="0"/>
    <n v="0"/>
    <n v="0"/>
    <n v="9.3773261029799371E-3"/>
    <n v="8.6931618315716115E-3"/>
    <n v="5.7992325262782793E-2"/>
    <n v="7.0000000000000007E-2"/>
    <n v="7.0000000000000007E-2"/>
    <n v="0"/>
    <n v="0"/>
    <n v="1134.3199999999977"/>
    <n v="811.68903951243635"/>
    <n v="6999.9699999999912"/>
    <n v="7526.0347706609136"/>
    <n v="8449.3577000000132"/>
    <n v="0"/>
    <n v="0"/>
  </r>
  <r>
    <x v="1"/>
    <s v="HEROINAS"/>
    <n v="307"/>
    <x v="0"/>
    <x v="1"/>
    <x v="0"/>
    <s v="COCHABAMBA"/>
    <s v="OUTLET 1"/>
    <x v="8"/>
    <n v="47634.659999999996"/>
    <n v="9146.6299999999956"/>
    <n v="59148.039999999979"/>
    <n v="7822.9399999999896"/>
    <n v="53347.900750000008"/>
    <n v="11506"/>
    <n v="58191.890138100011"/>
    <n v="13197.920683321083"/>
    <n v="61925.210000000079"/>
    <n v="15538.63000000007"/>
    <n v="61925.210000000079"/>
    <n v="15538.630000000068"/>
    <n v="0"/>
    <n v="0"/>
    <n v="0"/>
    <n v="0"/>
    <n v="1.6105709582056475E-2"/>
    <n v="2.5275600572821001E-2"/>
    <n v="0.11417708555207139"/>
    <n v="0.12000000000000001"/>
    <n v="0.12000000000000001"/>
    <n v="0"/>
    <n v="0"/>
    <n v="767.19000000000221"/>
    <n v="1495.002233705239"/>
    <n v="7070.439999999996"/>
    <n v="6983.0268165720017"/>
    <n v="7431.02520000001"/>
    <n v="0"/>
    <n v="0"/>
  </r>
  <r>
    <x v="1"/>
    <s v="HEROINAS"/>
    <n v="307"/>
    <x v="0"/>
    <x v="1"/>
    <x v="0"/>
    <s v="COCHABAMBA"/>
    <s v="OUTLET 1"/>
    <x v="9"/>
    <n v="52823.260000000024"/>
    <n v="5276.3000000000247"/>
    <n v="62839.86"/>
    <n v="12470.289999999999"/>
    <n v="63033.414439999979"/>
    <n v="13321"/>
    <n v="68756.84847115197"/>
    <n v="15786.572408976494"/>
    <n v="53592.860000000073"/>
    <n v="14135.52000000012"/>
    <n v="68756.84847115197"/>
    <n v="15786.572408976494"/>
    <n v="0"/>
    <n v="0"/>
    <n v="0"/>
    <n v="0"/>
    <n v="7.5069202468760919E-3"/>
    <n v="2.3447971639775304E-2"/>
    <n v="0.23592172539401693"/>
    <n v="0.08"/>
    <n v="0.08"/>
    <n v="0"/>
    <n v="0"/>
    <n v="396.54000000000019"/>
    <n v="1473.4672551274505"/>
    <n v="12643.720000000012"/>
    <n v="5500.5478776921582"/>
    <n v="5500.5478776921582"/>
    <n v="0"/>
    <n v="0"/>
  </r>
  <r>
    <x v="1"/>
    <s v="HEROINAS"/>
    <n v="307"/>
    <x v="0"/>
    <x v="1"/>
    <x v="0"/>
    <s v="COCHABAMBA"/>
    <s v="OUTLET 1"/>
    <x v="10"/>
    <n v="42059.709999999992"/>
    <n v="3685.4499999999894"/>
    <n v="70138.399999999994"/>
    <n v="12131.289999999994"/>
    <n v="75487.111109999983"/>
    <n v="14279"/>
    <n v="81578.920976576977"/>
    <n v="17824.994233382073"/>
    <n v="44794.683908045983"/>
    <n v="15651.293561789458"/>
    <n v="81578.920976576977"/>
    <n v="17824.994233382073"/>
    <n v="0"/>
    <n v="0"/>
    <n v="0"/>
    <n v="0"/>
    <n v="7.6177415393496655E-3"/>
    <n v="1.9659360883576494E-2"/>
    <n v="0.23592172539401693"/>
    <n v="0.05"/>
    <n v="0.05"/>
    <n v="0"/>
    <n v="0"/>
    <n v="320.40000000000043"/>
    <n v="1378.8761173966413"/>
    <n v="10568.039116065813"/>
    <n v="4078.9460488288491"/>
    <n v="4078.9460488288491"/>
    <n v="0"/>
    <n v="0"/>
  </r>
  <r>
    <x v="1"/>
    <s v="HEROINAS"/>
    <n v="307"/>
    <x v="0"/>
    <x v="1"/>
    <x v="0"/>
    <s v="COCHABAMBA"/>
    <s v="OUTLET 1"/>
    <x v="11"/>
    <n v="115201.84"/>
    <n v="13036.040000000034"/>
    <n v="141676.30999999997"/>
    <n v="38913.089999999982"/>
    <n v="139696.31450000024"/>
    <n v="35546"/>
    <n v="150969.80708015026"/>
    <n v="34421.116014274259"/>
    <n v="99236.637931034449"/>
    <n v="32128.421989852959"/>
    <n v="150969.80708015026"/>
    <n v="34421.116014274259"/>
    <n v="0"/>
    <n v="0"/>
    <n v="0"/>
    <n v="0"/>
    <n v="1.8148234437922166E-2"/>
    <n v="5.5973695184845282E-2"/>
    <n v="0.23592172539401693"/>
    <n v="0.05"/>
    <n v="0.05"/>
    <n v="0"/>
    <n v="0"/>
    <n v="2090.7099999999991"/>
    <n v="7930.1465908536456"/>
    <n v="23412.078842990995"/>
    <n v="7548.4903540075138"/>
    <n v="7548.4903540075138"/>
    <n v="0"/>
    <n v="0"/>
  </r>
  <r>
    <x v="1"/>
    <s v="OUTLET 3ER ANILLO SCZ"/>
    <n v="411"/>
    <x v="0"/>
    <x v="1"/>
    <x v="0"/>
    <s v="SANTA CRUZ"/>
    <s v="OUTLET 1"/>
    <x v="0"/>
    <n v="71280.910000000018"/>
    <n v="15647.080000000013"/>
    <n v="73729.840000000011"/>
    <n v="17036.580000000002"/>
    <n v="106111.00979333326"/>
    <n v="24344.591499533315"/>
    <n v="59564.510000000053"/>
    <n v="16992.754170468263"/>
    <n v="59564.509999999966"/>
    <n v="17288.339999999967"/>
    <n v="59564.510000000235"/>
    <n v="17288.340000000044"/>
    <n v="60160.155100000236"/>
    <n v="13113.620113793942"/>
    <n v="58470.689655172479"/>
    <n v="21583.408455736295"/>
    <n v="3.1063436199117202E-2"/>
    <n v="1.9149775150419459E-2"/>
    <n v="0.22445991412528157"/>
    <n v="0.22445991412528163"/>
    <n v="0.22445991412528163"/>
    <n v="0.12"/>
    <n v="0.24675886336606417"/>
    <n v="2214.2300000000159"/>
    <n v="1411.9098578764028"/>
    <n v="13369.844799514467"/>
    <n v="13369.844799514491"/>
    <n v="13369.844799514531"/>
    <n v="7219.2186120000279"/>
    <n v="14428.160919540247"/>
  </r>
  <r>
    <x v="1"/>
    <s v="OUTLET 3ER ANILLO SCZ"/>
    <n v="411"/>
    <x v="0"/>
    <x v="1"/>
    <x v="0"/>
    <s v="SANTA CRUZ"/>
    <s v="OUTLET 1"/>
    <x v="1"/>
    <n v="94631.920000000013"/>
    <n v="9641.59"/>
    <n v="86652.770000000019"/>
    <n v="15222.720000000034"/>
    <n v="104312.92384000002"/>
    <n v="17339.021716300005"/>
    <n v="94546.540000000037"/>
    <n v="17946.969125978758"/>
    <n v="94546.54"/>
    <n v="17622.710000000036"/>
    <n v="94546.540000000154"/>
    <n v="17622.710000000065"/>
    <n v="94546.540000000154"/>
    <n v="19589.919759044962"/>
    <n v="74828.735632184151"/>
    <n v="14441.773017732477"/>
    <n v="2.107365041309529E-2"/>
    <n v="2.3844651082527427E-2"/>
    <n v="0.11952204487237163"/>
    <n v="0.11952204487237182"/>
    <n v="0.11952204487237182"/>
    <n v="8.9999999999999969E-2"/>
    <n v="0.17399886330471104"/>
    <n v="1994.2400000000007"/>
    <n v="2066.2050659845008"/>
    <n v="11300.395796407478"/>
    <n v="11300.395796407502"/>
    <n v="11300.395796407516"/>
    <n v="8509.1886000000104"/>
    <n v="13020.114942528769"/>
  </r>
  <r>
    <x v="1"/>
    <s v="OUTLET 3ER ANILLO SCZ"/>
    <n v="411"/>
    <x v="0"/>
    <x v="1"/>
    <x v="0"/>
    <s v="SANTA CRUZ"/>
    <s v="OUTLET 1"/>
    <x v="2"/>
    <n v="77847.24000000002"/>
    <n v="7193.9200000000128"/>
    <n v="115610.05000000005"/>
    <n v="17037.990000000034"/>
    <n v="108933.1872999999"/>
    <n v="20576.707887999986"/>
    <n v="104897.81000000004"/>
    <n v="22207.909433714674"/>
    <n v="104897.81000000011"/>
    <n v="20546.750000000175"/>
    <n v="104897.81000000027"/>
    <n v="20546.750000000207"/>
    <n v="106995.76620000027"/>
    <n v="24091.704823754746"/>
    <n v="85194.818922509861"/>
    <n v="24280.523392915315"/>
    <n v="2.1124448342677404E-2"/>
    <n v="1.2275919226027079E-2"/>
    <n v="0.13379333589167064"/>
    <n v="0.13379333589167094"/>
    <n v="0.13379333589167094"/>
    <n v="0.14000000000000001"/>
    <n v="0.24618276995582983"/>
    <n v="1644.4800000000105"/>
    <n v="1419.2196355169524"/>
    <n v="14034.627927630663"/>
    <n v="14034.627927630685"/>
    <n v="14034.627927630716"/>
    <n v="14979.407268000039"/>
    <n v="20973.496508228822"/>
  </r>
  <r>
    <x v="1"/>
    <s v="OUTLET 3ER ANILLO SCZ"/>
    <n v="411"/>
    <x v="0"/>
    <x v="1"/>
    <x v="0"/>
    <s v="SANTA CRUZ"/>
    <s v="OUTLET 1"/>
    <x v="3"/>
    <n v="90230.46"/>
    <n v="9966.7600000000166"/>
    <n v="115190.1"/>
    <n v="25934.71000000001"/>
    <n v="107106.36784000001"/>
    <n v="22882.1643358"/>
    <n v="98134.180000000168"/>
    <n v="26323.061716187101"/>
    <n v="98134.180000000211"/>
    <n v="26373.860000000088"/>
    <n v="98134.180000000197"/>
    <n v="26373.860000000081"/>
    <n v="100096.8636000002"/>
    <n v="23257.662677861423"/>
    <n v="0"/>
    <n v="0"/>
    <n v="2.1376816653710884E-2"/>
    <n v="1.9384548440933486E-2"/>
    <n v="0.17101512209580055"/>
    <n v="0.17101512209580094"/>
    <n v="0.17101512209580094"/>
    <n v="0.16"/>
    <n v="0"/>
    <n v="1928.839999999994"/>
    <n v="2232.9080733659725"/>
    <n v="16782.428774471304"/>
    <n v="16782.428774471337"/>
    <n v="16782.42877447134"/>
    <n v="16015.498176000032"/>
    <n v="0"/>
  </r>
  <r>
    <x v="1"/>
    <s v="OUTLET 3ER ANILLO SCZ"/>
    <n v="411"/>
    <x v="0"/>
    <x v="1"/>
    <x v="0"/>
    <s v="SANTA CRUZ"/>
    <s v="OUTLET 1"/>
    <x v="4"/>
    <n v="91034.229999999981"/>
    <n v="20020.5"/>
    <n v="110822.20999999999"/>
    <n v="30745.109999999979"/>
    <n v="107161.94310999998"/>
    <n v="22098.899650949996"/>
    <n v="97509.800000000119"/>
    <n v="28064.929021799235"/>
    <n v="97509.800000000105"/>
    <n v="28089.110000000219"/>
    <n v="97509.800000000105"/>
    <n v="28089.110000000219"/>
    <n v="0"/>
    <n v="0"/>
    <n v="0"/>
    <n v="0"/>
    <n v="1.5571834902102287E-2"/>
    <n v="3.1382371005819268E-2"/>
    <n v="0.19048944804478979"/>
    <n v="0.19048944804478993"/>
    <n v="0.19048944804478993"/>
    <n v="0"/>
    <n v="0"/>
    <n v="1417.5700000000068"/>
    <n v="3477.8637099048137"/>
    <n v="18574.587980957862"/>
    <n v="18574.58798095788"/>
    <n v="18574.587980957876"/>
    <n v="0"/>
    <n v="0"/>
  </r>
  <r>
    <x v="1"/>
    <s v="OUTLET 3ER ANILLO SCZ"/>
    <n v="411"/>
    <x v="0"/>
    <x v="1"/>
    <x v="0"/>
    <s v="SANTA CRUZ"/>
    <s v="OUTLET 1"/>
    <x v="5"/>
    <n v="75640.950000000012"/>
    <n v="16772.89"/>
    <n v="101896.81999999998"/>
    <n v="28837.949999999983"/>
    <n v="105377.63464999992"/>
    <n v="24528.479049249985"/>
    <n v="86055.559999999852"/>
    <n v="26212.256615879793"/>
    <n v="86055.559999999881"/>
    <n v="26215.44999999999"/>
    <n v="86055.559999999881"/>
    <n v="26215.44999999999"/>
    <n v="0"/>
    <n v="0"/>
    <n v="0"/>
    <n v="0"/>
    <n v="1.6791169333542209E-2"/>
    <n v="7.4861772083022499E-2"/>
    <n v="0.21532103905999123"/>
    <n v="0.21532103905999123"/>
    <n v="0.21532103905999123"/>
    <n v="0"/>
    <n v="0"/>
    <n v="1270.0999999999997"/>
    <n v="7628.1765148247669"/>
    <n v="18529.572596089394"/>
    <n v="18529.572596089387"/>
    <n v="18529.572596089394"/>
    <n v="0"/>
    <n v="0"/>
  </r>
  <r>
    <x v="1"/>
    <s v="OUTLET 3ER ANILLO SCZ"/>
    <n v="411"/>
    <x v="0"/>
    <x v="1"/>
    <x v="0"/>
    <s v="SANTA CRUZ"/>
    <s v="OUTLET 1"/>
    <x v="6"/>
    <n v="80941.73"/>
    <n v="19325.320000000003"/>
    <n v="107466.77"/>
    <n v="30142.800000000017"/>
    <n v="103285.55759999991"/>
    <n v="25930.587755499979"/>
    <n v="79957.609999999928"/>
    <n v="25298.8500000001"/>
    <n v="79957.609999999986"/>
    <n v="25298.849999999984"/>
    <n v="79957.610000000306"/>
    <n v="25298.850000000082"/>
    <n v="0"/>
    <n v="0"/>
    <n v="0"/>
    <n v="0"/>
    <n v="6.077940266411426E-2"/>
    <n v="7.8043256188294302E-2"/>
    <n v="0.27571259321032704"/>
    <n v="0.27571259321032704"/>
    <n v="0.27571259321032704"/>
    <n v="0"/>
    <n v="0"/>
    <n v="4919.5900000000165"/>
    <n v="8387.0566628385004"/>
    <n v="22045.319999999974"/>
    <n v="22045.319999999956"/>
    <n v="22045.320000000062"/>
    <n v="0"/>
    <n v="0"/>
  </r>
  <r>
    <x v="1"/>
    <s v="OUTLET 3ER ANILLO SCZ"/>
    <n v="411"/>
    <x v="0"/>
    <x v="1"/>
    <x v="0"/>
    <s v="SANTA CRUZ"/>
    <s v="OUTLET 1"/>
    <x v="7"/>
    <n v="175479.7"/>
    <n v="20497.020000000051"/>
    <n v="122406.73000000001"/>
    <n v="20036.360000000022"/>
    <n v="130933.99423999985"/>
    <n v="21923.623788399978"/>
    <n v="138090.17110724773"/>
    <n v="29093.524413662206"/>
    <n v="127599.82000000012"/>
    <n v="10782.850000000122"/>
    <n v="127599.82000000031"/>
    <n v="26883.365040265846"/>
    <n v="0"/>
    <n v="0"/>
    <n v="0"/>
    <n v="0"/>
    <n v="1.2965431329093958E-2"/>
    <n v="1.3991948979197198E-2"/>
    <n v="9.3468940630166447E-2"/>
    <n v="0.11"/>
    <n v="0.11"/>
    <n v="0"/>
    <n v="0"/>
    <n v="2275.1700000000092"/>
    <n v="1712.7087208703672"/>
    <n v="11926.619999999937"/>
    <n v="15189.918821797251"/>
    <n v="14035.980200000035"/>
    <n v="0"/>
    <n v="0"/>
  </r>
  <r>
    <x v="1"/>
    <s v="OUTLET 3ER ANILLO SCZ"/>
    <n v="411"/>
    <x v="0"/>
    <x v="1"/>
    <x v="0"/>
    <s v="SANTA CRUZ"/>
    <s v="OUTLET 1"/>
    <x v="8"/>
    <n v="97705.930000000022"/>
    <n v="15863.940000000002"/>
    <n v="89690.760000000009"/>
    <n v="16687.43"/>
    <n v="64975.07046000001"/>
    <n v="15172.510254600003"/>
    <n v="38985.042276000007"/>
    <n v="9350.9683583884653"/>
    <n v="88872.530000000072"/>
    <n v="23748.039999999994"/>
    <n v="88872.530000000072"/>
    <n v="23748.039999999994"/>
    <n v="0"/>
    <n v="0"/>
    <n v="0"/>
    <n v="0"/>
    <n v="1.9757859118683968E-2"/>
    <n v="3.3662260870376937E-2"/>
    <n v="0.12102491062198824"/>
    <n v="0.19"/>
    <n v="0.19"/>
    <n v="0"/>
    <n v="0"/>
    <n v="1930.459999999998"/>
    <n v="3019.1937607823693"/>
    <n v="10755.789999999977"/>
    <n v="7407.1580324400011"/>
    <n v="16885.780700000014"/>
    <n v="0"/>
    <n v="0"/>
  </r>
  <r>
    <x v="1"/>
    <s v="OUTLET 3ER ANILLO SCZ"/>
    <n v="411"/>
    <x v="0"/>
    <x v="1"/>
    <x v="0"/>
    <s v="SANTA CRUZ"/>
    <s v="OUTLET 1"/>
    <x v="9"/>
    <n v="84622.690000000031"/>
    <n v="12178.080000000053"/>
    <n v="86405.83"/>
    <n v="17707.430000000008"/>
    <n v="112589.05811999999"/>
    <n v="23932.328295599997"/>
    <n v="103581.93347039999"/>
    <n v="22914.958522037818"/>
    <n v="55497.850000000079"/>
    <n v="18119.200000000063"/>
    <n v="103581.93347039999"/>
    <n v="22914.958522037818"/>
    <n v="0"/>
    <n v="0"/>
    <n v="0"/>
    <n v="0"/>
    <n v="2.2633645893317747E-2"/>
    <n v="3.961127156115974E-2"/>
    <n v="0.36457250145726366"/>
    <n v="0.08"/>
    <n v="0.08"/>
    <n v="0"/>
    <n v="0"/>
    <n v="1915.3200000000015"/>
    <n v="3422.644796597403"/>
    <n v="20232.990000000031"/>
    <n v="8286.5546776319989"/>
    <n v="8286.5546776319989"/>
    <n v="0"/>
    <n v="0"/>
  </r>
  <r>
    <x v="1"/>
    <s v="OUTLET 3ER ANILLO SCZ"/>
    <n v="411"/>
    <x v="0"/>
    <x v="1"/>
    <x v="0"/>
    <s v="SANTA CRUZ"/>
    <s v="OUTLET 1"/>
    <x v="10"/>
    <n v="75798.080000000002"/>
    <n v="8665.1499999999978"/>
    <n v="76520.36"/>
    <n v="13530.140000000012"/>
    <n v="120716.53208"/>
    <n v="24849.520666400003"/>
    <n v="108644.878872"/>
    <n v="21493.066119835676"/>
    <n v="18890.804597701146"/>
    <n v="6720.6516820172228"/>
    <n v="108644.878872"/>
    <n v="21493.066119835676"/>
    <n v="0"/>
    <n v="0"/>
    <n v="0"/>
    <n v="0"/>
    <n v="2.2621417323499558E-2"/>
    <n v="3.5268298738175219E-2"/>
    <n v="0.36457250145726366"/>
    <n v="0.09"/>
    <n v="0.09"/>
    <n v="0"/>
    <n v="0"/>
    <n v="1714.6600000000055"/>
    <n v="2698.7429160327133"/>
    <n v="6887.0678867242841"/>
    <n v="9778.0390984799997"/>
    <n v="9778.0390984799997"/>
    <n v="0"/>
    <n v="0"/>
  </r>
  <r>
    <x v="1"/>
    <s v="OUTLET 3ER ANILLO SCZ"/>
    <n v="411"/>
    <x v="0"/>
    <x v="1"/>
    <x v="0"/>
    <s v="SANTA CRUZ"/>
    <s v="OUTLET 1"/>
    <x v="11"/>
    <n v="174668.97000000003"/>
    <n v="31190.000000000047"/>
    <n v="186469.13"/>
    <n v="48745.589999999953"/>
    <n v="190847.27230000019"/>
    <n v="49439.405845500056"/>
    <n v="171762.54507000017"/>
    <n v="35986.983920221021"/>
    <n v="112545.25862068964"/>
    <n v="36185.96452351207"/>
    <n v="171762.54507000017"/>
    <n v="35986.983920221021"/>
    <n v="0"/>
    <n v="0"/>
    <n v="0"/>
    <n v="0"/>
    <n v="5.139212763434748E-2"/>
    <n v="0.10414353831184109"/>
    <n v="0.36457250145726366"/>
    <n v="4.9999999999999996E-2"/>
    <n v="4.9999999999999996E-2"/>
    <n v="0"/>
    <n v="0"/>
    <n v="8976.6100000000133"/>
    <n v="19419.554984130678"/>
    <n v="41030.906462499486"/>
    <n v="8588.127253500008"/>
    <n v="8588.127253500008"/>
    <n v="0"/>
    <n v="0"/>
  </r>
  <r>
    <x v="1"/>
    <s v="OUTLET BANZER"/>
    <n v="418"/>
    <x v="3"/>
    <x v="3"/>
    <x v="4"/>
    <s v="SANTA CRUZ"/>
    <s v="OUTLET 1"/>
    <x v="0"/>
    <n v="0"/>
    <n v="0"/>
    <n v="0"/>
    <n v="0"/>
    <n v="0"/>
    <n v="0"/>
    <n v="0"/>
    <n v="0"/>
    <n v="0"/>
    <n v="0"/>
    <n v="100098.06000000019"/>
    <n v="0"/>
    <n v="105102.96300000019"/>
    <n v="27213.817248082465"/>
    <n v="70719.109195402285"/>
    <n v="23153.982842603182"/>
    <n v="0"/>
    <n v="0"/>
    <n v="0"/>
    <n v="0"/>
    <n v="0"/>
    <n v="0.11999999999999998"/>
    <n v="0.1731148606779695"/>
    <n v="0"/>
    <n v="0"/>
    <n v="0"/>
    <n v="0"/>
    <n v="0"/>
    <n v="12612.355560000022"/>
    <n v="12242.528735632179"/>
  </r>
  <r>
    <x v="1"/>
    <s v="OUTLET BANZER"/>
    <n v="418"/>
    <x v="3"/>
    <x v="3"/>
    <x v="4"/>
    <s v="SANTA CRUZ"/>
    <s v="OUTLET 1"/>
    <x v="1"/>
    <n v="0"/>
    <n v="0"/>
    <n v="0"/>
    <n v="0"/>
    <n v="44172.638212499995"/>
    <n v="7877"/>
    <n v="0"/>
    <n v="0"/>
    <n v="0"/>
    <n v="0"/>
    <n v="129738.67999999993"/>
    <n v="0"/>
    <n v="136225.61399999994"/>
    <n v="33989.626598992414"/>
    <n v="105850.57471264437"/>
    <n v="20222.146461813361"/>
    <n v="0"/>
    <n v="0"/>
    <n v="0"/>
    <n v="0"/>
    <n v="0"/>
    <n v="0.09"/>
    <n v="0.12248344011293261"/>
    <n v="0"/>
    <n v="0"/>
    <n v="0"/>
    <n v="0"/>
    <n v="0"/>
    <n v="12260.305259999994"/>
    <n v="12964.942528735675"/>
  </r>
  <r>
    <x v="1"/>
    <s v="OUTLET BANZER"/>
    <n v="418"/>
    <x v="3"/>
    <x v="3"/>
    <x v="4"/>
    <s v="SANTA CRUZ"/>
    <s v="OUTLET 1"/>
    <x v="2"/>
    <n v="0"/>
    <n v="0"/>
    <n v="0"/>
    <n v="0"/>
    <n v="125273.16539499989"/>
    <n v="26145"/>
    <n v="44265.350000000013"/>
    <n v="10625.745399287023"/>
    <n v="44265.350000000042"/>
    <n v="10622.470000000038"/>
    <n v="100098.06000000019"/>
    <n v="24020.789159200249"/>
    <n v="105102.96300000018"/>
    <n v="27873.54876810874"/>
    <n v="94671.775097180187"/>
    <n v="23762.615549392227"/>
    <n v="0"/>
    <n v="0"/>
    <n v="4.8261947347235164E-2"/>
    <n v="4.8261947347235101E-2"/>
    <n v="4.8261947347235101E-2"/>
    <n v="0.14000000000000001"/>
    <n v="0.16665147691748497"/>
    <n v="0"/>
    <n v="0"/>
    <n v="2136.3319910069381"/>
    <n v="2136.331991006934"/>
    <n v="4830.9273012803887"/>
    <n v="14714.414820000025"/>
    <n v="15777.191142345053"/>
  </r>
  <r>
    <x v="1"/>
    <s v="OUTLET BANZER"/>
    <n v="418"/>
    <x v="3"/>
    <x v="3"/>
    <x v="4"/>
    <s v="SANTA CRUZ"/>
    <s v="OUTLET 1"/>
    <x v="3"/>
    <n v="0"/>
    <n v="0"/>
    <n v="0"/>
    <n v="0"/>
    <n v="123172.32301599998"/>
    <n v="26440"/>
    <n v="141584.12000000014"/>
    <n v="40621.173440013416"/>
    <n v="141584.12000000017"/>
    <n v="40618.100000000268"/>
    <n v="141584.12000000011"/>
    <n v="40618.100000000246"/>
    <n v="148663.32600000012"/>
    <n v="40359.01775028347"/>
    <n v="0"/>
    <n v="0"/>
    <n v="0"/>
    <n v="0"/>
    <n v="8.0326619908137928E-2"/>
    <n v="8.0326619908138053E-2"/>
    <n v="8.0326619908138053E-2"/>
    <n v="0.16000000000000003"/>
    <n v="0"/>
    <n v="0"/>
    <n v="0"/>
    <n v="11372.973792268203"/>
    <n v="11372.973792268218"/>
    <n v="11372.973792268216"/>
    <n v="23786.132160000023"/>
    <n v="0"/>
  </r>
  <r>
    <x v="1"/>
    <s v="OUTLET BANZER"/>
    <n v="418"/>
    <x v="3"/>
    <x v="3"/>
    <x v="4"/>
    <s v="SANTA CRUZ"/>
    <s v="OUTLET 1"/>
    <x v="4"/>
    <n v="0"/>
    <n v="0"/>
    <n v="0"/>
    <n v="0"/>
    <n v="123236.23457649995"/>
    <n v="25413.734598592488"/>
    <n v="104451.31000000027"/>
    <n v="31822.816887308796"/>
    <n v="104451.31000000019"/>
    <n v="31819.820000000269"/>
    <n v="104451.31000000019"/>
    <n v="31819.820000000273"/>
    <n v="135786.70300000024"/>
    <n v="37715.614393005191"/>
    <n v="0"/>
    <n v="0"/>
    <n v="0"/>
    <n v="0"/>
    <n v="7.9752243105732368E-2"/>
    <n v="7.975224310573234E-2"/>
    <n v="7.975224310573234E-2"/>
    <n v="0.18"/>
    <n v="0"/>
    <n v="0"/>
    <n v="0"/>
    <n v="8330.2262678322295"/>
    <n v="8330.2262678322331"/>
    <n v="8330.2262678322259"/>
    <n v="24441.606540000044"/>
    <n v="0"/>
  </r>
  <r>
    <x v="1"/>
    <s v="OUTLET BANZER"/>
    <n v="418"/>
    <x v="3"/>
    <x v="3"/>
    <x v="4"/>
    <s v="SANTA CRUZ"/>
    <s v="OUTLET 1"/>
    <x v="5"/>
    <n v="0"/>
    <n v="0"/>
    <n v="0"/>
    <n v="0"/>
    <n v="121184.27984749989"/>
    <n v="28207.750906637477"/>
    <n v="120142.45000000006"/>
    <n v="39053.293660625881"/>
    <n v="120142.45000000017"/>
    <n v="39055.760000000242"/>
    <n v="120142.45000000007"/>
    <n v="39055.760000000206"/>
    <n v="156185.18500000006"/>
    <n v="43381.421606209638"/>
    <n v="0"/>
    <n v="0"/>
    <n v="0"/>
    <n v="0"/>
    <n v="0.14566890133801177"/>
    <n v="0.14566890133801175"/>
    <n v="0.14566890133801175"/>
    <n v="0.18000000000000002"/>
    <n v="0"/>
    <n v="0"/>
    <n v="0"/>
    <n v="17501.018695557039"/>
    <n v="17501.018695557017"/>
    <n v="17501.018695557021"/>
    <n v="28113.333300000013"/>
    <n v="0"/>
  </r>
  <r>
    <x v="1"/>
    <s v="OUTLET BANZER"/>
    <n v="418"/>
    <x v="3"/>
    <x v="3"/>
    <x v="4"/>
    <s v="SANTA CRUZ"/>
    <s v="OUTLET 1"/>
    <x v="6"/>
    <n v="0"/>
    <n v="0"/>
    <n v="0"/>
    <n v="0"/>
    <n v="118778.39123999988"/>
    <n v="29820.175918824971"/>
    <n v="100098.05999999998"/>
    <n v="35804.280000000137"/>
    <n v="100098.05999999988"/>
    <n v="35804.279999999912"/>
    <n v="100098.06000000019"/>
    <n v="35804.280000000021"/>
    <n v="130127.47800000024"/>
    <n v="36552.134132025509"/>
    <n v="0"/>
    <n v="0"/>
    <n v="0"/>
    <n v="0"/>
    <n v="0.23444909921331097"/>
    <n v="0.23444909921331097"/>
    <n v="0.23444909921331097"/>
    <n v="0.19"/>
    <n v="0"/>
    <n v="0"/>
    <n v="0"/>
    <n v="23467.899999999925"/>
    <n v="23467.899999999951"/>
    <n v="23467.899999999998"/>
    <n v="24724.220820000046"/>
    <n v="0"/>
  </r>
  <r>
    <x v="1"/>
    <s v="OUTLET BANZER"/>
    <n v="418"/>
    <x v="3"/>
    <x v="3"/>
    <x v="4"/>
    <s v="SANTA CRUZ"/>
    <s v="OUTLET 1"/>
    <x v="7"/>
    <n v="0"/>
    <n v="0"/>
    <n v="0"/>
    <n v="0"/>
    <n v="150574.09337599983"/>
    <n v="27050"/>
    <n v="184120.22814299693"/>
    <n v="37183.080073478231"/>
    <n v="162173.34999999998"/>
    <n v="22499.600000000093"/>
    <n v="162173.34999999992"/>
    <n v="32750.908032499981"/>
    <n v="210825.35499999989"/>
    <n v="52602.993546059675"/>
    <n v="0"/>
    <n v="0"/>
    <n v="0"/>
    <n v="0"/>
    <n v="8.0018572718637521E-2"/>
    <n v="7.0000000000000021E-2"/>
    <n v="7.0000000000000021E-2"/>
    <n v="9.0000000000000011E-2"/>
    <n v="0"/>
    <n v="0"/>
    <n v="0"/>
    <n v="12976.880000000052"/>
    <n v="12888.415970009788"/>
    <n v="11352.134499999998"/>
    <n v="18974.281949999993"/>
    <n v="0"/>
  </r>
  <r>
    <x v="1"/>
    <s v="OUTLET BANZER"/>
    <n v="418"/>
    <x v="3"/>
    <x v="3"/>
    <x v="4"/>
    <s v="SANTA CRUZ"/>
    <s v="OUTLET 1"/>
    <x v="8"/>
    <n v="0"/>
    <n v="0"/>
    <n v="0"/>
    <n v="0"/>
    <n v="96451.331029000023"/>
    <n v="22446.286792790001"/>
    <n v="96919.119984490666"/>
    <n v="19926.571068811281"/>
    <n v="84944.220000000103"/>
    <n v="24323.390000000087"/>
    <n v="84944.220000000103"/>
    <n v="24323.39000000009"/>
    <n v="110427.48600000014"/>
    <n v="29285.62457711724"/>
    <n v="0"/>
    <n v="0"/>
    <n v="0"/>
    <n v="0"/>
    <n v="0.11520548425778686"/>
    <n v="0.08"/>
    <n v="0.08"/>
    <n v="0.14000000000000004"/>
    <n v="0"/>
    <n v="0"/>
    <n v="0"/>
    <n v="9786.0399999999954"/>
    <n v="7753.5295987592535"/>
    <n v="6795.5376000000088"/>
    <n v="15459.848040000023"/>
    <n v="0"/>
  </r>
  <r>
    <x v="1"/>
    <s v="OUTLET BANZER"/>
    <n v="418"/>
    <x v="3"/>
    <x v="3"/>
    <x v="4"/>
    <s v="SANTA CRUZ"/>
    <s v="OUTLET 1"/>
    <x v="9"/>
    <n v="0"/>
    <n v="0"/>
    <n v="0"/>
    <n v="0"/>
    <n v="129477.41683799998"/>
    <n v="27522.177539939996"/>
    <n v="128791.18652875858"/>
    <n v="31837.181309909123"/>
    <n v="62054.210000000043"/>
    <n v="18839.94999999999"/>
    <n v="128791.18652875858"/>
    <n v="31837.181309909123"/>
    <n v="167428.54248738615"/>
    <n v="45453.385848184917"/>
    <n v="0"/>
    <n v="0"/>
    <n v="0"/>
    <n v="0"/>
    <n v="0.2799769749707553"/>
    <n v="0.08"/>
    <n v="0.08"/>
    <n v="0.16"/>
    <n v="0"/>
    <n v="0"/>
    <n v="0"/>
    <n v="17373.750000000004"/>
    <n v="10303.294922300687"/>
    <n v="10303.294922300687"/>
    <n v="26788.566797981784"/>
    <n v="0"/>
  </r>
  <r>
    <x v="1"/>
    <s v="OUTLET BANZER"/>
    <n v="418"/>
    <x v="3"/>
    <x v="3"/>
    <x v="4"/>
    <s v="SANTA CRUZ"/>
    <s v="OUTLET 1"/>
    <x v="10"/>
    <n v="0"/>
    <n v="0"/>
    <n v="0"/>
    <n v="0"/>
    <n v="138824.01189199998"/>
    <n v="28576.948766359994"/>
    <n v="138088.24462897237"/>
    <n v="32726.913977066448"/>
    <n v="22858.620689655174"/>
    <n v="7827.593258344551"/>
    <n v="138088.24462897237"/>
    <n v="32726.913977066448"/>
    <n v="179514.7180176641"/>
    <n v="49297.939620750411"/>
    <n v="0"/>
    <n v="0"/>
    <n v="0"/>
    <n v="0"/>
    <n v="0.2799769749707553"/>
    <n v="0.05"/>
    <n v="0.05"/>
    <n v="0.17"/>
    <n v="0"/>
    <n v="0"/>
    <n v="0"/>
    <n v="6399.8874726935755"/>
    <n v="6904.4122314486194"/>
    <n v="6904.4122314486194"/>
    <n v="30517.502063002899"/>
    <n v="0"/>
  </r>
  <r>
    <x v="1"/>
    <s v="OUTLET BANZER"/>
    <n v="418"/>
    <x v="3"/>
    <x v="3"/>
    <x v="4"/>
    <s v="SANTA CRUZ"/>
    <s v="OUTLET 1"/>
    <x v="11"/>
    <n v="0"/>
    <n v="0"/>
    <n v="0"/>
    <n v="0"/>
    <n v="219474.36314500018"/>
    <n v="56855.316722325049"/>
    <n v="218311.14902033168"/>
    <n v="53813.698233511757"/>
    <n v="166062.06896551725"/>
    <n v="50370.969517966099"/>
    <n v="218311.14902033168"/>
    <n v="53813.698233511757"/>
    <n v="283804.49372643116"/>
    <n v="77937.769951801631"/>
    <n v="0"/>
    <n v="0"/>
    <n v="0"/>
    <n v="0"/>
    <n v="0.2799769749707553"/>
    <n v="0.05"/>
    <n v="0.05"/>
    <n v="0.17000000000000004"/>
    <n v="0"/>
    <n v="0"/>
    <n v="0"/>
    <n v="46493.55572635046"/>
    <n v="10915.557451016584"/>
    <n v="10915.557451016584"/>
    <n v="48246.763933493312"/>
    <n v="0"/>
  </r>
  <r>
    <x v="1"/>
    <s v="OUTLET BOLIVAR"/>
    <n v="201"/>
    <x v="0"/>
    <x v="2"/>
    <x v="0"/>
    <s v="LA PAZ"/>
    <s v="OUTLET 1"/>
    <x v="0"/>
    <n v="49714.13"/>
    <n v="11982.170000000002"/>
    <n v="43773.03"/>
    <n v="9735.7600000000057"/>
    <n v="49118.961899999995"/>
    <n v="13435"/>
    <n v="42478.809999999976"/>
    <n v="10415.49038501086"/>
    <n v="42478.80999999999"/>
    <n v="10533.200000000019"/>
    <n v="49610.151518999992"/>
    <n v="12301.513342297767"/>
    <n v="51594.557579759989"/>
    <n v="11013.627197502934"/>
    <n v="33992.241379310355"/>
    <n v="11381.712039796108"/>
    <n v="6.3525400122661363E-2"/>
    <n v="2.0908536603474786E-2"/>
    <n v="0.10631840849697266"/>
    <n v="0.10631840849697273"/>
    <n v="0.10631840849697273"/>
    <n v="0.12000000000000001"/>
    <n v="0.22110353106270014"/>
    <n v="3158.1100000000029"/>
    <n v="915.2299999999999"/>
    <n v="4516.2794740452864"/>
    <n v="4516.2794740452873"/>
    <n v="5274.4723547937538"/>
    <n v="6191.3469095711989"/>
    <n v="7515.8045977011479"/>
  </r>
  <r>
    <x v="1"/>
    <s v="OUTLET BOLIVAR"/>
    <n v="201"/>
    <x v="0"/>
    <x v="2"/>
    <x v="0"/>
    <s v="LA PAZ"/>
    <s v="OUTLET 1"/>
    <x v="1"/>
    <n v="69682.660000000018"/>
    <n v="9496.1800000000148"/>
    <n v="45895.78"/>
    <n v="8187.0299999999952"/>
    <n v="61618.503900000003"/>
    <n v="11418"/>
    <n v="64207.479999999981"/>
    <n v="12336.943635706339"/>
    <n v="64207.479999999967"/>
    <n v="12583.199999999953"/>
    <n v="66133.704400000104"/>
    <n v="12960.69599999998"/>
    <n v="66133.704400000104"/>
    <n v="13420.526463207814"/>
    <n v="53605.316091954155"/>
    <n v="7968.5887977637685"/>
    <n v="1.5816847405079035E-2"/>
    <n v="3.0387156528179891E-2"/>
    <n v="6.5164129892699776E-2"/>
    <n v="6.5164129892699763E-2"/>
    <n v="6.5164129892699763E-2"/>
    <n v="0.09"/>
    <n v="0.12131023632177486"/>
    <n v="1102.1600000000049"/>
    <n v="1394.642250842908"/>
    <n v="4184.0245668029211"/>
    <n v="4184.0245668029211"/>
    <n v="4309.5453038070164"/>
    <n v="5952.0333960000089"/>
    <n v="6502.8735632183989"/>
  </r>
  <r>
    <x v="1"/>
    <s v="OUTLET BOLIVAR"/>
    <n v="201"/>
    <x v="0"/>
    <x v="2"/>
    <x v="0"/>
    <s v="LA PAZ"/>
    <s v="OUTLET 1"/>
    <x v="2"/>
    <n v="53416.930000000022"/>
    <n v="10708.500000000013"/>
    <n v="66760.509999999995"/>
    <n v="10368.960000000003"/>
    <n v="51567.836740000028"/>
    <n v="11183"/>
    <n v="56650.460000000006"/>
    <n v="10232.688276102734"/>
    <n v="56650.459999999992"/>
    <n v="10299.010000000017"/>
    <n v="60049.487600000008"/>
    <n v="10916.95060000002"/>
    <n v="62451.46710400001"/>
    <n v="13769.801029724233"/>
    <n v="55667.307025685986"/>
    <n v="12246.807545650918"/>
    <n v="1.204992499568959E-2"/>
    <n v="2.019009849955208E-2"/>
    <n v="0.10380007823680165"/>
    <n v="0.1038000782368014"/>
    <n v="0.1038000782368014"/>
    <n v="0.14000000000000001"/>
    <n v="0.15245289651293581"/>
    <n v="643.67000000000144"/>
    <n v="1347.9012727803315"/>
    <n v="5880.3221801508016"/>
    <n v="5880.3221801507889"/>
    <n v="6233.1415109598365"/>
    <n v="8743.2053945600019"/>
    <n v="8486.6421971407308"/>
  </r>
  <r>
    <x v="1"/>
    <s v="OUTLET BOLIVAR"/>
    <n v="201"/>
    <x v="0"/>
    <x v="2"/>
    <x v="0"/>
    <s v="LA PAZ"/>
    <s v="OUTLET 1"/>
    <x v="3"/>
    <n v="55190.16"/>
    <n v="11360.949999999995"/>
    <n v="39896.83"/>
    <n v="8714.5799999999981"/>
    <n v="49743.923160000006"/>
    <n v="12181.477668600002"/>
    <n v="65037.370000000024"/>
    <n v="15601.524373356511"/>
    <n v="65037.370000000039"/>
    <n v="15712.240000000136"/>
    <n v="68939.612200000061"/>
    <n v="16654.974400000148"/>
    <n v="71007.800566000049"/>
    <n v="16155.067082172984"/>
    <n v="0"/>
    <n v="0"/>
    <n v="1.5727803651955374E-2"/>
    <n v="2.6017953751854572E-2"/>
    <n v="0.13505637801840653"/>
    <n v="0.13505637801840631"/>
    <n v="0.13505637801840631"/>
    <n v="0.16000000000000003"/>
    <n v="0"/>
    <n v="868.02000000000146"/>
    <n v="1038.0338777856041"/>
    <n v="8783.7116280429782"/>
    <n v="8783.7116280429618"/>
    <n v="9310.7343257255434"/>
    <n v="11361.24809056001"/>
    <n v="0"/>
  </r>
  <r>
    <x v="1"/>
    <s v="OUTLET BOLIVAR"/>
    <n v="201"/>
    <x v="0"/>
    <x v="2"/>
    <x v="0"/>
    <s v="LA PAZ"/>
    <s v="OUTLET 1"/>
    <x v="4"/>
    <n v="45796.75"/>
    <n v="11646.200000000004"/>
    <n v="40705.780000000006"/>
    <n v="10040.09"/>
    <n v="50851.312199999993"/>
    <n v="12515"/>
    <n v="52226.44999999999"/>
    <n v="13258.83716953932"/>
    <n v="52226.45"/>
    <n v="13226.179999999949"/>
    <n v="55360.036999999997"/>
    <n v="14019.750799999947"/>
    <n v="57020.838109999997"/>
    <n v="13373.341720911048"/>
    <n v="0"/>
    <n v="0"/>
    <n v="1.2924061205216544E-2"/>
    <n v="3.2166427934048475E-2"/>
    <n v="0.1153594156182261"/>
    <n v="0.11535941561822577"/>
    <n v="0.11535941561822577"/>
    <n v="0.18"/>
    <n v="0"/>
    <n v="591.88000000000079"/>
    <n v="1309.359538869232"/>
    <n v="6024.8127518145038"/>
    <n v="6024.8127518144856"/>
    <n v="6386.3015169233558"/>
    <n v="10263.750859799999"/>
    <n v="0"/>
  </r>
  <r>
    <x v="1"/>
    <s v="OUTLET BOLIVAR"/>
    <n v="201"/>
    <x v="0"/>
    <x v="2"/>
    <x v="0"/>
    <s v="LA PAZ"/>
    <s v="OUTLET 1"/>
    <x v="5"/>
    <n v="36937.949999999997"/>
    <n v="9337.0000000000036"/>
    <n v="39764.700000000012"/>
    <n v="10475.120000000006"/>
    <n v="50205.0409"/>
    <n v="11573"/>
    <n v="44158.46"/>
    <n v="10346.347690028531"/>
    <n v="44158.46"/>
    <n v="10352.590000000018"/>
    <n v="46807.967600000004"/>
    <n v="10973.74540000002"/>
    <n v="48680.286303999994"/>
    <n v="11417.196333720778"/>
    <n v="0"/>
    <n v="0"/>
    <n v="1.8009120701067621E-2"/>
    <n v="3.2210599306139835E-2"/>
    <n v="0.1198359476549114"/>
    <n v="0.11983594765491139"/>
    <n v="0.11983594765491139"/>
    <n v="0.18000000000000002"/>
    <n v="0"/>
    <n v="665.22000000000071"/>
    <n v="1280.8448182288591"/>
    <n v="5291.7709010814988"/>
    <n v="5291.7709010814979"/>
    <n v="5609.2771551463884"/>
    <n v="8762.4515347199995"/>
    <n v="0"/>
  </r>
  <r>
    <x v="1"/>
    <s v="OUTLET BOLIVAR"/>
    <n v="201"/>
    <x v="0"/>
    <x v="2"/>
    <x v="0"/>
    <s v="LA PAZ"/>
    <s v="OUTLET 1"/>
    <x v="6"/>
    <n v="44610.81"/>
    <n v="12129.389999999996"/>
    <n v="41877.130000000005"/>
    <n v="10022.480000000003"/>
    <n v="46537.391899999988"/>
    <n v="11715"/>
    <n v="47004.039999999972"/>
    <n v="14450.170000000016"/>
    <n v="47004.039999999943"/>
    <n v="14450.169999999933"/>
    <n v="49824.282399999996"/>
    <n v="15317.180199999944"/>
    <n v="51817.253696000007"/>
    <n v="12334.882375134912"/>
    <n v="0"/>
    <n v="0"/>
    <n v="2.8965400986890925E-2"/>
    <n v="3.9275171150092832E-2"/>
    <n v="0.24034955293204585"/>
    <n v="0.24034955293204591"/>
    <n v="0.24034955293204591"/>
    <n v="0.18999999999999997"/>
    <n v="0"/>
    <n v="1292.1700000000035"/>
    <n v="1644.7314480246871"/>
    <n v="11297.399999999987"/>
    <n v="11297.399999999996"/>
    <n v="11975.244000000002"/>
    <n v="9845.2782022400006"/>
    <n v="0"/>
  </r>
  <r>
    <x v="1"/>
    <s v="OUTLET BOLIVAR"/>
    <n v="201"/>
    <x v="0"/>
    <x v="2"/>
    <x v="0"/>
    <s v="LA PAZ"/>
    <s v="OUTLET 1"/>
    <x v="7"/>
    <n v="117748.26000000004"/>
    <n v="13724.080000000011"/>
    <n v="66435.569999999992"/>
    <n v="7215.5099999999902"/>
    <n v="69659.841799999995"/>
    <n v="12528"/>
    <n v="76716.761726248747"/>
    <n v="15009.634431740569"/>
    <n v="98005.470000000045"/>
    <n v="9177.5400000000809"/>
    <n v="103885.79820000019"/>
    <n v="20325.256417830038"/>
    <n v="103885.79820000022"/>
    <n v="21081.566752437466"/>
    <n v="0"/>
    <n v="0"/>
    <n v="1.0478626180972849E-2"/>
    <n v="1.4352162224427333E-2"/>
    <n v="8.1540856852173327E-2"/>
    <n v="7.0000000000000021E-2"/>
    <n v="7.0000000000000021E-2"/>
    <n v="8.9999999999999983E-2"/>
    <n v="0"/>
    <n v="1233.8399999999986"/>
    <n v="953.49407811229764"/>
    <n v="7991.4499999999707"/>
    <n v="5370.1733208374135"/>
    <n v="7272.0058740000159"/>
    <n v="9349.7218380000177"/>
    <n v="0"/>
  </r>
  <r>
    <x v="1"/>
    <s v="OUTLET BOLIVAR"/>
    <n v="201"/>
    <x v="0"/>
    <x v="2"/>
    <x v="0"/>
    <s v="LA PAZ"/>
    <s v="OUTLET 1"/>
    <x v="8"/>
    <n v="45212.29"/>
    <n v="7777.0799999999954"/>
    <n v="55985.48"/>
    <n v="8644.2000000000044"/>
    <n v="44838.262749999994"/>
    <n v="10874"/>
    <n v="46418.811511937492"/>
    <n v="9283.7623023874967"/>
    <n v="39067.97"/>
    <n v="10076.109999999993"/>
    <n v="41412.048200000005"/>
    <n v="10680.676599999993"/>
    <n v="43068.530128000013"/>
    <n v="9496.0954162637936"/>
    <n v="0"/>
    <n v="0"/>
    <n v="2.0592188539886008E-2"/>
    <n v="2.7984060939232721E-2"/>
    <n v="0.12996887219888817"/>
    <n v="9.9999999999999978E-2"/>
    <n v="9.9999999999999978E-2"/>
    <n v="0.13999999999999999"/>
    <n v="0"/>
    <n v="931.02000000000282"/>
    <n v="1566.7010840321948"/>
    <n v="5077.6199999999972"/>
    <n v="4641.8811511937483"/>
    <n v="4141.2048199999999"/>
    <n v="6029.594217920001"/>
    <n v="0"/>
  </r>
  <r>
    <x v="1"/>
    <s v="OUTLET BOLIVAR"/>
    <n v="201"/>
    <x v="0"/>
    <x v="2"/>
    <x v="0"/>
    <s v="LA PAZ"/>
    <s v="OUTLET 1"/>
    <x v="9"/>
    <n v="40574.769999999997"/>
    <n v="6407.9599999999973"/>
    <n v="48265.259999999995"/>
    <n v="6957.6099999999942"/>
    <n v="52142.76079999996"/>
    <n v="12316"/>
    <n v="53980.793118199952"/>
    <n v="10364.312278694391"/>
    <n v="37982.049999999996"/>
    <n v="10395.249999999985"/>
    <n v="55600.216911745949"/>
    <n v="10675.241647055222"/>
    <n v="58102.226672774501"/>
    <n v="13218.904994104754"/>
    <n v="0"/>
    <n v="0"/>
    <n v="2.2075541032025598E-2"/>
    <n v="2.587783303124664E-2"/>
    <n v="0.2776827475083628"/>
    <n v="0.08"/>
    <n v="0.08"/>
    <n v="0.16000000000000003"/>
    <n v="0"/>
    <n v="895.71000000000117"/>
    <n v="1249.0003394897071"/>
    <n v="10546.96000000001"/>
    <n v="4318.4634494559959"/>
    <n v="4448.0173529396761"/>
    <n v="9296.3562676439215"/>
    <n v="0"/>
  </r>
  <r>
    <x v="1"/>
    <s v="OUTLET BOLIVAR"/>
    <n v="201"/>
    <x v="0"/>
    <x v="2"/>
    <x v="0"/>
    <s v="LA PAZ"/>
    <s v="OUTLET 1"/>
    <x v="10"/>
    <n v="24178.040000000005"/>
    <n v="2931.9900000000043"/>
    <n v="50026.50999999998"/>
    <n v="6115.1599999999853"/>
    <n v="58451.982249999943"/>
    <n v="12257"/>
    <n v="60217.23211394994"/>
    <n v="10267.038075428465"/>
    <n v="34247.557471264357"/>
    <n v="11317.231894207369"/>
    <n v="62023.74907736844"/>
    <n v="10575.049217691319"/>
    <n v="64814.817785850028"/>
    <n v="14973.695793824441"/>
    <n v="0"/>
    <n v="0"/>
    <n v="3.2082832189871515E-3"/>
    <n v="3.2045684701928444E-2"/>
    <n v="0.2776827475083628"/>
    <n v="0.05"/>
    <n v="0.05"/>
    <n v="0.17"/>
    <n v="0"/>
    <n v="77.570000000000121"/>
    <n v="1603.1337661978696"/>
    <n v="9509.9558540712442"/>
    <n v="3010.861605697497"/>
    <n v="3101.1874538684224"/>
    <n v="11018.519023594505"/>
    <n v="0"/>
  </r>
  <r>
    <x v="1"/>
    <s v="OUTLET BOLIVAR"/>
    <n v="201"/>
    <x v="0"/>
    <x v="2"/>
    <x v="0"/>
    <s v="LA PAZ"/>
    <s v="OUTLET 1"/>
    <x v="11"/>
    <n v="92170.680000000022"/>
    <n v="14269.06000000003"/>
    <n v="86898.770000000019"/>
    <n v="23648.580000000009"/>
    <n v="87316.255099999995"/>
    <n v="22220"/>
    <n v="89953.206004020001"/>
    <n v="17046.132537761794"/>
    <n v="57614.942528735628"/>
    <n v="17907.583620610425"/>
    <n v="92651.802184140601"/>
    <n v="17557.516513894647"/>
    <n v="96821.133282426934"/>
    <n v="22367.882001527385"/>
    <n v="0"/>
    <n v="0"/>
    <n v="3.3375906524721305E-2"/>
    <n v="8.462881043320658E-2"/>
    <n v="0.2776827475083628"/>
    <n v="5.0000000000000017E-2"/>
    <n v="5.0000000000000017E-2"/>
    <n v="0.17000000000000004"/>
    <n v="0"/>
    <n v="3076.28"/>
    <n v="7354.1395332088205"/>
    <n v="15998.67553891573"/>
    <n v="4497.6603002010015"/>
    <n v="4632.5901092070317"/>
    <n v="16459.592658012582"/>
    <n v="0"/>
  </r>
  <r>
    <x v="1"/>
    <s v="OUTLET CASONA"/>
    <n v="204"/>
    <x v="0"/>
    <x v="2"/>
    <x v="0"/>
    <s v="LA PAZ"/>
    <s v="OUTLET 1"/>
    <x v="0"/>
    <n v="49926.590000000004"/>
    <n v="10577.079999999994"/>
    <n v="34978.300000000003"/>
    <n v="7983.480000000005"/>
    <n v="57693.266766666668"/>
    <n v="13116"/>
    <n v="42241.099999999933"/>
    <n v="10823.794785792979"/>
    <n v="42241.099999999933"/>
    <n v="10297.289999999935"/>
    <n v="57693.266766666668"/>
    <n v="14064.12946025852"/>
    <n v="60000.997437333324"/>
    <n v="10487.756455050247"/>
    <n v="42091.666666666715"/>
    <n v="13586.035144997175"/>
    <n v="2.6245934280710977E-2"/>
    <n v="2.2140870196664785E-2"/>
    <n v="0.12189095632203276"/>
    <n v="0.12189095632203285"/>
    <n v="0.12189095632203285"/>
    <n v="0.12"/>
    <n v="0.23368537469534892"/>
    <n v="1310.3700000000019"/>
    <n v="774.44999999999993"/>
    <n v="5148.8080750946101"/>
    <n v="5148.8080750946137"/>
    <n v="7032.2874595311559"/>
    <n v="7200.1196924799988"/>
    <n v="9836.2068965517392"/>
  </r>
  <r>
    <x v="1"/>
    <s v="OUTLET CASONA"/>
    <n v="204"/>
    <x v="0"/>
    <x v="2"/>
    <x v="0"/>
    <s v="LA PAZ"/>
    <s v="OUTLET 1"/>
    <x v="1"/>
    <n v="85843.64"/>
    <n v="1628.0799999999986"/>
    <n v="56445"/>
    <n v="9419.6900000000096"/>
    <n v="74455.276499999964"/>
    <n v="11505"/>
    <n v="61097.420000000013"/>
    <n v="10624.183434951176"/>
    <n v="61097.420000000027"/>
    <n v="10555.320000000051"/>
    <n v="74455.276499999964"/>
    <n v="12863.051650069399"/>
    <n v="75944.382029999964"/>
    <n v="12366.650306184194"/>
    <n v="49632.614942528824"/>
    <n v="7548.8357319893112"/>
    <n v="1.2837642951766809E-2"/>
    <n v="1.8456100061658383E-2"/>
    <n v="9.2643362515163835E-2"/>
    <n v="9.2643362515163821E-2"/>
    <n v="9.2643362515163821E-2"/>
    <n v="0.09"/>
    <n v="0.17924809592320579"/>
    <n v="1102.0300000000072"/>
    <n v="1041.7545679803075"/>
    <n v="5660.2704298012241"/>
    <n v="5660.2704298012213"/>
    <n v="6897.7871719562545"/>
    <n v="6834.9943826999961"/>
    <n v="8896.5517241379439"/>
  </r>
  <r>
    <x v="1"/>
    <s v="OUTLET CASONA"/>
    <n v="204"/>
    <x v="0"/>
    <x v="2"/>
    <x v="0"/>
    <s v="LA PAZ"/>
    <s v="OUTLET 1"/>
    <x v="2"/>
    <n v="53205.960000000006"/>
    <n v="3929.0500000000038"/>
    <n v="70929.61"/>
    <n v="11627.910000000007"/>
    <n v="60001.99319999999"/>
    <n v="12302"/>
    <n v="70698.779999999897"/>
    <n v="12220.221746954399"/>
    <n v="70698.779999999941"/>
    <n v="12395.619999999915"/>
    <n v="73526.731199999937"/>
    <n v="12891.444799999912"/>
    <n v="75732.53313599994"/>
    <n v="13841.096744125827"/>
    <n v="58596.131261442759"/>
    <n v="16758.493540772626"/>
    <n v="1.6796990412352362E-2"/>
    <n v="5.9461145168637677E-3"/>
    <n v="9.9337447312987256E-2"/>
    <n v="9.9337447312987007E-2"/>
    <n v="9.9337447312987007E-2"/>
    <n v="0.14000000000000001"/>
    <n v="0.22826639234278556"/>
    <n v="893.70000000000334"/>
    <n v="421.75558369648547"/>
    <n v="7023.0363333424712"/>
    <n v="7023.0363333424493"/>
    <n v="7303.957786676152"/>
    <n v="10602.554639039992"/>
    <n v="13375.527488293856"/>
  </r>
  <r>
    <x v="1"/>
    <s v="OUTLET CASONA"/>
    <n v="204"/>
    <x v="0"/>
    <x v="2"/>
    <x v="0"/>
    <s v="LA PAZ"/>
    <s v="OUTLET 1"/>
    <x v="3"/>
    <n v="59533.03"/>
    <n v="4059.0500000000061"/>
    <n v="54698.43"/>
    <n v="13017.89"/>
    <n v="59538.565509999964"/>
    <n v="12647"/>
    <n v="62666.130000000012"/>
    <n v="12200.141528304162"/>
    <n v="62666.129999999961"/>
    <n v="11612.349999999977"/>
    <n v="65172.775199999967"/>
    <n v="12076.843999999977"/>
    <n v="67779.68620799997"/>
    <n v="12927.805811339615"/>
    <n v="0"/>
    <n v="0"/>
    <n v="1.9576863465541775E-2"/>
    <n v="2.1857343691275039E-2"/>
    <n v="0.1397400026058421"/>
    <n v="0.1397400026058418"/>
    <n v="0.1397400026058418"/>
    <n v="0.16"/>
    <n v="0"/>
    <n v="1165.4700000000025"/>
    <n v="1195.5623838831493"/>
    <n v="8756.9651694980348"/>
    <n v="8756.9651694980221"/>
    <n v="9107.2437762779373"/>
    <n v="10844.749793279996"/>
    <n v="0"/>
  </r>
  <r>
    <x v="1"/>
    <s v="OUTLET CASONA"/>
    <n v="204"/>
    <x v="0"/>
    <x v="2"/>
    <x v="0"/>
    <s v="LA PAZ"/>
    <s v="OUTLET 1"/>
    <x v="4"/>
    <n v="47208.99"/>
    <n v="7815.9800000000041"/>
    <n v="57634.729999999996"/>
    <n v="15499.280000000004"/>
    <n v="56182.007990000013"/>
    <n v="12890"/>
    <n v="56840.879999999932"/>
    <n v="13067.433974461552"/>
    <n v="56840.879999999932"/>
    <n v="12349.659999999931"/>
    <n v="59114.515199999929"/>
    <n v="12843.646399999927"/>
    <n v="61479.095807999925"/>
    <n v="12216.056457399287"/>
    <n v="0"/>
    <n v="0"/>
    <n v="4.2424970328744739E-2"/>
    <n v="1.2707701400611959E-2"/>
    <n v="0.13989407454122435"/>
    <n v="0.13989407454122404"/>
    <n v="0.13989407454122404"/>
    <n v="0.18"/>
    <n v="0"/>
    <n v="2002.840000000007"/>
    <n v="732.40493914489207"/>
    <n v="7951.7023037087793"/>
    <n v="7951.7023037087611"/>
    <n v="8269.770395857111"/>
    <n v="11066.237245439987"/>
    <n v="0"/>
  </r>
  <r>
    <x v="1"/>
    <s v="OUTLET CASONA"/>
    <n v="204"/>
    <x v="0"/>
    <x v="2"/>
    <x v="0"/>
    <s v="LA PAZ"/>
    <s v="OUTLET 1"/>
    <x v="5"/>
    <n v="41464.9"/>
    <n v="7827.3900000000031"/>
    <n v="43574.909999999989"/>
    <n v="11630.879999999994"/>
    <n v="44057.172899999969"/>
    <n v="9830.5227809999924"/>
    <n v="56261.560000000012"/>
    <n v="12556.919999999962"/>
    <n v="56261.560000000005"/>
    <n v="12556.919999999998"/>
    <n v="58512.022400000016"/>
    <n v="13059.196800000002"/>
    <n v="60852.50329600001"/>
    <n v="12091.550893324635"/>
    <n v="0"/>
    <n v="0"/>
    <n v="2.0790114048267402E-2"/>
    <n v="6.2959761254515037E-2"/>
    <n v="0.13820697470884216"/>
    <n v="0.13820697470884216"/>
    <n v="0.13820697470884216"/>
    <n v="0.18000000000000002"/>
    <n v="0"/>
    <n v="862.06000000000301"/>
    <n v="2743.4659302869791"/>
    <n v="7775.7400000000061"/>
    <n v="7775.7400000000071"/>
    <n v="8086.7696000000087"/>
    <n v="10953.450593280004"/>
    <n v="0"/>
  </r>
  <r>
    <x v="1"/>
    <s v="OUTLET CASONA"/>
    <n v="204"/>
    <x v="0"/>
    <x v="2"/>
    <x v="0"/>
    <s v="LA PAZ"/>
    <s v="OUTLET 1"/>
    <x v="6"/>
    <n v="47143.29"/>
    <n v="10001.640000000001"/>
    <n v="71455"/>
    <n v="17057.049999999996"/>
    <n v="60750.283599999995"/>
    <n v="15409.226822499999"/>
    <n v="51283.890000000029"/>
    <n v="13425.030000000083"/>
    <n v="51283.890000000043"/>
    <n v="13425.030000000013"/>
    <n v="53335.245599999995"/>
    <n v="13962.031200000001"/>
    <n v="55468.655423999997"/>
    <n v="11242.804909258964"/>
    <n v="0"/>
    <n v="0"/>
    <n v="5.967445208003104E-2"/>
    <n v="3.1378066090646667E-2"/>
    <n v="0.22156782568561004"/>
    <n v="0.22156782568561004"/>
    <n v="0.22156782568561004"/>
    <n v="0.19000000000000003"/>
    <n v="0"/>
    <n v="2813.2500000000064"/>
    <n v="2242.1197125071576"/>
    <n v="11362.86000000001"/>
    <n v="11362.860000000006"/>
    <n v="11817.374399999999"/>
    <n v="10539.044530560001"/>
    <n v="0"/>
  </r>
  <r>
    <x v="1"/>
    <s v="OUTLET CASONA"/>
    <n v="204"/>
    <x v="0"/>
    <x v="2"/>
    <x v="0"/>
    <s v="LA PAZ"/>
    <s v="OUTLET 1"/>
    <x v="7"/>
    <n v="124943.53000000003"/>
    <n v="5559.7600000000384"/>
    <n v="109050.76000000001"/>
    <n v="13468.479999999996"/>
    <n v="116418.81206"/>
    <n v="19238"/>
    <n v="93594.449306023482"/>
    <n v="15897.017214628086"/>
    <n v="93008.560000000085"/>
    <n v="-499.44999999992433"/>
    <n v="96728.90240000021"/>
    <n v="16429.404072640034"/>
    <n v="96728.902400000225"/>
    <n v="15751.165241021899"/>
    <n v="0"/>
    <n v="0"/>
    <n v="8.3465706467553552E-3"/>
    <n v="9.4775995449946603E-3"/>
    <n v="8.0850300230430647E-2"/>
    <n v="7.0000000000000007E-2"/>
    <n v="7.0000000000000007E-2"/>
    <n v="8.9999999999999983E-2"/>
    <n v="0"/>
    <n v="1042.8499999999974"/>
    <n v="1033.539433357322"/>
    <n v="7519.7700000000295"/>
    <n v="6551.6114514216442"/>
    <n v="6771.0231680000152"/>
    <n v="8705.6012160000191"/>
    <n v="0"/>
  </r>
  <r>
    <x v="1"/>
    <s v="OUTLET CASONA"/>
    <n v="204"/>
    <x v="0"/>
    <x v="2"/>
    <x v="0"/>
    <s v="LA PAZ"/>
    <s v="OUTLET 1"/>
    <x v="8"/>
    <n v="54532.410000000011"/>
    <n v="8230.7700000000095"/>
    <n v="56047.039999999994"/>
    <n v="9810.01"/>
    <n v="60113.646960000005"/>
    <n v="13120"/>
    <n v="67724.259271762508"/>
    <n v="14723.253965681168"/>
    <n v="50050.270000000004"/>
    <n v="10575.640000000014"/>
    <n v="71110.472235350637"/>
    <n v="15025.668284927624"/>
    <n v="73243.786402411148"/>
    <n v="13386.246194635163"/>
    <n v="0"/>
    <n v="0"/>
    <n v="3.6095782306338635E-2"/>
    <n v="2.8198430733367127E-2"/>
    <n v="0.10927493498037057"/>
    <n v="0.14000000000000001"/>
    <n v="0.14000000000000001"/>
    <n v="0.14000000000000007"/>
    <n v="0"/>
    <n v="1968.3900000000044"/>
    <n v="1580.4385752502565"/>
    <n v="5469.2399999999916"/>
    <n v="9481.3962980467513"/>
    <n v="9955.4661129490905"/>
    <n v="10254.130096337565"/>
    <n v="0"/>
  </r>
  <r>
    <x v="1"/>
    <s v="OUTLET CASONA"/>
    <n v="204"/>
    <x v="0"/>
    <x v="2"/>
    <x v="0"/>
    <s v="LA PAZ"/>
    <s v="OUTLET 1"/>
    <x v="9"/>
    <n v="48378.570000000007"/>
    <n v="6034.9800000000023"/>
    <n v="50055.079999999987"/>
    <n v="9771.1599999999889"/>
    <n v="67731.03237500001"/>
    <n v="14569"/>
    <n v="48571.826743680002"/>
    <n v="9811.5090022233599"/>
    <n v="48181.950000000063"/>
    <n v="11494.690000000061"/>
    <n v="49543.263278553604"/>
    <n v="10007.739182267827"/>
    <n v="51524.993809695756"/>
    <n v="9827.5036617623446"/>
    <n v="0"/>
    <n v="0"/>
    <n v="1.5919031918471372E-2"/>
    <n v="2.7095458179264616E-2"/>
    <n v="0.30160464655332592"/>
    <n v="7.9999999999999988E-2"/>
    <n v="7.9999999999999988E-2"/>
    <n v="0.15999999999999998"/>
    <n v="0"/>
    <n v="770.14000000000169"/>
    <n v="1356.2653267997443"/>
    <n v="14531.90000000004"/>
    <n v="3885.7461394943994"/>
    <n v="3963.4610622842879"/>
    <n v="8243.9990095513203"/>
    <n v="0"/>
  </r>
  <r>
    <x v="1"/>
    <s v="OUTLET CASONA"/>
    <n v="204"/>
    <x v="0"/>
    <x v="2"/>
    <x v="0"/>
    <s v="LA PAZ"/>
    <s v="OUTLET 1"/>
    <x v="10"/>
    <n v="41577.17"/>
    <n v="5022.2599999999984"/>
    <n v="66584.539999999964"/>
    <n v="8037.9999999999673"/>
    <n v="84950.041655000037"/>
    <n v="17461"/>
    <n v="87515.532912981042"/>
    <n v="17459.348816139718"/>
    <n v="31373.275862068967"/>
    <n v="10224.023601514966"/>
    <n v="87515.532912981042"/>
    <n v="17459.348816139718"/>
    <n v="91016.154229500273"/>
    <n v="17722.454052883542"/>
    <n v="0"/>
    <n v="0"/>
    <n v="8.7430193060278345E-3"/>
    <n v="4.1371102413539231E-2"/>
    <n v="0.30160464655332592"/>
    <n v="0.05"/>
    <n v="0.05"/>
    <n v="0.17"/>
    <n v="0"/>
    <n v="363.5100000000013"/>
    <n v="2754.6758234983981"/>
    <n v="9462.3257775993025"/>
    <n v="4375.7766456490526"/>
    <n v="4375.7766456490526"/>
    <n v="15472.746219015047"/>
    <n v="0"/>
  </r>
  <r>
    <x v="1"/>
    <s v="OUTLET CASONA"/>
    <n v="204"/>
    <x v="0"/>
    <x v="2"/>
    <x v="0"/>
    <s v="LA PAZ"/>
    <s v="OUTLET 1"/>
    <x v="11"/>
    <n v="94329.81"/>
    <n v="11863.470000000023"/>
    <n v="111007.13999999997"/>
    <n v="28899.039999999975"/>
    <n v="120144.97075000017"/>
    <n v="30530"/>
    <n v="123773.34886665018"/>
    <n v="24692.783098896711"/>
    <n v="79882.614942528729"/>
    <n v="19656.776507008421"/>
    <n v="123773.34886665018"/>
    <n v="24692.783098896711"/>
    <n v="128724.28282131618"/>
    <n v="25064.893228061057"/>
    <n v="0"/>
    <n v="0"/>
    <n v="3.9399104058409545E-2"/>
    <n v="0.10476858248429879"/>
    <n v="0.30160464655332592"/>
    <n v="0.05"/>
    <n v="0.05"/>
    <n v="0.16999999999999998"/>
    <n v="0"/>
    <n v="3716.5100000000011"/>
    <n v="11630.0607034361"/>
    <n v="24092.967845496809"/>
    <n v="6188.6674433325097"/>
    <n v="6188.6674433325097"/>
    <n v="21883.128079623748"/>
    <n v="0"/>
  </r>
  <r>
    <x v="1"/>
    <s v="OUTLET CATOLICA"/>
    <n v="415"/>
    <x v="0"/>
    <x v="0"/>
    <x v="0"/>
    <s v="SANTA CRUZ"/>
    <s v="OUTLET 1"/>
    <x v="0"/>
    <n v="58241.56"/>
    <n v="15428.910000000002"/>
    <n v="43180.6"/>
    <n v="8093.4499999999962"/>
    <n v="67069.224644827584"/>
    <n v="14164"/>
    <n v="48646.749999999978"/>
    <n v="10674.720905451451"/>
    <n v="48646.749999999971"/>
    <n v="11193.599999999955"/>
    <n v="67069.224644827584"/>
    <n v="15432.604911619777"/>
    <n v="70422.685877068972"/>
    <n v="13803.223687668726"/>
    <n v="49027.72988505751"/>
    <n v="15750.24039538201"/>
    <n v="4.311319957775861E-2"/>
    <n v="2.001167453722355E-2"/>
    <n v="7.2778877857969521E-2"/>
    <n v="7.2778877857969673E-2"/>
    <n v="7.2778877857969673E-2"/>
    <n v="0.11999999999999998"/>
    <n v="0.21750534092540891"/>
    <n v="2510.9800000000027"/>
    <n v="864.11611352203522"/>
    <n v="3540.4558764371768"/>
    <n v="3540.4558764371845"/>
    <n v="4881.2229084546361"/>
    <n v="8450.722305248275"/>
    <n v="10663.793103448292"/>
  </r>
  <r>
    <x v="1"/>
    <s v="OUTLET CATOLICA"/>
    <n v="415"/>
    <x v="0"/>
    <x v="0"/>
    <x v="0"/>
    <s v="SANTA CRUZ"/>
    <s v="OUTLET 1"/>
    <x v="1"/>
    <n v="65599.260000000009"/>
    <n v="5519.4200000000037"/>
    <n v="42489.539999999994"/>
    <n v="5595.2899999999972"/>
    <n v="69923.495499999946"/>
    <n v="11184"/>
    <n v="70868.630000000077"/>
    <n v="9284.5363731280431"/>
    <n v="70868.63"/>
    <n v="9907.4999999999272"/>
    <n v="69923.495499999946"/>
    <n v="9775.3693230170302"/>
    <n v="73419.670274999939"/>
    <n v="13567.408185130766"/>
    <n v="70231.623563218498"/>
    <n v="8041.2337622121413"/>
    <n v="1.3899242156085295E-2"/>
    <n v="1.9357212257354442E-2"/>
    <n v="4.9387797866410732E-2"/>
    <n v="4.9387797866410857E-2"/>
    <n v="4.9387797866410857E-2"/>
    <n v="9.0000000000000011E-2"/>
    <n v="9.2469069403151014E-2"/>
    <n v="911.78"/>
    <n v="822.47904449735177"/>
    <n v="3500.045573509452"/>
    <n v="3500.0455735094642"/>
    <n v="3453.3674618668865"/>
    <n v="6607.7703247499949"/>
    <n v="6494.2528735632277"/>
  </r>
  <r>
    <x v="1"/>
    <s v="OUTLET CATOLICA"/>
    <n v="415"/>
    <x v="0"/>
    <x v="0"/>
    <x v="0"/>
    <s v="SANTA CRUZ"/>
    <s v="OUTLET 1"/>
    <x v="2"/>
    <n v="53591.35"/>
    <n v="8229.2600000000075"/>
    <n v="79994.13"/>
    <n v="9312.8699999999917"/>
    <n v="68833.915099999998"/>
    <n v="12916"/>
    <n v="85992.580000000016"/>
    <n v="16131.913834459965"/>
    <n v="85992.579999999973"/>
    <n v="16553.880000000005"/>
    <n v="85992.579999999958"/>
    <n v="16553.88"/>
    <n v="0"/>
    <n v="0"/>
    <n v="0"/>
    <n v="0"/>
    <n v="1.5575647935721011E-2"/>
    <n v="2.4485885166808906E-2"/>
    <n v="8.0899450503978135E-2"/>
    <n v="8.0899450503978343E-2"/>
    <n v="8.0899450503978343E-2"/>
    <n v="0"/>
    <n v="0.15961148607868217"/>
    <n v="834.72000000000219"/>
    <n v="1958.7270811987835"/>
    <n v="6956.752469419378"/>
    <n v="6956.7524694193989"/>
    <n v="6956.7524694193944"/>
    <n v="0"/>
    <n v="0"/>
  </r>
  <r>
    <x v="1"/>
    <s v="OUTLET CATOLICA"/>
    <n v="415"/>
    <x v="0"/>
    <x v="0"/>
    <x v="0"/>
    <s v="SANTA CRUZ"/>
    <s v="OUTLET 1"/>
    <x v="3"/>
    <n v="65813.810000000027"/>
    <n v="7653.4500000000262"/>
    <n v="64262.470000000008"/>
    <n v="12193.310000000009"/>
    <n v="64498.585780000001"/>
    <n v="13805"/>
    <n v="78894.880000000019"/>
    <n v="17493.397858732325"/>
    <n v="78894.879999999961"/>
    <n v="17477.279999999933"/>
    <n v="78894.880000000034"/>
    <n v="17477.279999999948"/>
    <n v="47336.928000000022"/>
    <n v="9985.9978428140585"/>
    <n v="0"/>
    <n v="0"/>
    <n v="1.2953816227931526E-2"/>
    <n v="3.3318512866733145E-2"/>
    <n v="9.0911911891753322E-2"/>
    <n v="9.0911911891753391E-2"/>
    <n v="9.0911911891753391E-2"/>
    <n v="0.16"/>
    <n v="0"/>
    <n v="852.54000000000246"/>
    <n v="2141.1299335430531"/>
    <n v="7172.4843792704478"/>
    <n v="7172.4843792704587"/>
    <n v="7172.4843792704596"/>
    <n v="7573.9084800000037"/>
    <n v="0"/>
  </r>
  <r>
    <x v="1"/>
    <s v="OUTLET CATOLICA"/>
    <n v="415"/>
    <x v="0"/>
    <x v="0"/>
    <x v="0"/>
    <s v="SANTA CRUZ"/>
    <s v="OUTLET 1"/>
    <x v="4"/>
    <n v="50266.64"/>
    <n v="11006.870000000003"/>
    <n v="66626.299999999988"/>
    <n v="15429.05000000001"/>
    <n v="65897.138220000008"/>
    <n v="14345"/>
    <n v="79217.610000000044"/>
    <n v="17314.397272976945"/>
    <n v="79217.610000000073"/>
    <n v="17254.890000000087"/>
    <n v="79217.610000000073"/>
    <n v="17254.890000000087"/>
    <n v="95061.132000000085"/>
    <n v="20764.295127302317"/>
    <n v="0"/>
    <n v="0"/>
    <n v="1.980160201676499E-2"/>
    <n v="3.5297834950699984E-2"/>
    <n v="0.1080997778270853"/>
    <n v="0.10809977782708519"/>
    <n v="0.10809977782708519"/>
    <n v="0.17999999999999997"/>
    <n v="0"/>
    <n v="995.35999999999967"/>
    <n v="2351.7641407758219"/>
    <n v="8563.4060409926988"/>
    <n v="8563.406040992686"/>
    <n v="8563.4060409926897"/>
    <n v="17111.003760000011"/>
    <n v="0"/>
  </r>
  <r>
    <x v="1"/>
    <s v="OUTLET CATOLICA"/>
    <n v="415"/>
    <x v="0"/>
    <x v="0"/>
    <x v="0"/>
    <s v="SANTA CRUZ"/>
    <s v="OUTLET 1"/>
    <x v="5"/>
    <n v="41116.840000000004"/>
    <n v="8768.6200000000044"/>
    <n v="54932.45"/>
    <n v="12951.360000000004"/>
    <n v="65619.531500000026"/>
    <n v="14305.467293000002"/>
    <n v="73378.660000000018"/>
    <n v="19206.324086606524"/>
    <n v="73378.660000000047"/>
    <n v="19215.900000000016"/>
    <n v="73378.660000000062"/>
    <n v="19215.900000000023"/>
    <n v="88054.39200000008"/>
    <n v="19233.806123234135"/>
    <n v="0"/>
    <n v="0"/>
    <n v="1.1320422483829045E-2"/>
    <n v="5.2198491827969769E-2"/>
    <n v="0.11874442837561459"/>
    <n v="0.11874442837561458"/>
    <n v="0.11874442837561458"/>
    <n v="0.18000000000000002"/>
    <n v="0"/>
    <n v="465.46000000000146"/>
    <n v="2867.3910424153578"/>
    <n v="8713.3070366685806"/>
    <n v="8713.307036668577"/>
    <n v="8713.3070366685824"/>
    <n v="15849.790560000016"/>
    <n v="0"/>
  </r>
  <r>
    <x v="1"/>
    <s v="OUTLET CATOLICA"/>
    <n v="415"/>
    <x v="0"/>
    <x v="0"/>
    <x v="0"/>
    <s v="SANTA CRUZ"/>
    <s v="OUTLET 1"/>
    <x v="6"/>
    <n v="48343.460000000006"/>
    <n v="11740.610000000004"/>
    <n v="73868.539999999979"/>
    <n v="16924.359999999993"/>
    <n v="64213.050699999971"/>
    <n v="14944"/>
    <n v="64426.490000000013"/>
    <n v="17868.879999999848"/>
    <n v="64426.490000000034"/>
    <n v="17868.880000000019"/>
    <n v="64426.49"/>
    <n v="17868.880000000008"/>
    <n v="77311.788"/>
    <n v="17176.249414000536"/>
    <n v="0"/>
    <n v="0"/>
    <n v="2.5618770356941743E-2"/>
    <n v="4.2978139955461375E-2"/>
    <n v="0.15811508589091278"/>
    <n v="0.15811508589091278"/>
    <n v="0.15811508589091278"/>
    <n v="0.18999999999999995"/>
    <n v="0"/>
    <n v="1238.4999999999991"/>
    <n v="3174.7324504255957"/>
    <n v="10186.800000000039"/>
    <n v="10186.800000000036"/>
    <n v="10186.800000000032"/>
    <n v="14689.239719999996"/>
    <n v="0"/>
  </r>
  <r>
    <x v="1"/>
    <s v="OUTLET CATOLICA"/>
    <n v="415"/>
    <x v="0"/>
    <x v="0"/>
    <x v="0"/>
    <s v="SANTA CRUZ"/>
    <s v="OUTLET 1"/>
    <x v="7"/>
    <n v="90848.76999999999"/>
    <n v="7467.9299999999985"/>
    <n v="102243.32999999999"/>
    <n v="15994.900000000023"/>
    <n v="105819.53389999995"/>
    <n v="17054"/>
    <n v="124281.15399652296"/>
    <n v="22786.949585262486"/>
    <n v="118946.09999999995"/>
    <n v="7355.1499999999942"/>
    <n v="118946.09999999998"/>
    <n v="21808.767434999998"/>
    <n v="142735.32"/>
    <n v="26376.423942272471"/>
    <n v="0"/>
    <n v="0"/>
    <n v="9.4103640588639285E-3"/>
    <n v="9.0096480579090026E-3"/>
    <n v="6.6543585708147959E-2"/>
    <n v="7.0000000000000007E-2"/>
    <n v="7.0000000000000007E-2"/>
    <n v="8.9999999999999983E-2"/>
    <n v="0"/>
    <n v="854.91999999999541"/>
    <n v="921.17641956864918"/>
    <n v="7915.0999999999349"/>
    <n v="8699.6807797566089"/>
    <n v="8326.226999999999"/>
    <n v="12846.178799999998"/>
    <n v="0"/>
  </r>
  <r>
    <x v="1"/>
    <s v="OUTLET CATOLICA"/>
    <n v="415"/>
    <x v="0"/>
    <x v="0"/>
    <x v="0"/>
    <s v="SANTA CRUZ"/>
    <s v="OUTLET 1"/>
    <x v="8"/>
    <n v="47577.61"/>
    <n v="7476.9200000000064"/>
    <n v="66529.66"/>
    <n v="12625.000000000004"/>
    <n v="60796.318175000008"/>
    <n v="13144"/>
    <n v="63860.452611020002"/>
    <n v="12069.62554348278"/>
    <n v="57137.09000000004"/>
    <n v="12938.71000000005"/>
    <n v="57137.09000000004"/>
    <n v="12938.71000000005"/>
    <n v="68564.508000000031"/>
    <n v="13951.544541512696"/>
    <n v="0"/>
    <n v="0"/>
    <n v="2.8657387371917187E-2"/>
    <n v="2.666849465066903E-2"/>
    <n v="0.12754149712559743"/>
    <n v="0.1"/>
    <n v="0.1"/>
    <n v="0.14000000000000004"/>
    <n v="0"/>
    <n v="1363.450000000001"/>
    <n v="1774.2458818208295"/>
    <n v="7287.3500000000067"/>
    <n v="6386.0452611020009"/>
    <n v="5713.7090000000044"/>
    <n v="9599.0311200000069"/>
    <n v="0"/>
  </r>
  <r>
    <x v="1"/>
    <s v="OUTLET CATOLICA"/>
    <n v="415"/>
    <x v="0"/>
    <x v="0"/>
    <x v="0"/>
    <s v="SANTA CRUZ"/>
    <s v="OUTLET 1"/>
    <x v="9"/>
    <n v="45835.43"/>
    <n v="4061.0600000000004"/>
    <n v="68079.570000000007"/>
    <n v="14093.809999999998"/>
    <n v="70540.57282500001"/>
    <n v="14768"/>
    <n v="74095.817695380014"/>
    <n v="14908.078520310461"/>
    <n v="37747.219999999972"/>
    <n v="7566.319999999967"/>
    <n v="74095.817695380014"/>
    <n v="14908.078520310461"/>
    <n v="60914.484000000019"/>
    <n v="12850.261550984709"/>
    <n v="0"/>
    <n v="0"/>
    <n v="2.1221574663966312E-2"/>
    <n v="3.0628976922851277E-2"/>
    <n v="0.24230261195394009"/>
    <n v="0.08"/>
    <n v="0.08"/>
    <n v="0.15999999999999998"/>
    <n v="0"/>
    <n v="972.70000000000141"/>
    <n v="2085.2075784476383"/>
    <n v="9146.25"/>
    <n v="5927.6654156304012"/>
    <n v="5927.6654156304012"/>
    <n v="9746.3174400000007"/>
    <n v="0"/>
  </r>
  <r>
    <x v="1"/>
    <s v="OUTLET CATOLICA"/>
    <n v="415"/>
    <x v="0"/>
    <x v="0"/>
    <x v="0"/>
    <s v="SANTA CRUZ"/>
    <s v="OUTLET 1"/>
    <x v="10"/>
    <n v="30305.380000000005"/>
    <n v="3162.9599999999996"/>
    <n v="58754.659999999989"/>
    <n v="9493.409999999998"/>
    <n v="84921.755049999978"/>
    <n v="17132.452696249999"/>
    <n v="87486.392052509967"/>
    <n v="17409.792018449483"/>
    <n v="13851.293103448275"/>
    <n v="3393.4467949090072"/>
    <n v="87486.392052509967"/>
    <n v="17409.792018449483"/>
    <n v="104983.67046301195"/>
    <n v="22539.297646344217"/>
    <n v="0"/>
    <n v="0"/>
    <n v="1.4698380287592525E-2"/>
    <n v="2.6806011769122035E-2"/>
    <n v="0.24230261195394009"/>
    <n v="4.9999999999999996E-2"/>
    <n v="4.9999999999999996E-2"/>
    <n v="0.17000000000000004"/>
    <n v="0"/>
    <n v="445.44000000000079"/>
    <n v="1574.9781074507634"/>
    <n v="3356.2044979051143"/>
    <n v="4374.3196026254982"/>
    <n v="4374.3196026254982"/>
    <n v="17847.223978712034"/>
    <n v="0"/>
  </r>
  <r>
    <x v="1"/>
    <s v="OUTLET CATOLICA"/>
    <n v="415"/>
    <x v="0"/>
    <x v="0"/>
    <x v="0"/>
    <s v="SANTA CRUZ"/>
    <s v="OUTLET 1"/>
    <x v="11"/>
    <n v="90758.60000000002"/>
    <n v="12062.429999999998"/>
    <n v="129899.92"/>
    <n v="31063.360000000011"/>
    <n v="130180.2875500001"/>
    <n v="30481"/>
    <n v="134111.73223401009"/>
    <n v="26688.234714568011"/>
    <n v="100574.13793103452"/>
    <n v="30226.712497390927"/>
    <n v="134111.73223401009"/>
    <n v="26688.234714568011"/>
    <n v="160934.07868081215"/>
    <n v="34551.479147464139"/>
    <n v="0"/>
    <n v="0"/>
    <n v="1.144508619568836E-2"/>
    <n v="6.6377792019457357E-2"/>
    <n v="0.24230261195394009"/>
    <n v="0.05"/>
    <n v="0.05"/>
    <n v="0.17"/>
    <n v="0"/>
    <n v="1038.7400000000018"/>
    <n v="8622.4698731041499"/>
    <n v="24369.376315705504"/>
    <n v="6705.5866117005053"/>
    <n v="6705.5866117005053"/>
    <n v="27358.793375738067"/>
    <n v="0"/>
  </r>
  <r>
    <x v="1"/>
    <s v="OUTLET COCHABAMBA"/>
    <s v="OUT-CBBA"/>
    <x v="3"/>
    <x v="3"/>
    <x v="3"/>
    <s v="COCHABAMBA"/>
    <s v="OUTLET 1"/>
    <x v="7"/>
    <n v="0"/>
    <n v="0"/>
    <n v="0"/>
    <n v="0"/>
    <n v="0"/>
    <n v="0"/>
    <n v="0"/>
    <n v="0"/>
    <n v="0"/>
    <n v="0"/>
    <n v="0"/>
    <n v="0"/>
    <n v="168987.15400000027"/>
    <n v="34013.773655016535"/>
    <n v="0"/>
    <n v="0"/>
    <n v="0"/>
    <n v="0"/>
    <n v="0"/>
    <n v="0"/>
    <n v="0"/>
    <n v="0.09"/>
    <n v="0"/>
    <n v="0"/>
    <n v="0"/>
    <n v="0"/>
    <n v="0"/>
    <n v="0"/>
    <n v="15208.843860000025"/>
    <n v="0"/>
  </r>
  <r>
    <x v="1"/>
    <s v="OUTLET COCHABAMBA"/>
    <s v="OUT-CBBA"/>
    <x v="3"/>
    <x v="3"/>
    <x v="3"/>
    <s v="COCHABAMBA"/>
    <s v="OUTLET 1"/>
    <x v="8"/>
    <n v="0"/>
    <n v="0"/>
    <n v="0"/>
    <n v="0"/>
    <n v="0"/>
    <n v="0"/>
    <n v="0"/>
    <n v="0"/>
    <n v="0"/>
    <n v="0"/>
    <n v="0"/>
    <n v="0"/>
    <n v="86695.294000000111"/>
    <n v="19012.471177373121"/>
    <n v="0"/>
    <n v="0"/>
    <n v="0"/>
    <n v="0"/>
    <n v="0"/>
    <n v="0"/>
    <n v="0"/>
    <n v="0.14000000000000001"/>
    <n v="0"/>
    <n v="0"/>
    <n v="0"/>
    <n v="0"/>
    <n v="0"/>
    <n v="0"/>
    <n v="12137.341160000016"/>
    <n v="0"/>
  </r>
  <r>
    <x v="1"/>
    <s v="OUTLET COCHABAMBA"/>
    <s v="OUT-CBBA"/>
    <x v="3"/>
    <x v="3"/>
    <x v="3"/>
    <s v="COCHABAMBA"/>
    <s v="OUTLET 1"/>
    <x v="9"/>
    <n v="0"/>
    <n v="0"/>
    <n v="0"/>
    <n v="0"/>
    <n v="0"/>
    <n v="0"/>
    <n v="0"/>
    <n v="0"/>
    <n v="0"/>
    <n v="0"/>
    <n v="0"/>
    <n v="0"/>
    <n v="65404.164000000004"/>
    <n v="14814.764352740865"/>
    <n v="0"/>
    <n v="0"/>
    <n v="0"/>
    <n v="0"/>
    <n v="0"/>
    <n v="0"/>
    <n v="0"/>
    <n v="0.16"/>
    <n v="0"/>
    <n v="0"/>
    <n v="0"/>
    <n v="0"/>
    <n v="0"/>
    <n v="0"/>
    <n v="10464.66624"/>
    <n v="0"/>
  </r>
  <r>
    <x v="1"/>
    <s v="OUTLET COCHABAMBA"/>
    <s v="OUT-CBBA"/>
    <x v="3"/>
    <x v="3"/>
    <x v="3"/>
    <s v="COCHABAMBA"/>
    <s v="OUTLET 1"/>
    <x v="10"/>
    <n v="0"/>
    <n v="0"/>
    <n v="0"/>
    <n v="0"/>
    <n v="0"/>
    <n v="0"/>
    <n v="0"/>
    <n v="0"/>
    <n v="0"/>
    <n v="0"/>
    <n v="0"/>
    <n v="0"/>
    <n v="114210.48936720779"/>
    <n v="26281.595428138098"/>
    <n v="0"/>
    <n v="0"/>
    <n v="0"/>
    <n v="0"/>
    <n v="0"/>
    <n v="0"/>
    <n v="0"/>
    <n v="0.16999999999999998"/>
    <n v="0"/>
    <n v="0"/>
    <n v="0"/>
    <n v="0"/>
    <n v="0"/>
    <n v="0"/>
    <n v="19415.783192425322"/>
    <n v="0"/>
  </r>
  <r>
    <x v="1"/>
    <s v="OUTLET COCHABAMBA"/>
    <s v="OUT-CBBA"/>
    <x v="3"/>
    <x v="3"/>
    <x v="3"/>
    <s v="COCHABAMBA"/>
    <s v="OUTLET 1"/>
    <x v="11"/>
    <n v="0"/>
    <n v="0"/>
    <n v="0"/>
    <n v="0"/>
    <n v="0"/>
    <n v="0"/>
    <n v="0"/>
    <n v="0"/>
    <n v="0"/>
    <n v="0"/>
    <n v="0"/>
    <n v="0"/>
    <n v="211357.72991221037"/>
    <n v="48636.674082558471"/>
    <n v="0"/>
    <n v="0"/>
    <n v="0"/>
    <n v="0"/>
    <n v="0"/>
    <n v="0"/>
    <n v="0"/>
    <n v="0.16999999999999998"/>
    <n v="0"/>
    <n v="0"/>
    <n v="0"/>
    <n v="0"/>
    <n v="0"/>
    <n v="0"/>
    <n v="35930.814085075763"/>
    <n v="0"/>
  </r>
  <r>
    <x v="1"/>
    <s v="OUTLET MONTENEGRO"/>
    <n v="213"/>
    <x v="0"/>
    <x v="0"/>
    <x v="0"/>
    <s v="LA PAZ"/>
    <s v="OUTLET 1"/>
    <x v="0"/>
    <n v="42786.740000000005"/>
    <n v="11406.720000000005"/>
    <n v="50578.359999999993"/>
    <n v="11823.169999999995"/>
    <n v="66713.498433333312"/>
    <n v="14312"/>
    <n v="46071.499999999985"/>
    <n v="11649.340812031911"/>
    <n v="46071.499999999985"/>
    <n v="11735.589999999967"/>
    <n v="66713.498433333312"/>
    <n v="16993.635220890141"/>
    <n v="70049.173354999977"/>
    <n v="14649.679448667306"/>
    <n v="57983.189655172551"/>
    <n v="20602.81934888893"/>
    <n v="3.7409954579386118E-2"/>
    <n v="3.0609355499448487E-2"/>
    <n v="0.11879953504488837"/>
    <n v="0.11879953504488837"/>
    <n v="0.11879953504488837"/>
    <n v="0.12"/>
    <n v="0.18586936859920225"/>
    <n v="1600.6500000000033"/>
    <n v="1548.1710018190852"/>
    <n v="5473.272778820573"/>
    <n v="5473.272778820573"/>
    <n v="7925.5325950978859"/>
    <n v="8405.9008025999974"/>
    <n v="10777.298850574718"/>
  </r>
  <r>
    <x v="1"/>
    <s v="OUTLET MONTENEGRO"/>
    <n v="213"/>
    <x v="0"/>
    <x v="0"/>
    <x v="0"/>
    <s v="LA PAZ"/>
    <s v="OUTLET 1"/>
    <x v="1"/>
    <n v="42301.130000000005"/>
    <n v="4873.1400000000049"/>
    <n v="56004.91"/>
    <n v="8173.3600000000042"/>
    <n v="68528.616000000024"/>
    <n v="12338"/>
    <n v="93786.099999999991"/>
    <n v="14674.24139753764"/>
    <n v="93786.099999999977"/>
    <n v="14891.290000000008"/>
    <n v="93786.100000000151"/>
    <n v="14891.290000000037"/>
    <n v="98475.405000000173"/>
    <n v="19544.803070355461"/>
    <n v="74914.224137931"/>
    <n v="15596.978473329611"/>
    <n v="8.6612343452763651E-3"/>
    <n v="2.6053133675767261E-2"/>
    <n v="5.4340622012298431E-2"/>
    <n v="5.4340622012298542E-2"/>
    <n v="5.4340622012298542E-2"/>
    <n v="0.09"/>
    <n v="0.11839210744855697"/>
    <n v="366.38000000000045"/>
    <n v="1459.1034067293147"/>
    <n v="5096.3950101076207"/>
    <n v="5096.3950101076316"/>
    <n v="5096.3950101076407"/>
    <n v="8862.786450000016"/>
    <n v="8869.2528735632059"/>
  </r>
  <r>
    <x v="1"/>
    <s v="OUTLET MONTENEGRO"/>
    <n v="213"/>
    <x v="0"/>
    <x v="0"/>
    <x v="0"/>
    <s v="LA PAZ"/>
    <s v="OUTLET 1"/>
    <x v="2"/>
    <n v="53900.36"/>
    <n v="8585.0500000000065"/>
    <n v="73968.37"/>
    <n v="11232.029999999988"/>
    <n v="68891.844370000021"/>
    <n v="14930"/>
    <n v="90810.52999999997"/>
    <n v="15904.656276662303"/>
    <n v="90810.529999999882"/>
    <n v="16116.839999999909"/>
    <n v="90810.53"/>
    <n v="16116.839999999929"/>
    <n v="61297.107749999996"/>
    <n v="13254.952088757638"/>
    <n v="69140.486660794457"/>
    <n v="17215.981178537819"/>
    <n v="1.57796719725063E-2"/>
    <n v="2.8644741247276645E-2"/>
    <n v="6.9131172363205304E-2"/>
    <n v="6.9131172363205332E-2"/>
    <n v="6.9131172363205332E-2"/>
    <n v="0.14000000000000001"/>
    <n v="0.16081169069232018"/>
    <n v="850.52999999999963"/>
    <n v="2118.8048191328203"/>
    <n v="6277.8384018240176"/>
    <n v="6277.8384018240267"/>
    <n v="6277.8384018240286"/>
    <n v="8581.5950850000008"/>
    <n v="11118.598555212167"/>
  </r>
  <r>
    <x v="1"/>
    <s v="OUTLET MONTENEGRO"/>
    <n v="213"/>
    <x v="0"/>
    <x v="0"/>
    <x v="0"/>
    <s v="LA PAZ"/>
    <s v="OUTLET 1"/>
    <x v="3"/>
    <n v="57750.180000000015"/>
    <n v="5775.6900000000178"/>
    <n v="60452.38"/>
    <n v="15139.239999999996"/>
    <n v="68254.255789999967"/>
    <n v="13975"/>
    <n v="92018.650000000023"/>
    <n v="21453.435156900028"/>
    <n v="92018.650000000023"/>
    <n v="21509.440000000031"/>
    <n v="92018.650000000052"/>
    <n v="21509.440000000039"/>
    <n v="124225.17750000006"/>
    <n v="27745.434300440102"/>
    <n v="0"/>
    <n v="0"/>
    <n v="1.8085657914832458E-2"/>
    <n v="4.5683266995403288E-2"/>
    <n v="9.5944425173891568E-2"/>
    <n v="9.594442517389129E-2"/>
    <n v="9.594442517389129E-2"/>
    <n v="0.16"/>
    <n v="0"/>
    <n v="1044.4499999999994"/>
    <n v="2761.6622160475777"/>
    <n v="8828.6764795275194"/>
    <n v="8828.6764795274939"/>
    <n v="8828.6764795274976"/>
    <n v="19876.02840000001"/>
    <n v="0"/>
  </r>
  <r>
    <x v="1"/>
    <s v="OUTLET MONTENEGRO"/>
    <n v="213"/>
    <x v="0"/>
    <x v="0"/>
    <x v="0"/>
    <s v="LA PAZ"/>
    <s v="OUTLET 1"/>
    <x v="4"/>
    <n v="45037.74"/>
    <n v="9636.7400000000052"/>
    <n v="63665.86"/>
    <n v="17477.659999999993"/>
    <n v="66535.79724"/>
    <n v="13499"/>
    <n v="78298.48000000004"/>
    <n v="20342.189999999984"/>
    <n v="78298.480000000069"/>
    <n v="20342.190000000002"/>
    <n v="78298.480000000069"/>
    <n v="20342.190000000002"/>
    <n v="105702.94800000009"/>
    <n v="24359.747504751354"/>
    <n v="0"/>
    <n v="0"/>
    <n v="1.760967579634326E-2"/>
    <n v="4.6227501630319509E-2"/>
    <n v="0.10199023020625696"/>
    <n v="0.1019902302062569"/>
    <n v="0.1019902302062569"/>
    <n v="0.18"/>
    <n v="0"/>
    <n v="793.1000000000007"/>
    <n v="2943.1136469456937"/>
    <n v="7985.680000000013"/>
    <n v="7985.6800000000057"/>
    <n v="7985.6800000000085"/>
    <n v="19026.530640000015"/>
    <n v="0"/>
  </r>
  <r>
    <x v="1"/>
    <s v="OUTLET MONTENEGRO"/>
    <n v="213"/>
    <x v="0"/>
    <x v="0"/>
    <x v="0"/>
    <s v="LA PAZ"/>
    <s v="OUTLET 1"/>
    <x v="5"/>
    <n v="33509.980000000003"/>
    <n v="7372.8700000000044"/>
    <n v="56766.17"/>
    <n v="16938.949999999997"/>
    <n v="64755.04354999998"/>
    <n v="13148"/>
    <n v="74890.9399999999"/>
    <n v="20154.070654880397"/>
    <n v="74890.939999999988"/>
    <n v="20189.739999999991"/>
    <n v="74890.939999999988"/>
    <n v="20189.739999999991"/>
    <n v="101102.76899999997"/>
    <n v="23299.614357692277"/>
    <n v="0"/>
    <n v="0"/>
    <n v="2.9241139505305644E-2"/>
    <n v="8.2665997321346663E-2"/>
    <n v="0.1302985235749331"/>
    <n v="0.1302985235749331"/>
    <n v="0.1302985235749331"/>
    <n v="0.18000000000000002"/>
    <n v="0"/>
    <n v="979.87000000000216"/>
    <n v="4692.6320571631095"/>
    <n v="9758.1789111388989"/>
    <n v="9758.178911138888"/>
    <n v="9758.1789111388989"/>
    <n v="18198.498419999996"/>
    <n v="0"/>
  </r>
  <r>
    <x v="1"/>
    <s v="OUTLET MONTENEGRO"/>
    <n v="213"/>
    <x v="0"/>
    <x v="0"/>
    <x v="0"/>
    <s v="LA PAZ"/>
    <s v="OUTLET 1"/>
    <x v="6"/>
    <n v="35767.79"/>
    <n v="9088.3500000000022"/>
    <n v="68322.099999999991"/>
    <n v="18376.979999999981"/>
    <n v="64363.792749999993"/>
    <n v="14229"/>
    <n v="73325.529999999955"/>
    <n v="21085.590000000244"/>
    <n v="73325.530000000086"/>
    <n v="21085.590000000098"/>
    <n v="73325.529999999984"/>
    <n v="21085.590000000069"/>
    <n v="98989.465499999991"/>
    <n v="23164.344930973326"/>
    <n v="0"/>
    <n v="0"/>
    <n v="4.70395291406039E-2"/>
    <n v="6.149974859860266E-2"/>
    <n v="0.16890638226549443"/>
    <n v="0.1689063822654944"/>
    <n v="0.1689063822654944"/>
    <n v="0.19"/>
    <n v="0"/>
    <n v="1682.5000000000009"/>
    <n v="4201.7919737285902"/>
    <n v="12385.149999999994"/>
    <n v="12385.149999999971"/>
    <n v="12385.149999999974"/>
    <n v="18807.998444999997"/>
    <n v="0"/>
  </r>
  <r>
    <x v="1"/>
    <s v="OUTLET MONTENEGRO"/>
    <n v="213"/>
    <x v="0"/>
    <x v="0"/>
    <x v="0"/>
    <s v="LA PAZ"/>
    <s v="OUTLET 1"/>
    <x v="7"/>
    <n v="73374.499999999985"/>
    <n v="6883.8100000000013"/>
    <n v="93273.039999999979"/>
    <n v="7909.7799999999825"/>
    <n v="102130.41679999999"/>
    <n v="18263"/>
    <n v="121212.48352747301"/>
    <n v="19206.118014928099"/>
    <n v="143733.60000000003"/>
    <n v="7582.6599999999744"/>
    <n v="143733.59999999977"/>
    <n v="22774.588919999966"/>
    <n v="194040.35999999969"/>
    <n v="38511.957619274253"/>
    <n v="0"/>
    <n v="0"/>
    <n v="1.6060756802431433E-2"/>
    <n v="1.4865221351233174E-2"/>
    <n v="5.2849716419821058E-2"/>
    <n v="7.0000000000000007E-2"/>
    <n v="7.0000000000000007E-2"/>
    <n v="8.9999999999999983E-2"/>
    <n v="0"/>
    <n v="1178.4500000000048"/>
    <n v="1386.5243857024257"/>
    <n v="7596.2799999999943"/>
    <n v="8484.8738469231121"/>
    <n v="10061.351999999984"/>
    <n v="17463.632399999969"/>
    <n v="0"/>
  </r>
  <r>
    <x v="1"/>
    <s v="OUTLET MONTENEGRO"/>
    <n v="213"/>
    <x v="0"/>
    <x v="0"/>
    <x v="0"/>
    <s v="LA PAZ"/>
    <s v="OUTLET 1"/>
    <x v="8"/>
    <n v="33259.270000000004"/>
    <n v="6446.7900000000009"/>
    <n v="65615.960000000006"/>
    <n v="10972.980000000003"/>
    <n v="61612.730879999996"/>
    <n v="13992"/>
    <n v="65962.589680128003"/>
    <n v="12598.854628904448"/>
    <n v="68561.920000000042"/>
    <n v="17132.550000000032"/>
    <n v="68561.920000000042"/>
    <n v="17132.550000000032"/>
    <n v="92558.592000000062"/>
    <n v="20014.96885247195"/>
    <n v="0"/>
    <n v="0"/>
    <n v="2.5012274773318934E-2"/>
    <n v="3.5573908154758298E-2"/>
    <n v="9.7173037161153011E-2"/>
    <n v="0.1"/>
    <n v="0.1"/>
    <n v="0.13999999999999999"/>
    <n v="0"/>
    <n v="831.89000000000328"/>
    <n v="2334.2161345262944"/>
    <n v="6662.3700000000035"/>
    <n v="6596.2589680128003"/>
    <n v="6856.1920000000046"/>
    <n v="12958.202880000008"/>
    <n v="0"/>
  </r>
  <r>
    <x v="1"/>
    <s v="OUTLET MONTENEGRO"/>
    <n v="213"/>
    <x v="0"/>
    <x v="0"/>
    <x v="0"/>
    <s v="LA PAZ"/>
    <s v="OUTLET 1"/>
    <x v="9"/>
    <n v="32305.679999999993"/>
    <n v="4604.6299999999965"/>
    <n v="71381.119999999995"/>
    <n v="16105.279999999988"/>
    <n v="69739.854019999999"/>
    <n v="14678"/>
    <n v="74663.487713812006"/>
    <n v="15709.197814986046"/>
    <n v="67374.310000000143"/>
    <n v="16052.970000000161"/>
    <n v="74663.487713812006"/>
    <n v="15709.197814986046"/>
    <n v="77623.636499999993"/>
    <n v="17337.077314073413"/>
    <n v="0"/>
    <n v="0"/>
    <n v="9.0535162856810354E-3"/>
    <n v="4.6285143724771355E-2"/>
    <n v="0.19557187301806875"/>
    <n v="0.08"/>
    <n v="0.08"/>
    <n v="0.16"/>
    <n v="0"/>
    <n v="292.48000000000008"/>
    <n v="3303.8853984351508"/>
    <n v="13176.520000000028"/>
    <n v="5973.0790171049603"/>
    <n v="5973.0790171049603"/>
    <n v="12419.78184"/>
    <n v="0"/>
  </r>
  <r>
    <x v="1"/>
    <s v="OUTLET MONTENEGRO"/>
    <n v="213"/>
    <x v="0"/>
    <x v="0"/>
    <x v="0"/>
    <s v="LA PAZ"/>
    <s v="OUTLET 1"/>
    <x v="10"/>
    <n v="41311.56"/>
    <n v="5559.3300000000008"/>
    <n v="93044.76999999996"/>
    <n v="14725.459999999954"/>
    <n v="98365.494399999996"/>
    <n v="18641"/>
    <n v="104316.60681119999"/>
    <n v="19767.996990722397"/>
    <n v="52636.637931034493"/>
    <n v="19604.754424852097"/>
    <n v="104316.60681119999"/>
    <n v="19767.996990722397"/>
    <n v="140827.41919511999"/>
    <n v="31953.929718791744"/>
    <n v="0"/>
    <n v="0"/>
    <n v="9.4249648282466545E-3"/>
    <n v="2.8982216139926197E-2"/>
    <n v="0.19557187301806875"/>
    <n v="0.05"/>
    <n v="0.05"/>
    <n v="0.17000000000000007"/>
    <n v="0"/>
    <n v="389.36000000000132"/>
    <n v="2696.6436348297198"/>
    <n v="10294.245869546339"/>
    <n v="5215.83034056"/>
    <n v="5215.83034056"/>
    <n v="23940.661263170408"/>
    <n v="0"/>
  </r>
  <r>
    <x v="1"/>
    <s v="OUTLET MONTENEGRO"/>
    <n v="213"/>
    <x v="0"/>
    <x v="0"/>
    <x v="0"/>
    <s v="LA PAZ"/>
    <s v="OUTLET 1"/>
    <x v="11"/>
    <n v="98130.61"/>
    <n v="16413.510000000009"/>
    <n v="142629.68"/>
    <n v="36653.099999999977"/>
    <n v="147524.34440000023"/>
    <n v="33917"/>
    <n v="156449.56723620027"/>
    <n v="29647.192991259955"/>
    <n v="134526.00574712644"/>
    <n v="45554.743833742607"/>
    <n v="156449.56723620027"/>
    <n v="29647.192991259955"/>
    <n v="211206.91576887039"/>
    <n v="47923.13159733823"/>
    <n v="0"/>
    <n v="0"/>
    <n v="2.6632158915551443E-2"/>
    <n v="0.10592314271232882"/>
    <n v="0.19557187301806875"/>
    <n v="5.000000000000001E-2"/>
    <n v="5.000000000000001E-2"/>
    <n v="0.17"/>
    <n v="0"/>
    <n v="2613.4300000000017"/>
    <n v="15107.783949653791"/>
    <n v="26309.502913605"/>
    <n v="7822.4783618100146"/>
    <n v="7822.4783618100146"/>
    <n v="35905.175680707966"/>
    <n v="0"/>
  </r>
  <r>
    <x v="1"/>
    <s v="OUTLET TARIJA"/>
    <n v="102"/>
    <x v="0"/>
    <x v="2"/>
    <x v="0"/>
    <s v="ZONA SUR"/>
    <s v="OUTLET 1"/>
    <x v="0"/>
    <n v="55894.340000000004"/>
    <n v="9629.3299999999945"/>
    <n v="73091.400000000023"/>
    <n v="11550.270000000019"/>
    <n v="81996.346999999994"/>
    <n v="16673"/>
    <n v="71059.880000000048"/>
    <n v="16169.809251399318"/>
    <n v="71059.879999999961"/>
    <n v="16244.699999999917"/>
    <n v="82816.310469999997"/>
    <n v="18932.288074395889"/>
    <n v="85300.799784100018"/>
    <n v="17135.975232997233"/>
    <n v="65251.436781609307"/>
    <n v="21024.260394606004"/>
    <n v="2.2279357802596895E-2"/>
    <n v="2.3472589600553449E-2"/>
    <n v="6.0543151198937169E-2"/>
    <n v="6.0543151198937162E-2"/>
    <n v="6.0543151198937162E-2"/>
    <n v="0.12000000000000001"/>
    <n v="0.13084883848948561"/>
    <n v="1245.2900000000038"/>
    <n v="1715.6444355298929"/>
    <n v="4302.1890590183293"/>
    <n v="4302.1890590183339"/>
    <n v="5013.9604065233325"/>
    <n v="10236.095974092003"/>
    <n v="8538.0747126436763"/>
  </r>
  <r>
    <x v="1"/>
    <s v="OUTLET TARIJA"/>
    <n v="102"/>
    <x v="0"/>
    <x v="2"/>
    <x v="0"/>
    <s v="ZONA SUR"/>
    <s v="OUTLET 1"/>
    <x v="1"/>
    <n v="73161.109999999986"/>
    <n v="-1593.8499999999976"/>
    <n v="66182.200000000012"/>
    <n v="8946.4900000000089"/>
    <n v="86962.971500000072"/>
    <n v="14713"/>
    <n v="89248.279999999984"/>
    <n v="12796.280194368044"/>
    <n v="89248.279999999941"/>
    <n v="13037.699999999997"/>
    <n v="91033.245600000067"/>
    <n v="13298.454000000016"/>
    <n v="91033.245600000067"/>
    <n v="17286.304383404706"/>
    <n v="67483.778735632412"/>
    <n v="11598.851082086665"/>
    <n v="1.4948515679983534E-2"/>
    <n v="1.802832805283525E-2"/>
    <n v="4.9892108005582483E-2"/>
    <n v="4.9892108005582587E-2"/>
    <n v="4.9892108005582587E-2"/>
    <n v="0.09"/>
    <n v="9.3472867362122361E-2"/>
    <n v="1093.6499999999999"/>
    <n v="1193.1544128583532"/>
    <n v="4452.7848250724637"/>
    <n v="4452.7848250724755"/>
    <n v="4541.8405215739294"/>
    <n v="8192.9921040000063"/>
    <n v="6307.9022988505822"/>
  </r>
  <r>
    <x v="1"/>
    <s v="OUTLET TARIJA"/>
    <n v="102"/>
    <x v="0"/>
    <x v="2"/>
    <x v="0"/>
    <s v="ZONA SUR"/>
    <s v="OUTLET 1"/>
    <x v="2"/>
    <n v="49383.76"/>
    <n v="4180.7000000000053"/>
    <n v="88293.419999999984"/>
    <n v="9995.7899999999936"/>
    <n v="82824.34090000001"/>
    <n v="17078"/>
    <n v="86502.499999999956"/>
    <n v="14422.966867593534"/>
    <n v="86502.499999999956"/>
    <n v="14503.539999999935"/>
    <n v="89962.599999999846"/>
    <n v="15083.681599999916"/>
    <n v="93561.103999999847"/>
    <n v="19481.416743421054"/>
    <n v="76518.633156132448"/>
    <n v="18670.546490096316"/>
    <n v="1.4517323103789599E-2"/>
    <n v="1.2900853514397261E-2"/>
    <n v="6.2042865538540971E-2"/>
    <n v="6.2042865538540957E-2"/>
    <n v="6.2042865538540957E-2"/>
    <n v="0.14000000000000004"/>
    <n v="0.1286474096712181"/>
    <n v="716.92000000000064"/>
    <n v="1139.0604777051533"/>
    <n v="5366.8629762476376"/>
    <n v="5366.8629762476367"/>
    <n v="5581.5374952975353"/>
    <n v="13098.554559999982"/>
    <n v="9843.9239471186229"/>
  </r>
  <r>
    <x v="1"/>
    <s v="OUTLET TARIJA"/>
    <n v="102"/>
    <x v="0"/>
    <x v="2"/>
    <x v="0"/>
    <s v="ZONA SUR"/>
    <s v="OUTLET 1"/>
    <x v="3"/>
    <n v="55907.330000000009"/>
    <n v="2007.6900000000187"/>
    <n v="73019.470000000016"/>
    <n v="14864.800000000021"/>
    <n v="79249.784379999997"/>
    <n v="16665"/>
    <n v="82324.619999999879"/>
    <n v="18478.301710410233"/>
    <n v="82324.619999999879"/>
    <n v="18452.66999999994"/>
    <n v="85617.604799999783"/>
    <n v="19190.77679999992"/>
    <n v="88186.132943999764"/>
    <n v="19008.859984504477"/>
    <n v="0"/>
    <n v="0"/>
    <n v="1.6138134301888509E-2"/>
    <n v="2.4284710885388958E-2"/>
    <n v="8.2597407138885567E-2"/>
    <n v="8.2597407138885817E-2"/>
    <n v="8.2597407138885817E-2"/>
    <n v="0.16000000000000003"/>
    <n v="0"/>
    <n v="902.24000000000069"/>
    <n v="1773.2567179543328"/>
    <n v="6799.8001556940317"/>
    <n v="6799.8001556940517"/>
    <n v="7071.7921619218068"/>
    <n v="14109.781271039965"/>
    <n v="0"/>
  </r>
  <r>
    <x v="1"/>
    <s v="OUTLET TARIJA"/>
    <n v="102"/>
    <x v="0"/>
    <x v="2"/>
    <x v="0"/>
    <s v="ZONA SUR"/>
    <s v="OUTLET 1"/>
    <x v="4"/>
    <n v="39288.410000000003"/>
    <n v="5657.48"/>
    <n v="74036.83"/>
    <n v="17669.910000000011"/>
    <n v="76942.468819999936"/>
    <n v="16279"/>
    <n v="82777.419999999955"/>
    <n v="19365.88294041247"/>
    <n v="82777.419999999955"/>
    <n v="19310.849999999919"/>
    <n v="86088.516799999954"/>
    <n v="20083.283999999916"/>
    <n v="89532.057471999957"/>
    <n v="19955.475031957114"/>
    <n v="0"/>
    <n v="0"/>
    <n v="1.3493292296634032E-2"/>
    <n v="2.7171730206224667E-2"/>
    <n v="8.5688272894652376E-2"/>
    <n v="8.5688272894652279E-2"/>
    <n v="8.5688272894652279E-2"/>
    <n v="0.18000000000000002"/>
    <n v="0"/>
    <n v="530.12999999999954"/>
    <n v="2011.7087700841207"/>
    <n v="7093.0541544752514"/>
    <n v="7093.0541544752432"/>
    <n v="7376.7763206542531"/>
    <n v="16115.770344959994"/>
    <n v="0"/>
  </r>
  <r>
    <x v="1"/>
    <s v="OUTLET TARIJA"/>
    <n v="102"/>
    <x v="0"/>
    <x v="2"/>
    <x v="0"/>
    <s v="ZONA SUR"/>
    <s v="OUTLET 1"/>
    <x v="5"/>
    <n v="40008.849999999991"/>
    <n v="6466.0499999999984"/>
    <n v="65689.460000000021"/>
    <n v="15720.420000000015"/>
    <n v="49175.247599999981"/>
    <n v="10323"/>
    <n v="73770.740000000034"/>
    <n v="18170.510093004203"/>
    <n v="73770.740000000034"/>
    <n v="18166.380000000019"/>
    <n v="76721.569599999988"/>
    <n v="18893.035200000009"/>
    <n v="80174.040231999985"/>
    <n v="17869.700565757164"/>
    <n v="0"/>
    <n v="0"/>
    <n v="1.2963631796465074E-2"/>
    <n v="4.0022022571462264E-2"/>
    <n v="0.12086245644084022"/>
    <n v="0.12086245644084022"/>
    <n v="0.12086245644084022"/>
    <n v="0.18"/>
    <n v="0"/>
    <n v="518.66000000000156"/>
    <n v="2629.0250508271683"/>
    <n v="8916.1128498585531"/>
    <n v="8916.1128498585531"/>
    <n v="9272.7573638528902"/>
    <n v="14431.327241759996"/>
    <n v="0"/>
  </r>
  <r>
    <x v="1"/>
    <s v="OUTLET TARIJA"/>
    <n v="102"/>
    <x v="0"/>
    <x v="2"/>
    <x v="0"/>
    <s v="ZONA SUR"/>
    <s v="OUTLET 1"/>
    <x v="6"/>
    <n v="39689.58"/>
    <n v="7625.9600000000028"/>
    <n v="80226.87000000001"/>
    <n v="18596.900000000009"/>
    <n v="79097.133999999991"/>
    <n v="18500"/>
    <n v="72456.700000000041"/>
    <n v="20557.550000000087"/>
    <n v="72456.700000000055"/>
    <n v="20557.550000000047"/>
    <n v="75354.968000000124"/>
    <n v="21379.852000000068"/>
    <n v="78745.941560000123"/>
    <n v="17840.100041666494"/>
    <n v="0"/>
    <n v="0"/>
    <n v="2.8641774490936911E-2"/>
    <n v="4.4457750317532962E-2"/>
    <n v="0.15775821973675314"/>
    <n v="0.15775821973675314"/>
    <n v="0.15775821973675314"/>
    <n v="0.18999999999999997"/>
    <n v="0"/>
    <n v="1136.7799999999997"/>
    <n v="3566.7061552171763"/>
    <n v="11430.64000000001"/>
    <n v="11430.640000000007"/>
    <n v="11887.865600000021"/>
    <n v="14961.728896400022"/>
    <n v="0"/>
  </r>
  <r>
    <x v="1"/>
    <s v="OUTLET TARIJA"/>
    <n v="102"/>
    <x v="0"/>
    <x v="2"/>
    <x v="0"/>
    <s v="ZONA SUR"/>
    <s v="OUTLET 1"/>
    <x v="7"/>
    <n v="143088.74000000005"/>
    <n v="1937.1200000000208"/>
    <n v="133482.73000000001"/>
    <n v="15607.929999999998"/>
    <n v="142200.56426000007"/>
    <n v="26187"/>
    <n v="130418.49493462288"/>
    <n v="20482.224629482524"/>
    <n v="133231.56000000011"/>
    <n v="7427.1300000001938"/>
    <n v="138560.82240000021"/>
    <n v="21760.977157920031"/>
    <n v="142717.64707200023"/>
    <n v="27100.656160389837"/>
    <n v="0"/>
    <n v="0"/>
    <n v="1.0099466946176215E-2"/>
    <n v="7.8658736920735935E-3"/>
    <n v="5.8966959480171117E-2"/>
    <n v="7.0000000000000007E-2"/>
    <n v="7.0000000000000007E-2"/>
    <n v="9.0000000000000011E-2"/>
    <n v="0"/>
    <n v="1445.1200000000028"/>
    <n v="1049.9582942531626"/>
    <n v="7856.2599999999939"/>
    <n v="9129.2946454236026"/>
    <n v="9699.2575680000155"/>
    <n v="12844.588236480022"/>
    <n v="0"/>
  </r>
  <r>
    <x v="1"/>
    <s v="OUTLET TARIJA"/>
    <n v="102"/>
    <x v="0"/>
    <x v="2"/>
    <x v="0"/>
    <s v="ZONA SUR"/>
    <s v="OUTLET 1"/>
    <x v="8"/>
    <n v="54633.78"/>
    <n v="7787.3699999999944"/>
    <n v="90480.09"/>
    <n v="12924.030000000015"/>
    <n v="74950.140794999985"/>
    <n v="16671"/>
    <n v="76456.638624979474"/>
    <n v="14603.217977371078"/>
    <n v="65086.699999999917"/>
    <n v="13473.539999999884"/>
    <n v="77985.771397479068"/>
    <n v="16143.765321560049"/>
    <n v="81105.202253378244"/>
    <n v="16887.832417598627"/>
    <n v="0"/>
    <n v="0"/>
    <n v="1.772676172141122E-2"/>
    <n v="1.5156970117695191E-2"/>
    <n v="7.9712445092468831E-2"/>
    <n v="9.9999999999999992E-2"/>
    <n v="9.9999999999999992E-2"/>
    <n v="0.14000000000000004"/>
    <n v="0"/>
    <n v="968.48000000000184"/>
    <n v="1371.4040203763714"/>
    <n v="5188.2199999999848"/>
    <n v="7645.6638624979469"/>
    <n v="7798.5771397479057"/>
    <n v="11354.728315472958"/>
    <n v="0"/>
  </r>
  <r>
    <x v="1"/>
    <s v="OUTLET TARIJA"/>
    <n v="102"/>
    <x v="0"/>
    <x v="2"/>
    <x v="0"/>
    <s v="ZONA SUR"/>
    <s v="OUTLET 1"/>
    <x v="9"/>
    <n v="48905.44000000001"/>
    <n v="2740.6400000000076"/>
    <n v="87231.62"/>
    <n v="14862.919999999993"/>
    <n v="84748.237744999948"/>
    <n v="17899"/>
    <n v="86451.677323674448"/>
    <n v="18189.432908901104"/>
    <n v="60508.140000000014"/>
    <n v="13668.85000000002"/>
    <n v="88180.710870147945"/>
    <n v="18553.221567079127"/>
    <n v="92148.842859304597"/>
    <n v="19863.037341244581"/>
    <n v="0"/>
    <n v="0"/>
    <n v="5.2294795834573913E-3"/>
    <n v="1.7653480933765994E-2"/>
    <n v="0.21568288167509364"/>
    <n v="0.08"/>
    <n v="0.08"/>
    <n v="0.16000000000000003"/>
    <n v="0"/>
    <n v="255.75000000000048"/>
    <n v="1539.9417404915202"/>
    <n v="13050.570000000003"/>
    <n v="6916.1341858939559"/>
    <n v="7054.4568696118358"/>
    <n v="14743.814857488738"/>
    <n v="0"/>
  </r>
  <r>
    <x v="1"/>
    <s v="OUTLET TARIJA"/>
    <n v="102"/>
    <x v="0"/>
    <x v="2"/>
    <x v="0"/>
    <s v="ZONA SUR"/>
    <s v="OUTLET 1"/>
    <x v="10"/>
    <n v="36800.94"/>
    <n v="3615.3499999999976"/>
    <n v="78034.219999999987"/>
    <n v="12525.020000000006"/>
    <n v="96624.935899999997"/>
    <n v="18845"/>
    <n v="97591.185258999991"/>
    <n v="19420.645866540999"/>
    <n v="37902.442528735628"/>
    <n v="10561.277232804276"/>
    <n v="99543.008964179986"/>
    <n v="19809.058783871817"/>
    <n v="104022.44436756807"/>
    <n v="22803.811259730403"/>
    <n v="0"/>
    <n v="0"/>
    <n v="7.9261562340527478E-3"/>
    <n v="1.0977163767488828E-2"/>
    <n v="0.21568288167509364"/>
    <n v="0.05"/>
    <n v="0.05"/>
    <n v="0.17000000000000004"/>
    <n v="0"/>
    <n v="291.69000000000113"/>
    <n v="856.59441240825186"/>
    <n v="8174.9080271223238"/>
    <n v="4879.5592629499997"/>
    <n v="4977.1504482089995"/>
    <n v="17683.815542486576"/>
    <n v="0"/>
  </r>
  <r>
    <x v="1"/>
    <s v="OUTLET TARIJA"/>
    <n v="102"/>
    <x v="0"/>
    <x v="2"/>
    <x v="0"/>
    <s v="ZONA SUR"/>
    <s v="OUTLET 1"/>
    <x v="11"/>
    <n v="105364.14"/>
    <n v="13810.219999999998"/>
    <n v="179066.02999999997"/>
    <n v="41632.940000000017"/>
    <n v="179486.95520000026"/>
    <n v="42177"/>
    <n v="181281.82475200025"/>
    <n v="37797.260460792051"/>
    <n v="102726.00574712643"/>
    <n v="31331.005160452369"/>
    <n v="184907.46124704025"/>
    <n v="38553.20567000789"/>
    <n v="193228.29700315706"/>
    <n v="42359.527712395546"/>
    <n v="0"/>
    <n v="0"/>
    <n v="1.0910068643847868E-2"/>
    <n v="6.337860124944901E-2"/>
    <n v="0.21568288167509364"/>
    <n v="0.05"/>
    <n v="0.05"/>
    <n v="0.17"/>
    <n v="0"/>
    <n v="1149.5299999999968"/>
    <n v="11348.954512691871"/>
    <n v="22156.240942512461"/>
    <n v="9064.0912376000124"/>
    <n v="9245.3730623520132"/>
    <n v="32848.8104905367"/>
    <n v="0"/>
  </r>
  <r>
    <x v="1"/>
    <s v="PADILLA"/>
    <n v="306"/>
    <x v="0"/>
    <x v="2"/>
    <x v="0"/>
    <s v="COCHABAMBA"/>
    <s v="OUTLET 1"/>
    <x v="0"/>
    <n v="50574.06"/>
    <n v="11974.470000000003"/>
    <n v="55391.23000000001"/>
    <n v="12642.980000000005"/>
    <n v="69738.141499999983"/>
    <n v="16480"/>
    <n v="60167.090000000026"/>
    <n v="14753.046365126409"/>
    <n v="60167.089999999982"/>
    <n v="14959.639999999963"/>
    <n v="71132.90432999999"/>
    <n v="17686.124439976051"/>
    <n v="74689.549546499969"/>
    <n v="15841.162758824215"/>
    <n v="60369.54022988509"/>
    <n v="21644.470695487224"/>
    <n v="3.1736427725992444E-2"/>
    <n v="3.5660204856150381E-2"/>
    <n v="7.6929212800314103E-2"/>
    <n v="7.6929212800314284E-2"/>
    <n v="7.6929212800314284E-2"/>
    <n v="0.12"/>
    <n v="0.20494940167360029"/>
    <n v="1605.0400000000054"/>
    <n v="1975.262609034143"/>
    <n v="4628.6068701856493"/>
    <n v="4628.6068701856639"/>
    <n v="5472.1983343069669"/>
    <n v="8962.7459455799963"/>
    <n v="12372.701149425291"/>
  </r>
  <r>
    <x v="1"/>
    <s v="PADILLA"/>
    <n v="306"/>
    <x v="0"/>
    <x v="2"/>
    <x v="0"/>
    <s v="COCHABAMBA"/>
    <s v="OUTLET 1"/>
    <x v="1"/>
    <n v="64341.790000000008"/>
    <n v="6313.8400000000056"/>
    <n v="62385.67"/>
    <n v="11174.000000000009"/>
    <n v="80718.311099999948"/>
    <n v="14632"/>
    <n v="91587.349999999962"/>
    <n v="14641.519723573496"/>
    <n v="91587.349999999933"/>
    <n v="15161.059999999969"/>
    <n v="98914.338000000091"/>
    <n v="16373.944799999992"/>
    <n v="100892.62476000009"/>
    <n v="20307.690974233192"/>
    <n v="78261.364942529064"/>
    <n v="14417.132913466885"/>
    <n v="1.38005175174642E-2"/>
    <n v="2.9738487722480958E-2"/>
    <n v="5.2424608843008522E-2"/>
    <n v="5.2424608843008653E-2"/>
    <n v="5.2424608843008653E-2"/>
    <n v="9.0000000000000024E-2"/>
    <n v="0.12581258166205864"/>
    <n v="887.950000000003"/>
    <n v="1855.2554813537486"/>
    <n v="4801.430998717713"/>
    <n v="4801.4309987177267"/>
    <n v="5185.5454786151513"/>
    <n v="9080.3362284000104"/>
    <n v="9846.2643678161112"/>
  </r>
  <r>
    <x v="1"/>
    <s v="PADILLA"/>
    <n v="306"/>
    <x v="0"/>
    <x v="2"/>
    <x v="0"/>
    <s v="COCHABAMBA"/>
    <s v="OUTLET 1"/>
    <x v="2"/>
    <n v="48323.28"/>
    <n v="8813.3799999999974"/>
    <n v="89902.73"/>
    <n v="17485.489999999987"/>
    <n v="73187.658849999993"/>
    <n v="15576"/>
    <n v="83176.170000000013"/>
    <n v="16730.208478124641"/>
    <n v="83176.169999999984"/>
    <n v="16918.179999999935"/>
    <n v="89830.263600000151"/>
    <n v="18271.634399999963"/>
    <n v="92525.171508000145"/>
    <n v="20290.976306941822"/>
    <n v="86889.215936289242"/>
    <n v="23546.977518734388"/>
    <n v="2.2834542688327474E-2"/>
    <n v="1.6337254680529743E-2"/>
    <n v="9.83047113171715E-2"/>
    <n v="9.8304711317171431E-2"/>
    <n v="9.8304711317171431E-2"/>
    <n v="0.14000000000000007"/>
    <n v="0.18241038249049737"/>
    <n v="1103.4400000000012"/>
    <n v="1468.7637964849016"/>
    <n v="8176.6093803179792"/>
    <n v="8176.6093803179765"/>
    <n v="8830.738130743428"/>
    <n v="12953.524011120027"/>
    <n v="15849.495113237941"/>
  </r>
  <r>
    <x v="1"/>
    <s v="PADILLA"/>
    <n v="306"/>
    <x v="0"/>
    <x v="2"/>
    <x v="0"/>
    <s v="COCHABAMBA"/>
    <s v="OUTLET 1"/>
    <x v="3"/>
    <n v="68882.89"/>
    <n v="6899.4400000000005"/>
    <n v="60920.80999999999"/>
    <n v="14740.839999999998"/>
    <n v="69036.887349999946"/>
    <n v="16797"/>
    <n v="90055.420000000071"/>
    <n v="23622.521368361795"/>
    <n v="90055.420000000056"/>
    <n v="23348.679999999978"/>
    <n v="97259.853599999973"/>
    <n v="25216.57439999995"/>
    <n v="102122.84627999998"/>
    <n v="23131.950783277018"/>
    <n v="0"/>
    <n v="0"/>
    <n v="1.933861950333389E-2"/>
    <n v="2.0588040841082032E-2"/>
    <n v="0.11372704677328063"/>
    <n v="0.11372704677328044"/>
    <n v="0.11372704677328044"/>
    <n v="0.15999999999999998"/>
    <n v="0"/>
    <n v="1332.1000000000029"/>
    <n v="1254.2401243517984"/>
    <n v="10241.736962527439"/>
    <n v="10241.736962527422"/>
    <n v="11061.075919529605"/>
    <n v="16339.655404799994"/>
    <n v="0"/>
  </r>
  <r>
    <x v="1"/>
    <s v="PADILLA"/>
    <n v="306"/>
    <x v="0"/>
    <x v="2"/>
    <x v="0"/>
    <s v="COCHABAMBA"/>
    <s v="OUTLET 1"/>
    <x v="4"/>
    <n v="37464.120000000003"/>
    <n v="8036.4900000000007"/>
    <n v="57380.60000000002"/>
    <n v="15205.660000000011"/>
    <n v="67986.471500000029"/>
    <n v="16388"/>
    <n v="86442.900000000081"/>
    <n v="22497.28121084423"/>
    <n v="86442.900000000052"/>
    <n v="22008.340000000113"/>
    <n v="93358.332000000068"/>
    <n v="23769.007200000124"/>
    <n v="98959.83192000007"/>
    <n v="23128.874629701328"/>
    <n v="0"/>
    <n v="0"/>
    <n v="2.076653608839607E-2"/>
    <n v="2.9852459247651363E-2"/>
    <n v="9.7173075911905646E-2"/>
    <n v="9.7173075911905576E-2"/>
    <n v="9.7173075911905576E-2"/>
    <n v="0.18000000000000002"/>
    <n v="0"/>
    <n v="778.00000000000102"/>
    <n v="1712.9520231057843"/>
    <n v="8399.922483745273"/>
    <n v="8399.9224837452712"/>
    <n v="9071.9162824448904"/>
    <n v="17812.769745600013"/>
    <n v="0"/>
  </r>
  <r>
    <x v="1"/>
    <s v="PADILLA"/>
    <n v="306"/>
    <x v="0"/>
    <x v="2"/>
    <x v="0"/>
    <s v="COCHABAMBA"/>
    <s v="OUTLET 1"/>
    <x v="5"/>
    <n v="41789.540000000008"/>
    <n v="10490.980000000007"/>
    <n v="41927.279999999999"/>
    <n v="11686.459999999995"/>
    <n v="67390.890299999999"/>
    <n v="16955"/>
    <n v="78541.850000000079"/>
    <n v="20384.560404228869"/>
    <n v="78541.850000000064"/>
    <n v="20373.870000000017"/>
    <n v="84825.198000000091"/>
    <n v="22003.779600000023"/>
    <n v="90762.961860000083"/>
    <n v="21213.103591135361"/>
    <n v="0"/>
    <n v="0"/>
    <n v="2.5320929591471964E-2"/>
    <n v="5.9961932850269586E-2"/>
    <n v="0.11339503141276905"/>
    <n v="0.11339503141276906"/>
    <n v="0.11339503141276906"/>
    <n v="0.18"/>
    <n v="0"/>
    <n v="1058.1500000000015"/>
    <n v="2514.040747954451"/>
    <n v="8906.2555479670027"/>
    <n v="8906.2555479670045"/>
    <n v="9618.7559918043662"/>
    <n v="16337.333134800014"/>
    <n v="0"/>
  </r>
  <r>
    <x v="1"/>
    <s v="PADILLA"/>
    <n v="306"/>
    <x v="0"/>
    <x v="2"/>
    <x v="0"/>
    <s v="COCHABAMBA"/>
    <s v="OUTLET 1"/>
    <x v="6"/>
    <n v="42686.530000000006"/>
    <n v="10520.230000000007"/>
    <n v="75777.330000000016"/>
    <n v="19602.500000000011"/>
    <n v="69036.680299999949"/>
    <n v="20271"/>
    <n v="80962.240000000034"/>
    <n v="25348.680000000022"/>
    <n v="80962.240000000107"/>
    <n v="25348.680000000088"/>
    <n v="87439.219200000225"/>
    <n v="27376.574400000125"/>
    <n v="93559.96454400025"/>
    <n v="22204.046030861064"/>
    <n v="0"/>
    <n v="0"/>
    <n v="3.640024148132915E-2"/>
    <n v="6.0974750303972168E-2"/>
    <n v="0.20935450896615559"/>
    <n v="0.20935450896615559"/>
    <n v="0.20935450896615559"/>
    <n v="0.18999999999999997"/>
    <n v="0"/>
    <n v="1553.8000000000013"/>
    <n v="4620.5037754517007"/>
    <n v="16949.810000000063"/>
    <n v="16949.810000000049"/>
    <n v="18305.794800000091"/>
    <n v="17776.393263360045"/>
    <n v="0"/>
  </r>
  <r>
    <x v="1"/>
    <s v="PADILLA"/>
    <n v="306"/>
    <x v="0"/>
    <x v="2"/>
    <x v="0"/>
    <s v="COCHABAMBA"/>
    <s v="OUTLET 1"/>
    <x v="7"/>
    <n v="95505.98000000001"/>
    <n v="8335.3699999999953"/>
    <n v="111130.9"/>
    <n v="17404.980000000021"/>
    <n v="116304.46405999997"/>
    <n v="21139"/>
    <n v="137523.73289704189"/>
    <n v="25338.747786279964"/>
    <n v="142105.9000000002"/>
    <n v="9989.9700000001467"/>
    <n v="153474.3720000007"/>
    <n v="28277.653041000125"/>
    <n v="153474.37200000073"/>
    <n v="30891.357286565246"/>
    <n v="0"/>
    <n v="0"/>
    <n v="1.351538406286177E-2"/>
    <n v="2.028581661538786E-2"/>
    <n v="8.1460868267960354E-2"/>
    <n v="7.0000000000000007E-2"/>
    <n v="7.0000000000000007E-2"/>
    <n v="8.9999999999999983E-2"/>
    <n v="0"/>
    <n v="1290.799999999995"/>
    <n v="2254.3810577030067"/>
    <n v="11576.069999999963"/>
    <n v="9626.6613027929325"/>
    <n v="10743.20604000005"/>
    <n v="13812.693480000064"/>
    <n v="0"/>
  </r>
  <r>
    <x v="1"/>
    <s v="PADILLA"/>
    <n v="306"/>
    <x v="0"/>
    <x v="2"/>
    <x v="0"/>
    <s v="COCHABAMBA"/>
    <s v="OUTLET 1"/>
    <x v="8"/>
    <n v="41091.350000000006"/>
    <n v="7519.0200000000095"/>
    <n v="74490.69"/>
    <n v="14975.710000000003"/>
    <n v="66486.496565000009"/>
    <n v="16904"/>
    <n v="73530.740876061755"/>
    <n v="14030.598602712711"/>
    <n v="79510.450000000201"/>
    <n v="17912.510000000169"/>
    <n v="85871.286000000226"/>
    <n v="19345.510800000186"/>
    <n v="85871.286000000226"/>
    <n v="18831.764386645562"/>
    <n v="0"/>
    <n v="0"/>
    <n v="4.1084559159044569E-2"/>
    <n v="3.519160354639933E-2"/>
    <n v="0.10256676952526335"/>
    <n v="9.717307591190559E-2"/>
    <n v="9.717307591190559E-2"/>
    <n v="0.14000000000000001"/>
    <n v="0"/>
    <n v="1688.2200000000064"/>
    <n v="2621.446830377733"/>
    <n v="8155.1299999999956"/>
    <n v="7145.2082650082084"/>
    <n v="8344.376993130978"/>
    <n v="12021.980040000033"/>
    <n v="0"/>
  </r>
  <r>
    <x v="1"/>
    <s v="PADILLA"/>
    <n v="306"/>
    <x v="0"/>
    <x v="2"/>
    <x v="0"/>
    <s v="COCHABAMBA"/>
    <s v="OUTLET 1"/>
    <x v="9"/>
    <n v="46903.080000000016"/>
    <n v="4375.1900000000078"/>
    <n v="85805.900000000009"/>
    <n v="14676.070000000012"/>
    <n v="77913.631075000012"/>
    <n v="18041"/>
    <n v="86168.580287396253"/>
    <n v="19784.30603398618"/>
    <n v="82560.349999999948"/>
    <n v="19972.049999999901"/>
    <n v="89165.177999999985"/>
    <n v="20472.324868799995"/>
    <n v="89165.177999999985"/>
    <n v="20196.896034634639"/>
    <n v="0"/>
    <n v="0"/>
    <n v="1.6940252111375204E-2"/>
    <n v="4.5189972242995077E-2"/>
    <n v="0.26074574538504236"/>
    <n v="0.08"/>
    <n v="0.08"/>
    <n v="0.16"/>
    <n v="0"/>
    <n v="794.55000000000041"/>
    <n v="3877.5662392852119"/>
    <n v="21527.259999999969"/>
    <n v="6893.4864229917002"/>
    <n v="7133.2142399999993"/>
    <n v="14266.428479999999"/>
    <n v="0"/>
  </r>
  <r>
    <x v="1"/>
    <s v="PADILLA"/>
    <n v="306"/>
    <x v="0"/>
    <x v="2"/>
    <x v="0"/>
    <s v="COCHABAMBA"/>
    <s v="OUTLET 1"/>
    <x v="10"/>
    <n v="39637.919999999998"/>
    <n v="4818.7000000000016"/>
    <n v="90620.619999999981"/>
    <n v="15387.989999999989"/>
    <n v="96986.238749999975"/>
    <n v="19599"/>
    <n v="102853.90619437497"/>
    <n v="21496.466394624371"/>
    <n v="54577.011494252874"/>
    <n v="17630.036527837288"/>
    <n v="106968.06244214997"/>
    <n v="22356.325050409345"/>
    <n v="104828.70119330697"/>
    <n v="24122.701244730924"/>
    <n v="0"/>
    <n v="0"/>
    <n v="1.8793619846853772E-2"/>
    <n v="3.2929211181521957E-2"/>
    <n v="0.26074574538504236"/>
    <n v="0.05"/>
    <n v="0.05"/>
    <n v="0.17"/>
    <n v="0"/>
    <n v="744.94000000000199"/>
    <n v="2984.0655333804516"/>
    <n v="14230.72354295699"/>
    <n v="5142.6953097187488"/>
    <n v="5348.4031221074983"/>
    <n v="17820.879202862187"/>
    <n v="0"/>
  </r>
  <r>
    <x v="1"/>
    <s v="PADILLA"/>
    <n v="306"/>
    <x v="0"/>
    <x v="2"/>
    <x v="0"/>
    <s v="COCHABAMBA"/>
    <s v="OUTLET 1"/>
    <x v="11"/>
    <n v="100814.57999999999"/>
    <n v="13672.590000000022"/>
    <n v="157404.21000000002"/>
    <n v="39256.070000000036"/>
    <n v="155462.68385000018"/>
    <n v="41003"/>
    <n v="164868.17622292519"/>
    <n v="36023.696504709158"/>
    <n v="129824.56896551723"/>
    <n v="40017.503272224596"/>
    <n v="171462.90327184219"/>
    <n v="37464.644364897526"/>
    <n v="168033.64520640537"/>
    <n v="38667.133869212048"/>
    <n v="0"/>
    <n v="0"/>
    <n v="5.2201179630962054E-2"/>
    <n v="6.9352476075998426E-2"/>
    <n v="0.26074574538504236"/>
    <n v="5.0000000000000017E-2"/>
    <n v="5.0000000000000017E-2"/>
    <n v="0.17"/>
    <n v="0"/>
    <n v="5262.639999999994"/>
    <n v="10916.371708286433"/>
    <n v="33851.204004205625"/>
    <n v="8243.4088111462625"/>
    <n v="8573.145163592113"/>
    <n v="28565.719685088916"/>
    <n v="0"/>
  </r>
  <r>
    <x v="2"/>
    <s v="MODULO 2118"/>
    <n v="903"/>
    <x v="0"/>
    <x v="2"/>
    <x v="0"/>
    <s v="IQUIQUE"/>
    <s v="IQUIQUE"/>
    <x v="0"/>
    <n v="0"/>
    <n v="0"/>
    <n v="6405.2300000000005"/>
    <n v="3607.3800000000006"/>
    <n v="68493.502296666658"/>
    <n v="35543.281497333315"/>
    <n v="35255.659999999982"/>
    <n v="19402.238755959275"/>
    <n v="35255.659999999989"/>
    <n v="19418.349999999988"/>
    <n v="68493.502296666658"/>
    <n v="37725.312767438663"/>
    <n v="82192.202755999984"/>
    <n v="42883.913142782076"/>
    <n v="87421.51"/>
    <n v="50966.740329999993"/>
    <n v="1"/>
    <n v="1"/>
    <n v="0.91319351275795158"/>
    <n v="0.91357445950502469"/>
    <n v="0.91357445950502469"/>
    <n v="0.89999999999999991"/>
    <n v="0.95"/>
    <n v="0"/>
    <n v="6405.2300000000005"/>
    <n v="32195.239999999994"/>
    <n v="32208.670528992901"/>
    <n v="62573.914340283409"/>
    <n v="73972.98248039998"/>
    <n v="83050.434499999988"/>
  </r>
  <r>
    <x v="2"/>
    <s v="MODULO 2118"/>
    <n v="903"/>
    <x v="0"/>
    <x v="2"/>
    <x v="0"/>
    <s v="IQUIQUE"/>
    <s v="IQUIQUE"/>
    <x v="1"/>
    <n v="0"/>
    <n v="0"/>
    <n v="33712.869999999995"/>
    <n v="18359.759999999998"/>
    <n v="69435.064770000085"/>
    <n v="30518.474572500032"/>
    <n v="49757.070000000022"/>
    <n v="29837.477329441994"/>
    <n v="49757.070000000029"/>
    <n v="29865.490000000034"/>
    <n v="69435.064770000085"/>
    <n v="41676.735236576249"/>
    <n v="83322.077724000104"/>
    <n v="42289.771402646969"/>
    <n v="75835.39"/>
    <n v="46107.917119999998"/>
    <n v="1"/>
    <n v="1"/>
    <n v="0.94467138036865939"/>
    <n v="0.94487960063293575"/>
    <n v="0.94487960063293575"/>
    <n v="0.60000000000000009"/>
    <n v="0.95"/>
    <n v="0"/>
    <n v="33712.869999999995"/>
    <n v="47004.080000000038"/>
    <n v="47014.440430265051"/>
    <n v="65607.77626979971"/>
    <n v="49993.246634400071"/>
    <n v="72043.62049999999"/>
  </r>
  <r>
    <x v="2"/>
    <s v="MODULO 2118"/>
    <n v="903"/>
    <x v="0"/>
    <x v="2"/>
    <x v="0"/>
    <s v="IQUIQUE"/>
    <s v="IQUIQUE"/>
    <x v="2"/>
    <n v="0"/>
    <n v="0"/>
    <n v="67526.439999999988"/>
    <n v="37744.939999999995"/>
    <n v="94479"/>
    <n v="47624"/>
    <n v="63680.95"/>
    <n v="39193.572963818398"/>
    <n v="63680.949999999983"/>
    <n v="39193.579999999987"/>
    <n v="63680.949999999961"/>
    <n v="39193.579999999973"/>
    <n v="76417.139999999956"/>
    <n v="39870.764920466776"/>
    <n v="90000"/>
    <n v="46800"/>
    <n v="1"/>
    <n v="1"/>
    <n v="0.96476560101568831"/>
    <n v="0.96476635348183826"/>
    <n v="0.96476635348183826"/>
    <n v="0.9"/>
    <n v="0.6"/>
    <n v="0"/>
    <n v="67526.439999999988"/>
    <n v="61437.189999999981"/>
    <n v="61437.237917759267"/>
    <n v="61437.23791775923"/>
    <n v="68775.425999999963"/>
    <n v="54000"/>
  </r>
  <r>
    <x v="2"/>
    <s v="MODULO 2118"/>
    <n v="903"/>
    <x v="0"/>
    <x v="2"/>
    <x v="0"/>
    <s v="IQUIQUE"/>
    <s v="IQUIQUE"/>
    <x v="3"/>
    <n v="0"/>
    <n v="0"/>
    <n v="0"/>
    <n v="0"/>
    <n v="107879"/>
    <n v="58606"/>
    <n v="91793.290000000183"/>
    <n v="55449.260000000155"/>
    <n v="91793.29000000027"/>
    <n v="55449.260000000257"/>
    <n v="91793.290000000197"/>
    <n v="55449.260000000213"/>
    <n v="110151.94800000024"/>
    <n v="57471.954907491847"/>
    <n v="0"/>
    <n v="0"/>
    <n v="1"/>
    <n v="0"/>
    <n v="0.97339903602975797"/>
    <n v="0.97339903602975775"/>
    <n v="0.97339903602975775"/>
    <n v="0.9"/>
    <n v="0"/>
    <n v="0"/>
    <n v="0"/>
    <n v="89351.500000000291"/>
    <n v="89351.500000000175"/>
    <n v="89351.500000000189"/>
    <n v="99136.75320000021"/>
    <n v="0"/>
  </r>
  <r>
    <x v="2"/>
    <s v="MODULO 2118"/>
    <n v="903"/>
    <x v="0"/>
    <x v="2"/>
    <x v="0"/>
    <s v="IQUIQUE"/>
    <s v="IQUIQUE"/>
    <x v="4"/>
    <n v="0"/>
    <n v="0"/>
    <n v="64247.59"/>
    <n v="35833.64"/>
    <n v="123253"/>
    <n v="64727"/>
    <n v="78710.440000000119"/>
    <n v="46216.23000000004"/>
    <n v="78710.440000000061"/>
    <n v="46217.570000000094"/>
    <n v="78710.440000000061"/>
    <n v="46217.570000000094"/>
    <n v="94452.528000000093"/>
    <n v="49280.757432583989"/>
    <n v="0"/>
    <n v="0"/>
    <n v="1"/>
    <n v="1"/>
    <n v="0.97452218536702384"/>
    <n v="0.97452218536702384"/>
    <n v="0.97452218536702384"/>
    <n v="0.9"/>
    <n v="0"/>
    <n v="0"/>
    <n v="64247.59"/>
    <n v="76705.070000000065"/>
    <n v="76705.070000000123"/>
    <n v="76705.070000000065"/>
    <n v="85007.275200000091"/>
    <n v="0"/>
  </r>
  <r>
    <x v="2"/>
    <s v="MODULO 2118"/>
    <n v="903"/>
    <x v="0"/>
    <x v="2"/>
    <x v="0"/>
    <s v="IQUIQUE"/>
    <s v="IQUIQUE"/>
    <x v="5"/>
    <n v="59284.799999999974"/>
    <n v="34572.159999999974"/>
    <n v="126116.24999999997"/>
    <n v="71025.77999999997"/>
    <n v="131297"/>
    <n v="68909"/>
    <n v="83714.360000000044"/>
    <n v="48947.407429308514"/>
    <n v="84084.539999999964"/>
    <n v="49163.849999999969"/>
    <n v="84084.53999999995"/>
    <n v="49163.849999999962"/>
    <n v="100901.44799999993"/>
    <n v="52645.491748875989"/>
    <n v="0"/>
    <n v="0"/>
    <n v="1"/>
    <n v="1"/>
    <n v="0.97157777160938263"/>
    <n v="0.97157777160938263"/>
    <n v="0.97157777160938263"/>
    <n v="0.9"/>
    <n v="0"/>
    <n v="59284.799999999974"/>
    <n v="126116.24999999997"/>
    <n v="81694.669999999969"/>
    <n v="81335.011340505676"/>
    <n v="81694.669999999955"/>
    <n v="90811.303199999937"/>
    <n v="0"/>
  </r>
  <r>
    <x v="2"/>
    <s v="MODULO 2118"/>
    <n v="903"/>
    <x v="0"/>
    <x v="2"/>
    <x v="0"/>
    <s v="IQUIQUE"/>
    <s v="IQUIQUE"/>
    <x v="6"/>
    <n v="98155.770000000019"/>
    <n v="57673.790000000008"/>
    <n v="130076.40000000002"/>
    <n v="69826.320000000022"/>
    <n v="141784"/>
    <n v="62621"/>
    <n v="62201.05999999999"/>
    <n v="36498.599999999919"/>
    <n v="62355.189999999959"/>
    <n v="36590.789999999979"/>
    <n v="62355.189999999959"/>
    <n v="36590.789999999979"/>
    <n v="74826.227999999945"/>
    <n v="39040.704041962948"/>
    <n v="0"/>
    <n v="0"/>
    <n v="1"/>
    <n v="1"/>
    <n v="0.97207073319972348"/>
    <n v="0.97207073319972359"/>
    <n v="0.97207073319972359"/>
    <n v="0.89999999999999991"/>
    <n v="0"/>
    <n v="98155.770000000019"/>
    <n v="130076.40000000002"/>
    <n v="60613.655262108026"/>
    <n v="60463.829999999987"/>
    <n v="60613.655262108034"/>
    <n v="67343.605199999947"/>
    <n v="0"/>
  </r>
  <r>
    <x v="2"/>
    <s v="MODULO 2118"/>
    <n v="903"/>
    <x v="0"/>
    <x v="2"/>
    <x v="0"/>
    <s v="IQUIQUE"/>
    <s v="IQUIQUE"/>
    <x v="7"/>
    <n v="60316.830000000016"/>
    <n v="35222.290000000008"/>
    <n v="94992.900000000023"/>
    <n v="52906.920000000013"/>
    <n v="109365"/>
    <n v="63949"/>
    <n v="100616.00837999996"/>
    <n v="59474.122553417968"/>
    <n v="51753.959999999977"/>
    <n v="30034.969999999979"/>
    <n v="51753.959999999985"/>
    <n v="30034.969999999983"/>
    <n v="62104.751999999971"/>
    <n v="31521.006638815175"/>
    <n v="0"/>
    <n v="0"/>
    <n v="1"/>
    <n v="1"/>
    <n v="0.97140359276210164"/>
    <n v="0.97"/>
    <n v="0.97"/>
    <n v="0.6"/>
    <n v="0"/>
    <n v="60316.830000000016"/>
    <n v="94992.900000000023"/>
    <n v="50273.982683666072"/>
    <n v="97597.528128599952"/>
    <n v="50201.341199999981"/>
    <n v="37262.851199999983"/>
    <n v="0"/>
  </r>
  <r>
    <x v="2"/>
    <s v="MODULO 2118"/>
    <n v="903"/>
    <x v="0"/>
    <x v="2"/>
    <x v="0"/>
    <s v="IQUIQUE"/>
    <s v="IQUIQUE"/>
    <x v="8"/>
    <n v="70204.36"/>
    <n v="41529.590000000011"/>
    <n v="108010.31000000004"/>
    <n v="64156.180000000044"/>
    <n v="106635"/>
    <n v="61302"/>
    <n v="123610.92099803992"/>
    <n v="63684.346498190163"/>
    <n v="80118.01999999999"/>
    <n v="42854.390000000014"/>
    <n v="80118.01999999999"/>
    <n v="42854.390000000014"/>
    <n v="96141.623999999953"/>
    <n v="50162.045969999752"/>
    <n v="0"/>
    <n v="0"/>
    <n v="1"/>
    <n v="1"/>
    <n v="0.79363684340313789"/>
    <n v="0.97"/>
    <n v="0.97"/>
    <n v="0.89999999999999991"/>
    <n v="0"/>
    <n v="70204.36"/>
    <n v="108010.31000000004"/>
    <n v="63584.612492509463"/>
    <n v="119902.59336809872"/>
    <n v="77714.479399999982"/>
    <n v="86527.461599999951"/>
    <n v="0"/>
  </r>
  <r>
    <x v="2"/>
    <s v="MODULO 2118"/>
    <n v="903"/>
    <x v="0"/>
    <x v="2"/>
    <x v="0"/>
    <s v="IQUIQUE"/>
    <s v="IQUIQUE"/>
    <x v="9"/>
    <n v="50446.27"/>
    <n v="28379.360000000001"/>
    <n v="97760.489999999991"/>
    <n v="57965.960000000006"/>
    <n v="118808"/>
    <n v="62207"/>
    <n v="137722.33404468017"/>
    <n v="70954.546499819233"/>
    <n v="91318.749999999985"/>
    <n v="54850.859999999942"/>
    <n v="92201.699999999968"/>
    <n v="55381.206361913552"/>
    <n v="110642.03999999995"/>
    <n v="57727.661191728483"/>
    <n v="0"/>
    <n v="0"/>
    <n v="1"/>
    <n v="1"/>
    <n v="0.98363227705153655"/>
    <n v="0.97000000000000008"/>
    <n v="0.97000000000000008"/>
    <n v="0.9"/>
    <n v="0"/>
    <n v="50446.27"/>
    <n v="97760.489999999991"/>
    <n v="89824.069999999992"/>
    <n v="133590.66402333978"/>
    <n v="89435.648999999976"/>
    <n v="99577.835999999952"/>
    <n v="0"/>
  </r>
  <r>
    <x v="2"/>
    <s v="MODULO 2118"/>
    <n v="903"/>
    <x v="0"/>
    <x v="2"/>
    <x v="0"/>
    <s v="IQUIQUE"/>
    <s v="IQUIQUE"/>
    <x v="10"/>
    <n v="63460.84"/>
    <n v="34348.369999999995"/>
    <n v="81165.51999999999"/>
    <n v="47961.229999999989"/>
    <n v="112387"/>
    <n v="59823"/>
    <n v="140000"/>
    <n v="69412"/>
    <n v="68422"/>
    <n v="34888.377800000002"/>
    <n v="70274.508702975858"/>
    <n v="42164.705221785516"/>
    <n v="84329.410443571018"/>
    <n v="43200.360825390613"/>
    <n v="0"/>
    <n v="0"/>
    <n v="1"/>
    <n v="1"/>
    <n v="0.98363227705153655"/>
    <n v="0.97"/>
    <n v="0.97"/>
    <n v="0.70000000000000007"/>
    <n v="0"/>
    <n v="63460.84"/>
    <n v="81165.51999999999"/>
    <n v="67302.087660420235"/>
    <n v="135800"/>
    <n v="68166.273441886588"/>
    <n v="59030.587310499715"/>
    <n v="0"/>
  </r>
  <r>
    <x v="2"/>
    <s v="MODULO 2118"/>
    <n v="903"/>
    <x v="0"/>
    <x v="2"/>
    <x v="0"/>
    <s v="IQUIQUE"/>
    <s v="IQUIQUE"/>
    <x v="11"/>
    <n v="102289.91"/>
    <n v="56479"/>
    <n v="101278.61000000002"/>
    <n v="58705.14"/>
    <n v="103193"/>
    <n v="69119"/>
    <n v="155000"/>
    <n v="79856"/>
    <n v="160526.32"/>
    <n v="81852.370568000013"/>
    <n v="155000"/>
    <n v="84634.443970634311"/>
    <n v="185999.99999999997"/>
    <n v="97045.797254474921"/>
    <n v="0"/>
    <n v="0"/>
    <n v="1"/>
    <n v="1"/>
    <n v="0.98363227705153655"/>
    <n v="0.97"/>
    <n v="0.97"/>
    <n v="0.9"/>
    <n v="0"/>
    <n v="102289.91"/>
    <n v="101278.61000000002"/>
    <n v="157898.86966830361"/>
    <n v="150350"/>
    <n v="150350"/>
    <n v="167399.99999999997"/>
    <n v="0"/>
  </r>
  <r>
    <x v="2"/>
    <s v="MODULO 5007"/>
    <n v="901"/>
    <x v="1"/>
    <x v="1"/>
    <x v="1"/>
    <s v="IQUIQUE"/>
    <s v="IQUIQUE"/>
    <x v="0"/>
    <n v="45357.140000000014"/>
    <n v="27637.02000000001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45357.140000000014"/>
    <n v="0"/>
    <n v="0"/>
    <n v="0"/>
    <n v="0"/>
    <n v="0"/>
    <n v="0"/>
  </r>
  <r>
    <x v="2"/>
    <s v="MODULO 5007"/>
    <n v="901"/>
    <x v="1"/>
    <x v="1"/>
    <x v="1"/>
    <s v="IQUIQUE"/>
    <s v="IQUIQUE"/>
    <x v="1"/>
    <n v="32569.829999999994"/>
    <n v="19483.96999999999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32569.829999999994"/>
    <n v="0"/>
    <n v="0"/>
    <n v="0"/>
    <n v="0"/>
    <n v="0"/>
    <n v="0"/>
  </r>
  <r>
    <x v="2"/>
    <s v="MODULO 5007"/>
    <n v="901"/>
    <x v="1"/>
    <x v="1"/>
    <x v="1"/>
    <s v="IQUIQUE"/>
    <s v="IQUIQUE"/>
    <x v="2"/>
    <n v="27554.539999999994"/>
    <n v="16436.939999999995"/>
    <n v="0"/>
    <n v="0"/>
    <n v="0"/>
    <n v="0"/>
    <n v="0"/>
    <n v="0"/>
    <n v="0"/>
    <n v="0"/>
    <n v="0"/>
    <n v="0"/>
    <n v="0"/>
    <n v="0"/>
    <m/>
    <m/>
    <n v="1"/>
    <n v="0"/>
    <n v="0"/>
    <n v="0"/>
    <n v="0"/>
    <n v="0"/>
    <n v="0"/>
    <n v="27554.539999999994"/>
    <n v="0"/>
    <n v="0"/>
    <n v="0"/>
    <n v="0"/>
    <n v="0"/>
    <n v="0"/>
  </r>
  <r>
    <x v="2"/>
    <s v="MODULO 5007"/>
    <n v="901"/>
    <x v="1"/>
    <x v="1"/>
    <x v="1"/>
    <s v="IQUIQUE"/>
    <s v="IQUIQUE"/>
    <x v="3"/>
    <n v="29315.329999999998"/>
    <n v="17314.2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9315.329999999998"/>
    <n v="0"/>
    <n v="0"/>
    <n v="0"/>
    <n v="0"/>
    <n v="0"/>
    <n v="0"/>
  </r>
  <r>
    <x v="2"/>
    <s v="MODULO 5007"/>
    <n v="901"/>
    <x v="1"/>
    <x v="1"/>
    <x v="1"/>
    <s v="IQUIQUE"/>
    <s v="IQUIQUE"/>
    <x v="4"/>
    <n v="9259.5800000000036"/>
    <n v="5592.0100000000029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9259.5800000000036"/>
    <n v="0"/>
    <n v="0"/>
    <n v="0"/>
    <n v="0"/>
    <n v="0"/>
    <n v="0"/>
  </r>
  <r>
    <x v="2"/>
    <s v="MODULO 7126"/>
    <n v="902"/>
    <x v="1"/>
    <x v="1"/>
    <x v="1"/>
    <s v="IQUIQUE"/>
    <s v="IQUIQUE"/>
    <x v="0"/>
    <n v="30825.049999999988"/>
    <n v="16953.49999999998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30825.049999999988"/>
    <n v="0"/>
    <n v="0"/>
    <n v="0"/>
    <n v="0"/>
    <n v="0"/>
    <n v="0"/>
  </r>
  <r>
    <x v="2"/>
    <s v="MODULO 7126"/>
    <n v="902"/>
    <x v="1"/>
    <x v="1"/>
    <x v="1"/>
    <s v="IQUIQUE"/>
    <s v="IQUIQUE"/>
    <x v="1"/>
    <n v="24511.15"/>
    <n v="13595.120000000003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4511.15"/>
    <n v="0"/>
    <n v="0"/>
    <n v="0"/>
    <n v="0"/>
    <n v="0"/>
    <n v="0"/>
  </r>
  <r>
    <x v="2"/>
    <s v="MODULO 7126"/>
    <n v="902"/>
    <x v="1"/>
    <x v="1"/>
    <x v="1"/>
    <s v="IQUIQUE"/>
    <s v="IQUIQUE"/>
    <x v="2"/>
    <n v="17978.5"/>
    <n v="9529.25"/>
    <n v="0"/>
    <n v="0"/>
    <n v="0"/>
    <n v="0"/>
    <n v="0"/>
    <n v="0"/>
    <n v="0"/>
    <n v="0"/>
    <n v="0"/>
    <n v="0"/>
    <n v="0"/>
    <n v="0"/>
    <m/>
    <m/>
    <n v="1"/>
    <n v="0"/>
    <n v="0"/>
    <n v="0"/>
    <n v="0"/>
    <n v="0"/>
    <n v="0"/>
    <n v="17978.5"/>
    <n v="0"/>
    <n v="0"/>
    <n v="0"/>
    <n v="0"/>
    <n v="0"/>
    <n v="0"/>
  </r>
  <r>
    <x v="2"/>
    <s v="MODULO 7126"/>
    <n v="902"/>
    <x v="1"/>
    <x v="1"/>
    <x v="1"/>
    <s v="IQUIQUE"/>
    <s v="IQUIQUE"/>
    <x v="3"/>
    <n v="18304.62"/>
    <n v="9673.959999999999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8304.62"/>
    <n v="0"/>
    <n v="0"/>
    <n v="0"/>
    <n v="0"/>
    <n v="0"/>
    <n v="0"/>
  </r>
  <r>
    <x v="2"/>
    <s v="MODULO 7126"/>
    <n v="902"/>
    <x v="1"/>
    <x v="1"/>
    <x v="1"/>
    <s v="IQUIQUE"/>
    <s v="IQUIQUE"/>
    <x v="4"/>
    <n v="3260.7799999999997"/>
    <n v="1833.2299999999998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3260.7799999999997"/>
    <n v="0"/>
    <n v="0"/>
    <n v="0"/>
    <n v="0"/>
    <n v="0"/>
    <n v="0"/>
  </r>
  <r>
    <x v="3"/>
    <s v="KIDS BALLIVIAN"/>
    <s v="K-BALLIVIAN"/>
    <x v="3"/>
    <x v="3"/>
    <x v="3"/>
    <s v="COCHABAMBA"/>
    <s v="K 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BALLIVIAN"/>
    <s v="K-BALLIVIAN"/>
    <x v="3"/>
    <x v="3"/>
    <x v="3"/>
    <s v="COCHABAMBA"/>
    <s v="K 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BALLIVIAN"/>
    <s v="K-BALLIVIAN"/>
    <x v="3"/>
    <x v="3"/>
    <x v="3"/>
    <s v="COCHABAMBA"/>
    <s v="K 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BALLIVIAN"/>
    <s v="K-BALLIVIAN"/>
    <x v="3"/>
    <x v="3"/>
    <x v="3"/>
    <s v="COCHABAMBA"/>
    <s v="K 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BALLIVIAN"/>
    <s v="K-BALLIVIAN"/>
    <x v="3"/>
    <x v="3"/>
    <x v="3"/>
    <s v="COCHABAMBA"/>
    <s v="K 2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BALLIVIAN"/>
    <s v="K-BALLIVIAN"/>
    <x v="3"/>
    <x v="3"/>
    <x v="3"/>
    <s v="COCHABAMBA"/>
    <s v="K 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BALLIVIAN"/>
    <s v="K-BALLIVIAN"/>
    <x v="3"/>
    <x v="3"/>
    <x v="3"/>
    <s v="COCHABAMBA"/>
    <s v="K 2"/>
    <x v="6"/>
    <n v="0"/>
    <n v="0"/>
    <n v="0"/>
    <n v="0"/>
    <n v="0"/>
    <n v="0"/>
    <n v="0"/>
    <n v="0"/>
    <n v="0"/>
    <n v="0"/>
    <n v="0"/>
    <n v="0"/>
    <n v="27636.839999999986"/>
    <n v="14328.834114841478"/>
    <n v="0"/>
    <n v="0"/>
    <n v="0"/>
    <n v="0"/>
    <n v="0"/>
    <n v="0"/>
    <n v="0"/>
    <n v="0.87999999999999989"/>
    <n v="0"/>
    <n v="0"/>
    <n v="0"/>
    <n v="0"/>
    <n v="0"/>
    <n v="0"/>
    <n v="24320.419199999986"/>
    <n v="0"/>
  </r>
  <r>
    <x v="3"/>
    <s v="KIDS BALLIVIAN"/>
    <s v="K-BALLIVIAN"/>
    <x v="3"/>
    <x v="3"/>
    <x v="3"/>
    <s v="COCHABAMBA"/>
    <s v="K 2"/>
    <x v="7"/>
    <n v="0"/>
    <n v="0"/>
    <n v="0"/>
    <n v="0"/>
    <n v="0"/>
    <n v="0"/>
    <n v="0"/>
    <n v="0"/>
    <n v="0"/>
    <n v="0"/>
    <n v="0"/>
    <n v="0"/>
    <n v="42637.848000000005"/>
    <n v="19647.308903880174"/>
    <n v="0"/>
    <n v="0"/>
    <n v="0"/>
    <n v="0"/>
    <n v="0"/>
    <n v="0"/>
    <n v="0"/>
    <n v="0.49"/>
    <n v="0"/>
    <n v="0"/>
    <n v="0"/>
    <n v="0"/>
    <n v="0"/>
    <n v="0"/>
    <n v="20892.545520000003"/>
    <n v="0"/>
  </r>
  <r>
    <x v="3"/>
    <s v="KIDS BALLIVIAN"/>
    <s v="K-BALLIVIAN"/>
    <x v="3"/>
    <x v="3"/>
    <x v="3"/>
    <s v="COCHABAMBA"/>
    <s v="K 2"/>
    <x v="8"/>
    <n v="0"/>
    <n v="0"/>
    <n v="0"/>
    <n v="0"/>
    <n v="0"/>
    <n v="0"/>
    <n v="0"/>
    <n v="0"/>
    <n v="0"/>
    <n v="0"/>
    <n v="0"/>
    <n v="0"/>
    <n v="25617.918484344002"/>
    <n v="12979.01449427919"/>
    <n v="0"/>
    <n v="0"/>
    <n v="0"/>
    <n v="0"/>
    <n v="0"/>
    <n v="0"/>
    <n v="0"/>
    <n v="0.79999999999999993"/>
    <n v="0"/>
    <n v="0"/>
    <n v="0"/>
    <n v="0"/>
    <n v="0"/>
    <n v="0"/>
    <n v="20494.3347874752"/>
    <n v="0"/>
  </r>
  <r>
    <x v="3"/>
    <s v="KIDS BALLIVIAN"/>
    <s v="K-BALLIVIAN"/>
    <x v="3"/>
    <x v="3"/>
    <x v="3"/>
    <s v="COCHABAMBA"/>
    <s v="K 2"/>
    <x v="9"/>
    <n v="0"/>
    <n v="0"/>
    <n v="0"/>
    <n v="0"/>
    <n v="0"/>
    <n v="0"/>
    <n v="0"/>
    <n v="0"/>
    <n v="0"/>
    <n v="0"/>
    <n v="0"/>
    <n v="0"/>
    <n v="27623.853229368007"/>
    <n v="14240.400045510765"/>
    <n v="0"/>
    <n v="0"/>
    <n v="0"/>
    <n v="0"/>
    <n v="0"/>
    <n v="0"/>
    <n v="0"/>
    <n v="0.86"/>
    <n v="0"/>
    <n v="0"/>
    <n v="0"/>
    <n v="0"/>
    <n v="0"/>
    <n v="0"/>
    <n v="23756.513777256485"/>
    <n v="0"/>
  </r>
  <r>
    <x v="3"/>
    <s v="KIDS BALLIVIAN"/>
    <s v="K-BALLIVIAN"/>
    <x v="3"/>
    <x v="3"/>
    <x v="3"/>
    <s v="COCHABAMBA"/>
    <s v="K 2"/>
    <x v="10"/>
    <n v="0"/>
    <n v="0"/>
    <n v="0"/>
    <n v="0"/>
    <n v="0"/>
    <n v="0"/>
    <n v="0"/>
    <n v="0"/>
    <n v="0"/>
    <n v="0"/>
    <n v="0"/>
    <n v="0"/>
    <n v="34084.353033107982"/>
    <n v="16260.347780086926"/>
    <n v="0"/>
    <n v="0"/>
    <n v="0"/>
    <n v="0"/>
    <n v="0"/>
    <n v="0"/>
    <n v="0"/>
    <n v="0.6"/>
    <n v="0"/>
    <n v="0"/>
    <n v="0"/>
    <n v="0"/>
    <n v="0"/>
    <n v="0"/>
    <n v="20450.611819864789"/>
    <n v="0"/>
  </r>
  <r>
    <x v="3"/>
    <s v="KIDS BALLIVIAN"/>
    <s v="K-BALLIVIAN"/>
    <x v="3"/>
    <x v="3"/>
    <x v="3"/>
    <s v="COCHABAMBA"/>
    <s v="K 2"/>
    <x v="11"/>
    <n v="0"/>
    <n v="0"/>
    <n v="0"/>
    <n v="0"/>
    <n v="0"/>
    <n v="0"/>
    <n v="0"/>
    <n v="0"/>
    <n v="0"/>
    <n v="0"/>
    <n v="0"/>
    <n v="0"/>
    <n v="66594.936034296028"/>
    <n v="34231.940464493702"/>
    <n v="0"/>
    <n v="0"/>
    <n v="0"/>
    <n v="0"/>
    <n v="0"/>
    <n v="0"/>
    <n v="0"/>
    <n v="0.85"/>
    <n v="0"/>
    <n v="0"/>
    <n v="0"/>
    <n v="0"/>
    <n v="0"/>
    <n v="0"/>
    <n v="56605.695629151625"/>
    <n v="0"/>
  </r>
  <r>
    <x v="3"/>
    <s v="KIDS FAIR PLAY LPB CENTRO"/>
    <s v="K-LPCENTRO"/>
    <x v="3"/>
    <x v="3"/>
    <x v="3"/>
    <s v="LA PAZ"/>
    <s v="K 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FAIR PLAY LPB CENTRO"/>
    <s v="K-LPCENTRO"/>
    <x v="3"/>
    <x v="3"/>
    <x v="3"/>
    <s v="LA PAZ"/>
    <s v="K 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FAIR PLAY LPB CENTRO"/>
    <s v="K-LPCENTRO"/>
    <x v="3"/>
    <x v="3"/>
    <x v="3"/>
    <s v="LA PAZ"/>
    <s v="K 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FAIR PLAY LPB CENTRO"/>
    <s v="K-LPCENTRO"/>
    <x v="3"/>
    <x v="3"/>
    <x v="3"/>
    <s v="LA PAZ"/>
    <s v="K 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FAIR PLAY LPB CENTRO"/>
    <s v="K-LPCENTRO"/>
    <x v="3"/>
    <x v="3"/>
    <x v="3"/>
    <s v="LA PAZ"/>
    <s v="K 2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FAIR PLAY LPB CENTRO"/>
    <s v="K-LPCENTRO"/>
    <x v="3"/>
    <x v="3"/>
    <x v="3"/>
    <s v="LA PAZ"/>
    <s v="K 2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FAIR PLAY LPB CENTRO"/>
    <s v="K-LPCENTRO"/>
    <x v="3"/>
    <x v="3"/>
    <x v="3"/>
    <s v="LA PAZ"/>
    <s v="K 2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FAIR PLAY LPB CENTRO"/>
    <s v="K-LPCENTRO"/>
    <x v="3"/>
    <x v="3"/>
    <x v="3"/>
    <s v="LA PAZ"/>
    <s v="K 2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FAIR PLAY LPB CENTRO"/>
    <s v="K-LPCENTRO"/>
    <x v="3"/>
    <x v="3"/>
    <x v="3"/>
    <s v="LA PAZ"/>
    <s v="K 2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FAIR PLAY LPB CENTRO"/>
    <s v="K-LPCENTRO"/>
    <x v="3"/>
    <x v="3"/>
    <x v="3"/>
    <s v="LA PAZ"/>
    <s v="K 2"/>
    <x v="9"/>
    <n v="0"/>
    <n v="0"/>
    <n v="0"/>
    <n v="0"/>
    <n v="0"/>
    <n v="0"/>
    <n v="0"/>
    <n v="0"/>
    <n v="0"/>
    <n v="0"/>
    <n v="0"/>
    <n v="0"/>
    <n v="33201.597420799983"/>
    <n v="17115.788499756924"/>
    <n v="0"/>
    <n v="0"/>
    <n v="0"/>
    <n v="0"/>
    <n v="0"/>
    <n v="0"/>
    <n v="0"/>
    <n v="0.86"/>
    <n v="0"/>
    <n v="0"/>
    <n v="0"/>
    <n v="0"/>
    <n v="0"/>
    <n v="0"/>
    <n v="28553.373781887985"/>
    <n v="0"/>
  </r>
  <r>
    <x v="3"/>
    <s v="KIDS FAIR PLAY LPB CENTRO"/>
    <s v="K-LPCENTRO"/>
    <x v="3"/>
    <x v="3"/>
    <x v="3"/>
    <s v="LA PAZ"/>
    <s v="K 2"/>
    <x v="10"/>
    <n v="0"/>
    <n v="0"/>
    <n v="0"/>
    <n v="0"/>
    <n v="0"/>
    <n v="0"/>
    <n v="0"/>
    <n v="0"/>
    <n v="0"/>
    <n v="0"/>
    <n v="0"/>
    <n v="0"/>
    <n v="43370.756937608116"/>
    <n v="20690.537696464526"/>
    <n v="0"/>
    <n v="0"/>
    <n v="0"/>
    <n v="0"/>
    <n v="0"/>
    <n v="0"/>
    <n v="0"/>
    <n v="0.6"/>
    <n v="0"/>
    <n v="0"/>
    <n v="0"/>
    <n v="0"/>
    <n v="0"/>
    <n v="0"/>
    <n v="26022.454162564867"/>
    <n v="0"/>
  </r>
  <r>
    <x v="3"/>
    <s v="KIDS FAIR PLAY LPB CENTRO"/>
    <s v="K-LPCENTRO"/>
    <x v="3"/>
    <x v="3"/>
    <x v="3"/>
    <s v="LA PAZ"/>
    <s v="K 2"/>
    <x v="11"/>
    <n v="0"/>
    <n v="0"/>
    <n v="0"/>
    <n v="0"/>
    <n v="0"/>
    <n v="0"/>
    <n v="0"/>
    <n v="0"/>
    <n v="0"/>
    <n v="0"/>
    <n v="0"/>
    <n v="0"/>
    <n v="59450.892251465106"/>
    <n v="30559.672030694761"/>
    <n v="0"/>
    <n v="0"/>
    <n v="0"/>
    <n v="0"/>
    <n v="0"/>
    <n v="0"/>
    <n v="0"/>
    <n v="0.85"/>
    <n v="0"/>
    <n v="0"/>
    <n v="0"/>
    <n v="0"/>
    <n v="0"/>
    <n v="0"/>
    <n v="50533.258413745338"/>
    <n v="0"/>
  </r>
  <r>
    <x v="3"/>
    <s v="KIDS FAIR PLAY LPB CIELO MALL"/>
    <s v="K-LPC"/>
    <x v="3"/>
    <x v="3"/>
    <x v="3"/>
    <s v="LA PAZ"/>
    <s v="K 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FAIR PLAY LPB CIELO MALL"/>
    <s v="K-LPC"/>
    <x v="3"/>
    <x v="3"/>
    <x v="3"/>
    <s v="LA PAZ"/>
    <s v="K 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FAIR PLAY LPB CIELO MALL"/>
    <s v="K-LPC"/>
    <x v="3"/>
    <x v="3"/>
    <x v="3"/>
    <s v="LA PAZ"/>
    <s v="K 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FAIR PLAY LPB CIELO MALL"/>
    <s v="K-LPC"/>
    <x v="3"/>
    <x v="3"/>
    <x v="3"/>
    <s v="LA PAZ"/>
    <s v="K 2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KIDS FAIR PLAY LPB CIELO MALL"/>
    <s v="K-LPC"/>
    <x v="3"/>
    <x v="3"/>
    <x v="3"/>
    <s v="LA PAZ"/>
    <s v="K 2"/>
    <x v="4"/>
    <n v="0"/>
    <n v="0"/>
    <n v="0"/>
    <n v="0"/>
    <n v="0"/>
    <n v="0"/>
    <n v="0"/>
    <n v="0"/>
    <n v="0"/>
    <n v="0"/>
    <n v="0"/>
    <n v="0"/>
    <n v="26736.24027200001"/>
    <n v="13821.551509962152"/>
    <n v="0"/>
    <n v="0"/>
    <n v="0"/>
    <n v="0"/>
    <n v="0"/>
    <n v="0"/>
    <n v="0"/>
    <n v="0.88"/>
    <n v="0"/>
    <n v="0"/>
    <n v="0"/>
    <n v="0"/>
    <n v="0"/>
    <n v="0"/>
    <n v="23527.89143936001"/>
    <n v="0"/>
  </r>
  <r>
    <x v="3"/>
    <s v="KIDS FAIR PLAY LPB CIELO MALL"/>
    <s v="K-LPC"/>
    <x v="3"/>
    <x v="3"/>
    <x v="3"/>
    <s v="LA PAZ"/>
    <s v="K 2"/>
    <x v="5"/>
    <n v="0"/>
    <n v="0"/>
    <n v="0"/>
    <n v="0"/>
    <n v="0"/>
    <n v="0"/>
    <n v="0"/>
    <n v="0"/>
    <n v="0"/>
    <n v="0"/>
    <n v="0"/>
    <n v="0"/>
    <n v="25703.927365200052"/>
    <n v="13287.887618907249"/>
    <n v="0"/>
    <n v="0"/>
    <n v="0"/>
    <n v="0"/>
    <n v="0"/>
    <n v="0"/>
    <n v="0"/>
    <n v="0.88"/>
    <n v="0"/>
    <n v="0"/>
    <n v="0"/>
    <n v="0"/>
    <n v="0"/>
    <n v="0"/>
    <n v="22619.456081376047"/>
    <n v="0"/>
  </r>
  <r>
    <x v="3"/>
    <s v="KIDS FAIR PLAY LPB CIELO MALL"/>
    <s v="K-LPC"/>
    <x v="3"/>
    <x v="3"/>
    <x v="3"/>
    <s v="LA PAZ"/>
    <s v="K 2"/>
    <x v="6"/>
    <n v="0"/>
    <n v="0"/>
    <n v="0"/>
    <n v="0"/>
    <n v="0"/>
    <n v="0"/>
    <n v="0"/>
    <n v="0"/>
    <n v="0"/>
    <n v="0"/>
    <n v="0"/>
    <n v="0"/>
    <n v="26859.57381800007"/>
    <n v="13885.309949503533"/>
    <n v="0"/>
    <n v="0"/>
    <n v="0"/>
    <n v="0"/>
    <n v="0"/>
    <n v="0"/>
    <n v="0"/>
    <n v="0.88"/>
    <n v="0"/>
    <n v="0"/>
    <n v="0"/>
    <n v="0"/>
    <n v="0"/>
    <n v="0"/>
    <n v="23636.42495984006"/>
    <n v="0"/>
  </r>
  <r>
    <x v="3"/>
    <s v="KIDS FAIR PLAY LPB CIELO MALL"/>
    <s v="K-LPC"/>
    <x v="3"/>
    <x v="3"/>
    <x v="3"/>
    <s v="LA PAZ"/>
    <s v="K 2"/>
    <x v="7"/>
    <n v="0"/>
    <n v="0"/>
    <n v="0"/>
    <n v="0"/>
    <n v="0"/>
    <n v="0"/>
    <n v="0"/>
    <n v="0"/>
    <n v="0"/>
    <n v="0"/>
    <n v="0"/>
    <n v="0"/>
    <n v="33547.808061327087"/>
    <n v="15248.51076902213"/>
    <n v="0"/>
    <n v="0"/>
    <n v="0"/>
    <n v="0"/>
    <n v="0"/>
    <n v="0"/>
    <n v="0"/>
    <n v="0.49000000000000005"/>
    <n v="0"/>
    <n v="0"/>
    <n v="0"/>
    <n v="0"/>
    <n v="0"/>
    <n v="0"/>
    <n v="16438.425950050274"/>
    <n v="0"/>
  </r>
  <r>
    <x v="3"/>
    <s v="KIDS FAIR PLAY LPB CIELO MALL"/>
    <s v="K-LPC"/>
    <x v="3"/>
    <x v="3"/>
    <x v="3"/>
    <s v="LA PAZ"/>
    <s v="K 2"/>
    <x v="8"/>
    <n v="0"/>
    <n v="0"/>
    <n v="0"/>
    <n v="0"/>
    <n v="0"/>
    <n v="0"/>
    <n v="0"/>
    <n v="0"/>
    <n v="0"/>
    <n v="0"/>
    <n v="0"/>
    <n v="0"/>
    <n v="27188.149835700071"/>
    <n v="13707.002224819058"/>
    <n v="0"/>
    <n v="0"/>
    <n v="0"/>
    <n v="0"/>
    <n v="0"/>
    <n v="0"/>
    <n v="0"/>
    <n v="0.8"/>
    <n v="0"/>
    <n v="0"/>
    <n v="0"/>
    <n v="0"/>
    <n v="0"/>
    <n v="0"/>
    <n v="21750.519868560059"/>
    <n v="0"/>
  </r>
  <r>
    <x v="3"/>
    <s v="KIDS FAIR PLAY LPB CIELO MALL"/>
    <s v="K-LPC"/>
    <x v="3"/>
    <x v="3"/>
    <x v="3"/>
    <s v="LA PAZ"/>
    <s v="K 2"/>
    <x v="9"/>
    <n v="0"/>
    <n v="0"/>
    <n v="0"/>
    <n v="0"/>
    <n v="38389.033005749981"/>
    <n v="15434.313449152494"/>
    <n v="0"/>
    <n v="0"/>
    <n v="0"/>
    <n v="0"/>
    <n v="0"/>
    <n v="0"/>
    <n v="29051.397743199985"/>
    <n v="14925.386813503201"/>
    <n v="0"/>
    <n v="0"/>
    <n v="0"/>
    <n v="0"/>
    <n v="0"/>
    <n v="0"/>
    <n v="0"/>
    <n v="0.86"/>
    <n v="0"/>
    <n v="0"/>
    <n v="0"/>
    <n v="0"/>
    <n v="0"/>
    <n v="0"/>
    <n v="24984.202059151987"/>
    <n v="0"/>
  </r>
  <r>
    <x v="3"/>
    <s v="KIDS FAIR PLAY LPB CIELO MALL"/>
    <s v="K-LPC"/>
    <x v="3"/>
    <x v="3"/>
    <x v="3"/>
    <s v="LA PAZ"/>
    <s v="K 2"/>
    <x v="10"/>
    <n v="0"/>
    <n v="0"/>
    <n v="0"/>
    <n v="0"/>
    <n v="48397.660620750008"/>
    <n v="23502.296984827499"/>
    <n v="0"/>
    <n v="0"/>
    <n v="0"/>
    <n v="0"/>
    <n v="0"/>
    <n v="0"/>
    <n v="37949.4123204071"/>
    <n v="17917.391806903419"/>
    <n v="0"/>
    <n v="0"/>
    <n v="0"/>
    <n v="0"/>
    <n v="0"/>
    <n v="0"/>
    <n v="0"/>
    <n v="0.6"/>
    <n v="0"/>
    <n v="0"/>
    <n v="0"/>
    <n v="0"/>
    <n v="0"/>
    <n v="0"/>
    <n v="22769.64739224426"/>
    <n v="0"/>
  </r>
  <r>
    <x v="3"/>
    <s v="KIDS FAIR PLAY LPB CIELO MALL"/>
    <s v="K-LPC"/>
    <x v="3"/>
    <x v="3"/>
    <x v="3"/>
    <s v="LA PAZ"/>
    <s v="K 2"/>
    <x v="11"/>
    <n v="0"/>
    <n v="0"/>
    <n v="0"/>
    <n v="0"/>
    <n v="67629.755812500123"/>
    <n v="36674.784157725073"/>
    <n v="0"/>
    <n v="0"/>
    <n v="0"/>
    <n v="0"/>
    <n v="0"/>
    <n v="0"/>
    <n v="52019.530720031958"/>
    <n v="26642.178449837753"/>
    <n v="0"/>
    <n v="0"/>
    <n v="0"/>
    <n v="0"/>
    <n v="0"/>
    <n v="0"/>
    <n v="0"/>
    <n v="0.85"/>
    <n v="0"/>
    <n v="0"/>
    <n v="0"/>
    <n v="0"/>
    <n v="0"/>
    <n v="0"/>
    <n v="44216.601112027165"/>
    <n v="0"/>
  </r>
  <r>
    <x v="3"/>
    <s v="KIDS FAIR PLAY PATIO DESIGN"/>
    <n v="493"/>
    <x v="3"/>
    <x v="2"/>
    <x v="0"/>
    <s v="SANTA CRUZ"/>
    <s v="K 1"/>
    <x v="0"/>
    <n v="0"/>
    <n v="0"/>
    <n v="0"/>
    <n v="0"/>
    <n v="36432.577999999994"/>
    <n v="19268.55056"/>
    <n v="22034.3"/>
    <n v="11680.990000000003"/>
    <n v="22034.300000000003"/>
    <n v="11680.990000000002"/>
    <n v="24237.730000000047"/>
    <n v="12849.089000000025"/>
    <n v="25328.427850000051"/>
    <n v="13062.498396991345"/>
    <n v="33303.160919540242"/>
    <n v="17907.210938949174"/>
    <n v="0"/>
    <n v="0"/>
    <n v="0.87670767848309261"/>
    <n v="0.87670767848309228"/>
    <n v="0.87670767848309228"/>
    <n v="0.85999999999999988"/>
    <n v="0.95904913930713143"/>
    <n v="0"/>
    <n v="0"/>
    <n v="19317.64000000001"/>
    <n v="19317.64"/>
    <n v="21249.404000000042"/>
    <n v="21782.447951000042"/>
    <n v="31939.367816091963"/>
  </r>
  <r>
    <x v="3"/>
    <s v="KIDS FAIR PLAY PATIO DESIGN"/>
    <n v="493"/>
    <x v="3"/>
    <x v="2"/>
    <x v="0"/>
    <s v="SANTA CRUZ"/>
    <s v="K 1"/>
    <x v="1"/>
    <n v="0"/>
    <n v="0"/>
    <n v="0"/>
    <n v="0"/>
    <n v="45533.25"/>
    <n v="19268.9175"/>
    <n v="34237.629999999968"/>
    <n v="16777.479999999996"/>
    <n v="34237.629999999954"/>
    <n v="16777.479999999945"/>
    <n v="37661.393000000011"/>
    <n v="18455.22799999997"/>
    <n v="38791.234790000017"/>
    <n v="17928.163340848052"/>
    <n v="37852.729885057437"/>
    <n v="17476.89282221649"/>
    <n v="0"/>
    <n v="0"/>
    <n v="0.51226939481500422"/>
    <n v="0.51226939481500333"/>
    <n v="0.51226939481500333"/>
    <n v="0.49"/>
    <n v="0.53094456358770947"/>
    <n v="0"/>
    <n v="0"/>
    <n v="17538.89000000001"/>
    <n v="17538.889999999985"/>
    <n v="19292.77900000001"/>
    <n v="19007.705047100008"/>
    <n v="20097.701149425269"/>
  </r>
  <r>
    <x v="3"/>
    <s v="KIDS FAIR PLAY PATIO DESIGN"/>
    <n v="493"/>
    <x v="3"/>
    <x v="2"/>
    <x v="0"/>
    <s v="SANTA CRUZ"/>
    <s v="K 1"/>
    <x v="2"/>
    <n v="0"/>
    <n v="0"/>
    <n v="0"/>
    <n v="0"/>
    <n v="36904.875"/>
    <n v="18449.97"/>
    <n v="33652.250000000015"/>
    <n v="16922.939999999991"/>
    <n v="33652.250000000015"/>
    <n v="16939.520000000004"/>
    <n v="33652.250000000044"/>
    <n v="16939.520000000019"/>
    <n v="35334.862500000047"/>
    <n v="17916.199809058951"/>
    <n v="28962.903948689556"/>
    <n v="14452.489070396088"/>
    <n v="0"/>
    <n v="0"/>
    <n v="0.67778855797160664"/>
    <n v="0.67778855797160664"/>
    <n v="0.67778855797160664"/>
    <n v="0.79999999999999993"/>
    <n v="0.84816017316017334"/>
    <n v="0"/>
    <n v="0"/>
    <n v="22809.110000000008"/>
    <n v="22809.110000000008"/>
    <n v="22809.11000000003"/>
    <n v="28267.890000000036"/>
    <n v="24565.181628342001"/>
  </r>
  <r>
    <x v="3"/>
    <s v="KIDS FAIR PLAY PATIO DESIGN"/>
    <n v="493"/>
    <x v="3"/>
    <x v="2"/>
    <x v="0"/>
    <s v="SANTA CRUZ"/>
    <s v="K 1"/>
    <x v="3"/>
    <n v="0"/>
    <n v="0"/>
    <n v="0"/>
    <n v="0"/>
    <n v="39810.224999999999"/>
    <n v="19948.593000000001"/>
    <n v="32907.570000000051"/>
    <n v="17461.820000000036"/>
    <n v="32907.570000000051"/>
    <n v="17461.820000000043"/>
    <n v="32907.570000000051"/>
    <n v="17461.820000000043"/>
    <n v="35540.175600000046"/>
    <n v="17505.888262938359"/>
    <n v="0"/>
    <n v="0"/>
    <n v="0"/>
    <n v="0"/>
    <n v="0.88475630379271397"/>
    <n v="0.88475630379271408"/>
    <n v="0.88475630379271408"/>
    <n v="0.7"/>
    <n v="0"/>
    <n v="0"/>
    <n v="0"/>
    <n v="29115.180000000044"/>
    <n v="29115.180000000048"/>
    <n v="29115.180000000048"/>
    <n v="24878.122920000031"/>
    <n v="0"/>
  </r>
  <r>
    <x v="3"/>
    <s v="KIDS FAIR PLAY PATIO DESIGN"/>
    <n v="493"/>
    <x v="3"/>
    <x v="2"/>
    <x v="0"/>
    <s v="SANTA CRUZ"/>
    <s v="K 1"/>
    <x v="4"/>
    <n v="0"/>
    <n v="0"/>
    <n v="0"/>
    <n v="0"/>
    <n v="34430.025000000001"/>
    <n v="18455.773875000003"/>
    <n v="32906.979999999996"/>
    <n v="17490.470000000008"/>
    <n v="32906.979999999989"/>
    <n v="17490.469999999987"/>
    <n v="32906.979999999989"/>
    <n v="17490.469999999987"/>
    <n v="34552.328999999998"/>
    <n v="17919.516042854819"/>
    <n v="0"/>
    <n v="0"/>
    <n v="0"/>
    <n v="0"/>
    <n v="0.9073877335446765"/>
    <n v="0.9073877335446765"/>
    <n v="0.9073877335446765"/>
    <n v="0.88"/>
    <n v="0"/>
    <n v="0"/>
    <n v="0"/>
    <n v="29859.389999999989"/>
    <n v="29859.389999999996"/>
    <n v="29859.389999999989"/>
    <n v="30406.049519999997"/>
    <n v="0"/>
  </r>
  <r>
    <x v="3"/>
    <s v="KIDS FAIR PLAY PATIO DESIGN"/>
    <n v="493"/>
    <x v="3"/>
    <x v="2"/>
    <x v="0"/>
    <s v="SANTA CRUZ"/>
    <s v="K 1"/>
    <x v="5"/>
    <n v="0"/>
    <n v="0"/>
    <n v="0"/>
    <n v="0"/>
    <n v="34432.125"/>
    <n v="18349.078125"/>
    <n v="28508.999999999982"/>
    <n v="15379.036910812356"/>
    <n v="28508.999999999993"/>
    <n v="15379.539999999999"/>
    <n v="28508.999999999996"/>
    <n v="15379.54"/>
    <n v="30219.539999999994"/>
    <n v="15672.446619667604"/>
    <n v="0"/>
    <n v="0"/>
    <n v="0"/>
    <n v="0"/>
    <n v="0.956243175958846"/>
    <n v="0.956243175958846"/>
    <n v="0.956243175958846"/>
    <n v="0.88"/>
    <n v="0"/>
    <n v="0"/>
    <n v="0"/>
    <n v="27261.536703410733"/>
    <n v="27261.536703410722"/>
    <n v="27261.536703410737"/>
    <n v="26593.195199999995"/>
    <n v="0"/>
  </r>
  <r>
    <x v="3"/>
    <s v="KIDS FAIR PLAY PATIO DESIGN"/>
    <n v="493"/>
    <x v="3"/>
    <x v="2"/>
    <x v="0"/>
    <s v="SANTA CRUZ"/>
    <s v="K 1"/>
    <x v="6"/>
    <n v="0"/>
    <n v="0"/>
    <n v="0"/>
    <n v="0"/>
    <n v="41031.236609999993"/>
    <n v="21103.321229549998"/>
    <n v="27587.93"/>
    <n v="14982.06999999998"/>
    <n v="27587.929999999997"/>
    <n v="14982.069999999992"/>
    <n v="27587.929999999971"/>
    <n v="14982.06999999998"/>
    <n v="30622.602299999966"/>
    <n v="15881.482640108352"/>
    <n v="0"/>
    <n v="0"/>
    <n v="0"/>
    <n v="0"/>
    <n v="0.98041643573838266"/>
    <n v="0.98041643573838266"/>
    <n v="0.98041643573838266"/>
    <n v="0.88"/>
    <n v="0"/>
    <n v="0"/>
    <n v="0"/>
    <n v="27047.659999999996"/>
    <n v="27047.66"/>
    <n v="27047.659999999971"/>
    <n v="26947.890023999971"/>
    <n v="0"/>
  </r>
  <r>
    <x v="3"/>
    <s v="KIDS FAIR PLAY PATIO DESIGN"/>
    <n v="493"/>
    <x v="3"/>
    <x v="2"/>
    <x v="0"/>
    <s v="SANTA CRUZ"/>
    <s v="K 1"/>
    <x v="7"/>
    <n v="0"/>
    <n v="0"/>
    <n v="0"/>
    <n v="0"/>
    <n v="53190.665262000002"/>
    <n v="21726.35912202"/>
    <n v="45212.065472699993"/>
    <n v="19191.617551851694"/>
    <n v="46968.04"/>
    <n v="19743.039999999997"/>
    <n v="43680.277200000011"/>
    <n v="18541.404065856004"/>
    <n v="45645.889674000013"/>
    <n v="21096.182432552087"/>
    <n v="0"/>
    <n v="0"/>
    <n v="0"/>
    <n v="0"/>
    <n v="0.36127992566860362"/>
    <n v="0.37999999999999995"/>
    <n v="0.37999999999999995"/>
    <n v="0.49"/>
    <n v="0"/>
    <n v="0"/>
    <n v="0"/>
    <n v="16968.61"/>
    <n v="17180.584879625996"/>
    <n v="16598.505336000002"/>
    <n v="22366.485940260005"/>
    <n v="0"/>
  </r>
  <r>
    <x v="3"/>
    <s v="KIDS FAIR PLAY PATIO DESIGN"/>
    <n v="493"/>
    <x v="3"/>
    <x v="2"/>
    <x v="0"/>
    <s v="SANTA CRUZ"/>
    <s v="K 1"/>
    <x v="8"/>
    <n v="0"/>
    <n v="0"/>
    <n v="21718.23"/>
    <n v="11751.189999999999"/>
    <n v="33860.914327999992"/>
    <n v="18087.420048404994"/>
    <n v="32811.225983831995"/>
    <n v="16707.476270967254"/>
    <n v="24290.630000000005"/>
    <n v="12467.869999999999"/>
    <n v="24290.630000000005"/>
    <n v="12467.869999999999"/>
    <n v="25505.161500000002"/>
    <n v="12932.145118615286"/>
    <n v="0"/>
    <n v="0"/>
    <n v="0"/>
    <n v="0.85331953847067676"/>
    <n v="0.81360261137730883"/>
    <n v="0.91"/>
    <n v="0.91"/>
    <n v="0.8"/>
    <n v="0"/>
    <n v="0"/>
    <n v="18532.590000000007"/>
    <n v="19762.920000000002"/>
    <n v="29858.215645287117"/>
    <n v="22104.473300000005"/>
    <n v="20404.129200000003"/>
    <n v="0"/>
  </r>
  <r>
    <x v="3"/>
    <s v="KIDS FAIR PLAY PATIO DESIGN"/>
    <n v="493"/>
    <x v="3"/>
    <x v="2"/>
    <x v="0"/>
    <s v="SANTA CRUZ"/>
    <s v="K 1"/>
    <x v="9"/>
    <n v="0"/>
    <n v="0"/>
    <n v="30167.03"/>
    <n v="16498.349999999999"/>
    <n v="36003.734064999975"/>
    <n v="19051.978844724985"/>
    <n v="34887.618308984973"/>
    <n v="17764.775242935149"/>
    <n v="20284.129999999997"/>
    <n v="10679.239999999991"/>
    <n v="30116.22"/>
    <n v="15335.179224"/>
    <n v="31772.612100000002"/>
    <n v="16385.92403296271"/>
    <n v="0"/>
    <n v="0"/>
    <n v="0"/>
    <n v="0.89619610513775194"/>
    <n v="0.82350635694013041"/>
    <n v="0.91"/>
    <n v="0.91"/>
    <n v="0.86"/>
    <n v="0"/>
    <n v="0"/>
    <n v="27035.574789573715"/>
    <n v="16704.110000000004"/>
    <n v="31747.732661176327"/>
    <n v="27405.760200000001"/>
    <n v="27324.446406000003"/>
    <n v="0"/>
  </r>
  <r>
    <x v="3"/>
    <s v="KIDS FAIR PLAY PATIO DESIGN"/>
    <n v="493"/>
    <x v="3"/>
    <x v="2"/>
    <x v="0"/>
    <s v="SANTA CRUZ"/>
    <s v="K 1"/>
    <x v="10"/>
    <n v="0"/>
    <n v="0"/>
    <n v="24558.6"/>
    <n v="12986.139999999998"/>
    <n v="43077.199534999963"/>
    <n v="20894.814149774986"/>
    <n v="42969.506536162466"/>
    <n v="20539.424124285659"/>
    <n v="8912.3563218390809"/>
    <n v="3675.9885268399189"/>
    <n v="42969.506536162466"/>
    <n v="20539.424124285659"/>
    <n v="45977.371993693843"/>
    <n v="21981.41510895134"/>
    <n v="0"/>
    <n v="0"/>
    <n v="0"/>
    <n v="0.76841457845047267"/>
    <n v="0.36127992566860362"/>
    <n v="0.65"/>
    <n v="0.65"/>
    <n v="0.6"/>
    <n v="0"/>
    <n v="0"/>
    <n v="18871.186266333778"/>
    <n v="3219.8554294861328"/>
    <n v="27930.179248505603"/>
    <n v="27930.179248505603"/>
    <n v="27586.423196216307"/>
    <n v="0"/>
  </r>
  <r>
    <x v="3"/>
    <s v="KIDS FAIR PLAY PATIO DESIGN"/>
    <n v="493"/>
    <x v="3"/>
    <x v="2"/>
    <x v="0"/>
    <s v="SANTA CRUZ"/>
    <s v="K 1"/>
    <x v="11"/>
    <n v="0"/>
    <n v="0"/>
    <n v="62069.249999999993"/>
    <n v="33442.859999999986"/>
    <n v="61247.428300000014"/>
    <n v="32909.529274500012"/>
    <n v="59930.608591550015"/>
    <n v="29725.581861408809"/>
    <n v="75777.155172413812"/>
    <n v="36170.316503259099"/>
    <n v="59930.608591550015"/>
    <n v="29725.581861408809"/>
    <n v="64725.057278874017"/>
    <n v="33286.633274979446"/>
    <n v="0"/>
    <n v="0"/>
    <n v="0"/>
    <n v="0.92412378109933679"/>
    <n v="0.67778855797160664"/>
    <n v="0.8"/>
    <n v="0.8"/>
    <n v="0.85000000000000009"/>
    <n v="0"/>
    <n v="0"/>
    <n v="57359.670000000006"/>
    <n v="51360.888731501029"/>
    <n v="47944.486873240014"/>
    <n v="47944.486873240014"/>
    <n v="55016.298687042923"/>
    <n v="0"/>
  </r>
  <r>
    <x v="3"/>
    <s v="KIDS FLORIDA"/>
    <n v="494"/>
    <x v="3"/>
    <x v="3"/>
    <x v="4"/>
    <s v="SANTA CRUZ"/>
    <s v="K 2"/>
    <x v="0"/>
    <n v="0"/>
    <n v="0"/>
    <n v="0"/>
    <n v="0"/>
    <n v="0"/>
    <n v="0"/>
    <n v="0"/>
    <n v="0"/>
    <n v="0"/>
    <n v="0"/>
    <n v="0"/>
    <n v="0"/>
    <n v="13418.362584000053"/>
    <n v="6917.3134379647863"/>
    <n v="14481.321839080483"/>
    <n v="7679.273531546185"/>
    <n v="0"/>
    <n v="0"/>
    <n v="0"/>
    <n v="0"/>
    <n v="0"/>
    <n v="0.86"/>
    <n v="0.983024109534676"/>
    <n v="0"/>
    <n v="0"/>
    <n v="0"/>
    <n v="0"/>
    <n v="0"/>
    <n v="11539.791822240046"/>
    <n v="14235.488505747149"/>
  </r>
  <r>
    <x v="3"/>
    <s v="KIDS FLORIDA"/>
    <n v="494"/>
    <x v="3"/>
    <x v="3"/>
    <x v="4"/>
    <s v="SANTA CRUZ"/>
    <s v="K 2"/>
    <x v="1"/>
    <n v="0"/>
    <n v="0"/>
    <n v="0"/>
    <n v="0"/>
    <n v="0"/>
    <n v="0"/>
    <n v="0"/>
    <n v="0"/>
    <n v="0"/>
    <n v="0"/>
    <n v="0"/>
    <n v="0"/>
    <n v="18115.275266000026"/>
    <n v="8347.4290032161698"/>
    <n v="27054.022988505683"/>
    <n v="11898.383694870026"/>
    <n v="0"/>
    <n v="0"/>
    <n v="0"/>
    <n v="0"/>
    <n v="0"/>
    <n v="0.49"/>
    <n v="0.49597442324850233"/>
    <n v="0"/>
    <n v="0"/>
    <n v="0"/>
    <n v="0"/>
    <n v="0"/>
    <n v="8876.4848803400128"/>
    <n v="13418.10344827583"/>
  </r>
  <r>
    <x v="3"/>
    <s v="KIDS FLORIDA"/>
    <n v="494"/>
    <x v="3"/>
    <x v="3"/>
    <x v="4"/>
    <s v="SANTA CRUZ"/>
    <s v="K 2"/>
    <x v="2"/>
    <n v="0"/>
    <n v="0"/>
    <n v="0"/>
    <n v="0"/>
    <n v="0"/>
    <n v="0"/>
    <n v="0"/>
    <n v="0"/>
    <n v="0"/>
    <n v="0"/>
    <n v="0"/>
    <n v="0"/>
    <n v="15151.356000000053"/>
    <n v="7676.254776599596"/>
    <n v="16359.977215192974"/>
    <n v="7967.3089037989785"/>
    <n v="0"/>
    <n v="0"/>
    <n v="0"/>
    <n v="0"/>
    <n v="0"/>
    <n v="0.8"/>
    <n v="0.77569629708675736"/>
    <n v="0"/>
    <n v="0"/>
    <n v="0"/>
    <n v="0"/>
    <n v="0"/>
    <n v="12121.084800000042"/>
    <n v="12690.37374624891"/>
  </r>
  <r>
    <x v="3"/>
    <s v="KIDS FLORIDA"/>
    <n v="494"/>
    <x v="3"/>
    <x v="3"/>
    <x v="4"/>
    <s v="SANTA CRUZ"/>
    <s v="K 2"/>
    <x v="3"/>
    <n v="0"/>
    <n v="0"/>
    <n v="0"/>
    <n v="0"/>
    <n v="0"/>
    <n v="0"/>
    <n v="0"/>
    <n v="0"/>
    <n v="0"/>
    <n v="0"/>
    <n v="0"/>
    <n v="0"/>
    <n v="17106.529000000068"/>
    <n v="8413.8469969064954"/>
    <n v="0"/>
    <n v="0"/>
    <n v="0"/>
    <n v="0"/>
    <n v="0"/>
    <n v="0"/>
    <n v="0"/>
    <n v="0.7"/>
    <n v="0"/>
    <n v="0"/>
    <n v="0"/>
    <n v="0"/>
    <n v="0"/>
    <n v="0"/>
    <n v="11974.570300000047"/>
    <n v="0"/>
  </r>
  <r>
    <x v="3"/>
    <s v="KIDS FLORIDA"/>
    <n v="494"/>
    <x v="3"/>
    <x v="3"/>
    <x v="4"/>
    <s v="SANTA CRUZ"/>
    <s v="K 2"/>
    <x v="4"/>
    <n v="0"/>
    <n v="0"/>
    <n v="0"/>
    <n v="0"/>
    <n v="0"/>
    <n v="0"/>
    <n v="0"/>
    <n v="0"/>
    <n v="0"/>
    <n v="0"/>
    <n v="0"/>
    <n v="0"/>
    <n v="16253.033600000002"/>
    <n v="8426.6877948906222"/>
    <n v="0"/>
    <n v="0"/>
    <n v="0"/>
    <n v="0"/>
    <n v="0"/>
    <n v="0"/>
    <n v="0"/>
    <n v="0.88"/>
    <n v="0"/>
    <n v="0"/>
    <n v="0"/>
    <n v="0"/>
    <n v="0"/>
    <n v="0"/>
    <n v="14302.669568000003"/>
    <n v="0"/>
  </r>
  <r>
    <x v="3"/>
    <s v="KIDS FLORIDA"/>
    <n v="494"/>
    <x v="3"/>
    <x v="3"/>
    <x v="4"/>
    <s v="SANTA CRUZ"/>
    <s v="K 2"/>
    <x v="5"/>
    <n v="0"/>
    <n v="0"/>
    <n v="0"/>
    <n v="0"/>
    <n v="0"/>
    <n v="0"/>
    <n v="0"/>
    <n v="0"/>
    <n v="0"/>
    <n v="0"/>
    <n v="0"/>
    <n v="0"/>
    <n v="15625.487760000025"/>
    <n v="8101.3249733517441"/>
    <n v="0"/>
    <n v="0"/>
    <n v="0"/>
    <n v="0"/>
    <n v="0"/>
    <n v="0"/>
    <n v="0"/>
    <n v="0.87999999999999989"/>
    <n v="0"/>
    <n v="0"/>
    <n v="0"/>
    <n v="0"/>
    <n v="0"/>
    <n v="0"/>
    <n v="13750.429228800022"/>
    <n v="0"/>
  </r>
  <r>
    <x v="3"/>
    <s v="KIDS FLORIDA"/>
    <n v="494"/>
    <x v="3"/>
    <x v="3"/>
    <x v="4"/>
    <s v="SANTA CRUZ"/>
    <s v="K 2"/>
    <x v="6"/>
    <n v="0"/>
    <n v="0"/>
    <n v="0"/>
    <n v="0"/>
    <n v="0"/>
    <n v="0"/>
    <n v="0"/>
    <n v="0"/>
    <n v="0"/>
    <n v="0"/>
    <n v="0"/>
    <n v="0"/>
    <n v="16328.008400000044"/>
    <n v="8465.5598754900693"/>
    <n v="0"/>
    <n v="0"/>
    <n v="0"/>
    <n v="0"/>
    <n v="0"/>
    <n v="0"/>
    <n v="0"/>
    <n v="0.88"/>
    <n v="0"/>
    <n v="0"/>
    <n v="0"/>
    <n v="0"/>
    <n v="0"/>
    <n v="0"/>
    <n v="14368.647392000039"/>
    <n v="0"/>
  </r>
  <r>
    <x v="3"/>
    <s v="KIDS FLORIDA"/>
    <n v="494"/>
    <x v="3"/>
    <x v="3"/>
    <x v="4"/>
    <s v="SANTA CRUZ"/>
    <s v="K 2"/>
    <x v="7"/>
    <n v="0"/>
    <n v="0"/>
    <n v="0"/>
    <n v="0"/>
    <n v="47871.598735800006"/>
    <n v="19509.558311817003"/>
    <n v="0"/>
    <n v="0"/>
    <n v="12563.959999999988"/>
    <n v="5065.4999999999827"/>
    <n v="11684.482799999989"/>
    <n v="4710.9149999999836"/>
    <n v="20393.804292600049"/>
    <n v="9397.3638787302461"/>
    <n v="0"/>
    <n v="0"/>
    <n v="0"/>
    <n v="0"/>
    <n v="0.37989773924781667"/>
    <n v="0"/>
    <n v="0"/>
    <n v="0.49000000000000005"/>
    <n v="0"/>
    <n v="0"/>
    <n v="0"/>
    <n v="4773.0199999999941"/>
    <n v="0"/>
    <n v="0"/>
    <n v="9992.9641033740245"/>
    <n v="0"/>
  </r>
  <r>
    <x v="3"/>
    <s v="KIDS FLORIDA"/>
    <n v="494"/>
    <x v="3"/>
    <x v="3"/>
    <x v="4"/>
    <s v="SANTA CRUZ"/>
    <s v="K 2"/>
    <x v="8"/>
    <n v="0"/>
    <n v="0"/>
    <n v="0"/>
    <n v="0"/>
    <n v="30474.822895199992"/>
    <n v="16058.828043152998"/>
    <n v="27975.887417793594"/>
    <n v="13918.003990352314"/>
    <n v="11701.019999999993"/>
    <n v="6295.3499999999931"/>
    <n v="11701.019999999993"/>
    <n v="6295.3499999999931"/>
    <n v="16527.750660000034"/>
    <n v="8373.5888028947338"/>
    <n v="0"/>
    <n v="0"/>
    <n v="0"/>
    <n v="0"/>
    <n v="0.93064963567278747"/>
    <n v="0.85"/>
    <n v="0.85"/>
    <n v="0.8"/>
    <n v="0"/>
    <n v="0"/>
    <n v="0"/>
    <n v="10889.549999999994"/>
    <n v="23779.504305124556"/>
    <n v="9945.8669999999947"/>
    <n v="13222.200528000028"/>
    <n v="0"/>
  </r>
  <r>
    <x v="3"/>
    <s v="KIDS FLORIDA"/>
    <n v="494"/>
    <x v="3"/>
    <x v="3"/>
    <x v="4"/>
    <s v="SANTA CRUZ"/>
    <s v="K 2"/>
    <x v="9"/>
    <n v="0"/>
    <n v="0"/>
    <n v="0"/>
    <n v="0"/>
    <n v="32403.360658499976"/>
    <n v="17013.997745144989"/>
    <n v="29746.285084502975"/>
    <n v="15111.112822927511"/>
    <n v="9828.5400000000009"/>
    <n v="5134.5600000000022"/>
    <n v="15411.819999999996"/>
    <n v="7829.2045599999983"/>
    <n v="17660.424159999995"/>
    <n v="9104.142819019642"/>
    <n v="0"/>
    <n v="0"/>
    <n v="0"/>
    <n v="0"/>
    <n v="0.83772767878036813"/>
    <n v="0.9"/>
    <n v="0.9"/>
    <n v="0.86"/>
    <n v="0"/>
    <n v="0"/>
    <n v="0"/>
    <n v="8233.64"/>
    <n v="26771.656576052679"/>
    <n v="13870.637999999997"/>
    <n v="15187.964777599995"/>
    <n v="0"/>
  </r>
  <r>
    <x v="3"/>
    <s v="KIDS FLORIDA"/>
    <n v="494"/>
    <x v="3"/>
    <x v="3"/>
    <x v="4"/>
    <s v="SANTA CRUZ"/>
    <s v="K 2"/>
    <x v="10"/>
    <n v="0"/>
    <n v="0"/>
    <n v="0"/>
    <n v="0"/>
    <n v="38769.479581499967"/>
    <n v="18838.545954704983"/>
    <n v="36637.158204517465"/>
    <n v="17640.79167547516"/>
    <n v="11544.540229885059"/>
    <n v="4709.1119292509784"/>
    <n v="36637.158204517465"/>
    <n v="17640.79167547516"/>
    <n v="23069.551562557503"/>
    <n v="11005.605157693895"/>
    <n v="0"/>
    <n v="0"/>
    <n v="0"/>
    <n v="0"/>
    <n v="0.37989773924781667"/>
    <n v="0.65"/>
    <n v="0.65"/>
    <n v="0.6"/>
    <n v="0"/>
    <n v="0"/>
    <n v="0"/>
    <n v="4385.7447339888031"/>
    <n v="23814.152832936354"/>
    <n v="23814.152832936354"/>
    <n v="13841.730937534501"/>
    <n v="0"/>
  </r>
  <r>
    <x v="3"/>
    <s v="KIDS FLORIDA"/>
    <n v="494"/>
    <x v="3"/>
    <x v="3"/>
    <x v="4"/>
    <s v="SANTA CRUZ"/>
    <s v="K 2"/>
    <x v="11"/>
    <n v="0"/>
    <n v="0"/>
    <n v="0"/>
    <n v="0"/>
    <n v="55122.685470000011"/>
    <n v="29887.620330150006"/>
    <n v="51098.729430690015"/>
    <n v="25447.16725648363"/>
    <n v="54975.287356321838"/>
    <n v="25793.507751027184"/>
    <n v="51098.729430690015"/>
    <n v="25447.16725648363"/>
    <n v="31622.815027375047"/>
    <n v="16255.144697178059"/>
    <n v="0"/>
    <n v="0"/>
    <n v="0"/>
    <n v="0"/>
    <n v="0.37989773924781667"/>
    <n v="0.8"/>
    <n v="0.8"/>
    <n v="0.85"/>
    <n v="0"/>
    <n v="0"/>
    <n v="0"/>
    <n v="20884.987381165745"/>
    <n v="40878.983544552015"/>
    <n v="40878.983544552015"/>
    <n v="26879.392773268788"/>
    <n v="0"/>
  </r>
  <r>
    <x v="3"/>
    <s v="KIDS LA PAZ ZONA SUR"/>
    <n v="470"/>
    <x v="3"/>
    <x v="3"/>
    <x v="4"/>
    <s v="LA PAZ"/>
    <s v="K 1"/>
    <x v="0"/>
    <n v="0"/>
    <n v="0"/>
    <n v="0"/>
    <n v="0"/>
    <n v="0"/>
    <n v="0"/>
    <n v="0"/>
    <n v="0"/>
    <n v="0"/>
    <n v="0"/>
    <n v="0"/>
    <n v="0"/>
    <n v="31533.152072400128"/>
    <n v="16255.68657921725"/>
    <n v="30441.810344827602"/>
    <n v="15791.608164404732"/>
    <n v="0"/>
    <n v="0"/>
    <n v="0"/>
    <n v="0"/>
    <n v="0"/>
    <n v="0.86"/>
    <n v="0.90482595870206484"/>
    <n v="0"/>
    <n v="0"/>
    <n v="0"/>
    <n v="0"/>
    <n v="0"/>
    <n v="27118.510782264108"/>
    <n v="27544.540229885068"/>
  </r>
  <r>
    <x v="3"/>
    <s v="KIDS LA PAZ ZONA SUR"/>
    <n v="470"/>
    <x v="3"/>
    <x v="3"/>
    <x v="4"/>
    <s v="LA PAZ"/>
    <s v="K 1"/>
    <x v="1"/>
    <n v="0"/>
    <n v="0"/>
    <n v="0"/>
    <n v="0"/>
    <n v="0"/>
    <n v="0"/>
    <n v="0"/>
    <n v="0"/>
    <n v="0"/>
    <n v="0"/>
    <n v="0"/>
    <n v="0"/>
    <n v="42570.896875100079"/>
    <n v="19616.458157558005"/>
    <n v="32512.93103448275"/>
    <n v="14017.595325863167"/>
    <n v="0"/>
    <n v="0"/>
    <n v="0"/>
    <n v="0"/>
    <n v="0"/>
    <n v="0.49"/>
    <n v="0.50947898714039486"/>
    <n v="0"/>
    <n v="0"/>
    <n v="0"/>
    <n v="0"/>
    <n v="0"/>
    <n v="20859.739468799038"/>
    <n v="16564.655172413783"/>
  </r>
  <r>
    <x v="3"/>
    <s v="KIDS LA PAZ ZONA SUR"/>
    <n v="470"/>
    <x v="3"/>
    <x v="3"/>
    <x v="4"/>
    <s v="LA PAZ"/>
    <s v="K 1"/>
    <x v="2"/>
    <n v="0"/>
    <n v="0"/>
    <n v="0"/>
    <n v="0"/>
    <n v="50313.375"/>
    <n v="26428.250625000001"/>
    <n v="0"/>
    <n v="0"/>
    <n v="0"/>
    <n v="0"/>
    <n v="0"/>
    <n v="0"/>
    <n v="35605.686600000125"/>
    <n v="18039.19872500905"/>
    <n v="22100.216316111706"/>
    <n v="10143.999289095273"/>
    <n v="0"/>
    <n v="0"/>
    <n v="0"/>
    <n v="0"/>
    <n v="0"/>
    <n v="0.8"/>
    <n v="0.65687269548029059"/>
    <n v="0"/>
    <n v="0"/>
    <n v="0"/>
    <n v="0"/>
    <n v="0"/>
    <n v="28484.549280000101"/>
    <n v="14517.028662261795"/>
  </r>
  <r>
    <x v="3"/>
    <s v="KIDS LA PAZ ZONA SUR"/>
    <n v="470"/>
    <x v="3"/>
    <x v="3"/>
    <x v="4"/>
    <s v="LA PAZ"/>
    <s v="K 1"/>
    <x v="3"/>
    <n v="0"/>
    <n v="0"/>
    <n v="0"/>
    <n v="0"/>
    <n v="70992.074999999997"/>
    <n v="35573.372625000004"/>
    <n v="0"/>
    <n v="0"/>
    <n v="0"/>
    <n v="0"/>
    <n v="0"/>
    <n v="0"/>
    <n v="40200.343150000161"/>
    <n v="19772.540442730264"/>
    <n v="0"/>
    <n v="0"/>
    <n v="0"/>
    <n v="0"/>
    <n v="0"/>
    <n v="0"/>
    <n v="0"/>
    <n v="0.7"/>
    <n v="0"/>
    <n v="0"/>
    <n v="0"/>
    <n v="0"/>
    <n v="0"/>
    <n v="0"/>
    <n v="28140.240205000111"/>
    <n v="0"/>
  </r>
  <r>
    <x v="3"/>
    <s v="KIDS LA PAZ ZONA SUR"/>
    <n v="470"/>
    <x v="3"/>
    <x v="3"/>
    <x v="4"/>
    <s v="LA PAZ"/>
    <s v="K 1"/>
    <x v="4"/>
    <n v="0"/>
    <n v="0"/>
    <n v="0"/>
    <n v="0"/>
    <n v="60851.175000000003"/>
    <n v="31758.717375"/>
    <n v="0"/>
    <n v="0"/>
    <n v="0"/>
    <n v="0"/>
    <n v="0"/>
    <n v="0"/>
    <n v="38194.628960000024"/>
    <n v="19802.716317992967"/>
    <n v="0"/>
    <n v="0"/>
    <n v="0"/>
    <n v="0"/>
    <n v="0"/>
    <n v="0"/>
    <n v="0"/>
    <n v="0.88000000000000012"/>
    <n v="0"/>
    <n v="0"/>
    <n v="0"/>
    <n v="0"/>
    <n v="0"/>
    <n v="0"/>
    <n v="33611.273484800025"/>
    <n v="0"/>
  </r>
  <r>
    <x v="3"/>
    <s v="KIDS LA PAZ ZONA SUR"/>
    <n v="470"/>
    <x v="3"/>
    <x v="3"/>
    <x v="4"/>
    <s v="LA PAZ"/>
    <s v="K 1"/>
    <x v="5"/>
    <n v="0"/>
    <n v="0"/>
    <n v="0"/>
    <n v="0"/>
    <n v="62175.144045000008"/>
    <n v="32233.009192125006"/>
    <n v="0"/>
    <n v="0"/>
    <n v="0"/>
    <n v="0"/>
    <n v="0"/>
    <n v="0"/>
    <n v="36719.896236000073"/>
    <n v="19038.113687376601"/>
    <n v="0"/>
    <n v="0"/>
    <n v="0"/>
    <n v="0"/>
    <n v="0"/>
    <n v="0"/>
    <n v="0"/>
    <n v="0.88"/>
    <n v="0"/>
    <n v="0"/>
    <n v="0"/>
    <n v="0"/>
    <n v="0"/>
    <n v="0"/>
    <n v="32313.508687680063"/>
    <n v="0"/>
  </r>
  <r>
    <x v="3"/>
    <s v="KIDS LA PAZ ZONA SUR"/>
    <n v="470"/>
    <x v="3"/>
    <x v="3"/>
    <x v="4"/>
    <s v="LA PAZ"/>
    <s v="K 1"/>
    <x v="6"/>
    <n v="0"/>
    <n v="0"/>
    <n v="0"/>
    <n v="0"/>
    <n v="75978.845355000012"/>
    <n v="38851.62358717501"/>
    <n v="0"/>
    <n v="0"/>
    <n v="0"/>
    <n v="0"/>
    <n v="0"/>
    <n v="0"/>
    <n v="38370.819740000101"/>
    <n v="19894.065707401656"/>
    <n v="0"/>
    <n v="0"/>
    <n v="0"/>
    <n v="0"/>
    <n v="0"/>
    <n v="0"/>
    <n v="0"/>
    <n v="0.88"/>
    <n v="0"/>
    <n v="0"/>
    <n v="0"/>
    <n v="0"/>
    <n v="0"/>
    <n v="0"/>
    <n v="33766.321371200087"/>
    <n v="0"/>
  </r>
  <r>
    <x v="3"/>
    <s v="KIDS LA PAZ ZONA SUR"/>
    <n v="470"/>
    <x v="3"/>
    <x v="3"/>
    <x v="4"/>
    <s v="LA PAZ"/>
    <s v="K 1"/>
    <x v="7"/>
    <n v="0"/>
    <n v="0"/>
    <n v="0"/>
    <n v="0"/>
    <n v="82161.219272999981"/>
    <n v="33652.936212944995"/>
    <n v="0"/>
    <n v="0"/>
    <n v="0"/>
    <n v="0"/>
    <n v="0"/>
    <n v="0"/>
    <n v="47925.440087610128"/>
    <n v="22083.805115016083"/>
    <n v="0"/>
    <n v="0"/>
    <n v="0"/>
    <n v="0"/>
    <n v="0"/>
    <n v="0"/>
    <n v="0"/>
    <n v="0.48999999999999994"/>
    <n v="0"/>
    <n v="0"/>
    <n v="0"/>
    <n v="0"/>
    <n v="0"/>
    <n v="0"/>
    <n v="23483.465642928961"/>
    <n v="0"/>
  </r>
  <r>
    <x v="3"/>
    <s v="KIDS LA PAZ ZONA SUR"/>
    <n v="470"/>
    <x v="3"/>
    <x v="3"/>
    <x v="4"/>
    <s v="LA PAZ"/>
    <s v="K 1"/>
    <x v="8"/>
    <n v="0"/>
    <n v="0"/>
    <n v="0"/>
    <n v="0"/>
    <n v="60298.90942950001"/>
    <n v="32136.203232630003"/>
    <n v="36483.722918879997"/>
    <n v="18150.652152142797"/>
    <n v="0"/>
    <n v="0"/>
    <n v="0"/>
    <n v="0"/>
    <n v="38840.214051000097"/>
    <n v="19677.933686802629"/>
    <n v="0"/>
    <n v="0"/>
    <n v="0"/>
    <n v="0"/>
    <n v="0"/>
    <n v="0.85"/>
    <n v="0.85"/>
    <n v="0.8"/>
    <n v="0"/>
    <n v="0"/>
    <n v="0"/>
    <n v="0"/>
    <n v="31011.164481047996"/>
    <n v="0"/>
    <n v="31072.171240800079"/>
    <n v="0"/>
  </r>
  <r>
    <x v="3"/>
    <s v="KIDS LA PAZ ZONA SUR"/>
    <n v="470"/>
    <x v="3"/>
    <x v="3"/>
    <x v="4"/>
    <s v="LA PAZ"/>
    <s v="K 1"/>
    <x v="9"/>
    <n v="0"/>
    <n v="0"/>
    <n v="0"/>
    <n v="0"/>
    <n v="68957.63602874997"/>
    <n v="35918.61230238749"/>
    <n v="35406.424882224004"/>
    <n v="17986.463840169796"/>
    <n v="52417.430000000168"/>
    <n v="25118.050000000167"/>
    <n v="51346.200000000019"/>
    <n v="26083.869600000009"/>
    <n v="41501.996775999978"/>
    <n v="21394.735624696154"/>
    <n v="0"/>
    <n v="0"/>
    <n v="0"/>
    <n v="0"/>
    <n v="0.39117217307296454"/>
    <n v="0.9"/>
    <n v="0.9"/>
    <n v="0.86"/>
    <n v="0"/>
    <n v="0"/>
    <n v="0"/>
    <n v="20504.240000000071"/>
    <n v="31865.782394001606"/>
    <n v="46211.580000000016"/>
    <n v="35691.717227359979"/>
    <n v="0"/>
  </r>
  <r>
    <x v="3"/>
    <s v="KIDS LA PAZ ZONA SUR"/>
    <n v="470"/>
    <x v="3"/>
    <x v="3"/>
    <x v="4"/>
    <s v="LA PAZ"/>
    <s v="K 1"/>
    <x v="10"/>
    <n v="0"/>
    <n v="0"/>
    <n v="0"/>
    <n v="0"/>
    <n v="80662.767701250006"/>
    <n v="38955.070305900008"/>
    <n v="48541.183886159983"/>
    <n v="23372.580041186033"/>
    <n v="54802.729885057459"/>
    <n v="21837.663491507639"/>
    <n v="48465.086206896551"/>
    <n v="23335.939008620691"/>
    <n v="54213.446172010146"/>
    <n v="25863.172120580661"/>
    <n v="0"/>
    <n v="0"/>
    <n v="0"/>
    <n v="0"/>
    <n v="0.32109976904987159"/>
    <n v="0.65"/>
    <n v="0.65"/>
    <n v="0.6"/>
    <n v="0"/>
    <n v="0"/>
    <n v="0"/>
    <n v="17597.143909394446"/>
    <n v="31551.769526003991"/>
    <n v="31502.306034482757"/>
    <n v="32528.067703206085"/>
    <n v="0"/>
  </r>
  <r>
    <x v="3"/>
    <s v="KIDS LA PAZ ZONA SUR"/>
    <n v="470"/>
    <x v="3"/>
    <x v="3"/>
    <x v="4"/>
    <s v="LA PAZ"/>
    <s v="K 1"/>
    <x v="11"/>
    <n v="0"/>
    <n v="0"/>
    <n v="0"/>
    <n v="0"/>
    <n v="112716.25968750022"/>
    <n v="59834.045931187611"/>
    <n v="94841.085373920054"/>
    <n v="47230.860516212182"/>
    <n v="66363.14655172416"/>
    <n v="31577.717081596005"/>
    <n v="94841.085373920054"/>
    <n v="47230.860516212182"/>
    <n v="74313.615314331386"/>
    <n v="38199.590038368449"/>
    <n v="0"/>
    <n v="0"/>
    <n v="0"/>
    <n v="0"/>
    <n v="0.59497069540048797"/>
    <n v="0.79999999999999993"/>
    <n v="0.79999999999999993"/>
    <n v="0.85000000000000009"/>
    <n v="0"/>
    <n v="0"/>
    <n v="0"/>
    <n v="39484.127452843815"/>
    <n v="75872.86829913604"/>
    <n v="75872.86829913604"/>
    <n v="63166.573017181683"/>
    <n v="0"/>
  </r>
  <r>
    <x v="3"/>
    <s v="KIDS LAS BRISAS"/>
    <n v="492"/>
    <x v="3"/>
    <x v="2"/>
    <x v="0"/>
    <s v="SANTA CRUZ"/>
    <s v="K 1"/>
    <x v="0"/>
    <n v="0"/>
    <n v="0"/>
    <n v="0"/>
    <n v="0"/>
    <n v="64064.454093749999"/>
    <n v="33578.513399218748"/>
    <n v="26373.19"/>
    <n v="14148.047875970044"/>
    <n v="26373.189999999995"/>
    <n v="14174.659999999993"/>
    <n v="29010.509000000035"/>
    <n v="15592.126000000013"/>
    <n v="32781.875170000043"/>
    <n v="16841.949282758767"/>
    <n v="39202.298850574698"/>
    <n v="20995.913133775361"/>
    <n v="0"/>
    <n v="0"/>
    <n v="0.92480219884371151"/>
    <n v="0.92480219884371151"/>
    <n v="0.92480219884371151"/>
    <n v="0.86"/>
    <n v="0.95379478684102514"/>
    <n v="0"/>
    <n v="0"/>
    <n v="24389.98410252298"/>
    <n v="24389.984102522983"/>
    <n v="26828.982512775314"/>
    <n v="28192.412646200035"/>
    <n v="37390.948275862058"/>
  </r>
  <r>
    <x v="3"/>
    <s v="KIDS LAS BRISAS"/>
    <n v="492"/>
    <x v="3"/>
    <x v="2"/>
    <x v="0"/>
    <s v="SANTA CRUZ"/>
    <s v="K 1"/>
    <x v="1"/>
    <n v="0"/>
    <n v="0"/>
    <n v="0"/>
    <n v="0"/>
    <n v="85885"/>
    <n v="36465.9"/>
    <n v="44078.700000000004"/>
    <n v="20862.780089195719"/>
    <n v="44078.700000000004"/>
    <n v="20901.970000000008"/>
    <n v="48486.570000000036"/>
    <n v="22992.167000000023"/>
    <n v="54304.958400000047"/>
    <n v="24683.274134034211"/>
    <n v="45022.270114942476"/>
    <n v="19053.247078144654"/>
    <n v="0"/>
    <n v="0"/>
    <n v="0.50905226264603942"/>
    <n v="0.50905226264603975"/>
    <n v="0.50905226264603975"/>
    <n v="0.49"/>
    <n v="0.45880550812975718"/>
    <n v="0"/>
    <n v="0"/>
    <n v="22438.361969495982"/>
    <n v="22438.361969495996"/>
    <n v="24682.198166445611"/>
    <n v="26609.429616000023"/>
    <n v="20656.465517241362"/>
  </r>
  <r>
    <x v="3"/>
    <s v="KIDS LAS BRISAS"/>
    <n v="492"/>
    <x v="3"/>
    <x v="2"/>
    <x v="0"/>
    <s v="SANTA CRUZ"/>
    <s v="K 1"/>
    <x v="2"/>
    <n v="0"/>
    <n v="0"/>
    <n v="0"/>
    <n v="0"/>
    <n v="63877.5"/>
    <n v="31314.362499999999"/>
    <n v="47374.460000000021"/>
    <n v="22757.596604218543"/>
    <n v="47374.460000000028"/>
    <n v="22869.770000000008"/>
    <n v="47374.460000000137"/>
    <n v="22869.770000000062"/>
    <n v="49743.18300000015"/>
    <n v="25078.202237773821"/>
    <n v="37695.963391071462"/>
    <n v="18320.238208060731"/>
    <n v="0"/>
    <n v="0"/>
    <n v="0.59497069540048797"/>
    <n v="0.59497069540048764"/>
    <n v="0.59497069540048764"/>
    <n v="0.8"/>
    <n v="0.83087298285564193"/>
    <n v="0"/>
    <n v="0"/>
    <n v="28186.415410422618"/>
    <n v="28186.415410422596"/>
    <n v="28186.415410422669"/>
    <n v="39794.546400000123"/>
    <n v="31320.557544356623"/>
  </r>
  <r>
    <x v="3"/>
    <s v="KIDS LAS BRISAS"/>
    <n v="492"/>
    <x v="3"/>
    <x v="2"/>
    <x v="0"/>
    <s v="SANTA CRUZ"/>
    <s v="K 1"/>
    <x v="3"/>
    <n v="0"/>
    <n v="0"/>
    <n v="0"/>
    <n v="0"/>
    <n v="67611.5"/>
    <n v="33879.402499999997"/>
    <n v="48630.389999999992"/>
    <n v="25425.646583221442"/>
    <n v="48630.390000000007"/>
    <n v="25423.590000000018"/>
    <n v="48630.390000000007"/>
    <n v="25423.590000000018"/>
    <n v="52034.517300000007"/>
    <n v="25400.451799714185"/>
    <n v="0"/>
    <n v="0"/>
    <n v="0"/>
    <n v="0"/>
    <n v="0.87626427221716208"/>
    <n v="0.87626427221716174"/>
    <n v="0.87626427221716174"/>
    <n v="0.7"/>
    <n v="0"/>
    <n v="0"/>
    <n v="0"/>
    <n v="42613.073300986762"/>
    <n v="42613.073300986733"/>
    <n v="42613.073300986747"/>
    <n v="36424.162110000005"/>
    <n v="0"/>
  </r>
  <r>
    <x v="3"/>
    <s v="KIDS LAS BRISAS"/>
    <n v="492"/>
    <x v="3"/>
    <x v="2"/>
    <x v="0"/>
    <s v="SANTA CRUZ"/>
    <s v="K 1"/>
    <x v="4"/>
    <n v="0"/>
    <n v="0"/>
    <n v="0"/>
    <n v="0"/>
    <n v="57953.5"/>
    <n v="30246.397499999999"/>
    <n v="40655.430000000037"/>
    <n v="21543.428356107812"/>
    <n v="40655.430000000037"/>
    <n v="21597.070000000043"/>
    <n v="40655.430000000037"/>
    <n v="21597.070000000043"/>
    <n v="42688.201500000039"/>
    <n v="22068.068281006585"/>
    <n v="0"/>
    <n v="0"/>
    <n v="0"/>
    <n v="0"/>
    <n v="0.91291288854529673"/>
    <n v="0.91291288854529673"/>
    <n v="0.91291288854529673"/>
    <n v="0.88"/>
    <n v="0"/>
    <n v="0"/>
    <n v="0"/>
    <n v="37114.866036351144"/>
    <n v="37114.866036351144"/>
    <n v="37114.866036351144"/>
    <n v="37565.617320000034"/>
    <n v="0"/>
  </r>
  <r>
    <x v="3"/>
    <s v="KIDS LAS BRISAS"/>
    <n v="492"/>
    <x v="3"/>
    <x v="2"/>
    <x v="0"/>
    <s v="SANTA CRUZ"/>
    <s v="K 1"/>
    <x v="5"/>
    <n v="0"/>
    <n v="0"/>
    <n v="45246.619999999995"/>
    <n v="23499.399999999983"/>
    <n v="59214.422900000005"/>
    <n v="30698.103992500004"/>
    <n v="44221.329999999965"/>
    <n v="23952.631193687688"/>
    <n v="44221.329999999973"/>
    <n v="23948.159999999953"/>
    <n v="44221.32999999998"/>
    <n v="23948.15999999996"/>
    <n v="46432.396499999973"/>
    <n v="24003.665191019343"/>
    <n v="0"/>
    <n v="0"/>
    <n v="0"/>
    <n v="0.9674519334261874"/>
    <n v="0.96288897628187597"/>
    <n v="0.96288897628187609"/>
    <n v="0.96288897628187609"/>
    <n v="0.88"/>
    <n v="0"/>
    <n v="0"/>
    <n v="43773.929999999993"/>
    <n v="42580.231173522981"/>
    <n v="42580.231173522981"/>
    <n v="42580.231173522996"/>
    <n v="40860.508919999978"/>
    <n v="0"/>
  </r>
  <r>
    <x v="3"/>
    <s v="KIDS LAS BRISAS"/>
    <n v="492"/>
    <x v="3"/>
    <x v="2"/>
    <x v="0"/>
    <s v="SANTA CRUZ"/>
    <s v="K 1"/>
    <x v="6"/>
    <n v="0"/>
    <n v="0"/>
    <n v="77241.439999999973"/>
    <n v="41025.14999999998"/>
    <n v="72360.805100000012"/>
    <n v="37001.546273500004"/>
    <n v="39070.579999999987"/>
    <n v="21016.815782626541"/>
    <n v="39128.049999999974"/>
    <n v="21047.729999999967"/>
    <n v="39128.050000000068"/>
    <n v="21047.730000000018"/>
    <n v="43432.135500000077"/>
    <n v="22452.651977008936"/>
    <n v="0"/>
    <n v="0"/>
    <n v="0"/>
    <n v="0.96998722447432395"/>
    <n v="0.93218624490614799"/>
    <n v="0.93218624490614799"/>
    <n v="0.93218624490614799"/>
    <n v="0.88"/>
    <n v="0"/>
    <n v="0"/>
    <n v="74923.209999999992"/>
    <n v="36474.629999999983"/>
    <n v="36421.057256505235"/>
    <n v="36474.63000000007"/>
    <n v="38220.279240000069"/>
    <n v="0"/>
  </r>
  <r>
    <x v="3"/>
    <s v="KIDS LAS BRISAS"/>
    <n v="492"/>
    <x v="3"/>
    <x v="2"/>
    <x v="0"/>
    <s v="SANTA CRUZ"/>
    <s v="K 1"/>
    <x v="7"/>
    <n v="0"/>
    <n v="0"/>
    <n v="74040.299999999974"/>
    <n v="36538.679999999978"/>
    <n v="78248.780259999985"/>
    <n v="32050.415440899989"/>
    <n v="62599.024207999995"/>
    <n v="26548.2461666128"/>
    <n v="61195.029999999962"/>
    <n v="23423.169999999947"/>
    <n v="56911.377899999905"/>
    <n v="24136.115367389961"/>
    <n v="59187.833015999902"/>
    <n v="26902.690855083416"/>
    <n v="0"/>
    <n v="0"/>
    <n v="0"/>
    <n v="0.74389366331578921"/>
    <n v="0.32109976904987159"/>
    <n v="0.38"/>
    <n v="0.38"/>
    <n v="0.48999999999999994"/>
    <n v="0"/>
    <n v="0"/>
    <n v="55078.110000000008"/>
    <n v="19649.709999999952"/>
    <n v="23787.629199039999"/>
    <n v="21626.323601999964"/>
    <n v="29002.03817783995"/>
    <n v="0"/>
  </r>
  <r>
    <x v="3"/>
    <s v="KIDS LAS BRISAS"/>
    <n v="492"/>
    <x v="3"/>
    <x v="2"/>
    <x v="0"/>
    <s v="SANTA CRUZ"/>
    <s v="K 1"/>
    <x v="8"/>
    <n v="0"/>
    <n v="0"/>
    <n v="46942.679999999993"/>
    <n v="24509.629999999994"/>
    <n v="57427.532790000005"/>
    <n v="30605.907840600001"/>
    <n v="56818.800942426002"/>
    <n v="28932.133439883321"/>
    <n v="33309.390000000014"/>
    <n v="16832.639999999996"/>
    <n v="33309.390000000014"/>
    <n v="16832.639999999996"/>
    <n v="36640.329000000012"/>
    <n v="18472.351894340311"/>
    <n v="0"/>
    <n v="0"/>
    <n v="0"/>
    <n v="0.84433040192710296"/>
    <n v="0.79104871028860002"/>
    <n v="0.90999999999999992"/>
    <n v="0.90999999999999992"/>
    <n v="0.79999999999999993"/>
    <n v="0"/>
    <n v="0"/>
    <n v="39635.131871935373"/>
    <n v="26349.350000000002"/>
    <n v="51705.108857607658"/>
    <n v="30311.544900000012"/>
    <n v="29312.263200000009"/>
    <n v="0"/>
  </r>
  <r>
    <x v="3"/>
    <s v="KIDS LAS BRISAS"/>
    <n v="492"/>
    <x v="3"/>
    <x v="2"/>
    <x v="0"/>
    <s v="SANTA CRUZ"/>
    <s v="K 1"/>
    <x v="9"/>
    <n v="0"/>
    <n v="0"/>
    <n v="48339.819999999992"/>
    <n v="25766.69999999999"/>
    <n v="65673.939074999973"/>
    <n v="34208.202192749988"/>
    <n v="64977.795320804973"/>
    <n v="33086.693377353891"/>
    <n v="25419.900000000005"/>
    <n v="13203.939999999982"/>
    <n v="39140.81"/>
    <n v="19930.500451999997"/>
    <n v="41097.8505"/>
    <n v="21114.347796212445"/>
    <n v="0"/>
    <n v="0"/>
    <n v="0"/>
    <n v="0.90946243111624925"/>
    <n v="0.76203997655380262"/>
    <n v="0.91"/>
    <n v="0.91"/>
    <n v="0.86"/>
    <n v="0"/>
    <n v="0"/>
    <n v="43963.250216921879"/>
    <n v="19370.98000000001"/>
    <n v="59129.793741932524"/>
    <n v="35618.1371"/>
    <n v="35344.151429999998"/>
    <n v="0"/>
  </r>
  <r>
    <x v="3"/>
    <s v="KIDS LAS BRISAS"/>
    <n v="492"/>
    <x v="3"/>
    <x v="2"/>
    <x v="0"/>
    <s v="SANTA CRUZ"/>
    <s v="K 1"/>
    <x v="10"/>
    <n v="0"/>
    <n v="0"/>
    <n v="47061.999999999985"/>
    <n v="24358.799999999999"/>
    <n v="76821.683525"/>
    <n v="37100.066958000003"/>
    <n v="78242.884670212501"/>
    <n v="37400.098872361581"/>
    <n v="18589.080459770117"/>
    <n v="7245.4550084214789"/>
    <n v="78242.884670212501"/>
    <n v="37400.098872361581"/>
    <n v="82937.457750425252"/>
    <n v="39157.99574012815"/>
    <n v="0"/>
    <n v="0"/>
    <n v="0"/>
    <n v="0.77264268220729426"/>
    <n v="0.32109976904987159"/>
    <n v="0.65"/>
    <n v="0.65"/>
    <n v="0.6"/>
    <n v="0"/>
    <n v="0"/>
    <n v="36362.109910039668"/>
    <n v="5968.9494424816658"/>
    <n v="50857.875035638128"/>
    <n v="50857.875035638128"/>
    <n v="49762.47465025515"/>
    <n v="0"/>
  </r>
  <r>
    <x v="3"/>
    <s v="KIDS LAS BRISAS"/>
    <n v="492"/>
    <x v="3"/>
    <x v="2"/>
    <x v="0"/>
    <s v="SANTA CRUZ"/>
    <s v="K 1"/>
    <x v="11"/>
    <n v="0"/>
    <n v="0"/>
    <n v="105611.84999999998"/>
    <n v="55807.25999999998"/>
    <n v="107348.81875000019"/>
    <n v="56984.805648750109"/>
    <n v="107252.20481312519"/>
    <n v="53197.093587310104"/>
    <n v="104681.6091954023"/>
    <n v="48689.503507020403"/>
    <n v="107252.20481312519"/>
    <n v="53197.093587310104"/>
    <n v="111542.29300565022"/>
    <n v="57127.191149693565"/>
    <n v="0"/>
    <n v="0"/>
    <n v="0"/>
    <n v="0.89510078651212099"/>
    <n v="0.59497069540048797"/>
    <n v="0.8"/>
    <n v="0.8"/>
    <n v="0.85"/>
    <n v="0"/>
    <n v="0"/>
    <n v="94533.250000000131"/>
    <n v="62282.489818630624"/>
    <n v="85801.763850500167"/>
    <n v="85801.763850500167"/>
    <n v="94810.949054802681"/>
    <n v="0"/>
  </r>
  <r>
    <x v="3"/>
    <s v="KIDS PASEO ARANJUEZ"/>
    <n v="480"/>
    <x v="3"/>
    <x v="2"/>
    <x v="0"/>
    <s v="COCHABAMBA"/>
    <s v="K 1"/>
    <x v="0"/>
    <n v="0"/>
    <n v="0"/>
    <n v="0"/>
    <n v="0"/>
    <n v="35369.069875000001"/>
    <n v="18434.111684374999"/>
    <n v="25308.86"/>
    <n v="13629.939999999999"/>
    <n v="25308.86"/>
    <n v="13629.94000000001"/>
    <n v="30370.632000000027"/>
    <n v="16355.928000000025"/>
    <n v="31889.163600000029"/>
    <n v="16439.214435803387"/>
    <n v="39822.413793103464"/>
    <n v="21179.909866587834"/>
    <n v="0"/>
    <n v="0"/>
    <n v="0.92200399385827714"/>
    <n v="0.92200399385827725"/>
    <n v="0.92200399385827725"/>
    <n v="0.86"/>
    <n v="0.94911316043930671"/>
    <n v="0"/>
    <n v="0"/>
    <n v="23334.869999999995"/>
    <n v="23334.87"/>
    <n v="28001.844000000023"/>
    <n v="27424.680696000025"/>
    <n v="37795.977011494266"/>
  </r>
  <r>
    <x v="3"/>
    <s v="KIDS PASEO ARANJUEZ"/>
    <n v="480"/>
    <x v="3"/>
    <x v="2"/>
    <x v="0"/>
    <s v="COCHABAMBA"/>
    <s v="K 1"/>
    <x v="1"/>
    <n v="0"/>
    <n v="0"/>
    <n v="0"/>
    <n v="0"/>
    <n v="43365"/>
    <n v="18636.224999999999"/>
    <n v="37929.439999999966"/>
    <n v="18009.870504515129"/>
    <n v="37929.439999999981"/>
    <n v="18169.369999999988"/>
    <n v="47701.500000000007"/>
    <n v="22850.487722861188"/>
    <n v="45316.42500000001"/>
    <n v="20881.583901573038"/>
    <n v="36847.988505747096"/>
    <n v="16278.471773571993"/>
    <n v="0"/>
    <n v="0"/>
    <n v="0.54235858223932787"/>
    <n v="0.54235858223932742"/>
    <n v="0.54235858223932742"/>
    <n v="0.49"/>
    <n v="0.51586589826173124"/>
    <n v="0"/>
    <n v="0"/>
    <n v="20571.35730353164"/>
    <n v="20571.357303531619"/>
    <n v="25871.317910689282"/>
    <n v="22205.048250000003"/>
    <n v="19008.620689655174"/>
  </r>
  <r>
    <x v="3"/>
    <s v="KIDS PASEO ARANJUEZ"/>
    <n v="480"/>
    <x v="3"/>
    <x v="2"/>
    <x v="0"/>
    <s v="COCHABAMBA"/>
    <s v="K 1"/>
    <x v="2"/>
    <n v="0"/>
    <n v="0"/>
    <n v="0"/>
    <n v="0"/>
    <n v="35147.5"/>
    <n v="17298.375"/>
    <n v="30485.879999999997"/>
    <n v="14868.803682727292"/>
    <n v="30485.880000000008"/>
    <n v="14909.580000000002"/>
    <n v="35147.5"/>
    <n v="17189.415658987044"/>
    <n v="39365.200000000004"/>
    <n v="19943.911589945968"/>
    <n v="28302.899180744873"/>
    <n v="14123.146691191692"/>
    <n v="0"/>
    <n v="0"/>
    <n v="0.62849140671390136"/>
    <n v="0.62849140671390125"/>
    <n v="0.62849140671390125"/>
    <n v="0.8"/>
    <n v="0.87214101806670907"/>
    <n v="0"/>
    <n v="0"/>
    <n v="19160.113606111197"/>
    <n v="19160.113606111187"/>
    <n v="22089.901717476845"/>
    <n v="31492.160000000003"/>
    <n v="24684.119305734261"/>
  </r>
  <r>
    <x v="3"/>
    <s v="KIDS PASEO ARANJUEZ"/>
    <n v="480"/>
    <x v="3"/>
    <x v="2"/>
    <x v="0"/>
    <s v="COCHABAMBA"/>
    <s v="K 1"/>
    <x v="3"/>
    <n v="0"/>
    <n v="0"/>
    <n v="0"/>
    <n v="0"/>
    <n v="37914.5"/>
    <n v="18757.985000000001"/>
    <n v="32751.46"/>
    <n v="17408.459999999995"/>
    <n v="32751.459999999992"/>
    <n v="17408.459999999985"/>
    <n v="37914.5"/>
    <n v="20152.782705564867"/>
    <n v="40568.514999999999"/>
    <n v="19953.625782395993"/>
    <n v="0"/>
    <n v="0"/>
    <n v="0"/>
    <n v="0"/>
    <n v="0.89555061056820051"/>
    <n v="0.89555061056820051"/>
    <n v="0.89555061056820051"/>
    <n v="0.70000000000000007"/>
    <n v="0"/>
    <n v="0"/>
    <n v="0"/>
    <n v="29330.589999999989"/>
    <n v="29330.589999999997"/>
    <n v="33954.353624388037"/>
    <n v="28397.960500000001"/>
    <n v="0"/>
  </r>
  <r>
    <x v="3"/>
    <s v="KIDS PASEO ARANJUEZ"/>
    <n v="480"/>
    <x v="3"/>
    <x v="2"/>
    <x v="0"/>
    <s v="COCHABAMBA"/>
    <s v="K 1"/>
    <x v="4"/>
    <n v="0"/>
    <n v="0"/>
    <n v="0"/>
    <n v="0"/>
    <n v="32790.5"/>
    <n v="17418.014999999999"/>
    <n v="31428.320000000014"/>
    <n v="16583.015847315357"/>
    <n v="31428.320000000029"/>
    <n v="16611.250000000029"/>
    <n v="31428.320000000029"/>
    <n v="16611.250000000029"/>
    <n v="32999.736000000034"/>
    <n v="17109.327368019032"/>
    <n v="0"/>
    <n v="0"/>
    <n v="0"/>
    <n v="0"/>
    <n v="0.90830770444598485"/>
    <n v="0.90830770444598496"/>
    <n v="0.90830770444598496"/>
    <n v="0.87999999999999989"/>
    <n v="0"/>
    <n v="0"/>
    <n v="0"/>
    <n v="28546.585193793861"/>
    <n v="28546.58519379385"/>
    <n v="28546.585193793864"/>
    <n v="29039.767680000026"/>
    <n v="0"/>
  </r>
  <r>
    <x v="3"/>
    <s v="KIDS PASEO ARANJUEZ"/>
    <n v="480"/>
    <x v="3"/>
    <x v="2"/>
    <x v="0"/>
    <s v="COCHABAMBA"/>
    <s v="K 1"/>
    <x v="5"/>
    <n v="0"/>
    <n v="0"/>
    <n v="0"/>
    <n v="0"/>
    <n v="32792.5"/>
    <n v="17077.650000000001"/>
    <n v="27073.539999999997"/>
    <n v="14586.589999999975"/>
    <n v="27073.54"/>
    <n v="14586.590000000002"/>
    <n v="27073.540000000012"/>
    <n v="14586.590000000009"/>
    <n v="30863.835600000009"/>
    <n v="16001.930049171297"/>
    <n v="0"/>
    <n v="0"/>
    <n v="0"/>
    <n v="0"/>
    <n v="0.96374910706172889"/>
    <n v="0.96374910706172878"/>
    <n v="0.96374910706172878"/>
    <n v="0.88"/>
    <n v="0"/>
    <n v="0"/>
    <n v="0"/>
    <n v="26092.100000000002"/>
    <n v="26092.099999999995"/>
    <n v="26092.100000000009"/>
    <n v="27160.175328000008"/>
    <n v="0"/>
  </r>
  <r>
    <x v="3"/>
    <s v="KIDS PASEO ARANJUEZ"/>
    <n v="480"/>
    <x v="3"/>
    <x v="2"/>
    <x v="0"/>
    <s v="COCHABAMBA"/>
    <s v="K 1"/>
    <x v="6"/>
    <n v="0"/>
    <n v="0"/>
    <n v="20700.329999999991"/>
    <n v="11090.779999999995"/>
    <n v="39077.368199999997"/>
    <n v="19956.241986999998"/>
    <n v="34546.049999999996"/>
    <n v="18728.909999999953"/>
    <n v="34546.050000000003"/>
    <n v="18728.909999999996"/>
    <n v="34546.049999999981"/>
    <n v="18728.909999999985"/>
    <n v="36618.812999999973"/>
    <n v="18985.705202164958"/>
    <n v="0"/>
    <n v="0"/>
    <n v="0"/>
    <n v="0.964646940411095"/>
    <n v="0.9680979446275334"/>
    <n v="0.96809794462753329"/>
    <n v="0.96809794462753329"/>
    <n v="0.88"/>
    <n v="0"/>
    <n v="0"/>
    <n v="19968.509999999995"/>
    <n v="33443.960000000006"/>
    <n v="33443.959999999992"/>
    <n v="33443.959999999977"/>
    <n v="32224.555439999975"/>
    <n v="0"/>
  </r>
  <r>
    <x v="3"/>
    <s v="KIDS PASEO ARANJUEZ"/>
    <n v="480"/>
    <x v="3"/>
    <x v="2"/>
    <x v="0"/>
    <s v="COCHABAMBA"/>
    <s v="K 1"/>
    <x v="7"/>
    <n v="0"/>
    <n v="0"/>
    <n v="46098.52"/>
    <n v="22230.249999999993"/>
    <n v="50657.776440000001"/>
    <n v="20645.035250600002"/>
    <n v="43059.109973999999"/>
    <n v="18380.211683501639"/>
    <n v="53297.31"/>
    <n v="23004.619999999988"/>
    <n v="53297.31"/>
    <n v="22750.4897466"/>
    <n v="55962.175499999998"/>
    <n v="25787.092936342724"/>
    <n v="0"/>
    <n v="0"/>
    <n v="0"/>
    <n v="0.68260950575051527"/>
    <n v="0.41910182709033478"/>
    <n v="0.42999999999999994"/>
    <n v="0.42999999999999994"/>
    <n v="0.49"/>
    <n v="0"/>
    <n v="0"/>
    <n v="31467.287953030242"/>
    <n v="22336.999999999971"/>
    <n v="18515.417288819997"/>
    <n v="22917.843299999997"/>
    <n v="27421.465994999999"/>
    <n v="0"/>
  </r>
  <r>
    <x v="3"/>
    <s v="KIDS PASEO ARANJUEZ"/>
    <n v="480"/>
    <x v="3"/>
    <x v="2"/>
    <x v="0"/>
    <s v="COCHABAMBA"/>
    <s v="K 1"/>
    <x v="8"/>
    <n v="0"/>
    <n v="0"/>
    <n v="34782.979999999996"/>
    <n v="18274.669999999998"/>
    <n v="33046.850469999998"/>
    <n v="17420.544017299999"/>
    <n v="32022.398105429995"/>
    <n v="15931.143057451423"/>
    <n v="23506.760000000013"/>
    <n v="11477.990000000023"/>
    <n v="32022.398105429995"/>
    <n v="15636.045343132995"/>
    <n v="36505.533840190197"/>
    <n v="18495.095654347846"/>
    <n v="0"/>
    <n v="0"/>
    <n v="0"/>
    <n v="0.83371407510224849"/>
    <n v="0.7276889590705915"/>
    <n v="0.85"/>
    <n v="0.85"/>
    <n v="0.79999999999999993"/>
    <n v="0"/>
    <n v="0"/>
    <n v="28999.060000000005"/>
    <n v="17105.609715522227"/>
    <n v="27219.038389615496"/>
    <n v="27219.038389615496"/>
    <n v="29204.427072152157"/>
    <n v="0"/>
  </r>
  <r>
    <x v="3"/>
    <s v="KIDS PASEO ARANJUEZ"/>
    <n v="480"/>
    <x v="3"/>
    <x v="2"/>
    <x v="0"/>
    <s v="COCHABAMBA"/>
    <s v="K 1"/>
    <x v="9"/>
    <n v="0"/>
    <n v="0"/>
    <n v="33364.300000000003"/>
    <n v="17841.45"/>
    <n v="35634.485590000004"/>
    <n v="18719.959751099999"/>
    <n v="34529.816536710008"/>
    <n v="17541.146800648687"/>
    <n v="31593.43"/>
    <n v="15941.729999999996"/>
    <n v="34529.816536710008"/>
    <n v="17541.146800648687"/>
    <n v="36601.605528912609"/>
    <n v="18868.530060301764"/>
    <n v="0"/>
    <n v="0"/>
    <n v="0"/>
    <n v="0.9021022470125255"/>
    <n v="0.68794208162899739"/>
    <n v="0.9"/>
    <n v="0.9"/>
    <n v="0.86"/>
    <n v="0"/>
    <n v="0"/>
    <n v="30098.010000000006"/>
    <n v="21734.450000000015"/>
    <n v="31076.83488303901"/>
    <n v="31076.83488303901"/>
    <n v="31477.380754864844"/>
    <n v="0"/>
  </r>
  <r>
    <x v="3"/>
    <s v="KIDS PASEO ARANJUEZ"/>
    <n v="480"/>
    <x v="3"/>
    <x v="2"/>
    <x v="0"/>
    <s v="COCHABAMBA"/>
    <s v="K 1"/>
    <x v="10"/>
    <n v="0"/>
    <n v="0"/>
    <n v="33767.249999999993"/>
    <n v="17827.519999999997"/>
    <n v="41874.727299999984"/>
    <n v="20379.529981999993"/>
    <n v="41770.04048174998"/>
    <n v="20112.274491962613"/>
    <n v="50601.724137931036"/>
    <n v="21140.954411117458"/>
    <n v="42605.441291384981"/>
    <n v="20514.519981801866"/>
    <n v="44735.713355954227"/>
    <n v="21341.706461364091"/>
    <n v="0"/>
    <n v="0"/>
    <n v="0"/>
    <n v="0.83262010993865876"/>
    <n v="0.41910182709033478"/>
    <n v="0.65"/>
    <n v="0.65"/>
    <n v="0.6"/>
    <n v="0"/>
    <n v="0"/>
    <n v="28115.291407326167"/>
    <n v="21207.275040127992"/>
    <n v="27150.526313137489"/>
    <n v="27693.53683940024"/>
    <n v="26841.428013572535"/>
    <n v="0"/>
  </r>
  <r>
    <x v="3"/>
    <s v="KIDS PASEO ARANJUEZ"/>
    <n v="480"/>
    <x v="3"/>
    <x v="2"/>
    <x v="0"/>
    <s v="COCHABAMBA"/>
    <s v="K 1"/>
    <x v="11"/>
    <n v="0"/>
    <n v="0"/>
    <n v="81175.87999999999"/>
    <n v="43967.659999999974"/>
    <n v="83404.641000000047"/>
    <n v="45220.03864500003"/>
    <n v="81611.44121850004"/>
    <n v="40642.497726813024"/>
    <n v="73996.695402298836"/>
    <n v="35208.454006783191"/>
    <n v="83243.670042870042"/>
    <n v="41455.347681349289"/>
    <n v="88238.290245442273"/>
    <n v="45357.321115454157"/>
    <n v="0"/>
    <n v="0"/>
    <n v="0"/>
    <n v="0.94602913874461303"/>
    <n v="0.62849140671390136"/>
    <n v="0.8"/>
    <n v="0.8"/>
    <n v="0.85"/>
    <n v="0"/>
    <n v="0"/>
    <n v="76794.747843236051"/>
    <n v="46506.287185570873"/>
    <n v="65289.152974800032"/>
    <n v="66594.936034296043"/>
    <n v="75002.54670862593"/>
    <n v="0"/>
  </r>
  <r>
    <x v="3"/>
    <s v="KIDS SUCRE"/>
    <n v="461"/>
    <x v="3"/>
    <x v="3"/>
    <x v="4"/>
    <s v="ZONA SUR"/>
    <s v="K 2"/>
    <x v="0"/>
    <n v="0"/>
    <n v="0"/>
    <n v="0"/>
    <n v="0"/>
    <n v="0"/>
    <n v="0"/>
    <n v="0"/>
    <n v="0"/>
    <n v="0"/>
    <n v="0"/>
    <n v="0"/>
    <n v="0"/>
    <n v="23853.094372800024"/>
    <n v="12296.532397980936"/>
    <n v="25748.56321839078"/>
    <n v="13823.984499063972"/>
    <n v="0"/>
    <n v="0"/>
    <n v="0"/>
    <n v="0"/>
    <n v="0"/>
    <n v="0.8600000000000001"/>
    <n v="0.97868422521064669"/>
    <n v="0"/>
    <n v="0"/>
    <n v="0"/>
    <n v="0"/>
    <n v="0"/>
    <n v="20513.661160608022"/>
    <n v="25199.712643678136"/>
  </r>
  <r>
    <x v="3"/>
    <s v="KIDS SUCRE"/>
    <n v="461"/>
    <x v="3"/>
    <x v="3"/>
    <x v="4"/>
    <s v="ZONA SUR"/>
    <s v="K 2"/>
    <x v="1"/>
    <n v="0"/>
    <n v="0"/>
    <n v="0"/>
    <n v="0"/>
    <n v="0"/>
    <n v="0"/>
    <n v="0"/>
    <n v="0"/>
    <n v="0"/>
    <n v="0"/>
    <n v="0"/>
    <n v="0"/>
    <n v="33896.685900000011"/>
    <n v="15619.424758376636"/>
    <n v="22854.741379310315"/>
    <n v="9450.0719962578751"/>
    <n v="0"/>
    <n v="0"/>
    <n v="0"/>
    <n v="0"/>
    <n v="0"/>
    <n v="0.49"/>
    <n v="0.37166261182254257"/>
    <n v="0"/>
    <n v="0"/>
    <n v="0"/>
    <n v="0"/>
    <n v="0"/>
    <n v="16609.376091000006"/>
    <n v="8494.2528735632113"/>
  </r>
  <r>
    <x v="3"/>
    <s v="KIDS SUCRE"/>
    <n v="461"/>
    <x v="3"/>
    <x v="3"/>
    <x v="4"/>
    <s v="ZONA SUR"/>
    <s v="K 2"/>
    <x v="2"/>
    <n v="0"/>
    <n v="0"/>
    <n v="0"/>
    <n v="0"/>
    <n v="0"/>
    <n v="0"/>
    <n v="0"/>
    <n v="0"/>
    <n v="0"/>
    <n v="0"/>
    <n v="0"/>
    <n v="0"/>
    <n v="29445.169599999994"/>
    <n v="14918.04586927958"/>
    <n v="16645.757814669952"/>
    <n v="7856.7976885242178"/>
    <n v="0"/>
    <n v="0"/>
    <n v="0"/>
    <n v="0"/>
    <n v="0"/>
    <n v="0.8"/>
    <n v="0.70730486064631826"/>
    <n v="0"/>
    <n v="0"/>
    <n v="0"/>
    <n v="0"/>
    <n v="0"/>
    <n v="23556.135679999996"/>
    <n v="11773.625411457493"/>
  </r>
  <r>
    <x v="3"/>
    <s v="KIDS SUCRE"/>
    <n v="461"/>
    <x v="3"/>
    <x v="3"/>
    <x v="4"/>
    <s v="ZONA SUR"/>
    <s v="K 2"/>
    <x v="3"/>
    <n v="0"/>
    <n v="0"/>
    <n v="0"/>
    <n v="0"/>
    <n v="0"/>
    <n v="0"/>
    <n v="0"/>
    <n v="0"/>
    <n v="0"/>
    <n v="0"/>
    <n v="0"/>
    <n v="0"/>
    <n v="30345.249219999998"/>
    <n v="14925.312085232197"/>
    <n v="0"/>
    <n v="0"/>
    <n v="0"/>
    <n v="0"/>
    <n v="0"/>
    <n v="0"/>
    <n v="0"/>
    <n v="0.7"/>
    <n v="0"/>
    <n v="0"/>
    <n v="0"/>
    <n v="0"/>
    <n v="0"/>
    <n v="0"/>
    <n v="21241.674453999996"/>
    <n v="0"/>
  </r>
  <r>
    <x v="3"/>
    <s v="KIDS SUCRE"/>
    <n v="461"/>
    <x v="3"/>
    <x v="3"/>
    <x v="4"/>
    <s v="ZONA SUR"/>
    <s v="K 2"/>
    <x v="4"/>
    <n v="0"/>
    <n v="0"/>
    <n v="0"/>
    <n v="0"/>
    <n v="0"/>
    <n v="0"/>
    <n v="0"/>
    <n v="0"/>
    <n v="0"/>
    <n v="0"/>
    <n v="0"/>
    <n v="0"/>
    <n v="24683.802528000026"/>
    <n v="12797.776871278236"/>
    <n v="0"/>
    <n v="0"/>
    <n v="0"/>
    <n v="0"/>
    <n v="0"/>
    <n v="0"/>
    <n v="0"/>
    <n v="0.88000000000000012"/>
    <n v="0"/>
    <n v="0"/>
    <n v="0"/>
    <n v="0"/>
    <n v="0"/>
    <n v="0"/>
    <n v="21721.746224640025"/>
    <n v="0"/>
  </r>
  <r>
    <x v="3"/>
    <s v="KIDS SUCRE"/>
    <n v="461"/>
    <x v="3"/>
    <x v="3"/>
    <x v="4"/>
    <s v="ZONA SUR"/>
    <s v="K 2"/>
    <x v="5"/>
    <n v="0"/>
    <n v="0"/>
    <n v="0"/>
    <n v="0"/>
    <n v="0"/>
    <n v="0"/>
    <n v="0"/>
    <n v="0"/>
    <n v="0"/>
    <n v="0"/>
    <n v="0"/>
    <n v="0"/>
    <n v="23086.149028800006"/>
    <n v="11969.443676780131"/>
    <n v="0"/>
    <n v="0"/>
    <n v="0"/>
    <n v="0"/>
    <n v="0"/>
    <n v="0"/>
    <n v="0"/>
    <n v="0.88000000000000012"/>
    <n v="0"/>
    <n v="0"/>
    <n v="0"/>
    <n v="0"/>
    <n v="0"/>
    <n v="0"/>
    <n v="20315.811145344007"/>
    <n v="0"/>
  </r>
  <r>
    <x v="3"/>
    <s v="KIDS SUCRE"/>
    <n v="461"/>
    <x v="3"/>
    <x v="3"/>
    <x v="4"/>
    <s v="ZONA SUR"/>
    <s v="K 2"/>
    <x v="6"/>
    <n v="0"/>
    <n v="0"/>
    <n v="0"/>
    <n v="0"/>
    <n v="0"/>
    <n v="0"/>
    <n v="0"/>
    <n v="0"/>
    <n v="0"/>
    <n v="0"/>
    <n v="0"/>
    <n v="0"/>
    <n v="27390.872123999987"/>
    <n v="14201.307491219388"/>
    <n v="0"/>
    <n v="0"/>
    <n v="0"/>
    <n v="0"/>
    <n v="0"/>
    <n v="0"/>
    <n v="0"/>
    <n v="0.88"/>
    <n v="0"/>
    <n v="0"/>
    <n v="0"/>
    <n v="0"/>
    <n v="0"/>
    <n v="0"/>
    <n v="24103.967469119987"/>
    <n v="0"/>
  </r>
  <r>
    <x v="3"/>
    <s v="KIDS SUCRE"/>
    <n v="461"/>
    <x v="3"/>
    <x v="3"/>
    <x v="4"/>
    <s v="ZONA SUR"/>
    <s v="K 2"/>
    <x v="7"/>
    <n v="0"/>
    <n v="0"/>
    <n v="0"/>
    <n v="0"/>
    <n v="0"/>
    <n v="0"/>
    <n v="0"/>
    <n v="0"/>
    <n v="0"/>
    <n v="0"/>
    <n v="0"/>
    <n v="0"/>
    <n v="41859.707273999993"/>
    <n v="19288.745516384355"/>
    <n v="0"/>
    <n v="0"/>
    <n v="0"/>
    <n v="0"/>
    <n v="0"/>
    <n v="0"/>
    <n v="0"/>
    <n v="0.48999999999999994"/>
    <n v="0"/>
    <n v="0"/>
    <n v="0"/>
    <n v="0"/>
    <n v="0"/>
    <n v="0"/>
    <n v="20511.256564259995"/>
    <n v="0"/>
  </r>
  <r>
    <x v="3"/>
    <s v="KIDS SUCRE"/>
    <n v="461"/>
    <x v="3"/>
    <x v="3"/>
    <x v="4"/>
    <s v="ZONA SUR"/>
    <s v="K 2"/>
    <x v="8"/>
    <n v="0"/>
    <n v="0"/>
    <n v="0"/>
    <n v="0"/>
    <n v="0"/>
    <n v="0"/>
    <n v="0"/>
    <n v="0"/>
    <n v="0"/>
    <n v="0"/>
    <n v="0"/>
    <n v="0"/>
    <n v="27306.13931246227"/>
    <n v="13834.331549452192"/>
    <n v="0"/>
    <n v="0"/>
    <n v="0"/>
    <n v="0"/>
    <n v="0"/>
    <n v="0"/>
    <n v="0"/>
    <n v="0.8"/>
    <n v="0"/>
    <n v="0"/>
    <n v="0"/>
    <n v="0"/>
    <n v="0"/>
    <n v="0"/>
    <n v="21844.911449969819"/>
    <n v="0"/>
  </r>
  <r>
    <x v="3"/>
    <s v="KIDS SUCRE"/>
    <n v="461"/>
    <x v="3"/>
    <x v="3"/>
    <x v="4"/>
    <s v="ZONA SUR"/>
    <s v="K 2"/>
    <x v="9"/>
    <n v="0"/>
    <n v="0"/>
    <n v="0"/>
    <n v="0"/>
    <n v="0"/>
    <n v="0"/>
    <n v="0"/>
    <n v="0"/>
    <n v="0"/>
    <n v="0"/>
    <n v="0"/>
    <n v="0"/>
    <n v="27378.000935626624"/>
    <n v="14113.660485105716"/>
    <n v="0"/>
    <n v="0"/>
    <n v="0"/>
    <n v="0"/>
    <n v="0"/>
    <n v="0"/>
    <n v="0"/>
    <n v="0.86"/>
    <n v="0"/>
    <n v="0"/>
    <n v="0"/>
    <n v="0"/>
    <n v="0"/>
    <n v="0"/>
    <n v="23545.080804638896"/>
    <n v="0"/>
  </r>
  <r>
    <x v="3"/>
    <s v="KIDS SUCRE"/>
    <n v="461"/>
    <x v="3"/>
    <x v="3"/>
    <x v="4"/>
    <s v="ZONA SUR"/>
    <s v="K 2"/>
    <x v="10"/>
    <n v="0"/>
    <n v="0"/>
    <n v="0"/>
    <n v="0"/>
    <n v="0"/>
    <n v="0"/>
    <n v="41260.006303235983"/>
    <n v="19866.693035008124"/>
    <n v="0"/>
    <n v="0"/>
    <n v="0"/>
    <n v="0"/>
    <n v="33462.313590253762"/>
    <n v="15963.596433100336"/>
    <n v="0"/>
    <n v="0"/>
    <n v="0"/>
    <n v="0"/>
    <n v="0"/>
    <n v="0.65"/>
    <n v="0.65"/>
    <n v="0.6"/>
    <n v="0"/>
    <n v="0"/>
    <n v="0"/>
    <n v="0"/>
    <n v="26819.004097103389"/>
    <n v="0"/>
    <n v="20077.388154152257"/>
    <n v="0"/>
  </r>
  <r>
    <x v="3"/>
    <s v="KIDS SUCRE"/>
    <n v="461"/>
    <x v="3"/>
    <x v="3"/>
    <x v="4"/>
    <s v="ZONA SUR"/>
    <s v="K 2"/>
    <x v="11"/>
    <n v="0"/>
    <n v="0"/>
    <n v="0"/>
    <n v="0"/>
    <n v="0"/>
    <n v="0"/>
    <n v="80614.922567832036"/>
    <n v="40146.231438780356"/>
    <n v="15301"/>
    <n v="7226.4578782173157"/>
    <n v="80614.922567832036"/>
    <n v="40146.231438780356"/>
    <n v="66002.241103590786"/>
    <n v="33927.276194359707"/>
    <n v="0"/>
    <n v="0"/>
    <n v="0"/>
    <n v="0"/>
    <n v="0.62849140671390136"/>
    <n v="0.8"/>
    <n v="0.8"/>
    <n v="0.85000000000000009"/>
    <n v="0"/>
    <n v="0"/>
    <n v="0"/>
    <n v="9616.5470141294045"/>
    <n v="64491.938054265629"/>
    <n v="64491.938054265629"/>
    <n v="56101.904938052176"/>
    <n v="0"/>
  </r>
  <r>
    <x v="3"/>
    <s v="KIDS TARIJA"/>
    <n v="460"/>
    <x v="3"/>
    <x v="3"/>
    <x v="4"/>
    <s v="ZONA SUR"/>
    <s v="K 2"/>
    <x v="0"/>
    <n v="0"/>
    <n v="0"/>
    <n v="0"/>
    <n v="0"/>
    <n v="0"/>
    <n v="0"/>
    <n v="0"/>
    <n v="0"/>
    <n v="0"/>
    <n v="0"/>
    <n v="0"/>
    <n v="0"/>
    <n v="21684.631248000016"/>
    <n v="11178.6658163463"/>
    <n v="20753.735632183918"/>
    <n v="11017.324668319754"/>
    <n v="0"/>
    <n v="0"/>
    <n v="0"/>
    <n v="0"/>
    <n v="0"/>
    <n v="0.85999999999999988"/>
    <n v="0.96132810877421326"/>
    <n v="0"/>
    <n v="0"/>
    <n v="0"/>
    <n v="0"/>
    <n v="0"/>
    <n v="18648.782873280012"/>
    <n v="19951.149425287367"/>
  </r>
  <r>
    <x v="3"/>
    <s v="KIDS TARIJA"/>
    <n v="460"/>
    <x v="3"/>
    <x v="3"/>
    <x v="4"/>
    <s v="ZONA SUR"/>
    <s v="K 2"/>
    <x v="1"/>
    <n v="0"/>
    <n v="0"/>
    <n v="0"/>
    <n v="0"/>
    <n v="0"/>
    <n v="0"/>
    <n v="0"/>
    <n v="0"/>
    <n v="0"/>
    <n v="0"/>
    <n v="0"/>
    <n v="0"/>
    <n v="30815.169000000009"/>
    <n v="14199.47705306967"/>
    <n v="20482.902298850564"/>
    <n v="9641.3276720978502"/>
    <n v="0"/>
    <n v="0"/>
    <n v="0"/>
    <n v="0"/>
    <n v="0"/>
    <n v="0.49000000000000005"/>
    <n v="0.59062436430720877"/>
    <n v="0"/>
    <n v="0"/>
    <n v="0"/>
    <n v="0"/>
    <n v="0"/>
    <n v="15099.432810000006"/>
    <n v="12097.70114942528"/>
  </r>
  <r>
    <x v="3"/>
    <s v="KIDS TARIJA"/>
    <n v="460"/>
    <x v="3"/>
    <x v="3"/>
    <x v="4"/>
    <s v="ZONA SUR"/>
    <s v="K 2"/>
    <x v="2"/>
    <n v="0"/>
    <n v="0"/>
    <n v="0"/>
    <n v="0"/>
    <n v="0"/>
    <n v="0"/>
    <n v="0"/>
    <n v="0"/>
    <n v="0"/>
    <n v="0"/>
    <n v="0"/>
    <n v="0"/>
    <n v="26768.335999999996"/>
    <n v="13561.859881163255"/>
    <n v="16204.818976467252"/>
    <n v="8151.0239451630277"/>
    <n v="0"/>
    <n v="0"/>
    <n v="0"/>
    <n v="0"/>
    <n v="0"/>
    <n v="0.8"/>
    <n v="0.85203782683657203"/>
    <n v="0"/>
    <n v="0"/>
    <n v="0"/>
    <n v="0"/>
    <n v="0"/>
    <n v="21414.668799999999"/>
    <n v="13807.1187449892"/>
  </r>
  <r>
    <x v="3"/>
    <s v="KIDS TARIJA"/>
    <n v="460"/>
    <x v="3"/>
    <x v="3"/>
    <x v="4"/>
    <s v="ZONA SUR"/>
    <s v="K 2"/>
    <x v="3"/>
    <n v="0"/>
    <n v="0"/>
    <n v="0"/>
    <n v="0"/>
    <n v="0"/>
    <n v="0"/>
    <n v="0"/>
    <n v="0"/>
    <n v="0"/>
    <n v="0"/>
    <n v="0"/>
    <n v="0"/>
    <n v="27586.590199999995"/>
    <n v="13568.465532029277"/>
    <n v="0"/>
    <n v="0"/>
    <n v="0"/>
    <n v="0"/>
    <n v="0"/>
    <n v="0"/>
    <n v="0"/>
    <n v="0.7"/>
    <n v="0"/>
    <n v="0"/>
    <n v="0"/>
    <n v="0"/>
    <n v="0"/>
    <n v="0"/>
    <n v="19310.613139999994"/>
    <n v="0"/>
  </r>
  <r>
    <x v="3"/>
    <s v="KIDS TARIJA"/>
    <n v="460"/>
    <x v="3"/>
    <x v="3"/>
    <x v="4"/>
    <s v="ZONA SUR"/>
    <s v="K 2"/>
    <x v="4"/>
    <n v="0"/>
    <n v="0"/>
    <n v="0"/>
    <n v="0"/>
    <n v="0"/>
    <n v="0"/>
    <n v="0"/>
    <n v="0"/>
    <n v="0"/>
    <n v="0"/>
    <n v="0"/>
    <n v="0"/>
    <n v="22439.82048000002"/>
    <n v="11634.342610252945"/>
    <n v="0"/>
    <n v="0"/>
    <n v="0"/>
    <n v="0"/>
    <n v="0"/>
    <n v="0"/>
    <n v="0"/>
    <n v="0.88"/>
    <n v="0"/>
    <n v="0"/>
    <n v="0"/>
    <n v="0"/>
    <n v="0"/>
    <n v="0"/>
    <n v="19747.042022400019"/>
    <n v="0"/>
  </r>
  <r>
    <x v="3"/>
    <s v="KIDS TARIJA"/>
    <n v="460"/>
    <x v="3"/>
    <x v="3"/>
    <x v="4"/>
    <s v="ZONA SUR"/>
    <s v="K 2"/>
    <x v="5"/>
    <n v="0"/>
    <n v="0"/>
    <n v="0"/>
    <n v="0"/>
    <n v="0"/>
    <n v="0"/>
    <n v="0"/>
    <n v="0"/>
    <n v="0"/>
    <n v="0"/>
    <n v="0"/>
    <n v="0"/>
    <n v="20987.408208000012"/>
    <n v="10881.312433436484"/>
    <n v="0"/>
    <n v="0"/>
    <n v="0"/>
    <n v="0"/>
    <n v="0"/>
    <n v="0"/>
    <n v="0"/>
    <n v="0.88"/>
    <n v="0"/>
    <n v="0"/>
    <n v="0"/>
    <n v="0"/>
    <n v="0"/>
    <n v="0"/>
    <n v="18468.919223040011"/>
    <n v="0"/>
  </r>
  <r>
    <x v="3"/>
    <s v="KIDS TARIJA"/>
    <n v="460"/>
    <x v="3"/>
    <x v="3"/>
    <x v="4"/>
    <s v="ZONA SUR"/>
    <s v="K 2"/>
    <x v="6"/>
    <n v="0"/>
    <n v="0"/>
    <n v="0"/>
    <n v="0"/>
    <n v="0"/>
    <n v="0"/>
    <n v="0"/>
    <n v="0"/>
    <n v="0"/>
    <n v="0"/>
    <n v="0"/>
    <n v="0"/>
    <n v="24900.792839999987"/>
    <n v="12910.27953747217"/>
    <n v="0"/>
    <n v="0"/>
    <n v="0"/>
    <n v="0"/>
    <n v="0"/>
    <n v="0"/>
    <n v="0"/>
    <n v="0.87999999999999989"/>
    <n v="0"/>
    <n v="0"/>
    <n v="0"/>
    <n v="0"/>
    <n v="0"/>
    <n v="0"/>
    <n v="21912.697699199987"/>
    <n v="0"/>
  </r>
  <r>
    <x v="3"/>
    <s v="KIDS TARIJA"/>
    <n v="460"/>
    <x v="3"/>
    <x v="3"/>
    <x v="4"/>
    <s v="ZONA SUR"/>
    <s v="K 2"/>
    <x v="7"/>
    <n v="0"/>
    <n v="0"/>
    <n v="0"/>
    <n v="0"/>
    <n v="0"/>
    <n v="0"/>
    <n v="0"/>
    <n v="0"/>
    <n v="0"/>
    <n v="0"/>
    <n v="0"/>
    <n v="0"/>
    <n v="38054.279339999994"/>
    <n v="17535.22319671305"/>
    <n v="0"/>
    <n v="0"/>
    <n v="0"/>
    <n v="0"/>
    <n v="0"/>
    <n v="0"/>
    <n v="0"/>
    <n v="0.49"/>
    <n v="0"/>
    <n v="0"/>
    <n v="0"/>
    <n v="0"/>
    <n v="0"/>
    <n v="0"/>
    <n v="18646.596876599997"/>
    <n v="0"/>
  </r>
  <r>
    <x v="3"/>
    <s v="KIDS TARIJA"/>
    <n v="460"/>
    <x v="3"/>
    <x v="3"/>
    <x v="4"/>
    <s v="ZONA SUR"/>
    <s v="K 2"/>
    <x v="8"/>
    <n v="0"/>
    <n v="0"/>
    <n v="0"/>
    <n v="0"/>
    <n v="23580.008718749996"/>
    <n v="12471.56931706875"/>
    <n v="0"/>
    <n v="0"/>
    <n v="0"/>
    <n v="0"/>
    <n v="0"/>
    <n v="0"/>
    <n v="24823.763011329334"/>
    <n v="12576.66504495654"/>
    <n v="0"/>
    <n v="0"/>
    <n v="0"/>
    <n v="0"/>
    <n v="0"/>
    <n v="0"/>
    <n v="0"/>
    <n v="0.8"/>
    <n v="0"/>
    <n v="0"/>
    <n v="0"/>
    <n v="0"/>
    <n v="0"/>
    <n v="0"/>
    <n v="19859.01040906347"/>
    <n v="0"/>
  </r>
  <r>
    <x v="3"/>
    <s v="KIDS TARIJA"/>
    <n v="460"/>
    <x v="3"/>
    <x v="3"/>
    <x v="4"/>
    <s v="ZONA SUR"/>
    <s v="K 2"/>
    <x v="9"/>
    <n v="0"/>
    <n v="0"/>
    <n v="0"/>
    <n v="0"/>
    <n v="29163.024592649974"/>
    <n v="15312.59797063049"/>
    <n v="26751.521000000001"/>
    <n v="13589.772679239399"/>
    <n v="0"/>
    <n v="0"/>
    <n v="0"/>
    <n v="0"/>
    <n v="24889.091759660572"/>
    <n v="12830.600441005196"/>
    <n v="0"/>
    <n v="0"/>
    <n v="0"/>
    <n v="0"/>
    <n v="0"/>
    <n v="0.9"/>
    <n v="0.9"/>
    <n v="0.86"/>
    <n v="0"/>
    <n v="0"/>
    <n v="0"/>
    <n v="0"/>
    <n v="24076.368900000001"/>
    <n v="0"/>
    <n v="21404.618913308092"/>
    <n v="0"/>
  </r>
  <r>
    <x v="3"/>
    <s v="KIDS TARIJA"/>
    <n v="460"/>
    <x v="3"/>
    <x v="3"/>
    <x v="4"/>
    <s v="ZONA SUR"/>
    <s v="K 2"/>
    <x v="10"/>
    <n v="0"/>
    <n v="0"/>
    <n v="0"/>
    <n v="0"/>
    <n v="34892.531623349976"/>
    <n v="16954.69135923449"/>
    <n v="32360.789257439988"/>
    <n v="15581.720027457355"/>
    <n v="26961.206896551717"/>
    <n v="10712.606425645781"/>
    <n v="32360.789257439988"/>
    <n v="15581.720027457355"/>
    <n v="30420.285082048871"/>
    <n v="14512.36039372758"/>
    <n v="0"/>
    <n v="0"/>
    <n v="0"/>
    <n v="0"/>
    <n v="0.41910182709033478"/>
    <n v="0.65"/>
    <n v="0.65"/>
    <n v="0.6"/>
    <n v="0"/>
    <n v="0"/>
    <n v="0"/>
    <n v="11299.49107090536"/>
    <n v="21034.513017335994"/>
    <n v="21034.513017335994"/>
    <n v="18252.17104922932"/>
    <n v="0"/>
  </r>
  <r>
    <x v="3"/>
    <s v="KIDS TARIJA"/>
    <n v="460"/>
    <x v="3"/>
    <x v="3"/>
    <x v="4"/>
    <s v="ZONA SUR"/>
    <s v="K 2"/>
    <x v="11"/>
    <n v="0"/>
    <n v="0"/>
    <n v="0"/>
    <n v="0"/>
    <n v="49610.416923000012"/>
    <n v="26898.858297135012"/>
    <n v="63227.390249280033"/>
    <n v="31487.240344141457"/>
    <n v="56532.183908045976"/>
    <n v="26699.395188231425"/>
    <n v="63227.390249280033"/>
    <n v="31487.240344141457"/>
    <n v="60002.037366900731"/>
    <n v="30842.978358508823"/>
    <n v="0"/>
    <n v="0"/>
    <n v="0"/>
    <n v="0"/>
    <n v="0.62849140671390136"/>
    <n v="0.8"/>
    <n v="0.8"/>
    <n v="0.85"/>
    <n v="0"/>
    <n v="0"/>
    <n v="0"/>
    <n v="35529.991788976789"/>
    <n v="50581.912199424027"/>
    <n v="50581.912199424027"/>
    <n v="51001.731761865623"/>
    <n v="0"/>
  </r>
  <r>
    <x v="3"/>
    <s v="KIDS VENTURA"/>
    <n v="491"/>
    <x v="3"/>
    <x v="2"/>
    <x v="0"/>
    <s v="SANTA CRUZ"/>
    <s v="K 1"/>
    <x v="0"/>
    <n v="0"/>
    <n v="0"/>
    <n v="0"/>
    <n v="0"/>
    <n v="83283.790321875"/>
    <n v="43206.781370593751"/>
    <n v="56474.590000000106"/>
    <n v="30455.281457599594"/>
    <n v="56474.590000000069"/>
    <n v="30500.280000000064"/>
    <n v="62122.049000000268"/>
    <n v="33550.308000000179"/>
    <n v="67091.812920000288"/>
    <n v="34609.111182400113"/>
    <n v="76672.557471264401"/>
    <n v="40926.050550232088"/>
    <n v="0"/>
    <n v="0"/>
    <n v="0.92770807466501992"/>
    <n v="0.92770807466501992"/>
    <n v="0.92770807466501992"/>
    <n v="0.8600000000000001"/>
    <n v="0.9588412434576804"/>
    <n v="0"/>
    <n v="0"/>
    <n v="52391.933156396452"/>
    <n v="52391.933156396488"/>
    <n v="57631.126472036274"/>
    <n v="57698.959111200253"/>
    <n v="73516.810344827623"/>
  </r>
  <r>
    <x v="3"/>
    <s v="KIDS VENTURA"/>
    <n v="491"/>
    <x v="3"/>
    <x v="2"/>
    <x v="0"/>
    <s v="SANTA CRUZ"/>
    <s v="K 1"/>
    <x v="1"/>
    <n v="0"/>
    <n v="0"/>
    <n v="0"/>
    <n v="0"/>
    <n v="111650.5"/>
    <n v="46910.532499999994"/>
    <n v="76955.290000000125"/>
    <n v="37272.640000000065"/>
    <n v="76955.290000000095"/>
    <n v="37272.640000000101"/>
    <n v="84650.819000000163"/>
    <n v="40999.904000000141"/>
    <n v="90576.376330000174"/>
    <n v="41894.918432897168"/>
    <n v="93299.568965517523"/>
    <n v="42055.049920811616"/>
    <n v="0"/>
    <n v="0"/>
    <n v="0.54156017084725505"/>
    <n v="0.54156017084725427"/>
    <n v="0.54156017084725427"/>
    <n v="0.48999999999999988"/>
    <n v="0.59427286656964973"/>
    <n v="0"/>
    <n v="0"/>
    <n v="41675.920000000107"/>
    <n v="41675.920000000064"/>
    <n v="45843.51200000009"/>
    <n v="44382.424401700075"/>
    <n v="55445.40229885083"/>
  </r>
  <r>
    <x v="3"/>
    <s v="KIDS VENTURA"/>
    <n v="491"/>
    <x v="3"/>
    <x v="2"/>
    <x v="0"/>
    <s v="SANTA CRUZ"/>
    <s v="K 1"/>
    <x v="2"/>
    <n v="0"/>
    <n v="0"/>
    <n v="0"/>
    <n v="0"/>
    <n v="83040.75"/>
    <n v="40689.870000000003"/>
    <n v="68869.800000000061"/>
    <n v="33382.430865473267"/>
    <n v="68869.800000000105"/>
    <n v="33458.480000000098"/>
    <n v="68869.80000000025"/>
    <n v="33458.480000000163"/>
    <n v="75756.780000000275"/>
    <n v="38424.000346809582"/>
    <n v="74108.350879168996"/>
    <n v="37350.608843101174"/>
    <n v="0"/>
    <n v="0"/>
    <n v="0.60417811569543467"/>
    <n v="0.60417811569543334"/>
    <n v="0.60417811569543334"/>
    <n v="0.79999999999999993"/>
    <n v="0.8897434115809425"/>
    <n v="0"/>
    <n v="0"/>
    <n v="41609.625992321511"/>
    <n v="41609.625992321395"/>
    <n v="41609.625992321504"/>
    <n v="60605.424000000217"/>
    <n v="65937.416937869362"/>
  </r>
  <r>
    <x v="3"/>
    <s v="KIDS VENTURA"/>
    <n v="491"/>
    <x v="3"/>
    <x v="2"/>
    <x v="0"/>
    <s v="SANTA CRUZ"/>
    <s v="K 1"/>
    <x v="3"/>
    <n v="0"/>
    <n v="0"/>
    <n v="0"/>
    <n v="0"/>
    <n v="87894.95"/>
    <n v="43765.371000000006"/>
    <n v="77756.950000000172"/>
    <n v="40948.350268617141"/>
    <n v="77756.950000000215"/>
    <n v="40946.310000000216"/>
    <n v="77756.950000000332"/>
    <n v="40946.310000000281"/>
    <n v="85532.645000000368"/>
    <n v="42149.974287673067"/>
    <n v="0"/>
    <n v="0"/>
    <n v="0"/>
    <n v="0"/>
    <n v="0.89296019637541935"/>
    <n v="0.89296019637541879"/>
    <n v="0.89296019637541879"/>
    <n v="0.7"/>
    <n v="0"/>
    <n v="0"/>
    <n v="0"/>
    <n v="69433.861341553857"/>
    <n v="69433.861341553769"/>
    <n v="69433.861341553915"/>
    <n v="59872.851500000252"/>
    <n v="0"/>
  </r>
  <r>
    <x v="3"/>
    <s v="KIDS VENTURA"/>
    <n v="491"/>
    <x v="3"/>
    <x v="2"/>
    <x v="0"/>
    <s v="SANTA CRUZ"/>
    <s v="K 1"/>
    <x v="4"/>
    <n v="0"/>
    <n v="0"/>
    <n v="0"/>
    <n v="0"/>
    <n v="75339.55"/>
    <n v="40280.246500000001"/>
    <n v="74555.200000000041"/>
    <n v="39842.890000000036"/>
    <n v="74555.200000000026"/>
    <n v="39842.890000000021"/>
    <n v="74555.200000000026"/>
    <n v="39842.890000000021"/>
    <n v="81265.168000000034"/>
    <n v="42154.569893549626"/>
    <n v="0"/>
    <n v="0"/>
    <n v="0"/>
    <n v="0"/>
    <n v="0.91681827692769968"/>
    <n v="0.91681827692769924"/>
    <n v="0.91681827692769924"/>
    <n v="0.88"/>
    <n v="0"/>
    <n v="0"/>
    <n v="0"/>
    <n v="68353.570000000065"/>
    <n v="68353.570000000036"/>
    <n v="68353.570000000022"/>
    <n v="71513.347840000031"/>
    <n v="0"/>
  </r>
  <r>
    <x v="3"/>
    <s v="KIDS VENTURA"/>
    <n v="491"/>
    <x v="3"/>
    <x v="2"/>
    <x v="0"/>
    <s v="SANTA CRUZ"/>
    <s v="K 1"/>
    <x v="5"/>
    <n v="0"/>
    <n v="0"/>
    <n v="0"/>
    <n v="0"/>
    <n v="76978.749770000009"/>
    <n v="39537.856037550002"/>
    <n v="70385.080000000162"/>
    <n v="38436.970000000234"/>
    <n v="70385.080000000133"/>
    <n v="38436.970000000161"/>
    <n v="70385.080000000133"/>
    <n v="38436.970000000161"/>
    <n v="78127.438800000135"/>
    <n v="40526.939899990444"/>
    <n v="0"/>
    <n v="0"/>
    <n v="0"/>
    <n v="0"/>
    <n v="0.97930186340627889"/>
    <n v="0.97930186340627878"/>
    <n v="0.97930186340627878"/>
    <n v="0.88"/>
    <n v="0"/>
    <n v="0"/>
    <n v="0"/>
    <n v="68928.240000000136"/>
    <n v="68928.240000000165"/>
    <n v="68928.240000000136"/>
    <n v="68752.146144000115"/>
    <n v="0"/>
  </r>
  <r>
    <x v="3"/>
    <s v="KIDS VENTURA"/>
    <n v="491"/>
    <x v="3"/>
    <x v="2"/>
    <x v="0"/>
    <s v="SANTA CRUZ"/>
    <s v="K 1"/>
    <x v="6"/>
    <n v="0"/>
    <n v="0"/>
    <n v="0"/>
    <n v="0"/>
    <n v="94069.046630000012"/>
    <n v="47312.092749350006"/>
    <n v="74275.69"/>
    <n v="40354.523869974422"/>
    <n v="74218.220000000132"/>
    <n v="40323.300000000156"/>
    <n v="74218.220000000205"/>
    <n v="40323.300000000199"/>
    <n v="81640.042000000205"/>
    <n v="42349.027772899397"/>
    <n v="0"/>
    <n v="0"/>
    <n v="0"/>
    <n v="0"/>
    <n v="0.97627550216105985"/>
    <n v="0.97627550216105985"/>
    <n v="0.97627550216105985"/>
    <n v="0.88"/>
    <n v="0"/>
    <n v="0"/>
    <n v="0"/>
    <n v="72457.430000000139"/>
    <n v="72513.53655310921"/>
    <n v="72457.430000000211"/>
    <n v="71843.236960000184"/>
    <n v="0"/>
  </r>
  <r>
    <x v="3"/>
    <s v="KIDS VENTURA"/>
    <n v="491"/>
    <x v="3"/>
    <x v="2"/>
    <x v="0"/>
    <s v="SANTA CRUZ"/>
    <s v="K 1"/>
    <x v="7"/>
    <n v="0"/>
    <n v="0"/>
    <n v="0"/>
    <n v="0"/>
    <n v="101723.41433799997"/>
    <n v="41000.022827009991"/>
    <n v="86464.902187299958"/>
    <n v="37326.898274257393"/>
    <n v="102471.12999999996"/>
    <n v="42470.919999999962"/>
    <n v="95298.150900000255"/>
    <n v="41140.211743530112"/>
    <n v="101969.02146300027"/>
    <n v="47164.437461159469"/>
    <n v="0"/>
    <n v="0"/>
    <n v="0"/>
    <n v="0"/>
    <n v="0.39624545957481122"/>
    <n v="0.43"/>
    <n v="0.43"/>
    <n v="0.49000000000000005"/>
    <n v="0"/>
    <n v="0"/>
    <n v="0"/>
    <n v="40603.720000000212"/>
    <n v="37179.907940538978"/>
    <n v="40978.204887000109"/>
    <n v="49964.820516870139"/>
    <n v="0"/>
  </r>
  <r>
    <x v="3"/>
    <s v="KIDS VENTURA"/>
    <n v="491"/>
    <x v="3"/>
    <x v="2"/>
    <x v="0"/>
    <s v="SANTA CRUZ"/>
    <s v="K 1"/>
    <x v="8"/>
    <n v="0"/>
    <n v="0"/>
    <n v="0"/>
    <n v="0"/>
    <n v="74655.792627000003"/>
    <n v="39523.664865165003"/>
    <n v="76148.908479539998"/>
    <n v="38866.402887957222"/>
    <n v="75815.370000000199"/>
    <n v="38498.610000000168"/>
    <n v="75815.370000000199"/>
    <n v="38498.610000000168"/>
    <n v="82638.75330000023"/>
    <n v="41914.551878513186"/>
    <n v="0"/>
    <n v="0"/>
    <n v="0"/>
    <n v="0"/>
    <n v="0.80436381171786187"/>
    <n v="0.92"/>
    <n v="0.92"/>
    <n v="0.8"/>
    <n v="0"/>
    <n v="0"/>
    <n v="0"/>
    <n v="60983.140000000196"/>
    <n v="70056.995801176803"/>
    <n v="69750.140400000193"/>
    <n v="66111.002640000181"/>
    <n v="0"/>
  </r>
  <r>
    <x v="3"/>
    <s v="KIDS VENTURA"/>
    <n v="491"/>
    <x v="3"/>
    <x v="2"/>
    <x v="0"/>
    <s v="SANTA CRUZ"/>
    <s v="K 1"/>
    <x v="9"/>
    <n v="0"/>
    <n v="0"/>
    <n v="0"/>
    <n v="0"/>
    <n v="85376.120797499971"/>
    <n v="44350.324714799986"/>
    <n v="87083.643213449977"/>
    <n v="44447.491496144867"/>
    <n v="53501.380000000114"/>
    <n v="28041.440000000104"/>
    <n v="81011.119999999966"/>
    <n v="41348.075647999976"/>
    <n v="88302.12079999999"/>
    <n v="45550.38511260596"/>
    <n v="0"/>
    <n v="0"/>
    <n v="0"/>
    <n v="0"/>
    <n v="0.82629962068268192"/>
    <n v="0.92"/>
    <n v="0.92"/>
    <n v="0.8600000000000001"/>
    <n v="0"/>
    <n v="0"/>
    <n v="0"/>
    <n v="44208.170000000122"/>
    <n v="80116.951756373979"/>
    <n v="74530.230399999971"/>
    <n v="75939.823887999999"/>
    <n v="0"/>
  </r>
  <r>
    <x v="3"/>
    <s v="KIDS VENTURA"/>
    <n v="491"/>
    <x v="3"/>
    <x v="2"/>
    <x v="0"/>
    <s v="SANTA CRUZ"/>
    <s v="K 1"/>
    <x v="10"/>
    <n v="0"/>
    <n v="0"/>
    <n v="0"/>
    <n v="0"/>
    <n v="99868.188582500021"/>
    <n v="48032.461713275006"/>
    <n v="104861.59801162503"/>
    <n v="50490.859442597459"/>
    <n v="40784.482758620703"/>
    <n v="15893.10208774756"/>
    <n v="104861.59801162503"/>
    <n v="50490.859442597459"/>
    <n v="115347.75781278752"/>
    <n v="55180.737290987745"/>
    <n v="0"/>
    <n v="0"/>
    <n v="0"/>
    <n v="0"/>
    <n v="0.39624545957481122"/>
    <n v="0.65"/>
    <n v="0.65"/>
    <n v="0.6"/>
    <n v="0"/>
    <n v="0"/>
    <n v="0"/>
    <n v="16160.666114210624"/>
    <n v="68160.038707556276"/>
    <n v="68160.038707556276"/>
    <n v="69208.654687672504"/>
    <n v="0"/>
  </r>
  <r>
    <x v="3"/>
    <s v="KIDS VENTURA"/>
    <n v="491"/>
    <x v="3"/>
    <x v="2"/>
    <x v="0"/>
    <s v="SANTA CRUZ"/>
    <s v="K 1"/>
    <x v="11"/>
    <n v="0"/>
    <n v="0"/>
    <n v="9320.4"/>
    <n v="5054.2199999999993"/>
    <n v="139553.46437500024"/>
    <n v="74623.867194500141"/>
    <n v="143740.06830625026"/>
    <n v="71870.034153125132"/>
    <n v="187011.78160919543"/>
    <n v="87853.803629769871"/>
    <n v="143740.06830625026"/>
    <n v="71870.034153125132"/>
    <n v="158114.07513687533"/>
    <n v="81334.860270320278"/>
    <n v="0"/>
    <n v="0"/>
    <n v="0"/>
    <n v="0.96323119179434358"/>
    <n v="0.60417811569543467"/>
    <n v="0.8"/>
    <n v="0.8"/>
    <n v="0.84999999999999987"/>
    <n v="0"/>
    <n v="0"/>
    <n v="8977.6999999999989"/>
    <n v="112988.42582548985"/>
    <n v="114992.05464500021"/>
    <n v="114992.05464500021"/>
    <n v="134396.96386634401"/>
    <n v="0"/>
  </r>
  <r>
    <x v="4"/>
    <s v="YUTH AMERICA"/>
    <n v="530"/>
    <x v="0"/>
    <x v="0"/>
    <x v="0"/>
    <s v="COCHABAMBA"/>
    <s v="Y 2"/>
    <x v="0"/>
    <n v="0"/>
    <n v="0"/>
    <n v="27241.829999999998"/>
    <n v="14477.5"/>
    <n v="27655.160706666666"/>
    <n v="14202.688604433335"/>
    <n v="28258.190000000002"/>
    <n v="14860.529039180681"/>
    <n v="28258.190000000002"/>
    <n v="14692.270000000011"/>
    <n v="31084.009000000024"/>
    <n v="16161.497000000023"/>
    <n v="32016.529270000021"/>
    <n v="16358.882989169622"/>
    <n v="20413.793103448286"/>
    <n v="10609.164933835442"/>
    <n v="0"/>
    <n v="0.9665229379734035"/>
    <n v="0.96341113924121424"/>
    <n v="0.96341113924121413"/>
    <n v="0.96341113924121413"/>
    <n v="0.92"/>
    <n v="0.93074324324324331"/>
    <n v="0"/>
    <n v="26329.853567372"/>
    <n v="27224.255020794692"/>
    <n v="27224.255020794688"/>
    <n v="29946.680522874176"/>
    <n v="29455.206928400021"/>
    <n v="19000.000000000011"/>
  </r>
  <r>
    <x v="4"/>
    <s v="YUTH AMERICA"/>
    <n v="530"/>
    <x v="0"/>
    <x v="0"/>
    <x v="0"/>
    <s v="COCHABAMBA"/>
    <s v="Y 2"/>
    <x v="1"/>
    <n v="0"/>
    <n v="0"/>
    <n v="24695.59"/>
    <n v="10906.970000000001"/>
    <n v="34532.25845999999"/>
    <n v="13881.370353899998"/>
    <n v="32895.159999999974"/>
    <n v="15617.352138116767"/>
    <n v="32895.159999999982"/>
    <n v="15571.789999999986"/>
    <n v="36184.676000000036"/>
    <n v="17128.969000000012"/>
    <n v="37270.216280000037"/>
    <n v="16857.328352359677"/>
    <n v="31559.913793103438"/>
    <n v="13493.90918591735"/>
    <n v="0"/>
    <n v="0.54305605620919717"/>
    <n v="0.44885011727192548"/>
    <n v="0.44885011727192559"/>
    <n v="0.44885011727192559"/>
    <n v="0.48"/>
    <n v="0.57721811733748518"/>
    <n v="0"/>
    <n v="13411.089711159288"/>
    <n v="14764.996423678744"/>
    <n v="14764.996423678744"/>
    <n v="16241.496066046648"/>
    <n v="17889.703814400018"/>
    <n v="18216.954022988499"/>
  </r>
  <r>
    <x v="4"/>
    <s v="YUTH AMERICA"/>
    <n v="530"/>
    <x v="0"/>
    <x v="0"/>
    <x v="0"/>
    <s v="COCHABAMBA"/>
    <s v="Y 2"/>
    <x v="2"/>
    <n v="0"/>
    <n v="0"/>
    <n v="33643.31"/>
    <n v="15015.95"/>
    <n v="27008.261180000001"/>
    <n v="12787.762413"/>
    <n v="31271.009999999995"/>
    <n v="15711.852472116934"/>
    <n v="31271.01"/>
    <n v="15763.699999999997"/>
    <n v="31271.009999999984"/>
    <n v="15763.699999999992"/>
    <n v="3127.1009999999987"/>
    <n v="1547.7757258206859"/>
    <n v="2477.6852196316108"/>
    <n v="1214.0657576194892"/>
    <n v="0"/>
    <n v="0.49278512516535289"/>
    <n v="0.81179036608177157"/>
    <n v="0.81179036608177169"/>
    <n v="0.81179036608177169"/>
    <n v="0.8"/>
    <n v="0.88062729217603919"/>
    <n v="0"/>
    <n v="16578.922729326769"/>
    <n v="25385.504655646739"/>
    <n v="25385.504655646739"/>
    <n v="25385.504655646731"/>
    <n v="2501.6807999999992"/>
    <n v="2181.9172258287804"/>
  </r>
  <r>
    <x v="4"/>
    <s v="YUTH AMERICA"/>
    <n v="530"/>
    <x v="0"/>
    <x v="0"/>
    <x v="0"/>
    <s v="COCHABAMBA"/>
    <s v="Y 2"/>
    <x v="3"/>
    <n v="0"/>
    <n v="0"/>
    <n v="30743.840000000004"/>
    <n v="16224.080000000002"/>
    <n v="24311.021040000003"/>
    <n v="12673.153805700003"/>
    <n v="27545.839999999978"/>
    <n v="14451.771781761598"/>
    <n v="27545.839999999986"/>
    <n v="14381.379999999983"/>
    <n v="27545.839999999967"/>
    <n v="14381.379999999974"/>
    <n v="31677.715999999964"/>
    <n v="16185.765953516962"/>
    <n v="0"/>
    <n v="0"/>
    <n v="0"/>
    <n v="0.96034232731967961"/>
    <n v="0.96796219283300466"/>
    <n v="0.96796219283300466"/>
    <n v="0.96796219283300466"/>
    <n v="0.92"/>
    <n v="0"/>
    <n v="0"/>
    <n v="29524.610856343861"/>
    <n v="26663.331689827079"/>
    <n v="26663.331689827071"/>
    <n v="26663.33168982706"/>
    <n v="29143.498719999967"/>
    <n v="0"/>
  </r>
  <r>
    <x v="4"/>
    <s v="YUTH AMERICA"/>
    <n v="530"/>
    <x v="0"/>
    <x v="0"/>
    <x v="0"/>
    <s v="COCHABAMBA"/>
    <s v="Y 2"/>
    <x v="4"/>
    <n v="0"/>
    <n v="0"/>
    <n v="18393.12"/>
    <n v="9637.9000000000015"/>
    <n v="27352.086179999991"/>
    <n v="13670.112029299995"/>
    <n v="24921.149999999987"/>
    <n v="12854.919626130239"/>
    <n v="24921.149999999994"/>
    <n v="13026.989999999994"/>
    <n v="24921.149999999994"/>
    <n v="13026.989999999996"/>
    <n v="28659.322499999995"/>
    <n v="14643.514272662938"/>
    <n v="0"/>
    <n v="0"/>
    <n v="0"/>
    <n v="0.93579630559537041"/>
    <n v="0.92290419970565596"/>
    <n v="0.92290419970565596"/>
    <n v="0.92290419970565596"/>
    <n v="0.91999999999999993"/>
    <n v="0"/>
    <n v="0"/>
    <n v="17212.213744372319"/>
    <n v="22999.833996494603"/>
    <n v="22999.833996494595"/>
    <n v="22999.833996494603"/>
    <n v="26366.576699999994"/>
    <n v="0"/>
  </r>
  <r>
    <x v="4"/>
    <s v="YUTH AMERICA"/>
    <n v="530"/>
    <x v="0"/>
    <x v="0"/>
    <x v="0"/>
    <s v="COCHABAMBA"/>
    <s v="Y 2"/>
    <x v="5"/>
    <n v="0"/>
    <n v="0"/>
    <n v="17822.89"/>
    <n v="9342.130000000001"/>
    <n v="24585.584549999992"/>
    <n v="12729.499973499998"/>
    <n v="25355.929999999997"/>
    <n v="13463.532781123318"/>
    <n v="25355.929999999997"/>
    <n v="13464.679999999997"/>
    <n v="25355.929999999993"/>
    <n v="13464.679999999995"/>
    <n v="29159.319499999998"/>
    <n v="14898.988323237185"/>
    <n v="0"/>
    <n v="0"/>
    <n v="0"/>
    <n v="0.93830950470310004"/>
    <n v="0.97107946954102142"/>
    <n v="0.97107946954102142"/>
    <n v="0.97107946954102142"/>
    <n v="0.92"/>
    <n v="0"/>
    <n v="0"/>
    <n v="16723.387088277836"/>
    <n v="24622.623054119267"/>
    <n v="24622.623054119267"/>
    <n v="24622.623054119264"/>
    <n v="26826.573939999998"/>
    <n v="0"/>
  </r>
  <r>
    <x v="4"/>
    <s v="YUTH AMERICA"/>
    <n v="530"/>
    <x v="0"/>
    <x v="0"/>
    <x v="0"/>
    <s v="COCHABAMBA"/>
    <s v="Y 2"/>
    <x v="6"/>
    <n v="0"/>
    <n v="0"/>
    <n v="29002.23"/>
    <n v="15244.34"/>
    <n v="29083.154850000003"/>
    <n v="14922.831689000001"/>
    <n v="25519.610000000011"/>
    <n v="13368.880000000023"/>
    <n v="25519.609999999986"/>
    <n v="13368.879999999979"/>
    <n v="25519.609999999993"/>
    <n v="13368.879999999983"/>
    <n v="29347.551499999998"/>
    <n v="14995.165683276731"/>
    <n v="0"/>
    <n v="0"/>
    <n v="0"/>
    <n v="0.96237639579237011"/>
    <n v="0.98844574819129283"/>
    <n v="0.98844574819129283"/>
    <n v="0.98844574819129283"/>
    <n v="0.91999999999999993"/>
    <n v="0"/>
    <n v="0"/>
    <n v="27911.061577341348"/>
    <n v="25224.749999999985"/>
    <n v="25224.750000000011"/>
    <n v="25224.749999999993"/>
    <n v="26999.747379999997"/>
    <n v="0"/>
  </r>
  <r>
    <x v="4"/>
    <s v="YUTH AMERICA"/>
    <n v="530"/>
    <x v="0"/>
    <x v="0"/>
    <x v="0"/>
    <s v="COCHABAMBA"/>
    <s v="Y 2"/>
    <x v="7"/>
    <n v="0"/>
    <n v="0"/>
    <n v="40688.460000000006"/>
    <n v="15947.740000000002"/>
    <n v="42421.557000000008"/>
    <n v="15922.579565000002"/>
    <n v="42421.557000000008"/>
    <n v="16932.564476550004"/>
    <n v="52077.98000000001"/>
    <n v="20545.160000000011"/>
    <n v="48432.521399999983"/>
    <n v="19331.840916809993"/>
    <n v="55697.399609999986"/>
    <n v="25191.948083816118"/>
    <n v="0"/>
    <n v="0"/>
    <n v="0"/>
    <n v="0.31520522456664152"/>
    <n v="0.4083864235901622"/>
    <n v="0.51"/>
    <n v="0.51"/>
    <n v="0.48000000000000004"/>
    <n v="0"/>
    <n v="0"/>
    <n v="12825.215171570813"/>
    <n v="21267.94"/>
    <n v="21634.994070000004"/>
    <n v="24700.585913999992"/>
    <n v="26734.751812799994"/>
    <n v="0"/>
  </r>
  <r>
    <x v="4"/>
    <s v="YUTH AMERICA"/>
    <n v="530"/>
    <x v="0"/>
    <x v="0"/>
    <x v="0"/>
    <s v="COCHABAMBA"/>
    <s v="Y 2"/>
    <x v="8"/>
    <n v="0"/>
    <n v="0"/>
    <n v="24636.149999999994"/>
    <n v="11863.89"/>
    <n v="23591.817579999995"/>
    <n v="12503.065981299997"/>
    <n v="24299.572107399996"/>
    <n v="12003.988621055598"/>
    <n v="18638.560000000005"/>
    <n v="8566.1400000000067"/>
    <n v="18638.560000000005"/>
    <n v="8566.1400000000067"/>
    <n v="21434.344000000005"/>
    <n v="10609.045675880085"/>
    <n v="0"/>
    <n v="0"/>
    <n v="0"/>
    <n v="0.76261449342801579"/>
    <n v="0.67161679872264834"/>
    <n v="0.79999999999999993"/>
    <n v="0.79999999999999993"/>
    <n v="0.8"/>
    <n v="0"/>
    <n v="0"/>
    <n v="18787.885052266607"/>
    <n v="12517.970000000008"/>
    <n v="19439.657685919996"/>
    <n v="14910.848000000004"/>
    <n v="17147.475200000004"/>
    <n v="0"/>
  </r>
  <r>
    <x v="4"/>
    <s v="YUTH AMERICA"/>
    <n v="530"/>
    <x v="0"/>
    <x v="0"/>
    <x v="0"/>
    <s v="COCHABAMBA"/>
    <s v="Y 2"/>
    <x v="9"/>
    <n v="0"/>
    <n v="0"/>
    <n v="25932.14"/>
    <n v="13843.240000000002"/>
    <n v="27161.651080000003"/>
    <n v="14429.689275200002"/>
    <n v="27976.500612400003"/>
    <n v="14323.968313548801"/>
    <n v="22672.379999999986"/>
    <n v="11287.95999999999"/>
    <n v="21531.93"/>
    <n v="11024.34816"/>
    <n v="24761.719499999999"/>
    <n v="12652.029471873464"/>
    <n v="0"/>
    <n v="0"/>
    <n v="0"/>
    <n v="0.96704830880653359"/>
    <n v="0.67950122572045824"/>
    <n v="0.91999999999999993"/>
    <n v="0.91999999999999993"/>
    <n v="0.92"/>
    <n v="0"/>
    <n v="0"/>
    <n v="25077.632130734262"/>
    <n v="15405.909999999994"/>
    <n v="25738.380563408002"/>
    <n v="19809.375599999999"/>
    <n v="22780.781940000001"/>
    <n v="0"/>
  </r>
  <r>
    <x v="4"/>
    <s v="YUTH AMERICA"/>
    <n v="530"/>
    <x v="0"/>
    <x v="0"/>
    <x v="0"/>
    <s v="COCHABAMBA"/>
    <s v="Y 2"/>
    <x v="10"/>
    <n v="0"/>
    <n v="0"/>
    <n v="26149.910000000003"/>
    <n v="13741.840000000002"/>
    <n v="34684.071689999997"/>
    <n v="17216.0490885"/>
    <n v="37510.823532734998"/>
    <n v="16954.892236796219"/>
    <n v="38837.931034482761"/>
    <n v="14379.837816543846"/>
    <n v="32283.189655172413"/>
    <n v="14592.001724137932"/>
    <n v="37125.668103448275"/>
    <n v="17286.825143920843"/>
    <n v="0"/>
    <n v="0"/>
    <n v="0"/>
    <n v="0.83251579420327682"/>
    <n v="0.4083864235901622"/>
    <n v="0.6"/>
    <n v="0.6"/>
    <n v="0.57999999999999996"/>
    <n v="0"/>
    <n v="0"/>
    <n v="21770.213091994214"/>
    <n v="15860.883754813784"/>
    <n v="22506.494119640996"/>
    <n v="19369.913793103446"/>
    <n v="21532.887499999997"/>
    <n v="0"/>
  </r>
  <r>
    <x v="4"/>
    <s v="YUTH AMERICA"/>
    <n v="530"/>
    <x v="0"/>
    <x v="0"/>
    <x v="0"/>
    <s v="COCHABAMBA"/>
    <s v="Y 2"/>
    <x v="11"/>
    <n v="0"/>
    <n v="0"/>
    <n v="84589.800000000017"/>
    <n v="40443.550000000025"/>
    <n v="87384.554250000045"/>
    <n v="43591.033920000016"/>
    <n v="90006.090877500043"/>
    <n v="44282.996711730018"/>
    <n v="50716.235632183911"/>
    <n v="23144.333648818418"/>
    <n v="90006.090877500043"/>
    <n v="44282.996711730018"/>
    <n v="103507.00450912505"/>
    <n v="52335.135629069729"/>
    <n v="0"/>
    <n v="0"/>
    <n v="0"/>
    <n v="0.51991782546950949"/>
    <n v="0.81179036608177157"/>
    <n v="0.8"/>
    <n v="0.8"/>
    <n v="0.88"/>
    <n v="0"/>
    <n v="0"/>
    <n v="43979.744872900723"/>
    <n v="41170.951490139967"/>
    <n v="72004.872702000037"/>
    <n v="72004.872702000037"/>
    <n v="91086.163968030043"/>
    <n v="0"/>
  </r>
  <r>
    <x v="4"/>
    <s v="YUTH AYACUCHO"/>
    <n v="542"/>
    <x v="0"/>
    <x v="2"/>
    <x v="0"/>
    <s v="SANTA CRUZ"/>
    <s v="Y 2"/>
    <x v="0"/>
    <n v="0"/>
    <n v="0"/>
    <n v="25452.61"/>
    <n v="13471.039999999999"/>
    <n v="29632.284989655167"/>
    <n v="15285.231959068962"/>
    <n v="17664.589999999989"/>
    <n v="9407.5039626655689"/>
    <n v="17664.59"/>
    <n v="9607.0499999999993"/>
    <n v="19431.04899999997"/>
    <n v="10567.754999999981"/>
    <n v="20499.756694999967"/>
    <n v="10822.182383132846"/>
    <n v="16332.471264367827"/>
    <n v="8509.5777042243099"/>
    <n v="0"/>
    <n v="0.9333800552417858"/>
    <n v="0.96496793667890068"/>
    <n v="0.96496793667890068"/>
    <n v="0.96496793667890068"/>
    <n v="0.92"/>
    <n v="0.92418670936185943"/>
    <n v="0"/>
    <n v="23756.95852784763"/>
    <n v="17045.762964578742"/>
    <n v="17045.762964578731"/>
    <n v="18750.339261036588"/>
    <n v="18859.776159399971"/>
    <n v="15094.25287356323"/>
  </r>
  <r>
    <x v="4"/>
    <s v="YUTH AYACUCHO"/>
    <n v="542"/>
    <x v="0"/>
    <x v="2"/>
    <x v="0"/>
    <s v="SANTA CRUZ"/>
    <s v="Y 2"/>
    <x v="1"/>
    <n v="0"/>
    <n v="0"/>
    <n v="26065.960000000003"/>
    <n v="11895.42"/>
    <n v="32700.332999999991"/>
    <n v="13056.155984999998"/>
    <n v="17496.489999999983"/>
    <n v="8387.9014180826234"/>
    <n v="17496.489999999983"/>
    <n v="8581.8599999999806"/>
    <n v="19246.13899999997"/>
    <n v="9440.045999999973"/>
    <n v="25019.98069999996"/>
    <n v="11657.554492736503"/>
    <n v="30766.666666666642"/>
    <n v="11008.616142416391"/>
    <n v="0"/>
    <n v="0.55068585387601066"/>
    <n v="0.42914802295954774"/>
    <n v="0.42914802295954713"/>
    <n v="0.42914802295954713"/>
    <n v="0.48"/>
    <n v="0.37294056113871527"/>
    <n v="0"/>
    <n v="14354.155439697941"/>
    <n v="7508.5840922314901"/>
    <n v="7508.5840922314792"/>
    <n v="8259.4425014546232"/>
    <n v="12009.59073599998"/>
    <n v="11474.137931034464"/>
  </r>
  <r>
    <x v="4"/>
    <s v="YUTH AYACUCHO"/>
    <n v="542"/>
    <x v="0"/>
    <x v="2"/>
    <x v="0"/>
    <s v="SANTA CRUZ"/>
    <s v="Y 2"/>
    <x v="2"/>
    <n v="0"/>
    <n v="0"/>
    <n v="37355.96"/>
    <n v="17074.049999999996"/>
    <n v="29395.987999999987"/>
    <n v="13887.455749999994"/>
    <n v="20438.900000000009"/>
    <n v="10212.646389539257"/>
    <n v="20438.900000000009"/>
    <n v="10263.680000000011"/>
    <n v="20438.899999999987"/>
    <n v="10263.68"/>
    <n v="21563.039499999984"/>
    <n v="11018.968407944418"/>
    <n v="18627.860846035081"/>
    <n v="8121.7473288712954"/>
    <n v="0"/>
    <n v="0.48488410806329774"/>
    <n v="0.7805917507116733"/>
    <n v="0.78059175071167342"/>
    <n v="0.78059175071167342"/>
    <n v="0.8"/>
    <n v="0.68639017950085046"/>
    <n v="0"/>
    <n v="18113.311345448226"/>
    <n v="15954.436733620827"/>
    <n v="15954.436733620829"/>
    <n v="15954.436733620812"/>
    <n v="17250.431599999989"/>
    <n v="12785.980749826884"/>
  </r>
  <r>
    <x v="4"/>
    <s v="YUTH AYACUCHO"/>
    <n v="542"/>
    <x v="0"/>
    <x v="2"/>
    <x v="0"/>
    <s v="SANTA CRUZ"/>
    <s v="Y 2"/>
    <x v="3"/>
    <n v="0"/>
    <n v="0"/>
    <n v="25056.300000000003"/>
    <n v="13387.08"/>
    <n v="27585.739649999989"/>
    <n v="14661.300052749995"/>
    <n v="15213.280000000002"/>
    <n v="8190.3381766124121"/>
    <n v="15213.280000000002"/>
    <n v="8191.2400000000034"/>
    <n v="15213.279999999999"/>
    <n v="8191.2400000000016"/>
    <n v="17495.271999999997"/>
    <n v="9236.0620295897461"/>
    <n v="0"/>
    <n v="0"/>
    <n v="0"/>
    <n v="0.95246503878727728"/>
    <n v="0.91225435400329369"/>
    <n v="0.9122543540032938"/>
    <n v="0.9122543540032938"/>
    <n v="0.92"/>
    <n v="0"/>
    <n v="0"/>
    <n v="23865.24975136566"/>
    <n v="13878.38091867123"/>
    <n v="13878.380918671231"/>
    <n v="13878.380918671228"/>
    <n v="16095.650239999999"/>
    <n v="0"/>
  </r>
  <r>
    <x v="4"/>
    <s v="YUTH AYACUCHO"/>
    <n v="542"/>
    <x v="0"/>
    <x v="2"/>
    <x v="0"/>
    <s v="SANTA CRUZ"/>
    <s v="Y 2"/>
    <x v="4"/>
    <n v="0"/>
    <n v="0"/>
    <n v="26904.639999999999"/>
    <n v="13879.16"/>
    <n v="30988.840199999991"/>
    <n v="15428.958098499996"/>
    <n v="18908.910000000003"/>
    <n v="10312.466005592669"/>
    <n v="18908.91"/>
    <n v="10406.189999999999"/>
    <n v="18908.91"/>
    <n v="10406.189999999999"/>
    <n v="20421.622800000005"/>
    <n v="10780.934124698621"/>
    <n v="0"/>
    <n v="0"/>
    <n v="0"/>
    <n v="0.86510032315855878"/>
    <n v="0.95959465824105494"/>
    <n v="0.95959465824105494"/>
    <n v="0.95959465824105494"/>
    <n v="0.91999999999999993"/>
    <n v="0"/>
    <n v="0"/>
    <n v="23275.212758464688"/>
    <n v="18144.889029160866"/>
    <n v="18144.88902916087"/>
    <n v="18144.889029160866"/>
    <n v="18787.892976000003"/>
    <n v="0"/>
  </r>
  <r>
    <x v="4"/>
    <s v="YUTH AYACUCHO"/>
    <n v="542"/>
    <x v="0"/>
    <x v="2"/>
    <x v="0"/>
    <s v="SANTA CRUZ"/>
    <s v="Y 2"/>
    <x v="5"/>
    <n v="0"/>
    <n v="0"/>
    <n v="34987.789999999994"/>
    <n v="18551.39"/>
    <n v="28079.542249999999"/>
    <n v="14822.086239749999"/>
    <n v="20528.919999999991"/>
    <n v="10760.589952213046"/>
    <n v="20528.919999999995"/>
    <n v="10779.879999999996"/>
    <n v="20528.919999999991"/>
    <n v="10779.879999999994"/>
    <n v="21658.010599999991"/>
    <n v="11433.645006440147"/>
    <n v="0"/>
    <n v="0"/>
    <n v="0"/>
    <n v="0.96734555005380651"/>
    <n v="0.95666028809733039"/>
    <n v="0.95666028809733028"/>
    <n v="0.95666028809733028"/>
    <n v="0.92"/>
    <n v="0"/>
    <n v="0"/>
    <n v="33845.282962717065"/>
    <n v="19639.202521527044"/>
    <n v="19639.202521527037"/>
    <n v="19639.202521527037"/>
    <n v="19925.369751999991"/>
    <n v="0"/>
  </r>
  <r>
    <x v="4"/>
    <s v="YUTH AYACUCHO"/>
    <n v="542"/>
    <x v="0"/>
    <x v="2"/>
    <x v="0"/>
    <s v="SANTA CRUZ"/>
    <s v="Y 2"/>
    <x v="6"/>
    <n v="0"/>
    <n v="0"/>
    <n v="31657.34"/>
    <n v="16659.03"/>
    <n v="32462.4758"/>
    <n v="17064.020940000002"/>
    <n v="19915.240000000009"/>
    <n v="10549.489999999998"/>
    <n v="19915.240000000013"/>
    <n v="10549.490000000016"/>
    <n v="19915.239999999987"/>
    <n v="10549.490000000003"/>
    <n v="21010.578199999985"/>
    <n v="11091.854046781662"/>
    <n v="0"/>
    <n v="0"/>
    <n v="0"/>
    <n v="0.97"/>
    <n v="0.96549526894980942"/>
    <n v="0.96549526894980919"/>
    <n v="0.96549526894980919"/>
    <n v="0.92"/>
    <n v="0"/>
    <n v="0"/>
    <n v="30707.6198"/>
    <n v="19228.070000000014"/>
    <n v="19228.070000000007"/>
    <n v="19228.069999999985"/>
    <n v="19329.731943999988"/>
    <n v="0"/>
  </r>
  <r>
    <x v="4"/>
    <s v="YUTH AYACUCHO"/>
    <n v="542"/>
    <x v="0"/>
    <x v="2"/>
    <x v="0"/>
    <s v="SANTA CRUZ"/>
    <s v="Y 2"/>
    <x v="7"/>
    <n v="0"/>
    <n v="0"/>
    <n v="44314.98"/>
    <n v="16659.660000000003"/>
    <n v="47783.330900000008"/>
    <n v="17779.781469499998"/>
    <n v="35837.498175000015"/>
    <n v="14560.775508502506"/>
    <n v="51142.109999999957"/>
    <n v="19163.859999999968"/>
    <n v="47562.162300000004"/>
    <n v="19324.506542490002"/>
    <n v="47562.162300000004"/>
    <n v="22160.628557344513"/>
    <n v="0"/>
    <n v="0"/>
    <n v="0"/>
    <n v="0.24289853008383894"/>
    <n v="0.31859890020181025"/>
    <n v="0.46"/>
    <n v="0.46"/>
    <n v="0.48"/>
    <n v="0"/>
    <n v="0"/>
    <n v="10764.043502694722"/>
    <n v="16293.819999999989"/>
    <n v="16485.249160500007"/>
    <n v="21878.594658000002"/>
    <n v="22829.837904"/>
    <n v="0"/>
  </r>
  <r>
    <x v="4"/>
    <s v="YUTH AYACUCHO"/>
    <n v="542"/>
    <x v="0"/>
    <x v="2"/>
    <x v="0"/>
    <s v="SANTA CRUZ"/>
    <s v="Y 2"/>
    <x v="8"/>
    <n v="0"/>
    <n v="0"/>
    <n v="21766.019999999997"/>
    <n v="11005.22"/>
    <n v="26874.012299999991"/>
    <n v="14188.025704999996"/>
    <n v="22842.910454999994"/>
    <n v="11695.570152959997"/>
    <n v="15647.370000000017"/>
    <n v="8231.4400000000169"/>
    <n v="15647.370000000017"/>
    <n v="8231.4400000000169"/>
    <n v="16507.975350000019"/>
    <n v="8435.7707947794406"/>
    <n v="0"/>
    <n v="0"/>
    <n v="0"/>
    <n v="0.82971720871498811"/>
    <n v="0.98677796971631659"/>
    <n v="0.79999999999999993"/>
    <n v="0.79999999999999993"/>
    <n v="0.8"/>
    <n v="0"/>
    <n v="0"/>
    <n v="18059.641359234603"/>
    <n v="15440.480000000018"/>
    <n v="18274.328363999994"/>
    <n v="12517.896000000013"/>
    <n v="13206.380280000016"/>
    <n v="0"/>
  </r>
  <r>
    <x v="4"/>
    <s v="YUTH AYACUCHO"/>
    <n v="542"/>
    <x v="0"/>
    <x v="2"/>
    <x v="0"/>
    <s v="SANTA CRUZ"/>
    <s v="Y 2"/>
    <x v="9"/>
    <n v="0"/>
    <n v="0"/>
    <n v="15490.260000000002"/>
    <n v="8324.4399999999987"/>
    <n v="28944.586499999998"/>
    <n v="15380.797549999997"/>
    <n v="24602.898524999997"/>
    <n v="13147.788971759997"/>
    <n v="9247.6200000000044"/>
    <n v="4603.7300000000032"/>
    <n v="12852.589999999997"/>
    <n v="6868.4240959999979"/>
    <n v="16065.737499999997"/>
    <n v="8481.3856052713018"/>
    <n v="0"/>
    <n v="0"/>
    <n v="0"/>
    <n v="0.98315491183879089"/>
    <n v="0.6379360311085448"/>
    <n v="0.96"/>
    <n v="0.96"/>
    <n v="0.92"/>
    <n v="0"/>
    <n v="0"/>
    <n v="15229.325204659952"/>
    <n v="5899.390000000004"/>
    <n v="23618.782583999997"/>
    <n v="12338.486399999996"/>
    <n v="14780.478499999997"/>
    <n v="0"/>
  </r>
  <r>
    <x v="4"/>
    <s v="YUTH AYACUCHO"/>
    <n v="542"/>
    <x v="0"/>
    <x v="2"/>
    <x v="0"/>
    <s v="SANTA CRUZ"/>
    <s v="Y 2"/>
    <x v="10"/>
    <n v="0"/>
    <n v="0"/>
    <n v="11705.079999999998"/>
    <n v="6095.2799999999988"/>
    <n v="30771.773499999999"/>
    <n v="15513.422507499998"/>
    <n v="27463.807848749999"/>
    <n v="12743.20684182"/>
    <n v="15207.183908045976"/>
    <n v="4873.8571016849692"/>
    <n v="27463.807848749999"/>
    <n v="12743.20684182"/>
    <n v="28974.317280431253"/>
    <n v="13908.191898365905"/>
    <n v="0"/>
    <n v="0"/>
    <n v="0"/>
    <n v="0.75876018941503254"/>
    <n v="0.31859890020181025"/>
    <n v="0.6"/>
    <n v="0.6"/>
    <n v="0.57999999999999996"/>
    <n v="0"/>
    <n v="0"/>
    <n v="8881.3487179181084"/>
    <n v="4844.9920682701149"/>
    <n v="16478.284709249998"/>
    <n v="16478.284709249998"/>
    <n v="16805.104022650125"/>
    <n v="0"/>
  </r>
  <r>
    <x v="4"/>
    <s v="YUTH AYACUCHO"/>
    <n v="542"/>
    <x v="0"/>
    <x v="2"/>
    <x v="0"/>
    <s v="SANTA CRUZ"/>
    <s v="Y 2"/>
    <x v="11"/>
    <n v="0"/>
    <n v="0"/>
    <n v="58898.41"/>
    <n v="28562.639999999999"/>
    <n v="60748.786499999973"/>
    <n v="30149.485447499992"/>
    <n v="51636.468524999975"/>
    <n v="26231.326010699995"/>
    <n v="45787.356321839077"/>
    <n v="20299.823050613209"/>
    <n v="51636.468524999975"/>
    <n v="26231.326010699995"/>
    <n v="53701.927265999984"/>
    <n v="28047.568573270833"/>
    <n v="0"/>
    <n v="0"/>
    <n v="0"/>
    <n v="0.59683097786383155"/>
    <n v="0.7805917507116733"/>
    <n v="0.8"/>
    <n v="0.8"/>
    <n v="0.88"/>
    <n v="0"/>
    <n v="0"/>
    <n v="35152.395634924877"/>
    <n v="35741.232631723571"/>
    <n v="41309.174819999986"/>
    <n v="41309.174819999986"/>
    <n v="47257.695994079986"/>
    <n v="0"/>
  </r>
  <r>
    <x v="4"/>
    <s v="YUTH CALACOTO"/>
    <n v="520"/>
    <x v="0"/>
    <x v="2"/>
    <x v="0"/>
    <s v="LA PAZ"/>
    <s v="Y 1"/>
    <x v="0"/>
    <n v="0"/>
    <n v="0"/>
    <n v="46382.06"/>
    <n v="24003.800000000003"/>
    <n v="47904.451533333318"/>
    <n v="24300.087026333327"/>
    <n v="43179.810000000012"/>
    <n v="22855.383430287842"/>
    <n v="43179.810000000005"/>
    <n v="23146.810000000012"/>
    <n v="47497.791000000063"/>
    <n v="25461.491000000045"/>
    <n v="45122.901450000063"/>
    <n v="22980.567567610957"/>
    <n v="31816.235632183914"/>
    <n v="16379.381804869998"/>
    <n v="0"/>
    <n v="0.93332807967644382"/>
    <n v="0.97182565548862354"/>
    <n v="0.97182565548862354"/>
    <n v="0.97182565548862354"/>
    <n v="0.92"/>
    <n v="0.92223210697206026"/>
    <n v="0"/>
    <n v="43289.678991237597"/>
    <n v="41963.247157124228"/>
    <n v="41963.247157124235"/>
    <n v="46159.571872836706"/>
    <n v="41513.069334000058"/>
    <n v="29341.95402298851"/>
  </r>
  <r>
    <x v="4"/>
    <s v="YUTH CALACOTO"/>
    <n v="520"/>
    <x v="0"/>
    <x v="2"/>
    <x v="0"/>
    <s v="LA PAZ"/>
    <s v="Y 1"/>
    <x v="1"/>
    <n v="0"/>
    <n v="0"/>
    <n v="50743.839999999997"/>
    <n v="22472.680000000004"/>
    <n v="61042.963300000003"/>
    <n v="24085.143439500003"/>
    <n v="44163.89"/>
    <n v="20244.724326304124"/>
    <n v="44163.890000000014"/>
    <n v="20346.380000000019"/>
    <n v="48580.279000000082"/>
    <n v="22381.018000000055"/>
    <n v="53438.306900000098"/>
    <n v="24267.107577138151"/>
    <n v="52665.804597701055"/>
    <n v="22365.476826116879"/>
    <n v="0"/>
    <n v="0.55273080798538943"/>
    <n v="0.491932621489648"/>
    <n v="0.49193262148964823"/>
    <n v="0.49193262148964823"/>
    <n v="0.47999999999999993"/>
    <n v="0.57387997402838309"/>
    <n v="0"/>
    <n v="28047.683683481322"/>
    <n v="21725.658182880459"/>
    <n v="21725.658182880459"/>
    <n v="23898.224001168546"/>
    <n v="25650.387312000043"/>
    <n v="30223.850574712582"/>
  </r>
  <r>
    <x v="4"/>
    <s v="YUTH CALACOTO"/>
    <n v="520"/>
    <x v="0"/>
    <x v="2"/>
    <x v="0"/>
    <s v="LA PAZ"/>
    <s v="Y 1"/>
    <x v="2"/>
    <n v="0"/>
    <n v="0"/>
    <n v="57122.549999999996"/>
    <n v="25213.890000000003"/>
    <n v="52302.320699999997"/>
    <n v="24560.182491499996"/>
    <n v="40448.200000000004"/>
    <n v="20162.229556016857"/>
    <n v="40448.200000000012"/>
    <n v="20267.520000000011"/>
    <n v="40448.199999999983"/>
    <n v="20267.519999999997"/>
    <n v="45301.983999999982"/>
    <n v="22390.094091589512"/>
    <n v="41528.538105536943"/>
    <n v="20182.869519290954"/>
    <n v="0"/>
    <n v="0.44447696185305846"/>
    <n v="0.78364389438568782"/>
    <n v="0.78364389438568804"/>
    <n v="0.78364389438568804"/>
    <n v="0.8"/>
    <n v="0.86291159846772969"/>
    <n v="0"/>
    <n v="25389.657477299421"/>
    <n v="31696.984968891189"/>
    <n v="31696.984968891189"/>
    <n v="31696.984968891175"/>
    <n v="36241.587199999987"/>
    <n v="35835.457198676908"/>
  </r>
  <r>
    <x v="4"/>
    <s v="YUTH CALACOTO"/>
    <n v="520"/>
    <x v="0"/>
    <x v="2"/>
    <x v="0"/>
    <s v="LA PAZ"/>
    <s v="Y 1"/>
    <x v="3"/>
    <n v="0"/>
    <n v="0"/>
    <n v="47875.360000000001"/>
    <n v="25239.559999999998"/>
    <n v="45470.438750000001"/>
    <n v="23972.484723500002"/>
    <n v="46859.539999999986"/>
    <n v="24819.928709192303"/>
    <n v="46859.539999999994"/>
    <n v="24865.49"/>
    <n v="46859.539999999986"/>
    <n v="24865.489999999998"/>
    <n v="49202.516999999985"/>
    <n v="25058.268198199501"/>
    <n v="0"/>
    <n v="0"/>
    <n v="0"/>
    <n v="0.9785468231441431"/>
    <n v="0.96455877904882303"/>
    <n v="0.96455877904882303"/>
    <n v="0.96455877904882303"/>
    <n v="0.92"/>
    <n v="0"/>
    <n v="0"/>
    <n v="46848.281434882185"/>
    <n v="45198.78068918948"/>
    <n v="45198.780689189472"/>
    <n v="45198.780689189472"/>
    <n v="45266.315639999986"/>
    <n v="0"/>
  </r>
  <r>
    <x v="4"/>
    <s v="YUTH CALACOTO"/>
    <n v="520"/>
    <x v="0"/>
    <x v="2"/>
    <x v="0"/>
    <s v="LA PAZ"/>
    <s v="Y 1"/>
    <x v="4"/>
    <n v="0"/>
    <n v="0"/>
    <n v="45648.149999999994"/>
    <n v="24079.249999999996"/>
    <n v="49786.071874999994"/>
    <n v="24985.041881875"/>
    <n v="56250.359999999971"/>
    <n v="29411.074702275302"/>
    <n v="56250.359999999971"/>
    <n v="29375.319999999963"/>
    <n v="56250.359999999971"/>
    <n v="29375.319999999963"/>
    <n v="53437.841999999982"/>
    <n v="27215.269836073825"/>
    <n v="0"/>
    <n v="0"/>
    <n v="0"/>
    <n v="0.94293361075077053"/>
    <n v="0.94825058725558586"/>
    <n v="0.94825058725558597"/>
    <n v="0.94825058725558597"/>
    <n v="0.91999999999999993"/>
    <n v="0"/>
    <n v="0"/>
    <n v="43043.174903592779"/>
    <n v="53339.436903338086"/>
    <n v="53339.436903338094"/>
    <n v="53339.436903338094"/>
    <n v="49162.814639999982"/>
    <n v="0"/>
  </r>
  <r>
    <x v="4"/>
    <s v="YUTH CALACOTO"/>
    <n v="520"/>
    <x v="0"/>
    <x v="2"/>
    <x v="0"/>
    <s v="LA PAZ"/>
    <s v="Y 1"/>
    <x v="5"/>
    <n v="0"/>
    <n v="0"/>
    <n v="41211.919999999998"/>
    <n v="21438.879999999997"/>
    <n v="45071.983775000001"/>
    <n v="23264.870789125001"/>
    <n v="41536.189999999959"/>
    <n v="21903.730517492615"/>
    <n v="41536.189999999959"/>
    <n v="21910.629999999976"/>
    <n v="41536.189999999959"/>
    <n v="21910.629999999976"/>
    <n v="44443.723299999969"/>
    <n v="22634.670055151193"/>
    <n v="0"/>
    <n v="0"/>
    <n v="0"/>
    <n v="0.95350355911496698"/>
    <n v="0.99929371020898317"/>
    <n v="0.99929371020898317"/>
    <n v="0.99929371020898317"/>
    <n v="0.92"/>
    <n v="0"/>
    <n v="0"/>
    <n v="39295.712397961288"/>
    <n v="41506.853413045224"/>
    <n v="41506.853413045224"/>
    <n v="41506.853413045224"/>
    <n v="40888.225435999972"/>
    <n v="0"/>
  </r>
  <r>
    <x v="4"/>
    <s v="YUTH CALACOTO"/>
    <n v="520"/>
    <x v="0"/>
    <x v="2"/>
    <x v="0"/>
    <s v="LA PAZ"/>
    <s v="Y 1"/>
    <x v="6"/>
    <n v="0"/>
    <n v="0"/>
    <n v="50378.210000000006"/>
    <n v="26330.670000000002"/>
    <n v="50564.158199999998"/>
    <n v="26253.128128000004"/>
    <n v="53245.359999999979"/>
    <n v="27970.549999999927"/>
    <n v="53245.35999999995"/>
    <n v="27970.549999999967"/>
    <n v="53245.359999999993"/>
    <n v="27970.549999999988"/>
    <n v="55907.627999999997"/>
    <n v="28473.10304773978"/>
    <n v="0"/>
    <n v="0"/>
    <n v="0"/>
    <n v="0.98010831722867842"/>
    <n v="0.97167302465416705"/>
    <n v="0.97167302465416705"/>
    <n v="0.97167302465416705"/>
    <n v="0.91999999999999993"/>
    <n v="0"/>
    <n v="0"/>
    <n v="49376.102628092987"/>
    <n v="51737.079999999951"/>
    <n v="51737.07999999998"/>
    <n v="51737.079999999994"/>
    <n v="51435.017759999995"/>
    <n v="0"/>
  </r>
  <r>
    <x v="4"/>
    <s v="YUTH CALACOTO"/>
    <n v="520"/>
    <x v="0"/>
    <x v="2"/>
    <x v="0"/>
    <s v="LA PAZ"/>
    <s v="Y 1"/>
    <x v="7"/>
    <n v="0"/>
    <n v="0"/>
    <n v="62734.950000000004"/>
    <n v="23452.460000000003"/>
    <n v="70160.580619999964"/>
    <n v="25918.957862999985"/>
    <n v="66652.551588999951"/>
    <n v="27937.416998529334"/>
    <n v="97837.969999999914"/>
    <n v="37612.629999999917"/>
    <n v="90989.312100000083"/>
    <n v="38138.170166715041"/>
    <n v="91899.205221000069"/>
    <n v="41732.757430447346"/>
    <n v="0"/>
    <n v="0"/>
    <n v="0"/>
    <n v="0.27770075318166998"/>
    <n v="0.39452985379807098"/>
    <n v="0.51"/>
    <n v="0.51"/>
    <n v="0.47999999999999993"/>
    <n v="0"/>
    <n v="0"/>
    <n v="17421.542865814408"/>
    <n v="38600.000000000022"/>
    <n v="33992.801310389979"/>
    <n v="46404.549171000042"/>
    <n v="44111.618506080027"/>
    <n v="0"/>
  </r>
  <r>
    <x v="4"/>
    <s v="YUTH CALACOTO"/>
    <n v="520"/>
    <x v="0"/>
    <x v="2"/>
    <x v="0"/>
    <s v="LA PAZ"/>
    <s v="Y 1"/>
    <x v="8"/>
    <n v="0"/>
    <n v="0"/>
    <n v="42361.03"/>
    <n v="20707.650000000001"/>
    <n v="44449.53428"/>
    <n v="23599.526294000003"/>
    <n v="44449.53428"/>
    <n v="22824.835852780005"/>
    <n v="30002.289999999979"/>
    <n v="14230.609999999975"/>
    <n v="30002.289999999979"/>
    <n v="14230.609999999975"/>
    <n v="42603.251799999976"/>
    <n v="21056.270215663837"/>
    <n v="0"/>
    <n v="0"/>
    <n v="0"/>
    <n v="0.790365971748624"/>
    <n v="0.73246142211144549"/>
    <n v="0.85000000000000009"/>
    <n v="0.85000000000000009"/>
    <n v="0.8"/>
    <n v="0"/>
    <n v="0"/>
    <n v="33480.716640222614"/>
    <n v="21975.519999999986"/>
    <n v="37782.104138000002"/>
    <n v="25501.946499999984"/>
    <n v="34082.601439999984"/>
    <n v="0"/>
  </r>
  <r>
    <x v="4"/>
    <s v="YUTH CALACOTO"/>
    <n v="520"/>
    <x v="0"/>
    <x v="2"/>
    <x v="0"/>
    <s v="LA PAZ"/>
    <s v="Y 1"/>
    <x v="9"/>
    <n v="0"/>
    <n v="0"/>
    <n v="39617.68"/>
    <n v="21286.07"/>
    <n v="46935.778200000015"/>
    <n v="25031.877293000016"/>
    <n v="46935.778200000015"/>
    <n v="24617.815665900005"/>
    <n v="42824.899999999965"/>
    <n v="20422.369999999966"/>
    <n v="36558.17"/>
    <n v="19174.760164999996"/>
    <n v="45697.712500000001"/>
    <n v="23273.312132979176"/>
    <n v="0"/>
    <n v="0"/>
    <n v="0"/>
    <n v="0.96535694571452957"/>
    <n v="0.64030599020663181"/>
    <n v="0.95"/>
    <n v="0.95"/>
    <n v="0.91999999999999993"/>
    <n v="0"/>
    <n v="0"/>
    <n v="38245.202561095604"/>
    <n v="27421.039999999964"/>
    <n v="44588.989290000012"/>
    <n v="34730.261499999993"/>
    <n v="42041.895499999999"/>
    <n v="0"/>
  </r>
  <r>
    <x v="4"/>
    <s v="YUTH CALACOTO"/>
    <n v="520"/>
    <x v="0"/>
    <x v="2"/>
    <x v="0"/>
    <s v="LA PAZ"/>
    <s v="Y 1"/>
    <x v="10"/>
    <n v="0"/>
    <n v="0"/>
    <n v="44517.43"/>
    <n v="23055.530000000002"/>
    <n v="60135.663100000012"/>
    <n v="30155.359418000004"/>
    <n v="63142.446255000017"/>
    <n v="28919.240384790013"/>
    <n v="66580.531609195401"/>
    <n v="24480.102089353648"/>
    <n v="53222.772988505727"/>
    <n v="24376.030028735626"/>
    <n v="56948.367097701121"/>
    <n v="26575.181804454791"/>
    <n v="0"/>
    <n v="0"/>
    <n v="0"/>
    <n v="0.82093832104213504"/>
    <n v="0.39452985379807098"/>
    <n v="0.6"/>
    <n v="0.6"/>
    <n v="0.57999999999999996"/>
    <n v="0"/>
    <n v="0"/>
    <n v="36546.064241310771"/>
    <n v="26268.007401573705"/>
    <n v="37885.467753000012"/>
    <n v="31933.663793103435"/>
    <n v="33030.052916666646"/>
    <n v="0"/>
  </r>
  <r>
    <x v="4"/>
    <s v="YUTH CALACOTO"/>
    <n v="520"/>
    <x v="0"/>
    <x v="2"/>
    <x v="0"/>
    <s v="LA PAZ"/>
    <s v="Y 1"/>
    <x v="11"/>
    <n v="0"/>
    <n v="0"/>
    <n v="103720.40000000002"/>
    <n v="51536.100000000006"/>
    <n v="106146.86480000002"/>
    <n v="53017.843031200005"/>
    <n v="106146.86480000002"/>
    <n v="53073.432400000012"/>
    <n v="90892.385057471256"/>
    <n v="41560.36051078837"/>
    <n v="106146.86480000002"/>
    <n v="53073.432400000012"/>
    <n v="106146.86480000002"/>
    <n v="53526.948282074576"/>
    <n v="0"/>
    <n v="0"/>
    <n v="0"/>
    <n v="0.58687295179551358"/>
    <n v="0.78364389438568782"/>
    <n v="0.8"/>
    <n v="0.8"/>
    <n v="0.88"/>
    <n v="0"/>
    <n v="0"/>
    <n v="60870.6973094114"/>
    <n v="71227.262596440269"/>
    <n v="84917.491840000032"/>
    <n v="84917.491840000032"/>
    <n v="93409.241024000017"/>
    <n v="0"/>
  </r>
  <r>
    <x v="4"/>
    <s v="YUTH LA PAZ CENTRO MULTICINE - CIELO MALL"/>
    <s v="Y-LP"/>
    <x v="3"/>
    <x v="3"/>
    <x v="3"/>
    <s v="LA PAZ"/>
    <s v="Y 2"/>
    <x v="5"/>
    <n v="0"/>
    <n v="0"/>
    <n v="0"/>
    <n v="0"/>
    <n v="21350.625187499998"/>
    <n v="11239.4072151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YUTH LA PAZ CENTRO MULTICINE - CIELO MALL"/>
    <s v="Y-LP"/>
    <x v="3"/>
    <x v="3"/>
    <x v="3"/>
    <s v="LA PAZ"/>
    <s v="Y 2"/>
    <x v="6"/>
    <n v="0"/>
    <n v="0"/>
    <n v="0"/>
    <n v="0"/>
    <n v="30537.312592500006"/>
    <n v="16052.357877412505"/>
    <n v="0"/>
    <n v="0"/>
    <n v="0"/>
    <n v="0"/>
    <n v="0"/>
    <n v="0"/>
    <n v="37271.751999999986"/>
    <n v="18982.068698493178"/>
    <n v="0"/>
    <n v="0"/>
    <n v="0"/>
    <n v="0"/>
    <n v="0"/>
    <n v="0"/>
    <n v="0"/>
    <n v="0.91999999999999993"/>
    <n v="0"/>
    <n v="0"/>
    <n v="0"/>
    <n v="0"/>
    <n v="0"/>
    <n v="0"/>
    <n v="34290.011839999985"/>
    <n v="0"/>
  </r>
  <r>
    <x v="4"/>
    <s v="YUTH LA PAZ CENTRO MULTICINE - CIELO MALL"/>
    <s v="Y-LP"/>
    <x v="3"/>
    <x v="3"/>
    <x v="3"/>
    <s v="LA PAZ"/>
    <s v="Y 2"/>
    <x v="7"/>
    <n v="0"/>
    <n v="0"/>
    <n v="0"/>
    <n v="0"/>
    <n v="44542.634850000002"/>
    <n v="16539.0072435"/>
    <n v="0"/>
    <n v="0"/>
    <n v="0"/>
    <n v="0"/>
    <n v="0"/>
    <n v="0"/>
    <n v="63692.518470000068"/>
    <n v="28923.693268626874"/>
    <n v="0"/>
    <n v="0"/>
    <n v="0"/>
    <n v="0"/>
    <n v="0"/>
    <n v="0"/>
    <n v="0"/>
    <n v="0.47999999999999993"/>
    <n v="0"/>
    <n v="0"/>
    <n v="0"/>
    <n v="0"/>
    <n v="0"/>
    <n v="0"/>
    <n v="30572.408865600028"/>
    <n v="0"/>
  </r>
  <r>
    <x v="4"/>
    <s v="YUTH LA PAZ CENTRO MULTICINE - CIELO MALL"/>
    <s v="Y-LP"/>
    <x v="3"/>
    <x v="3"/>
    <x v="3"/>
    <s v="LA PAZ"/>
    <s v="Y 2"/>
    <x v="8"/>
    <n v="0"/>
    <n v="0"/>
    <n v="0"/>
    <n v="0"/>
    <n v="24771.408458999995"/>
    <n v="13076.633013465"/>
    <n v="0"/>
    <n v="0"/>
    <n v="0"/>
    <n v="0"/>
    <n v="0"/>
    <n v="0"/>
    <n v="21001.602999999992"/>
    <n v="10379.851514763868"/>
    <n v="0"/>
    <n v="0"/>
    <n v="0"/>
    <n v="0"/>
    <n v="0"/>
    <n v="0"/>
    <n v="0"/>
    <n v="0.8"/>
    <n v="0"/>
    <n v="0"/>
    <n v="0"/>
    <n v="0"/>
    <n v="0"/>
    <n v="0"/>
    <n v="16801.282399999993"/>
    <n v="0"/>
  </r>
  <r>
    <x v="4"/>
    <s v="YUTH LA PAZ CENTRO MULTICINE - CIELO MALL"/>
    <s v="Y-LP"/>
    <x v="3"/>
    <x v="3"/>
    <x v="3"/>
    <s v="LA PAZ"/>
    <s v="Y 2"/>
    <x v="9"/>
    <n v="0"/>
    <n v="0"/>
    <n v="0"/>
    <n v="0"/>
    <n v="28519.733634"/>
    <n v="15150.433126185002"/>
    <n v="0"/>
    <n v="0"/>
    <n v="0"/>
    <n v="0"/>
    <n v="0"/>
    <n v="0"/>
    <n v="25590.719000000001"/>
    <n v="13033.054794468337"/>
    <n v="0"/>
    <n v="0"/>
    <n v="0"/>
    <n v="0"/>
    <n v="0"/>
    <n v="0"/>
    <n v="0"/>
    <n v="0.92"/>
    <n v="0"/>
    <n v="0"/>
    <n v="0"/>
    <n v="0"/>
    <n v="0"/>
    <n v="0"/>
    <n v="23543.461480000002"/>
    <n v="0"/>
  </r>
  <r>
    <x v="4"/>
    <s v="YUTH LA PAZ CENTRO MULTICINE - CIELO MALL"/>
    <s v="Y-LP"/>
    <x v="3"/>
    <x v="3"/>
    <x v="3"/>
    <s v="LA PAZ"/>
    <s v="Y 2"/>
    <x v="10"/>
    <n v="0"/>
    <n v="0"/>
    <n v="0"/>
    <n v="0"/>
    <n v="36418.275274500003"/>
    <n v="18213.111222862502"/>
    <n v="50333.550014700013"/>
    <n v="23052.765906732606"/>
    <n v="0"/>
    <n v="0"/>
    <n v="0"/>
    <n v="0"/>
    <n v="37255.94109195401"/>
    <n v="17385.632956185378"/>
    <n v="0"/>
    <n v="0"/>
    <n v="0"/>
    <n v="0"/>
    <n v="0"/>
    <n v="0.6"/>
    <n v="0.6"/>
    <n v="0.57999999999999996"/>
    <n v="0"/>
    <n v="0"/>
    <n v="0"/>
    <n v="0"/>
    <n v="30200.130008820008"/>
    <n v="0"/>
    <n v="21608.445833333324"/>
    <n v="0"/>
  </r>
  <r>
    <x v="4"/>
    <s v="YUTH LA PAZ CENTRO MULTICINE - CIELO MALL"/>
    <s v="Y-LP"/>
    <x v="3"/>
    <x v="3"/>
    <x v="3"/>
    <s v="LA PAZ"/>
    <s v="Y 2"/>
    <x v="11"/>
    <n v="0"/>
    <n v="0"/>
    <n v="0"/>
    <n v="0"/>
    <n v="91753.781962500056"/>
    <n v="45271.916735062521"/>
    <n v="74037.438198000018"/>
    <n v="37018.719099000009"/>
    <n v="0"/>
    <n v="0"/>
    <n v="0"/>
    <n v="0"/>
    <n v="74302.805360000042"/>
    <n v="37468.863797452213"/>
    <n v="0"/>
    <n v="0"/>
    <n v="0"/>
    <n v="0"/>
    <n v="0"/>
    <n v="0.8"/>
    <n v="0.8"/>
    <n v="0.88"/>
    <n v="0"/>
    <n v="0"/>
    <n v="0"/>
    <n v="0"/>
    <n v="59229.950558400014"/>
    <n v="0"/>
    <n v="65386.468716800038"/>
    <n v="0"/>
  </r>
  <r>
    <x v="4"/>
    <s v="YUTH LAS BRISAS"/>
    <n v="543"/>
    <x v="3"/>
    <x v="2"/>
    <x v="0"/>
    <s v="SANTA CRUZ"/>
    <s v="Y 1"/>
    <x v="0"/>
    <n v="0"/>
    <n v="0"/>
    <n v="0"/>
    <n v="0"/>
    <n v="35780.537579923075"/>
    <n v="18123.425473949614"/>
    <n v="27429.920000000013"/>
    <n v="14084.237904861571"/>
    <n v="27429.920000000013"/>
    <n v="14254.000000000015"/>
    <n v="30172.912000000015"/>
    <n v="15679.400000000018"/>
    <n v="32117.556178400013"/>
    <n v="16179.403565348293"/>
    <n v="26373.706896551714"/>
    <n v="13061.978015140859"/>
    <n v="0"/>
    <n v="0"/>
    <n v="0.95115050154551517"/>
    <n v="0.95115050154551517"/>
    <n v="0.95115050154551517"/>
    <n v="0.91999999999999993"/>
    <n v="0.85305702191642019"/>
    <n v="0"/>
    <n v="0"/>
    <n v="26089.982165353369"/>
    <n v="26089.982165353369"/>
    <n v="28698.980381888709"/>
    <n v="29548.15168412801"/>
    <n v="22498.275862068956"/>
  </r>
  <r>
    <x v="4"/>
    <s v="YUTH LAS BRISAS"/>
    <n v="543"/>
    <x v="3"/>
    <x v="2"/>
    <x v="0"/>
    <s v="SANTA CRUZ"/>
    <s v="Y 1"/>
    <x v="1"/>
    <n v="0"/>
    <n v="0"/>
    <n v="0"/>
    <n v="0"/>
    <n v="48847.869084999998"/>
    <n v="20315.509124525001"/>
    <n v="25948.12999999999"/>
    <n v="12013.876926898789"/>
    <n v="25948.129999999994"/>
    <n v="12079.509999999995"/>
    <n v="28542.942999999999"/>
    <n v="13287.460999999998"/>
    <n v="37105.825899999996"/>
    <n v="16267.886881304436"/>
    <n v="34136.566091953988"/>
    <n v="13219.521231050549"/>
    <n v="0"/>
    <n v="0"/>
    <n v="0.46288806609997174"/>
    <n v="0.46288806609997157"/>
    <n v="0.46288806609997157"/>
    <n v="0.47999999999999993"/>
    <n v="0.47539779578728936"/>
    <n v="0"/>
    <n v="0"/>
    <n v="12011.079714610656"/>
    <n v="12011.079714610651"/>
    <n v="13212.18768607172"/>
    <n v="17810.796431999996"/>
    <n v="16228.448275862049"/>
  </r>
  <r>
    <x v="4"/>
    <s v="YUTH LAS BRISAS"/>
    <n v="543"/>
    <x v="3"/>
    <x v="2"/>
    <x v="0"/>
    <s v="SANTA CRUZ"/>
    <s v="Y 1"/>
    <x v="2"/>
    <n v="0"/>
    <n v="0"/>
    <n v="43786.07"/>
    <n v="20704.450000000004"/>
    <n v="38051.077369999985"/>
    <n v="18428.891527399996"/>
    <n v="32226.839999999997"/>
    <n v="15922.391644084306"/>
    <n v="32226.839999999982"/>
    <n v="15942.759999999987"/>
    <n v="32226.839999999978"/>
    <n v="15942.759999999986"/>
    <n v="32549.108399999983"/>
    <n v="15816.801306772213"/>
    <n v="25780.134695327593"/>
    <n v="11729.961286374055"/>
    <n v="0"/>
    <n v="0.66831341214154105"/>
    <n v="0.78069725683526903"/>
    <n v="0.78069725683526892"/>
    <n v="0.78069725683526892"/>
    <n v="0.8"/>
    <n v="0.74565333618477347"/>
    <n v="0"/>
    <n v="29262.817845968366"/>
    <n v="25159.405584469107"/>
    <n v="25159.405584469114"/>
    <n v="25159.405584469099"/>
    <n v="26039.286719999989"/>
    <n v="19223.043442863847"/>
  </r>
  <r>
    <x v="4"/>
    <s v="YUTH LAS BRISAS"/>
    <n v="543"/>
    <x v="3"/>
    <x v="2"/>
    <x v="0"/>
    <s v="SANTA CRUZ"/>
    <s v="Y 1"/>
    <x v="3"/>
    <n v="0"/>
    <n v="0"/>
    <n v="35220.31"/>
    <n v="18537.099999999999"/>
    <n v="32817.198029999985"/>
    <n v="17209.959781099991"/>
    <n v="35594.089999999997"/>
    <n v="18228.106822763664"/>
    <n v="35594.089999999982"/>
    <n v="18363.339999999982"/>
    <n v="35594.089999999997"/>
    <n v="18363.339999999989"/>
    <n v="33814.385499999997"/>
    <n v="17034.191090999007"/>
    <n v="0"/>
    <n v="0"/>
    <n v="0"/>
    <n v="0.94794239307623185"/>
    <n v="0.921043404047451"/>
    <n v="0.921043404047451"/>
    <n v="0.921043404047451"/>
    <n v="0.92"/>
    <n v="0"/>
    <n v="0"/>
    <n v="33386.824946286739"/>
    <n v="32783.701817571316"/>
    <n v="32783.701817571331"/>
    <n v="32783.701817571331"/>
    <n v="31109.234659999998"/>
    <n v="0"/>
  </r>
  <r>
    <x v="4"/>
    <s v="YUTH LAS BRISAS"/>
    <n v="543"/>
    <x v="3"/>
    <x v="2"/>
    <x v="0"/>
    <s v="SANTA CRUZ"/>
    <s v="Y 1"/>
    <x v="4"/>
    <n v="0"/>
    <n v="0"/>
    <n v="25871.489999999998"/>
    <n v="13822.269999999999"/>
    <n v="35375.434324999995"/>
    <n v="17912.350505375001"/>
    <n v="31238.319999999978"/>
    <n v="15596.546240111835"/>
    <n v="31238.319999999974"/>
    <n v="15592.229999999981"/>
    <n v="31238.319999999974"/>
    <n v="15592.229999999981"/>
    <n v="33425.002399999976"/>
    <n v="16838.037115851181"/>
    <n v="0"/>
    <n v="0"/>
    <n v="0"/>
    <n v="0.9286814049755886"/>
    <n v="0.81587285026949818"/>
    <n v="0.81587285026949841"/>
    <n v="0.81587285026949841"/>
    <n v="0.91999999999999993"/>
    <n v="0"/>
    <n v="0"/>
    <n v="24026.37168201189"/>
    <n v="25486.497176030651"/>
    <n v="25486.497176030658"/>
    <n v="25486.497176030658"/>
    <n v="30751.002207999976"/>
    <n v="0"/>
  </r>
  <r>
    <x v="4"/>
    <s v="YUTH LAS BRISAS"/>
    <n v="543"/>
    <x v="3"/>
    <x v="2"/>
    <x v="0"/>
    <s v="SANTA CRUZ"/>
    <s v="Y 1"/>
    <x v="5"/>
    <n v="0"/>
    <n v="0"/>
    <n v="35221.11"/>
    <n v="18069.36"/>
    <n v="32894.726325000003"/>
    <n v="17068.721868125001"/>
    <n v="32118.389999999978"/>
    <n v="16531.543738249406"/>
    <n v="32118.389999999985"/>
    <n v="16537.32999999998"/>
    <n v="32118.389999999981"/>
    <n v="16537.329999999976"/>
    <n v="34366.677299999981"/>
    <n v="17312.411260316934"/>
    <n v="0"/>
    <n v="0"/>
    <n v="0"/>
    <n v="0.93610468739889041"/>
    <n v="0.92897423203343743"/>
    <n v="0.92897423203343743"/>
    <n v="0.92897423203343743"/>
    <n v="0.91999999999999993"/>
    <n v="0"/>
    <n v="0"/>
    <n v="32970.646166391933"/>
    <n v="29837.156684400423"/>
    <n v="29837.156684400416"/>
    <n v="29837.156684400419"/>
    <n v="31617.343115999982"/>
    <n v="0"/>
  </r>
  <r>
    <x v="4"/>
    <s v="YUTH LAS BRISAS"/>
    <n v="543"/>
    <x v="3"/>
    <x v="2"/>
    <x v="0"/>
    <s v="SANTA CRUZ"/>
    <s v="Y 1"/>
    <x v="6"/>
    <n v="0"/>
    <n v="0"/>
    <n v="35885.729999999996"/>
    <n v="18867.66"/>
    <n v="38545.661850000004"/>
    <n v="20275.909314500008"/>
    <n v="31111.170000000013"/>
    <n v="15973.719999999983"/>
    <n v="31111.169999999987"/>
    <n v="15973.719999999983"/>
    <n v="31111.170000000006"/>
    <n v="15973.719999999994"/>
    <n v="33288.951900000007"/>
    <n v="16769.50089433607"/>
    <n v="0"/>
    <n v="0"/>
    <n v="0"/>
    <n v="0.97"/>
    <n v="0.94317732184292646"/>
    <n v="0.94317732184292646"/>
    <n v="0.94317732184292646"/>
    <n v="0.91999999999999993"/>
    <n v="0"/>
    <n v="0"/>
    <n v="34809.158099999993"/>
    <n v="29343.349999999988"/>
    <n v="29343.350000000009"/>
    <n v="29343.350000000002"/>
    <n v="30625.835748000005"/>
    <n v="0"/>
  </r>
  <r>
    <x v="4"/>
    <s v="YUTH LAS BRISAS"/>
    <n v="543"/>
    <x v="3"/>
    <x v="2"/>
    <x v="0"/>
    <s v="SANTA CRUZ"/>
    <s v="Y 1"/>
    <x v="7"/>
    <n v="0"/>
    <n v="0"/>
    <n v="49288.05"/>
    <n v="19872.47"/>
    <n v="52130.999799999983"/>
    <n v="21144.658989999996"/>
    <n v="44624.135828800005"/>
    <n v="18713.131359807281"/>
    <n v="40655.139999999978"/>
    <n v="13264.139999999981"/>
    <n v="37809.280199999987"/>
    <n v="15855.321651869994"/>
    <n v="39699.74420999999"/>
    <n v="17405.10909972767"/>
    <n v="0"/>
    <n v="0"/>
    <n v="0"/>
    <n v="0.36763176961632127"/>
    <n v="0.24974431277324347"/>
    <n v="0.51"/>
    <n v="0.51"/>
    <n v="0.47999999999999987"/>
    <n v="0"/>
    <n v="0"/>
    <n v="18119.853042437724"/>
    <n v="10153.389999999996"/>
    <n v="22758.309272688002"/>
    <n v="19282.732901999992"/>
    <n v="19055.87722079999"/>
    <n v="0"/>
  </r>
  <r>
    <x v="4"/>
    <s v="YUTH LAS BRISAS"/>
    <n v="543"/>
    <x v="3"/>
    <x v="2"/>
    <x v="0"/>
    <s v="SANTA CRUZ"/>
    <s v="Y 1"/>
    <x v="8"/>
    <n v="0"/>
    <n v="0"/>
    <n v="27495.82"/>
    <n v="13682.550000000001"/>
    <n v="31240.269774999997"/>
    <n v="16280.08049875"/>
    <n v="31240.269774999997"/>
    <n v="15807.576506149999"/>
    <n v="21563.429999999993"/>
    <n v="10408.899999999987"/>
    <n v="21563.429999999993"/>
    <n v="10408.899999999987"/>
    <n v="26954.287499999991"/>
    <n v="13098.073363911682"/>
    <n v="0"/>
    <n v="0"/>
    <n v="0"/>
    <n v="0.82057006174645342"/>
    <n v="0.78057665223018813"/>
    <n v="0.8"/>
    <n v="0.8"/>
    <n v="0.8"/>
    <n v="0"/>
    <n v="0"/>
    <n v="22562.246715169367"/>
    <n v="16831.91"/>
    <n v="24992.215819999998"/>
    <n v="17250.743999999995"/>
    <n v="21563.429999999993"/>
    <n v="0"/>
  </r>
  <r>
    <x v="4"/>
    <s v="YUTH LAS BRISAS"/>
    <n v="543"/>
    <x v="3"/>
    <x v="2"/>
    <x v="0"/>
    <s v="SANTA CRUZ"/>
    <s v="Y 1"/>
    <x v="9"/>
    <n v="0"/>
    <n v="0"/>
    <n v="20500.87"/>
    <n v="10809.19"/>
    <n v="33134.383224999998"/>
    <n v="17362.84730175"/>
    <n v="33134.383224999998"/>
    <n v="17243.133030290002"/>
    <n v="15980.069999999994"/>
    <n v="7707.5799999999908"/>
    <n v="23378.12"/>
    <n v="12165.973648000001"/>
    <n v="30391.555999999997"/>
    <n v="15309.921052884352"/>
    <n v="0"/>
    <n v="0"/>
    <n v="0"/>
    <n v="0.92933297830109285"/>
    <n v="0.70415085791238707"/>
    <n v="0.92"/>
    <n v="0.92"/>
    <n v="0.92"/>
    <n v="0"/>
    <n v="0"/>
    <n v="19052.134574863525"/>
    <n v="11252.379999999996"/>
    <n v="30483.632567000001"/>
    <n v="21507.8704"/>
    <n v="27960.231519999998"/>
    <n v="0"/>
  </r>
  <r>
    <x v="4"/>
    <s v="YUTH LAS BRISAS"/>
    <n v="543"/>
    <x v="3"/>
    <x v="2"/>
    <x v="0"/>
    <s v="SANTA CRUZ"/>
    <s v="Y 1"/>
    <x v="10"/>
    <n v="0"/>
    <n v="0"/>
    <n v="22595.809999999998"/>
    <n v="10916.56"/>
    <n v="39307.444250000008"/>
    <n v="19489.227484999999"/>
    <n v="36320.078487000006"/>
    <n v="16634.595947046"/>
    <n v="14881.034482758623"/>
    <n v="4602.5651470628936"/>
    <n v="36320.078487000006"/>
    <n v="16634.595947046"/>
    <n v="39044.084373525009"/>
    <n v="17697.43430779807"/>
    <n v="0"/>
    <n v="0"/>
    <n v="0"/>
    <n v="0.58843298823985501"/>
    <n v="0.24974431277324347"/>
    <n v="0.6"/>
    <n v="0.6"/>
    <n v="0.58000000000000007"/>
    <n v="0"/>
    <n v="0"/>
    <n v="13296.119999999997"/>
    <n v="3716.4537302514909"/>
    <n v="21792.047092200002"/>
    <n v="21792.047092200002"/>
    <n v="22645.568936644508"/>
    <n v="0"/>
  </r>
  <r>
    <x v="4"/>
    <s v="YUTH LAS BRISAS"/>
    <n v="543"/>
    <x v="3"/>
    <x v="2"/>
    <x v="0"/>
    <s v="SANTA CRUZ"/>
    <s v="Y 1"/>
    <x v="11"/>
    <n v="0"/>
    <n v="0"/>
    <n v="68125.75"/>
    <n v="33438.289999999994"/>
    <n v="69278.553750000006"/>
    <n v="34289.984925000004"/>
    <n v="60965.127300000007"/>
    <n v="30482.563650000004"/>
    <n v="70020.617816091937"/>
    <n v="29363.18867155616"/>
    <n v="60965.127300000007"/>
    <n v="30482.563650000004"/>
    <n v="60965.127300000007"/>
    <n v="30349.416699079589"/>
    <n v="0"/>
    <n v="0"/>
    <n v="0"/>
    <n v="0.58240575928906912"/>
    <n v="0.78069725683526903"/>
    <n v="0.79999999999999993"/>
    <n v="0.79999999999999993"/>
    <n v="0.88"/>
    <n v="0"/>
    <n v="0"/>
    <n v="39676.829155887302"/>
    <n v="54664.904250933738"/>
    <n v="48772.101840000003"/>
    <n v="48772.101840000003"/>
    <n v="53649.312024000006"/>
    <n v="0"/>
  </r>
  <r>
    <x v="4"/>
    <s v="YUTH MALL VENTURA"/>
    <n v="540"/>
    <x v="2"/>
    <x v="2"/>
    <x v="0"/>
    <s v="SANTA CRUZ"/>
    <s v="Y 1"/>
    <x v="0"/>
    <n v="0"/>
    <n v="0"/>
    <n v="43624.67"/>
    <n v="22838.52"/>
    <n v="67345.311441379265"/>
    <n v="34894.886822758599"/>
    <n v="77190.37999999999"/>
    <n v="40818.646650491573"/>
    <n v="77190.38"/>
    <n v="40980.309999999969"/>
    <n v="84909.418000000107"/>
    <n v="45078.341000000022"/>
    <n v="90003.983080000122"/>
    <n v="45893.527743407823"/>
    <n v="74388.505747126284"/>
    <n v="38687.708302111096"/>
    <n v="0"/>
    <n v="0.96776575678849797"/>
    <n v="0.95910093294582732"/>
    <n v="0.95910093294582732"/>
    <n v="0.95910093294582732"/>
    <n v="0.92"/>
    <n v="0.91580008652924993"/>
    <n v="0"/>
    <n v="42218.461777198485"/>
    <n v="74033.365472442936"/>
    <n v="74033.365472442922"/>
    <n v="81436.70201968732"/>
    <n v="82803.664433600119"/>
    <n v="68124.999999999854"/>
  </r>
  <r>
    <x v="4"/>
    <s v="YUTH MALL VENTURA"/>
    <n v="540"/>
    <x v="2"/>
    <x v="2"/>
    <x v="0"/>
    <s v="SANTA CRUZ"/>
    <s v="Y 1"/>
    <x v="1"/>
    <n v="0"/>
    <n v="0"/>
    <n v="49967.89"/>
    <n v="22663.759999999998"/>
    <n v="72533.640299999955"/>
    <n v="29923.487302499983"/>
    <n v="88393.950000000026"/>
    <n v="40009.533321959658"/>
    <n v="88393.949999999983"/>
    <n v="39768.37999999999"/>
    <n v="97233.345000000219"/>
    <n v="43745.218000000103"/>
    <n v="101122.67880000023"/>
    <n v="44783.503323215242"/>
    <n v="80873.635057471227"/>
    <n v="31294.009183124414"/>
    <n v="0"/>
    <n v="0.60882677987378342"/>
    <n v="0.47975511049057884"/>
    <n v="0.47975511049057806"/>
    <n v="0.47975511049057806"/>
    <n v="0.48"/>
    <n v="0.47151215933044383"/>
    <n v="0"/>
    <n v="30421.789565787425"/>
    <n v="42407.449248948695"/>
    <n v="42407.449248948644"/>
    <n v="46648.1941738436"/>
    <n v="48538.885824000106"/>
    <n v="38132.902298850539"/>
  </r>
  <r>
    <x v="4"/>
    <s v="YUTH MALL VENTURA"/>
    <n v="540"/>
    <x v="2"/>
    <x v="2"/>
    <x v="0"/>
    <s v="SANTA CRUZ"/>
    <s v="Y 1"/>
    <x v="2"/>
    <n v="0"/>
    <n v="0"/>
    <n v="60628.57"/>
    <n v="28456.239999999998"/>
    <n v="69870.067019999959"/>
    <n v="33948.076559599984"/>
    <n v="92592.190000000046"/>
    <n v="46816.472490718981"/>
    <n v="92592.190000000031"/>
    <n v="46437.210000000079"/>
    <n v="92592.190000000192"/>
    <n v="46437.210000000159"/>
    <n v="99073.6433000002"/>
    <n v="48706.705791083652"/>
    <n v="82010.704996399669"/>
    <n v="39365.13839827184"/>
    <n v="0"/>
    <n v="0.59206101452085103"/>
    <n v="0.82487955396676937"/>
    <n v="0.82487955396676926"/>
    <n v="0.82487955396676926"/>
    <n v="0.8"/>
    <n v="0.85342936456887508"/>
    <n v="0"/>
    <n v="35895.812663148434"/>
    <n v="76377.404388006384"/>
    <n v="76377.404388006398"/>
    <n v="76377.404388006515"/>
    <n v="79258.914640000163"/>
    <n v="69990.343852922844"/>
  </r>
  <r>
    <x v="4"/>
    <s v="YUTH MALL VENTURA"/>
    <n v="540"/>
    <x v="2"/>
    <x v="2"/>
    <x v="0"/>
    <s v="SANTA CRUZ"/>
    <s v="Y 1"/>
    <x v="3"/>
    <n v="0"/>
    <n v="0"/>
    <n v="53460.02"/>
    <n v="28095.569999999996"/>
    <n v="61750.794979999991"/>
    <n v="32580.682606399998"/>
    <n v="86465.070000000036"/>
    <n v="45463.717405744625"/>
    <n v="86465.070000000036"/>
    <n v="45458.460000000036"/>
    <n v="86465.070000000138"/>
    <n v="45458.460000000086"/>
    <n v="93382.275600000154"/>
    <n v="47616.137745613625"/>
    <n v="0"/>
    <n v="0"/>
    <n v="0"/>
    <n v="0.95491021891992967"/>
    <n v="0.95207385631527919"/>
    <n v="0.95207385631527885"/>
    <n v="0.95207385631527885"/>
    <n v="0.92"/>
    <n v="0"/>
    <n v="0"/>
    <n v="51049.519401663812"/>
    <n v="82321.132631470595"/>
    <n v="82321.132631470566"/>
    <n v="82321.132631470653"/>
    <n v="85911.693552000143"/>
    <n v="0"/>
  </r>
  <r>
    <x v="4"/>
    <s v="YUTH MALL VENTURA"/>
    <n v="540"/>
    <x v="2"/>
    <x v="2"/>
    <x v="0"/>
    <s v="SANTA CRUZ"/>
    <s v="Y 1"/>
    <x v="4"/>
    <n v="0"/>
    <n v="0"/>
    <n v="49919.499999999985"/>
    <n v="26285.169999999991"/>
    <n v="66781.406999999992"/>
    <n v="33743.0098975"/>
    <n v="105756.96000000006"/>
    <n v="56046.933111674531"/>
    <n v="105756.96000000004"/>
    <n v="55648.48000000004"/>
    <n v="105756.96000000004"/>
    <n v="55648.48000000004"/>
    <n v="112102.37760000002"/>
    <n v="57161.621079754281"/>
    <n v="0"/>
    <n v="0"/>
    <n v="0"/>
    <n v="0.94876828535682955"/>
    <n v="0.92750073026826452"/>
    <n v="0.92750073026826407"/>
    <n v="0.92750073026826407"/>
    <n v="0.92"/>
    <n v="0"/>
    <n v="0"/>
    <n v="47362.038420870238"/>
    <n v="98089.657630951668"/>
    <n v="98089.657630951653"/>
    <n v="98089.657630951624"/>
    <n v="103134.18739200002"/>
    <n v="0"/>
  </r>
  <r>
    <x v="4"/>
    <s v="YUTH MALL VENTURA"/>
    <n v="540"/>
    <x v="2"/>
    <x v="2"/>
    <x v="0"/>
    <s v="SANTA CRUZ"/>
    <s v="Y 1"/>
    <x v="5"/>
    <n v="0"/>
    <n v="0"/>
    <n v="55877.11"/>
    <n v="29228.080000000009"/>
    <n v="62601.211299999995"/>
    <n v="32761.861906999999"/>
    <n v="97150.79"/>
    <n v="50732.170000000187"/>
    <n v="97150.790000000008"/>
    <n v="50732.170000000006"/>
    <n v="97150.789999999964"/>
    <n v="50732.169999999984"/>
    <n v="104922.85319999997"/>
    <n v="53500.741961293425"/>
    <n v="0"/>
    <n v="0"/>
    <n v="0"/>
    <n v="0.96362864512315693"/>
    <n v="0.97245971957613542"/>
    <n v="0.97245971957613542"/>
    <n v="0.97245971957613542"/>
    <n v="0.92"/>
    <n v="0"/>
    <n v="0"/>
    <n v="53844.783802697602"/>
    <n v="94475.230000000025"/>
    <n v="94475.23000000001"/>
    <n v="94475.229999999981"/>
    <n v="96529.024943999975"/>
    <n v="0"/>
  </r>
  <r>
    <x v="4"/>
    <s v="YUTH MALL VENTURA"/>
    <n v="540"/>
    <x v="2"/>
    <x v="2"/>
    <x v="0"/>
    <s v="SANTA CRUZ"/>
    <s v="Y 1"/>
    <x v="6"/>
    <n v="0"/>
    <n v="0"/>
    <n v="71488.399999999994"/>
    <n v="37666.37000000001"/>
    <n v="73625.862299999979"/>
    <n v="38853.854509499986"/>
    <n v="106987.01999999995"/>
    <n v="56132.830000000213"/>
    <n v="106987.01999999996"/>
    <n v="56132.829999999944"/>
    <n v="106987.01999999993"/>
    <n v="56132.829999999922"/>
    <n v="115545.98159999991"/>
    <n v="58917.533766094304"/>
    <n v="0"/>
    <n v="0"/>
    <n v="0"/>
    <n v="0.97"/>
    <n v="0.98341266071342115"/>
    <n v="0.98341266071342126"/>
    <n v="0.98341266071342126"/>
    <n v="0.92"/>
    <n v="0"/>
    <n v="0"/>
    <n v="69343.747999999992"/>
    <n v="105212.38999999997"/>
    <n v="105212.38999999996"/>
    <n v="105212.38999999994"/>
    <n v="106302.30307199992"/>
    <n v="0"/>
  </r>
  <r>
    <x v="4"/>
    <s v="YUTH MALL VENTURA"/>
    <n v="540"/>
    <x v="2"/>
    <x v="2"/>
    <x v="0"/>
    <s v="SANTA CRUZ"/>
    <s v="Y 1"/>
    <x v="7"/>
    <n v="0"/>
    <n v="0"/>
    <n v="96492.260000000009"/>
    <n v="38424.850000000013"/>
    <n v="107904.79786000012"/>
    <n v="42199.36084790004"/>
    <n v="113300.0377530001"/>
    <n v="48299.806094103944"/>
    <n v="138916.33000000007"/>
    <n v="53247.920000000027"/>
    <n v="129192.18690000042"/>
    <n v="55074.629275470179"/>
    <n v="135651.79624500047"/>
    <n v="60075.175420867927"/>
    <n v="0"/>
    <n v="0"/>
    <n v="0"/>
    <n v="0.33746598525209459"/>
    <n v="0.35974899423271439"/>
    <n v="0.45999999999999991"/>
    <n v="0.45999999999999991"/>
    <n v="0.47999999999999993"/>
    <n v="0"/>
    <n v="0"/>
    <n v="32562.855590101281"/>
    <n v="49975.009999999878"/>
    <n v="52118.017366380038"/>
    <n v="59428.405974000183"/>
    <n v="65112.862197600218"/>
    <n v="0"/>
  </r>
  <r>
    <x v="4"/>
    <s v="YUTH MALL VENTURA"/>
    <n v="540"/>
    <x v="2"/>
    <x v="2"/>
    <x v="0"/>
    <s v="SANTA CRUZ"/>
    <s v="Y 1"/>
    <x v="8"/>
    <n v="0"/>
    <n v="0"/>
    <n v="53827.17"/>
    <n v="26639.8"/>
    <n v="59958.846850000024"/>
    <n v="31990.681882950015"/>
    <n v="68353.085409000021"/>
    <n v="35171.08009720096"/>
    <n v="82727.760000000009"/>
    <n v="39388.660000000011"/>
    <n v="82727.760000000009"/>
    <n v="39388.660000000011"/>
    <n v="87691.425600000017"/>
    <n v="43110.965992908968"/>
    <n v="0"/>
    <n v="0"/>
    <n v="0"/>
    <n v="0.78944086248418266"/>
    <n v="0.76282012229026863"/>
    <n v="0.85"/>
    <n v="0.85"/>
    <n v="0.8"/>
    <n v="0"/>
    <n v="0"/>
    <n v="42493.367509882723"/>
    <n v="63106.400000000001"/>
    <n v="58100.122597650014"/>
    <n v="70318.596000000005"/>
    <n v="70153.140480000016"/>
    <n v="0"/>
  </r>
  <r>
    <x v="4"/>
    <s v="YUTH MALL VENTURA"/>
    <n v="540"/>
    <x v="2"/>
    <x v="2"/>
    <x v="0"/>
    <s v="SANTA CRUZ"/>
    <s v="Y 1"/>
    <x v="9"/>
    <n v="0"/>
    <n v="0"/>
    <n v="55833.630000000005"/>
    <n v="30002.560000000005"/>
    <n v="64213.908429999981"/>
    <n v="34485.73301584999"/>
    <n v="73203.855610199986"/>
    <n v="38387.369843432774"/>
    <n v="49988.359999999986"/>
    <n v="24756.839999999975"/>
    <n v="69753.31"/>
    <n v="36577.938230899999"/>
    <n v="75333.574800000017"/>
    <n v="38413.005589106477"/>
    <n v="0"/>
    <n v="0"/>
    <n v="0"/>
    <n v="0.96921451484909049"/>
    <n v="0.74162925128970014"/>
    <n v="0.92999999999999994"/>
    <n v="0.92999999999999994"/>
    <n v="0.92"/>
    <n v="0"/>
    <n v="0"/>
    <n v="54114.764612713632"/>
    <n v="37072.829999999987"/>
    <n v="68079.585717485985"/>
    <n v="64870.578299999994"/>
    <n v="69306.888816000021"/>
    <n v="0"/>
  </r>
  <r>
    <x v="4"/>
    <s v="YUTH MALL VENTURA"/>
    <n v="540"/>
    <x v="2"/>
    <x v="2"/>
    <x v="0"/>
    <s v="SANTA CRUZ"/>
    <s v="Y 1"/>
    <x v="10"/>
    <n v="0"/>
    <n v="0"/>
    <n v="50842.680000000008"/>
    <n v="26065.560000000012"/>
    <n v="76709.342659999995"/>
    <n v="38266.571975299994"/>
    <n v="91821.08316401999"/>
    <n v="42219.334038816392"/>
    <n v="35909.482758620688"/>
    <n v="11216.018137694182"/>
    <n v="91821.08316401999"/>
    <n v="42219.334038816392"/>
    <n v="99166.769817141569"/>
    <n v="45428.298827283812"/>
    <n v="0"/>
    <n v="0"/>
    <n v="0"/>
    <n v="0.77279284378485347"/>
    <n v="0.35974899423271439"/>
    <n v="0.6"/>
    <n v="0.6"/>
    <n v="0.57999999999999985"/>
    <n v="0"/>
    <n v="0"/>
    <n v="39290.859262843296"/>
    <n v="12918.400305830792"/>
    <n v="55092.64989841199"/>
    <n v="55092.64989841199"/>
    <n v="57516.726493942093"/>
    <n v="0"/>
  </r>
  <r>
    <x v="4"/>
    <s v="YUTH MALL VENTURA"/>
    <n v="540"/>
    <x v="2"/>
    <x v="2"/>
    <x v="0"/>
    <s v="SANTA CRUZ"/>
    <s v="Y 1"/>
    <x v="11"/>
    <n v="99515.200000000012"/>
    <n v="50788.44000000001"/>
    <n v="135747.45000000004"/>
    <n v="65457.10000000002"/>
    <n v="137287.37610000008"/>
    <n v="67689.712461000046"/>
    <n v="156507.6087540001"/>
    <n v="78629.422638009652"/>
    <n v="167897.55747126433"/>
    <n v="73288.758249849663"/>
    <n v="156507.6087540001"/>
    <n v="78629.422638009652"/>
    <n v="164332.98919170009"/>
    <n v="82792.727242340567"/>
    <n v="0"/>
    <n v="0"/>
    <n v="0.94420540781709728"/>
    <n v="0.48857249081255089"/>
    <n v="0.82487955396676937"/>
    <n v="0.8"/>
    <n v="0.8"/>
    <n v="0.88"/>
    <n v="0"/>
    <n v="93962.790000000008"/>
    <n v="66322.469767952236"/>
    <n v="138495.26231900655"/>
    <n v="125206.08700320008"/>
    <n v="125206.08700320008"/>
    <n v="144613.03048869609"/>
    <n v="0"/>
  </r>
  <r>
    <x v="4"/>
    <s v="YUTH PATIO DESIGN"/>
    <n v="541"/>
    <x v="3"/>
    <x v="2"/>
    <x v="0"/>
    <s v="SANTA CRUZ"/>
    <s v="Y 1"/>
    <x v="0"/>
    <n v="0"/>
    <n v="0"/>
    <n v="0"/>
    <n v="0"/>
    <n v="32595.513488620687"/>
    <n v="16648.250907825859"/>
    <n v="28483.64000000001"/>
    <n v="14875.020643823922"/>
    <n v="28483.64"/>
    <n v="14848.44"/>
    <n v="31332.004000000004"/>
    <n v="16333.284000000005"/>
    <n v="33351.351657800013"/>
    <n v="16947.85039601387"/>
    <n v="32299.281609195386"/>
    <n v="16609.067238888871"/>
    <n v="0"/>
    <n v="0"/>
    <n v="0.93385271834631267"/>
    <n v="0.93385271834631278"/>
    <n v="0.93385271834631278"/>
    <n v="0.92"/>
    <n v="0.93348398375466513"/>
    <n v="0"/>
    <n v="0"/>
    <n v="26599.524642397766"/>
    <n v="26599.524642397777"/>
    <n v="29259.477106637551"/>
    <n v="30683.243525176014"/>
    <n v="30150.8620689655"/>
  </r>
  <r>
    <x v="4"/>
    <s v="YUTH PATIO DESIGN"/>
    <n v="541"/>
    <x v="3"/>
    <x v="2"/>
    <x v="0"/>
    <s v="SANTA CRUZ"/>
    <s v="Y 1"/>
    <x v="1"/>
    <n v="0"/>
    <n v="0"/>
    <n v="0"/>
    <n v="0"/>
    <n v="35970.366299999994"/>
    <n v="14891.646569249999"/>
    <n v="28348.569999999989"/>
    <n v="13266.688961507674"/>
    <n v="28348.569999999996"/>
    <n v="13349.38"/>
    <n v="31183.427000000011"/>
    <n v="14684.318000000007"/>
    <n v="38979.283750000017"/>
    <n v="17390.614913146594"/>
    <n v="39897.198275862043"/>
    <n v="14747.930109732682"/>
    <n v="0"/>
    <n v="0"/>
    <n v="0.5144533963295318"/>
    <n v="0.51445339632953135"/>
    <n v="0.51445339632953135"/>
    <n v="0.48"/>
    <n v="0.42839985667187058"/>
    <n v="0"/>
    <n v="0"/>
    <n v="14584.018117585474"/>
    <n v="14584.018117585458"/>
    <n v="16042.419929344014"/>
    <n v="18710.056200000006"/>
    <n v="17091.954022988502"/>
  </r>
  <r>
    <x v="4"/>
    <s v="YUTH PATIO DESIGN"/>
    <n v="541"/>
    <x v="3"/>
    <x v="2"/>
    <x v="0"/>
    <s v="SANTA CRUZ"/>
    <s v="Y 1"/>
    <x v="2"/>
    <n v="0"/>
    <n v="0"/>
    <n v="0"/>
    <n v="0"/>
    <n v="32631.976239999989"/>
    <n v="15719.036411799996"/>
    <n v="30628.42"/>
    <n v="15248.40426011654"/>
    <n v="30628.42"/>
    <n v="15271.159999999994"/>
    <n v="30628.419999999987"/>
    <n v="15271.159999999989"/>
    <n v="30934.704199999989"/>
    <n v="15196.63738588673"/>
    <n v="31939.060238453989"/>
    <n v="14308.698986827387"/>
    <n v="0"/>
    <n v="0"/>
    <n v="0.76869250634860153"/>
    <n v="0.76869250634860165"/>
    <n v="0.76869250634860165"/>
    <n v="0.79999999999999993"/>
    <n v="0.73112175299033622"/>
    <n v="0"/>
    <n v="0"/>
    <n v="23543.836935297633"/>
    <n v="23543.836935297637"/>
    <n v="23543.83693529763"/>
    <n v="24747.76335999999"/>
    <n v="23351.341710402427"/>
  </r>
  <r>
    <x v="4"/>
    <s v="YUTH PATIO DESIGN"/>
    <n v="541"/>
    <x v="3"/>
    <x v="2"/>
    <x v="0"/>
    <s v="SANTA CRUZ"/>
    <s v="Y 1"/>
    <x v="3"/>
    <n v="0"/>
    <n v="0"/>
    <n v="0"/>
    <n v="0"/>
    <n v="31171.885804499983"/>
    <n v="16434.207764784995"/>
    <n v="32083.249999999985"/>
    <n v="16527.230349232479"/>
    <n v="32083.249999999978"/>
    <n v="16524.589999999978"/>
    <n v="32083.249999999964"/>
    <n v="16524.589999999971"/>
    <n v="30479.087499999969"/>
    <n v="15488.278270011497"/>
    <n v="0"/>
    <n v="0"/>
    <n v="0"/>
    <n v="0"/>
    <n v="0.92875920865019013"/>
    <n v="0.92875920865019013"/>
    <n v="0.92875920865019013"/>
    <n v="0.92"/>
    <n v="0"/>
    <n v="0"/>
    <n v="0"/>
    <n v="29797.613880926194"/>
    <n v="29797.613880926197"/>
    <n v="29797.613880926179"/>
    <n v="28040.760499999971"/>
    <n v="0"/>
  </r>
  <r>
    <x v="4"/>
    <s v="YUTH PATIO DESIGN"/>
    <n v="541"/>
    <x v="3"/>
    <x v="2"/>
    <x v="0"/>
    <s v="SANTA CRUZ"/>
    <s v="Y 1"/>
    <x v="4"/>
    <n v="0"/>
    <n v="0"/>
    <n v="0"/>
    <n v="0"/>
    <n v="35017.389425999987"/>
    <n v="17819.003228779988"/>
    <n v="40908.769999999975"/>
    <n v="21322.020767104004"/>
    <n v="40908.76999999996"/>
    <n v="21327.949999999961"/>
    <n v="40908.76999999996"/>
    <n v="21327.949999999961"/>
    <n v="36817.892999999967"/>
    <n v="18709.410906724439"/>
    <n v="0"/>
    <n v="0"/>
    <n v="0"/>
    <n v="0"/>
    <n v="0.90091931664618052"/>
    <n v="0.9009193166461803"/>
    <n v="0.9009193166461803"/>
    <n v="0.91999999999999993"/>
    <n v="0"/>
    <n v="0"/>
    <n v="0"/>
    <n v="36855.501113235732"/>
    <n v="36855.501113235739"/>
    <n v="36855.501113235725"/>
    <n v="33872.461559999967"/>
    <n v="0"/>
  </r>
  <r>
    <x v="4"/>
    <s v="YUTH PATIO DESIGN"/>
    <n v="541"/>
    <x v="3"/>
    <x v="2"/>
    <x v="0"/>
    <s v="SANTA CRUZ"/>
    <s v="Y 1"/>
    <x v="5"/>
    <n v="0"/>
    <n v="0"/>
    <n v="0"/>
    <n v="0"/>
    <n v="31729.882742499998"/>
    <n v="16876.997794139996"/>
    <n v="34538.039999999986"/>
    <n v="18084.410948489152"/>
    <n v="34538.039999999979"/>
    <n v="18118.769999999968"/>
    <n v="34538.039999999979"/>
    <n v="18118.769999999968"/>
    <n v="33156.518399999972"/>
    <n v="16848.843766860035"/>
    <n v="0"/>
    <n v="0"/>
    <n v="0"/>
    <n v="0"/>
    <n v="0.9634159480319594"/>
    <n v="0.96341594803195951"/>
    <n v="0.96341594803195951"/>
    <n v="0.91999999999999993"/>
    <n v="0"/>
    <n v="0"/>
    <n v="0"/>
    <n v="33274.498549765718"/>
    <n v="33274.498549765725"/>
    <n v="33274.498549765718"/>
    <n v="30503.996927999971"/>
    <n v="0"/>
  </r>
  <r>
    <x v="4"/>
    <s v="YUTH PATIO DESIGN"/>
    <n v="541"/>
    <x v="3"/>
    <x v="2"/>
    <x v="0"/>
    <s v="SANTA CRUZ"/>
    <s v="Y 1"/>
    <x v="6"/>
    <n v="0"/>
    <n v="0"/>
    <n v="0"/>
    <n v="0"/>
    <n v="36682.597653999997"/>
    <n v="19418.671911604997"/>
    <n v="27448.200000000004"/>
    <n v="14215.599999999989"/>
    <n v="27448.199999999961"/>
    <n v="14215.599999999962"/>
    <n v="27448.199999999961"/>
    <n v="14215.599999999962"/>
    <n v="31016.465999999957"/>
    <n v="15761.352972274854"/>
    <n v="0"/>
    <n v="0"/>
    <n v="0"/>
    <n v="0"/>
    <n v="0.95857542571097565"/>
    <n v="0.95857542571097565"/>
    <n v="0.95857542571097565"/>
    <n v="0.92"/>
    <n v="0"/>
    <n v="0"/>
    <n v="0"/>
    <n v="26311.169999999966"/>
    <n v="26311.170000000006"/>
    <n v="26311.169999999966"/>
    <n v="28535.148719999961"/>
    <n v="0"/>
  </r>
  <r>
    <x v="4"/>
    <s v="YUTH PATIO DESIGN"/>
    <n v="541"/>
    <x v="3"/>
    <x v="2"/>
    <x v="0"/>
    <s v="SANTA CRUZ"/>
    <s v="Y 1"/>
    <x v="7"/>
    <n v="0"/>
    <n v="0"/>
    <n v="14891.760000000002"/>
    <n v="6267.6200000000008"/>
    <n v="51247.139430999989"/>
    <n v="20767.385134799999"/>
    <n v="48684.782459449991"/>
    <n v="21026.957544236451"/>
    <n v="38128.079999999973"/>
    <n v="14906.739999999969"/>
    <n v="35459.114399999962"/>
    <n v="15314.791509359984"/>
    <n v="37232.07011999996"/>
    <n v="16611.09521737148"/>
    <n v="0"/>
    <n v="0"/>
    <n v="0"/>
    <n v="0.37835017486180306"/>
    <n v="0.39750047733848659"/>
    <n v="0.51"/>
    <n v="0.51"/>
    <n v="0.48"/>
    <n v="0"/>
    <n v="0"/>
    <n v="5634.3000000000047"/>
    <n v="15155.929999999993"/>
    <n v="24829.239054319496"/>
    <n v="18084.148343999979"/>
    <n v="17871.39365759998"/>
    <n v="0"/>
  </r>
  <r>
    <x v="4"/>
    <s v="YUTH PATIO DESIGN"/>
    <n v="541"/>
    <x v="3"/>
    <x v="2"/>
    <x v="0"/>
    <s v="SANTA CRUZ"/>
    <s v="Y 1"/>
    <x v="8"/>
    <n v="0"/>
    <n v="0"/>
    <n v="21284.879999999997"/>
    <n v="10829.760000000002"/>
    <n v="27670.861254999993"/>
    <n v="14546.471011574995"/>
    <n v="28224.278480099991"/>
    <n v="14253.260632450496"/>
    <n v="22849.42"/>
    <n v="10967.009999999995"/>
    <n v="22849.42"/>
    <n v="10967.009999999995"/>
    <n v="29018.7634"/>
    <n v="14255.433700789732"/>
    <n v="0"/>
    <n v="0"/>
    <n v="0"/>
    <n v="0.82333354614470278"/>
    <n v="0.76236814763788296"/>
    <n v="0.79999999999999993"/>
    <n v="0.79999999999999993"/>
    <n v="0.79999999999999993"/>
    <n v="0"/>
    <n v="0"/>
    <n v="17524.555729664458"/>
    <n v="17419.669999999995"/>
    <n v="22579.42278407999"/>
    <n v="18279.535999999996"/>
    <n v="23215.010719999998"/>
    <n v="0"/>
  </r>
  <r>
    <x v="4"/>
    <s v="YUTH PATIO DESIGN"/>
    <n v="541"/>
    <x v="3"/>
    <x v="2"/>
    <x v="0"/>
    <s v="SANTA CRUZ"/>
    <s v="Y 1"/>
    <x v="9"/>
    <n v="0"/>
    <n v="0"/>
    <n v="24955.449999999997"/>
    <n v="13280.7"/>
    <n v="29180.602314999996"/>
    <n v="15343.846658275001"/>
    <n v="29764.214361299997"/>
    <n v="15402.98093197275"/>
    <n v="17395.649999999991"/>
    <n v="8127.4199999999873"/>
    <n v="23453.170000000002"/>
    <n v="12137.015475000002"/>
    <n v="30723.652700000002"/>
    <n v="15612.556723976419"/>
    <n v="0"/>
    <n v="0"/>
    <n v="0"/>
    <n v="0.9478306101585372"/>
    <n v="0.67751765527588792"/>
    <n v="0.9"/>
    <n v="0.9"/>
    <n v="0.92"/>
    <n v="0"/>
    <n v="0"/>
    <n v="23653.539400280864"/>
    <n v="11785.859999999993"/>
    <n v="26787.792925169997"/>
    <n v="21107.853000000003"/>
    <n v="28265.760484000002"/>
    <n v="0"/>
  </r>
  <r>
    <x v="4"/>
    <s v="YUTH PATIO DESIGN"/>
    <n v="541"/>
    <x v="3"/>
    <x v="2"/>
    <x v="0"/>
    <s v="SANTA CRUZ"/>
    <s v="Y 1"/>
    <x v="10"/>
    <n v="0"/>
    <n v="0"/>
    <n v="22930.21"/>
    <n v="11570"/>
    <n v="35903.535610000006"/>
    <n v="17948.985086350003"/>
    <n v="38452.686638310006"/>
    <n v="17611.330480345983"/>
    <n v="18688.505747126437"/>
    <n v="5791.7536141611017"/>
    <n v="38452.686638310006"/>
    <n v="17611.330480345983"/>
    <n v="41336.638136183246"/>
    <n v="19024.919738276782"/>
    <n v="0"/>
    <n v="0"/>
    <n v="0"/>
    <n v="0.72510925670651361"/>
    <n v="0.39750047733848659"/>
    <n v="0.6"/>
    <n v="0.6"/>
    <n v="0.57999999999999996"/>
    <n v="0"/>
    <n v="0"/>
    <n v="16626.907529224263"/>
    <n v="7428.6899552258092"/>
    <n v="23071.611982986004"/>
    <n v="23071.611982986004"/>
    <n v="23975.250118986281"/>
    <n v="0"/>
  </r>
  <r>
    <x v="4"/>
    <s v="YUTH PATIO DESIGN"/>
    <n v="541"/>
    <x v="3"/>
    <x v="2"/>
    <x v="0"/>
    <s v="SANTA CRUZ"/>
    <s v="Y 1"/>
    <x v="11"/>
    <n v="0"/>
    <n v="0"/>
    <n v="59582.39"/>
    <n v="29046.130000000005"/>
    <n v="64813.989499999996"/>
    <n v="32193.776567499997"/>
    <n v="65462.129394999996"/>
    <n v="32731.064697499998"/>
    <n v="63067.816091954017"/>
    <n v="25850.695266957457"/>
    <n v="65462.129394999996"/>
    <n v="32731.064697499998"/>
    <n v="65462.129394999996"/>
    <n v="32896.258073973717"/>
    <n v="0"/>
    <n v="0"/>
    <n v="0"/>
    <n v="0.59986514595720108"/>
    <n v="0.76869250634860153"/>
    <n v="0.79999999999999993"/>
    <n v="0.79999999999999993"/>
    <n v="0.88"/>
    <n v="0"/>
    <n v="0"/>
    <n v="35741.399073828878"/>
    <n v="48479.757621656798"/>
    <n v="52369.703515999994"/>
    <n v="52369.703515999994"/>
    <n v="57606.673867599995"/>
    <n v="0"/>
  </r>
  <r>
    <x v="4"/>
    <s v="YUTH SUCRE KIOSCO"/>
    <s v="Y-SCRE"/>
    <x v="3"/>
    <x v="3"/>
    <x v="3"/>
    <s v="ZONA SUR"/>
    <s v="Y 2"/>
    <x v="8"/>
    <n v="0"/>
    <n v="0"/>
    <n v="0"/>
    <n v="0"/>
    <n v="0"/>
    <n v="0"/>
    <n v="0"/>
    <n v="0"/>
    <n v="0"/>
    <n v="0"/>
    <n v="0"/>
    <n v="0"/>
    <n v="11885.742252000013"/>
    <n v="5882.9130690076618"/>
    <n v="0"/>
    <n v="0"/>
    <n v="0"/>
    <n v="0"/>
    <n v="0"/>
    <n v="0"/>
    <n v="0"/>
    <n v="0.79999999999999993"/>
    <n v="0"/>
    <n v="0"/>
    <n v="0"/>
    <n v="0"/>
    <n v="0"/>
    <n v="0"/>
    <n v="9508.5938016000091"/>
    <n v="0"/>
  </r>
  <r>
    <x v="4"/>
    <s v="YUTH SUCRE KIOSCO"/>
    <s v="Y-SCRE"/>
    <x v="3"/>
    <x v="3"/>
    <x v="3"/>
    <s v="ZONA SUR"/>
    <s v="Y 2"/>
    <x v="9"/>
    <n v="0"/>
    <n v="0"/>
    <n v="0"/>
    <n v="0"/>
    <n v="0"/>
    <n v="0"/>
    <n v="0"/>
    <n v="0"/>
    <n v="0"/>
    <n v="0"/>
    <n v="0"/>
    <n v="0"/>
    <n v="11567.330999999998"/>
    <n v="5910.3412718537375"/>
    <n v="0"/>
    <n v="0"/>
    <n v="0"/>
    <n v="0"/>
    <n v="0"/>
    <n v="0"/>
    <n v="0"/>
    <n v="0.92"/>
    <n v="0"/>
    <n v="0"/>
    <n v="0"/>
    <n v="0"/>
    <n v="0"/>
    <n v="0"/>
    <n v="10641.944519999999"/>
    <n v="0"/>
  </r>
  <r>
    <x v="4"/>
    <s v="YUTH SUCRE KIOSCO"/>
    <s v="Y-SCRE"/>
    <x v="3"/>
    <x v="3"/>
    <x v="3"/>
    <s v="ZONA SUR"/>
    <s v="Y 2"/>
    <x v="10"/>
    <n v="0"/>
    <n v="0"/>
    <n v="0"/>
    <n v="0"/>
    <n v="0"/>
    <n v="0"/>
    <n v="0"/>
    <n v="0"/>
    <n v="0"/>
    <n v="0"/>
    <n v="0"/>
    <n v="0"/>
    <n v="19702.535750693249"/>
    <n v="9174.0918834117529"/>
    <n v="0"/>
    <n v="0"/>
    <n v="0"/>
    <n v="0"/>
    <n v="0"/>
    <n v="0"/>
    <n v="0"/>
    <n v="0.57999999999999996"/>
    <n v="0"/>
    <n v="0"/>
    <n v="0"/>
    <n v="0"/>
    <n v="0"/>
    <n v="0"/>
    <n v="11427.470735402083"/>
    <n v="0"/>
  </r>
  <r>
    <x v="4"/>
    <s v="YUTH SUCRE KIOSCO"/>
    <s v="Y-SCRE"/>
    <x v="3"/>
    <x v="3"/>
    <x v="3"/>
    <s v="ZONA SUR"/>
    <s v="Y 2"/>
    <x v="11"/>
    <n v="0"/>
    <n v="0"/>
    <n v="0"/>
    <n v="0"/>
    <n v="0"/>
    <n v="0"/>
    <n v="0"/>
    <n v="0"/>
    <n v="0"/>
    <n v="0"/>
    <n v="0"/>
    <n v="0"/>
    <n v="32221.156359599983"/>
    <n v="16291.637423015807"/>
    <n v="0"/>
    <n v="0"/>
    <n v="0"/>
    <n v="0"/>
    <n v="0"/>
    <n v="0"/>
    <n v="0"/>
    <n v="0.88"/>
    <n v="0"/>
    <n v="0"/>
    <n v="0"/>
    <n v="0"/>
    <n v="0"/>
    <n v="0"/>
    <n v="28354.617596447984"/>
    <n v="0"/>
  </r>
  <r>
    <x v="4"/>
    <s v="YUTH TARIJA"/>
    <n v="510"/>
    <x v="3"/>
    <x v="3"/>
    <x v="4"/>
    <s v="ZONA SUR"/>
    <s v="Y 2"/>
    <x v="0"/>
    <n v="0"/>
    <n v="0"/>
    <n v="0"/>
    <n v="0"/>
    <n v="0"/>
    <n v="0"/>
    <n v="0"/>
    <n v="0"/>
    <n v="0"/>
    <n v="0"/>
    <n v="0"/>
    <n v="0"/>
    <n v="14759.824820399976"/>
    <n v="7541.5497145660638"/>
    <n v="16309.051724137935"/>
    <n v="8562.3012418935687"/>
    <n v="0"/>
    <n v="0"/>
    <n v="0"/>
    <n v="0"/>
    <n v="0"/>
    <n v="0.92"/>
    <n v="0.92739910669450543"/>
    <n v="0"/>
    <n v="0"/>
    <n v="0"/>
    <n v="0"/>
    <n v="0"/>
    <n v="13579.038834767978"/>
    <n v="15125.000000000004"/>
  </r>
  <r>
    <x v="4"/>
    <s v="YUTH TARIJA"/>
    <n v="510"/>
    <x v="3"/>
    <x v="3"/>
    <x v="4"/>
    <s v="ZONA SUR"/>
    <s v="Y 2"/>
    <x v="1"/>
    <n v="0"/>
    <n v="0"/>
    <n v="0"/>
    <n v="0"/>
    <n v="0"/>
    <n v="0"/>
    <n v="0"/>
    <n v="0"/>
    <n v="0"/>
    <n v="0"/>
    <n v="0"/>
    <n v="0"/>
    <n v="20516.384173999966"/>
    <n v="9279.5658073458471"/>
    <n v="20067.816091954028"/>
    <n v="7849.0694642715789"/>
    <n v="0"/>
    <n v="0"/>
    <n v="0"/>
    <n v="0"/>
    <n v="0"/>
    <n v="0.48"/>
    <n v="0.54155449911220588"/>
    <n v="0"/>
    <n v="0"/>
    <n v="0"/>
    <n v="0"/>
    <n v="0"/>
    <n v="9847.8644035199832"/>
    <n v="10867.816091954028"/>
  </r>
  <r>
    <x v="4"/>
    <s v="YUTH TARIJA"/>
    <n v="510"/>
    <x v="3"/>
    <x v="3"/>
    <x v="4"/>
    <s v="ZONA SUR"/>
    <s v="Y 2"/>
    <x v="2"/>
    <n v="0"/>
    <n v="0"/>
    <n v="0"/>
    <n v="0"/>
    <n v="0"/>
    <n v="0"/>
    <n v="0"/>
    <n v="0"/>
    <n v="0"/>
    <n v="0"/>
    <n v="0"/>
    <n v="0"/>
    <n v="15525.388439999988"/>
    <n v="7684.3758360759939"/>
    <n v="13121.141724812009"/>
    <n v="6101.3309020375846"/>
    <n v="0"/>
    <n v="0"/>
    <n v="0"/>
    <n v="0"/>
    <n v="0"/>
    <n v="0.8"/>
    <n v="0.81803835685574722"/>
    <n v="0"/>
    <n v="0"/>
    <n v="0"/>
    <n v="0"/>
    <n v="0"/>
    <n v="12420.31075199999"/>
    <n v="10733.597216636601"/>
  </r>
  <r>
    <x v="4"/>
    <s v="YUTH TARIJA"/>
    <n v="510"/>
    <x v="3"/>
    <x v="3"/>
    <x v="4"/>
    <s v="ZONA SUR"/>
    <s v="Y 2"/>
    <x v="3"/>
    <n v="0"/>
    <n v="0"/>
    <n v="0"/>
    <n v="0"/>
    <n v="0"/>
    <n v="0"/>
    <n v="0"/>
    <n v="0"/>
    <n v="0"/>
    <n v="0"/>
    <n v="0"/>
    <n v="0"/>
    <n v="12596.595840000002"/>
    <n v="6436.2453428550734"/>
    <n v="0"/>
    <n v="0"/>
    <n v="0"/>
    <n v="0"/>
    <n v="0"/>
    <n v="0"/>
    <n v="0"/>
    <n v="0.91999999999999993"/>
    <n v="0"/>
    <n v="0"/>
    <n v="0"/>
    <n v="0"/>
    <n v="0"/>
    <n v="0"/>
    <n v="11588.868172800001"/>
    <n v="0"/>
  </r>
  <r>
    <x v="4"/>
    <s v="YUTH TARIJA"/>
    <n v="510"/>
    <x v="3"/>
    <x v="3"/>
    <x v="4"/>
    <s v="ZONA SUR"/>
    <s v="Y 2"/>
    <x v="4"/>
    <n v="0"/>
    <n v="0"/>
    <n v="0"/>
    <n v="0"/>
    <n v="0"/>
    <n v="0"/>
    <n v="0"/>
    <n v="0"/>
    <n v="0"/>
    <n v="0"/>
    <n v="0"/>
    <n v="0"/>
    <n v="14703.568416000002"/>
    <n v="7512.8054390948018"/>
    <n v="0"/>
    <n v="0"/>
    <n v="0"/>
    <n v="0"/>
    <n v="0"/>
    <n v="0"/>
    <n v="0"/>
    <n v="0.91999999999999993"/>
    <n v="0"/>
    <n v="0"/>
    <n v="0"/>
    <n v="0"/>
    <n v="0"/>
    <n v="0"/>
    <n v="13527.282942720001"/>
    <n v="0"/>
  </r>
  <r>
    <x v="4"/>
    <s v="YUTH TARIJA"/>
    <n v="510"/>
    <x v="3"/>
    <x v="3"/>
    <x v="4"/>
    <s v="ZONA SUR"/>
    <s v="Y 2"/>
    <x v="5"/>
    <n v="0"/>
    <n v="0"/>
    <n v="0"/>
    <n v="0"/>
    <n v="0"/>
    <n v="0"/>
    <n v="0"/>
    <n v="0"/>
    <n v="0"/>
    <n v="0"/>
    <n v="0"/>
    <n v="0"/>
    <n v="15593.767631999996"/>
    <n v="7967.6537672438453"/>
    <n v="0"/>
    <n v="0"/>
    <n v="0"/>
    <n v="0"/>
    <n v="0"/>
    <n v="0"/>
    <n v="0"/>
    <n v="0.91999999999999993"/>
    <n v="0"/>
    <n v="0"/>
    <n v="0"/>
    <n v="0"/>
    <n v="0"/>
    <n v="0"/>
    <n v="14346.266221439995"/>
    <n v="0"/>
  </r>
  <r>
    <x v="4"/>
    <s v="YUTH TARIJA"/>
    <n v="510"/>
    <x v="3"/>
    <x v="3"/>
    <x v="4"/>
    <s v="ZONA SUR"/>
    <s v="Y 2"/>
    <x v="6"/>
    <n v="0"/>
    <n v="0"/>
    <n v="0"/>
    <n v="0"/>
    <n v="0"/>
    <n v="0"/>
    <n v="0"/>
    <n v="0"/>
    <n v="0"/>
    <n v="0"/>
    <n v="0"/>
    <n v="0"/>
    <n v="15127.616303999986"/>
    <n v="7729.4732022710041"/>
    <n v="0"/>
    <n v="0"/>
    <n v="0"/>
    <n v="0"/>
    <n v="0"/>
    <n v="0"/>
    <n v="0"/>
    <n v="0.91999999999999993"/>
    <n v="0"/>
    <n v="0"/>
    <n v="0"/>
    <n v="0"/>
    <n v="0"/>
    <n v="0"/>
    <n v="13917.406999679986"/>
    <n v="0"/>
  </r>
  <r>
    <x v="4"/>
    <s v="YUTH TARIJA"/>
    <n v="510"/>
    <x v="3"/>
    <x v="3"/>
    <x v="4"/>
    <s v="ZONA SUR"/>
    <s v="Y 2"/>
    <x v="7"/>
    <n v="0"/>
    <n v="0"/>
    <n v="0"/>
    <n v="0"/>
    <n v="0"/>
    <n v="0"/>
    <n v="0"/>
    <n v="0"/>
    <n v="0"/>
    <n v="0"/>
    <n v="0"/>
    <n v="0"/>
    <n v="32342.270364000004"/>
    <n v="14628.417154619709"/>
    <n v="0"/>
    <n v="0"/>
    <n v="0"/>
    <n v="0"/>
    <n v="0"/>
    <n v="0"/>
    <n v="0"/>
    <n v="0.47999999999999993"/>
    <n v="0"/>
    <n v="0"/>
    <n v="0"/>
    <n v="0"/>
    <n v="0"/>
    <n v="0"/>
    <n v="15524.289774719999"/>
    <n v="0"/>
  </r>
  <r>
    <x v="4"/>
    <s v="YUTH TARIJA"/>
    <n v="510"/>
    <x v="3"/>
    <x v="3"/>
    <x v="4"/>
    <s v="ZONA SUR"/>
    <s v="Y 2"/>
    <x v="8"/>
    <n v="0"/>
    <n v="0"/>
    <n v="0"/>
    <n v="0"/>
    <n v="0"/>
    <n v="0"/>
    <n v="4716"/>
    <n v="2329.7040000000002"/>
    <n v="0"/>
    <n v="0"/>
    <n v="0"/>
    <n v="0"/>
    <n v="11885.742252000013"/>
    <n v="5882.9130690076618"/>
    <n v="0"/>
    <n v="0"/>
    <n v="0"/>
    <n v="0"/>
    <n v="0"/>
    <n v="0.8"/>
    <n v="0.8"/>
    <n v="0.79999999999999993"/>
    <n v="0"/>
    <n v="0"/>
    <n v="0"/>
    <n v="0"/>
    <n v="3772.8"/>
    <n v="0"/>
    <n v="9508.5938016000091"/>
    <n v="0"/>
  </r>
  <r>
    <x v="4"/>
    <s v="YUTH TARIJA"/>
    <n v="510"/>
    <x v="3"/>
    <x v="3"/>
    <x v="4"/>
    <s v="ZONA SUR"/>
    <s v="Y 2"/>
    <x v="9"/>
    <n v="0"/>
    <n v="0"/>
    <n v="0"/>
    <n v="0"/>
    <n v="16347.014359000003"/>
    <n v="8679.4865478750016"/>
    <n v="5245"/>
    <n v="2685.44"/>
    <n v="0"/>
    <n v="0"/>
    <n v="0"/>
    <n v="0"/>
    <n v="11567.330999999998"/>
    <n v="5910.3412718537375"/>
    <n v="0"/>
    <n v="0"/>
    <n v="0"/>
    <n v="0"/>
    <n v="0"/>
    <n v="0.91999999999999993"/>
    <n v="0.91999999999999993"/>
    <n v="0.92"/>
    <n v="0"/>
    <n v="0"/>
    <n v="0"/>
    <n v="0"/>
    <n v="4825.3999999999996"/>
    <n v="0"/>
    <n v="10641.944519999999"/>
    <n v="0"/>
  </r>
  <r>
    <x v="4"/>
    <s v="YUTH TARIJA"/>
    <n v="510"/>
    <x v="3"/>
    <x v="3"/>
    <x v="4"/>
    <s v="ZONA SUR"/>
    <s v="Y 2"/>
    <x v="10"/>
    <n v="0"/>
    <n v="0"/>
    <n v="0"/>
    <n v="0"/>
    <n v="22544.6465985"/>
    <n v="11190.431907525002"/>
    <n v="6780.4"/>
    <n v="3064.7408000000005"/>
    <n v="11229.597701149423"/>
    <n v="4429.4314200152203"/>
    <n v="11229.597701149423"/>
    <n v="5075.7781609195399"/>
    <n v="19702.535750693249"/>
    <n v="9174.0918834117529"/>
    <n v="0"/>
    <n v="0"/>
    <n v="0"/>
    <n v="0"/>
    <n v="0.4083864235901622"/>
    <n v="0.6"/>
    <n v="0.6"/>
    <n v="0.57999999999999996"/>
    <n v="0"/>
    <n v="0"/>
    <n v="0"/>
    <n v="4586.01524352872"/>
    <n v="4068.24"/>
    <n v="6737.758620689654"/>
    <n v="11427.470735402083"/>
    <n v="0"/>
  </r>
  <r>
    <x v="4"/>
    <s v="YUTH TARIJA"/>
    <n v="510"/>
    <x v="3"/>
    <x v="3"/>
    <x v="4"/>
    <s v="ZONA SUR"/>
    <s v="Y 2"/>
    <x v="11"/>
    <n v="0"/>
    <n v="0"/>
    <n v="0"/>
    <n v="0"/>
    <n v="56799.960262500026"/>
    <n v="28334.172048000011"/>
    <n v="12277"/>
    <n v="6040.2839999999997"/>
    <n v="36304.310344827587"/>
    <n v="17394.12769226481"/>
    <n v="12277"/>
    <n v="6040.2839999999997"/>
    <n v="32221.156359599983"/>
    <n v="16291.637423015807"/>
    <n v="0"/>
    <n v="0"/>
    <n v="0"/>
    <n v="0"/>
    <n v="0.81179036608177157"/>
    <n v="0.8"/>
    <n v="0.8"/>
    <n v="0.88"/>
    <n v="0"/>
    <n v="0"/>
    <n v="0"/>
    <n v="29471.489385173834"/>
    <n v="9821.6"/>
    <n v="9821.6"/>
    <n v="28354.61759644798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9E2AE-965D-448C-A97F-3DACC13B81AA}" name="TablaDinámica107" cacheId="202" applyNumberFormats="0" applyBorderFormats="0" applyFontFormats="0" applyPatternFormats="0" applyAlignmentFormats="0" applyWidthHeightFormats="1" dataCaption="Valores" errorCaption="0" showError="1" updatedVersion="8" minRefreshableVersion="3" itemPrintTitles="1" createdVersion="6" indent="0" compact="0" compactData="0" multipleFieldFilters="0">
  <location ref="A7:AS13" firstHeaderRow="0" firstDataRow="1" firstDataCol="2" rowPageCount="3" colPageCount="1"/>
  <pivotFields count="67">
    <pivotField axis="axisRow" compact="0" outline="0" multipleItemSelectionAllowed="1" showAll="0" defaultSubtotal="0">
      <items count="5">
        <item sd="0" x="0"/>
        <item sd="0" x="1"/>
        <item sd="0" x="4"/>
        <item sd="0" x="3"/>
        <item sd="0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4">
        <item x="1"/>
        <item x="3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6">
        <item m="1" x="5"/>
        <item x="0"/>
        <item h="1" x="1"/>
        <item h="1" x="2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12">
        <item x="0"/>
        <item sd="0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</colItems>
  <pageFields count="3">
    <pageField fld="3" hier="-1"/>
    <pageField fld="4" hier="-1"/>
    <pageField fld="5" hier="-1"/>
  </pageFields>
  <dataFields count="43">
    <dataField name="2019 Real $us" fld="9" baseField="0" baseItem="0" numFmtId="164"/>
    <dataField name="2021 Real $us" fld="11" baseField="0" baseItem="0" numFmtId="164"/>
    <dataField name="Ppto 2022 V1" fld="13" baseField="0" baseItem="0" numFmtId="164"/>
    <dataField name="Ppto 2022 V2" fld="15" baseField="0" baseItem="0" numFmtId="164"/>
    <dataField name="Real 2022 $us" fld="17" baseField="0" baseItem="0" numFmtId="164"/>
    <dataField name="Mejorado 2022 $us" fld="19" baseField="0" baseItem="0" numFmtId="164"/>
    <dataField name="Ppto 2023 $us" fld="21" baseField="0" baseItem="0" numFmtId="164"/>
    <dataField name="2023 $us Real" fld="23" baseField="0" baseItem="0" numFmtId="3"/>
    <dataField name="% Cump 22 Vs V2" fld="39" baseField="0" baseItem="0" numFmtId="165"/>
    <dataField name="% Cump 22 Mej vs v2" fld="40" baseField="0" baseItem="0" numFmtId="165"/>
    <dataField name="Crec 22 vs 21" fld="41" baseField="0" baseItem="0" numFmtId="165"/>
    <dataField name="Crec 23Vs 22 Mej" fld="42" baseField="0" baseItem="0" numFmtId="165"/>
    <dataField name="Cre 22 Mej Vs 22 Real %" fld="53" baseField="0" baseItem="0" numFmtId="165"/>
    <dataField name="Cre 23 Real Vs 22 Real " fld="61" baseField="0" baseItem="0" numFmtId="9"/>
    <dataField name="% Cump 23 Real Vs 23 Pres  " fld="62" baseField="0" baseItem="0" numFmtId="9"/>
    <dataField name="2019 Ut $us" fld="10" baseField="0" baseItem="0" numFmtId="164"/>
    <dataField name="2021 Ut $us" fld="12" baseField="0" baseItem="0" numFmtId="164"/>
    <dataField name="Ppto 2022 Ut V2 $us" fld="16" baseField="0" baseItem="0" numFmtId="164"/>
    <dataField name="Ut Real 2022 $us" fld="18" baseField="0" baseItem="0" numFmtId="164"/>
    <dataField name="Mejorado Ut 2022 $us" fld="20" baseField="0" baseItem="0" numFmtId="164"/>
    <dataField name="Ppto 2023 Ut" fld="22" baseField="0" baseItem="0" numFmtId="164"/>
    <dataField name="23 Ut $us_Real" fld="24" baseField="0" baseItem="0" numFmtId="3"/>
    <dataField name="% Cump 22Ut Vs V2" fld="43" baseField="0" baseItem="0" numFmtId="9"/>
    <dataField name="%Cump 22Ut Mej Vs V2" fld="44" baseField="0" baseItem="0" numFmtId="9"/>
    <dataField name="Crec 22 Vs Ut 2021" fld="45" baseField="0" baseItem="0" numFmtId="165"/>
    <dataField name="Crec 23 Vs 22 Mej" fld="46" baseField="0" baseItem="0" numFmtId="165"/>
    <dataField name="Ut 2023 $us Vs Ut 2019 $us %" fld="60" baseField="0" baseItem="0" numFmtId="9"/>
    <dataField name="Ut Cre 23 Real Vs 22 Real " fld="63" baseField="0" baseItem="0" numFmtId="9"/>
    <dataField name=" % Cump 23 Real Vs 23 Pres" fld="64" baseField="0" baseItem="0" numFmtId="9"/>
    <dataField name="Margen 2019" fld="52" baseField="0" baseItem="0" numFmtId="165"/>
    <dataField name="Margen 2021" fld="47" baseField="0" baseItem="0" numFmtId="165"/>
    <dataField name="Ppto 2022 Margen V2" fld="48" baseField="0" baseItem="0" numFmtId="165"/>
    <dataField name="Margen Real 2022" fld="49" baseField="0" baseItem="0" numFmtId="165"/>
    <dataField name="Margen Mejorado 2022" fld="50" baseField="0" baseItem="0" numFmtId="165"/>
    <dataField name="Ppto 2023 Margen" fld="51" baseField="0" baseItem="0" numFmtId="165"/>
    <dataField name="2023 Margen Real " fld="65" baseField="0" baseItem="0" numFmtId="165"/>
    <dataField name="In Line 2019 %" fld="54" baseField="0" baseItem="0" numFmtId="165"/>
    <dataField name="In Line 2021 %" fld="55" baseField="0" baseItem="0" numFmtId="165"/>
    <dataField name="In Line Ppto 2022 V2 % " fld="56" baseField="0" baseItem="0" numFmtId="165"/>
    <dataField name="In Line Real 2022 % " fld="57" baseField="0" baseItem="0" numFmtId="165"/>
    <dataField name="Line Mejorado 2022 %" fld="58" baseField="0" baseItem="0" numFmtId="165"/>
    <dataField name="In Line 2023 % " fld="59" baseField="0" baseItem="0" numFmtId="165"/>
    <dataField name="In Line 2023 % Real " fld="66" baseField="0" baseItem="0" numFmtId="9"/>
  </dataFields>
  <formats count="209">
    <format dxfId="440">
      <pivotArea collapsedLevelsAreSubtotals="1" fieldPosition="0">
        <references count="1">
          <reference field="0" count="1">
            <x v="0"/>
          </reference>
        </references>
      </pivotArea>
    </format>
    <format dxfId="439">
      <pivotArea collapsedLevelsAreSubtotals="1" fieldPosition="0">
        <references count="1">
          <reference field="0" count="1">
            <x v="1"/>
          </reference>
        </references>
      </pivotArea>
    </format>
    <format dxfId="438">
      <pivotArea collapsedLevelsAreSubtotals="1" fieldPosition="0">
        <references count="1">
          <reference field="0" count="1">
            <x v="2"/>
          </reference>
        </references>
      </pivotArea>
    </format>
    <format dxfId="437">
      <pivotArea collapsedLevelsAreSubtotals="1" fieldPosition="0">
        <references count="1">
          <reference field="0" count="1">
            <x v="3"/>
          </reference>
        </references>
      </pivotArea>
    </format>
    <format dxfId="436">
      <pivotArea collapsedLevelsAreSubtotals="1" fieldPosition="0">
        <references count="1">
          <reference field="0" count="1">
            <x v="4"/>
          </reference>
        </references>
      </pivotArea>
    </format>
    <format dxfId="435">
      <pivotArea dataOnly="0" labelOnly="1" fieldPosition="0">
        <references count="1">
          <reference field="0" count="0"/>
        </references>
      </pivotArea>
    </format>
    <format dxfId="434">
      <pivotArea field="0" type="button" dataOnly="0" labelOnly="1" outline="0" axis="axisRow" fieldPosition="0"/>
    </format>
    <format dxfId="433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432">
      <pivotArea field="0" type="button" dataOnly="0" labelOnly="1" outline="0" axis="axisRow" fieldPosition="0"/>
    </format>
    <format dxfId="431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430">
      <pivotArea field="0" type="button" dataOnly="0" labelOnly="1" outline="0" axis="axisRow" fieldPosition="0"/>
    </format>
    <format dxfId="429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42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2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2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25">
      <pivotArea type="all" dataOnly="0" outline="0" fieldPosition="0"/>
    </format>
    <format dxfId="424">
      <pivotArea outline="0" collapsedLevelsAreSubtotals="1" fieldPosition="0"/>
    </format>
    <format dxfId="423">
      <pivotArea field="0" type="button" dataOnly="0" labelOnly="1" outline="0" axis="axisRow" fieldPosition="0"/>
    </format>
    <format dxfId="422">
      <pivotArea dataOnly="0" labelOnly="1" fieldPosition="0">
        <references count="1">
          <reference field="0" count="0"/>
        </references>
      </pivotArea>
    </format>
    <format dxfId="421">
      <pivotArea dataOnly="0" labelOnly="1" grandRow="1" outline="0" fieldPosition="0"/>
    </format>
    <format dxfId="42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19">
      <pivotArea grandRow="1" outline="0" collapsedLevelsAreSubtotals="1" fieldPosition="0"/>
    </format>
    <format dxfId="418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41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41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41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41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413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412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1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10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09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408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407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406">
      <pivotArea outline="0" collapsedLevelsAreSubtotals="1" fieldPosition="0">
        <references count="1">
          <reference field="4294967294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405">
      <pivotArea dataOnly="0" labelOnly="1" outline="0" fieldPosition="0">
        <references count="1">
          <reference field="4294967294" count="6">
            <x v="15"/>
            <x v="16"/>
            <x v="17"/>
            <x v="18"/>
            <x v="19"/>
            <x v="20"/>
          </reference>
        </references>
      </pivotArea>
    </format>
    <format dxfId="404">
      <pivotArea dataOnly="0" labelOnly="1" outline="0" fieldPosition="0">
        <references count="1">
          <reference field="4294967294" count="6">
            <x v="15"/>
            <x v="16"/>
            <x v="17"/>
            <x v="18"/>
            <x v="19"/>
            <x v="20"/>
          </reference>
        </references>
      </pivotArea>
    </format>
    <format dxfId="403">
      <pivotArea dataOnly="0" labelOnly="1" outline="0" fieldPosition="0">
        <references count="1">
          <reference field="4294967294" count="6">
            <x v="15"/>
            <x v="16"/>
            <x v="17"/>
            <x v="18"/>
            <x v="19"/>
            <x v="20"/>
          </reference>
        </references>
      </pivotArea>
    </format>
    <format dxfId="402">
      <pivotArea outline="0" collapsedLevelsAreSubtotals="1" fieldPosition="0">
        <references count="1">
          <reference field="4294967294" count="1" selected="0">
            <x v="22"/>
          </reference>
        </references>
      </pivotArea>
    </format>
    <format dxfId="401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400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399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398">
      <pivotArea outline="0" collapsedLevelsAreSubtotals="1" fieldPosition="0">
        <references count="1">
          <reference field="4294967294" count="1" selected="0">
            <x v="23"/>
          </reference>
        </references>
      </pivotArea>
    </format>
    <format dxfId="397">
      <pivotArea dataOnly="0" labelOnly="1" outline="0" fieldPosition="0">
        <references count="1">
          <reference field="4294967294" count="1">
            <x v="23"/>
          </reference>
        </references>
      </pivotArea>
    </format>
    <format dxfId="396">
      <pivotArea dataOnly="0" labelOnly="1" outline="0" fieldPosition="0">
        <references count="1">
          <reference field="4294967294" count="1">
            <x v="23"/>
          </reference>
        </references>
      </pivotArea>
    </format>
    <format dxfId="395">
      <pivotArea dataOnly="0" labelOnly="1" outline="0" fieldPosition="0">
        <references count="1">
          <reference field="4294967294" count="1">
            <x v="23"/>
          </reference>
        </references>
      </pivotArea>
    </format>
    <format dxfId="394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393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392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391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390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389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388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387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386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385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384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383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382">
      <pivotArea dataOnly="0" labelOnly="1" outline="0" fieldPosition="0">
        <references count="1">
          <reference field="4294967294" count="1">
            <x v="32"/>
          </reference>
        </references>
      </pivotArea>
    </format>
    <format dxfId="381">
      <pivotArea dataOnly="0" labelOnly="1" outline="0" fieldPosition="0">
        <references count="1">
          <reference field="4294967294" count="1">
            <x v="32"/>
          </reference>
        </references>
      </pivotArea>
    </format>
    <format dxfId="380">
      <pivotArea dataOnly="0" labelOnly="1" outline="0" fieldPosition="0">
        <references count="1">
          <reference field="4294967294" count="1">
            <x v="32"/>
          </reference>
        </references>
      </pivotArea>
    </format>
    <format dxfId="379">
      <pivotArea dataOnly="0" labelOnly="1" outline="0" fieldPosition="0">
        <references count="1">
          <reference field="4294967294" count="1">
            <x v="33"/>
          </reference>
        </references>
      </pivotArea>
    </format>
    <format dxfId="378">
      <pivotArea dataOnly="0" labelOnly="1" outline="0" fieldPosition="0">
        <references count="1">
          <reference field="4294967294" count="1">
            <x v="33"/>
          </reference>
        </references>
      </pivotArea>
    </format>
    <format dxfId="377">
      <pivotArea dataOnly="0" labelOnly="1" outline="0" fieldPosition="0">
        <references count="1">
          <reference field="4294967294" count="1">
            <x v="33"/>
          </reference>
        </references>
      </pivotArea>
    </format>
    <format dxfId="376">
      <pivotArea dataOnly="0" labelOnly="1" outline="0" fieldPosition="0">
        <references count="1">
          <reference field="4294967294" count="1">
            <x v="34"/>
          </reference>
        </references>
      </pivotArea>
    </format>
    <format dxfId="375">
      <pivotArea dataOnly="0" labelOnly="1" outline="0" fieldPosition="0">
        <references count="1">
          <reference field="4294967294" count="1">
            <x v="34"/>
          </reference>
        </references>
      </pivotArea>
    </format>
    <format dxfId="374">
      <pivotArea dataOnly="0" labelOnly="1" outline="0" fieldPosition="0">
        <references count="1">
          <reference field="4294967294" count="1">
            <x v="34"/>
          </reference>
        </references>
      </pivotArea>
    </format>
    <format dxfId="373">
      <pivotArea outline="0" collapsedLevelsAreSubtotals="1" fieldPosition="0">
        <references count="1">
          <reference field="4294967294" count="6" selected="0">
            <x v="15"/>
            <x v="16"/>
            <x v="17"/>
            <x v="18"/>
            <x v="19"/>
            <x v="20"/>
          </reference>
        </references>
      </pivotArea>
    </format>
    <format dxfId="372">
      <pivotArea outline="0" collapsedLevelsAreSubtotals="1" fieldPosition="0">
        <references count="1">
          <reference field="4294967294" count="4" selected="0">
            <x v="8"/>
            <x v="9"/>
            <x v="10"/>
            <x v="11"/>
          </reference>
        </references>
      </pivotArea>
    </format>
    <format dxfId="371">
      <pivotArea outline="0" collapsedLevelsAreSubtotals="1" fieldPosition="0">
        <references count="1">
          <reference field="4294967294" count="7" selected="0">
            <x v="24"/>
            <x v="25"/>
            <x v="30"/>
            <x v="31"/>
            <x v="32"/>
            <x v="33"/>
            <x v="34"/>
          </reference>
        </references>
      </pivotArea>
    </format>
    <format dxfId="370">
      <pivotArea dataOnly="0" labelOnly="1" outline="0" fieldPosition="0">
        <references count="1">
          <reference field="4294967294" count="5">
            <x v="3"/>
            <x v="4"/>
            <x v="5"/>
            <x v="6"/>
            <x v="8"/>
          </reference>
        </references>
      </pivotArea>
    </format>
    <format dxfId="369">
      <pivotArea dataOnly="0" labelOnly="1" outline="0" fieldPosition="0">
        <references count="1">
          <reference field="4294967294" count="5">
            <x v="17"/>
            <x v="18"/>
            <x v="19"/>
            <x v="20"/>
            <x v="22"/>
          </reference>
        </references>
      </pivotArea>
    </format>
    <format dxfId="368">
      <pivotArea dataOnly="0" labelOnly="1" outline="0" fieldPosition="0">
        <references count="1">
          <reference field="4294967294" count="2">
            <x v="31"/>
            <x v="32"/>
          </reference>
        </references>
      </pivotArea>
    </format>
    <format dxfId="367">
      <pivotArea field="0" type="button" dataOnly="0" labelOnly="1" outline="0" axis="axisRow" fieldPosition="0"/>
    </format>
    <format dxfId="3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5">
      <pivotArea field="0" type="button" dataOnly="0" labelOnly="1" outline="0" axis="axisRow" fieldPosition="0"/>
    </format>
    <format dxfId="364">
      <pivotArea field="0" grandRow="1" outline="0" collapsedLevelsAreSubtotals="1" axis="axisRow" fieldPosition="0">
        <references count="1">
          <reference field="4294967294" count="24" selected="0">
            <x v="0"/>
            <x v="1"/>
            <x v="2"/>
            <x v="3"/>
            <x v="4"/>
            <x v="5"/>
            <x v="6"/>
            <x v="8"/>
            <x v="9"/>
            <x v="10"/>
            <x v="11"/>
            <x v="15"/>
            <x v="16"/>
            <x v="17"/>
            <x v="18"/>
            <x v="19"/>
            <x v="20"/>
            <x v="22"/>
            <x v="23"/>
            <x v="24"/>
            <x v="25"/>
            <x v="30"/>
            <x v="31"/>
            <x v="32"/>
          </reference>
        </references>
      </pivotArea>
    </format>
    <format dxfId="363">
      <pivotArea dataOnly="0" labelOnly="1" grandRow="1" outline="0" fieldPosition="0"/>
    </format>
    <format dxfId="362">
      <pivotArea field="0" grandRow="1" outline="0" collapsedLevelsAreSubtotals="1" axis="axisRow" fieldPosition="0">
        <references count="1">
          <reference field="4294967294" count="24" selected="0">
            <x v="0"/>
            <x v="1"/>
            <x v="2"/>
            <x v="3"/>
            <x v="4"/>
            <x v="5"/>
            <x v="6"/>
            <x v="8"/>
            <x v="9"/>
            <x v="10"/>
            <x v="11"/>
            <x v="15"/>
            <x v="16"/>
            <x v="17"/>
            <x v="18"/>
            <x v="19"/>
            <x v="20"/>
            <x v="22"/>
            <x v="23"/>
            <x v="24"/>
            <x v="25"/>
            <x v="30"/>
            <x v="31"/>
            <x v="32"/>
          </reference>
        </references>
      </pivotArea>
    </format>
    <format dxfId="361">
      <pivotArea dataOnly="0" labelOnly="1" grandRow="1" outline="0" fieldPosition="0"/>
    </format>
    <format dxfId="360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8"/>
            <x v="9"/>
            <x v="10"/>
            <x v="11"/>
          </reference>
        </references>
      </pivotArea>
    </format>
    <format dxfId="3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8">
      <pivotArea dataOnly="0" labelOnly="1" outline="0" fieldPosition="0">
        <references count="1">
          <reference field="4294967294" count="10">
            <x v="15"/>
            <x v="16"/>
            <x v="17"/>
            <x v="18"/>
            <x v="19"/>
            <x v="20"/>
            <x v="22"/>
            <x v="23"/>
            <x v="24"/>
            <x v="25"/>
          </reference>
        </references>
      </pivotArea>
    </format>
    <format dxfId="357">
      <pivotArea dataOnly="0" labelOnly="1" outline="0" fieldPosition="0">
        <references count="1">
          <reference field="4294967294" count="5">
            <x v="30"/>
            <x v="31"/>
            <x v="32"/>
            <x v="33"/>
            <x v="34"/>
          </reference>
        </references>
      </pivotArea>
    </format>
    <format dxfId="356">
      <pivotArea field="0" grandRow="1" outline="0" collapsedLevelsAreSubtotals="1" axis="axisRow" fieldPosition="0">
        <references count="1">
          <reference field="4294967294" count="2" selected="0">
            <x v="33"/>
            <x v="34"/>
          </reference>
        </references>
      </pivotArea>
    </format>
    <format dxfId="355">
      <pivotArea field="0" grandRow="1" outline="0" collapsedLevelsAreSubtotals="1" axis="axisRow" fieldPosition="0">
        <references count="1">
          <reference field="4294967294" count="2" selected="0">
            <x v="33"/>
            <x v="34"/>
          </reference>
        </references>
      </pivotArea>
    </format>
    <format dxfId="354">
      <pivotArea dataOnly="0" labelOnly="1" outline="0" fieldPosition="0">
        <references count="1">
          <reference field="4294967294" count="1">
            <x v="29"/>
          </reference>
        </references>
      </pivotArea>
    </format>
    <format dxfId="353">
      <pivotArea dataOnly="0" labelOnly="1" outline="0" fieldPosition="0">
        <references count="1">
          <reference field="4294967294" count="1">
            <x v="29"/>
          </reference>
        </references>
      </pivotArea>
    </format>
    <format dxfId="352">
      <pivotArea field="0" grandRow="1" outline="0" collapsedLevelsAreSubtotals="1" axis="axisRow" fieldPosition="0">
        <references count="1">
          <reference field="4294967294" count="1" selected="0">
            <x v="29"/>
          </reference>
        </references>
      </pivotArea>
    </format>
    <format dxfId="351">
      <pivotArea outline="0" collapsedLevelsAreSubtotals="1" fieldPosition="0">
        <references count="1">
          <reference field="4294967294" count="1" selected="0">
            <x v="29"/>
          </reference>
        </references>
      </pivotArea>
    </format>
    <format dxfId="350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349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34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347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346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345">
      <pivotArea field="0" grandRow="1" outline="0" axis="axisRow" fieldPosition="0">
        <references count="1">
          <reference field="4294967294" count="1" selected="0">
            <x v="12"/>
          </reference>
        </references>
      </pivotArea>
    </format>
    <format dxfId="344">
      <pivotArea outline="0" fieldPosition="0">
        <references count="1">
          <reference field="4294967294" count="1" selected="0">
            <x v="12"/>
          </reference>
        </references>
      </pivotArea>
    </format>
    <format dxfId="343">
      <pivotArea dataOnly="0" labelOnly="1" outline="0" fieldPosition="0">
        <references count="1">
          <reference field="4294967294" count="1">
            <x v="36"/>
          </reference>
        </references>
      </pivotArea>
    </format>
    <format dxfId="342">
      <pivotArea field="0" grandRow="1" outline="0" axis="axisRow" fieldPosition="0">
        <references count="1">
          <reference field="4294967294" count="1" selected="0">
            <x v="36"/>
          </reference>
        </references>
      </pivotArea>
    </format>
    <format dxfId="341">
      <pivotArea field="0" grandRow="1" outline="0" axis="axisRow" fieldPosition="0">
        <references count="1">
          <reference field="4294967294" count="1" selected="0">
            <x v="36"/>
          </reference>
        </references>
      </pivotArea>
    </format>
    <format dxfId="340">
      <pivotArea outline="0" fieldPosition="0">
        <references count="1">
          <reference field="4294967294" count="1" selected="0">
            <x v="36"/>
          </reference>
        </references>
      </pivotArea>
    </format>
    <format dxfId="339">
      <pivotArea dataOnly="0" outline="0" fieldPosition="0">
        <references count="1">
          <reference field="4294967294" count="1">
            <x v="36"/>
          </reference>
        </references>
      </pivotArea>
    </format>
    <format dxfId="338">
      <pivotArea dataOnly="0" labelOnly="1" outline="0" fieldPosition="0">
        <references count="1">
          <reference field="4294967294" count="1">
            <x v="36"/>
          </reference>
        </references>
      </pivotArea>
    </format>
    <format dxfId="337">
      <pivotArea dataOnly="0" labelOnly="1" outline="0" fieldPosition="0">
        <references count="1">
          <reference field="4294967294" count="1">
            <x v="36"/>
          </reference>
        </references>
      </pivotArea>
    </format>
    <format dxfId="336">
      <pivotArea dataOnly="0" labelOnly="1" outline="0" fieldPosition="0">
        <references count="1">
          <reference field="4294967294" count="1">
            <x v="36"/>
          </reference>
        </references>
      </pivotArea>
    </format>
    <format dxfId="335">
      <pivotArea field="0" grandRow="1" outline="0" axis="axisRow" fieldPosition="0">
        <references count="1">
          <reference field="4294967294" count="1" selected="0">
            <x v="36"/>
          </reference>
        </references>
      </pivotArea>
    </format>
    <format dxfId="334">
      <pivotArea outline="0" fieldPosition="0">
        <references count="1">
          <reference field="4294967294" count="1" selected="0">
            <x v="37"/>
          </reference>
        </references>
      </pivotArea>
    </format>
    <format dxfId="333">
      <pivotArea dataOnly="0" labelOnly="1" outline="0" fieldPosition="0">
        <references count="1">
          <reference field="4294967294" count="1">
            <x v="37"/>
          </reference>
        </references>
      </pivotArea>
    </format>
    <format dxfId="332">
      <pivotArea outline="0" fieldPosition="0">
        <references count="1">
          <reference field="4294967294" count="6" selected="0">
            <x v="36"/>
            <x v="37"/>
            <x v="38"/>
            <x v="39"/>
            <x v="40"/>
            <x v="41"/>
          </reference>
        </references>
      </pivotArea>
    </format>
    <format dxfId="331">
      <pivotArea dataOnly="0" labelOnly="1" outline="0" fieldPosition="0">
        <references count="1">
          <reference field="4294967294" count="6">
            <x v="36"/>
            <x v="37"/>
            <x v="38"/>
            <x v="39"/>
            <x v="40"/>
            <x v="41"/>
          </reference>
        </references>
      </pivotArea>
    </format>
    <format dxfId="330">
      <pivotArea dataOnly="0" labelOnly="1" outline="0" fieldPosition="0">
        <references count="1">
          <reference field="4294967294" count="6">
            <x v="36"/>
            <x v="37"/>
            <x v="38"/>
            <x v="39"/>
            <x v="40"/>
            <x v="41"/>
          </reference>
        </references>
      </pivotArea>
    </format>
    <format dxfId="329">
      <pivotArea fieldPosition="0">
        <references count="2">
          <reference field="4294967294" count="6" selected="0">
            <x v="36"/>
            <x v="37"/>
            <x v="38"/>
            <x v="39"/>
            <x v="40"/>
            <x v="41"/>
          </reference>
          <reference field="0" count="0"/>
        </references>
      </pivotArea>
    </format>
    <format dxfId="328">
      <pivotArea field="0" grandRow="1" outline="0" axis="axisRow" fieldPosition="0">
        <references count="1">
          <reference field="4294967294" count="6" selected="0">
            <x v="36"/>
            <x v="37"/>
            <x v="38"/>
            <x v="39"/>
            <x v="40"/>
            <x v="41"/>
          </reference>
        </references>
      </pivotArea>
    </format>
    <format dxfId="327">
      <pivotArea field="0" grandRow="1" outline="0" axis="axisRow" fieldPosition="0">
        <references count="1">
          <reference field="4294967294" count="6" selected="0">
            <x v="36"/>
            <x v="37"/>
            <x v="38"/>
            <x v="39"/>
            <x v="40"/>
            <x v="41"/>
          </reference>
        </references>
      </pivotArea>
    </format>
    <format dxfId="326">
      <pivotArea field="0" grandRow="1" outline="0" axis="axisRow" fieldPosition="0">
        <references count="1">
          <reference field="4294967294" count="6" selected="0">
            <x v="36"/>
            <x v="37"/>
            <x v="38"/>
            <x v="39"/>
            <x v="40"/>
            <x v="41"/>
          </reference>
        </references>
      </pivotArea>
    </format>
    <format dxfId="325">
      <pivotArea field="0" grandRow="1" outline="0" axis="axisRow" fieldPosition="0">
        <references count="1">
          <reference field="4294967294" count="7" selected="0">
            <x v="34"/>
            <x v="36"/>
            <x v="37"/>
            <x v="38"/>
            <x v="39"/>
            <x v="40"/>
            <x v="41"/>
          </reference>
        </references>
      </pivotArea>
    </format>
    <format dxfId="324">
      <pivotArea field="0" grandRow="1" outline="0" axis="axisRow" fieldPosition="0">
        <references count="1">
          <reference field="4294967294" count="7" selected="0">
            <x v="34"/>
            <x v="36"/>
            <x v="37"/>
            <x v="38"/>
            <x v="39"/>
            <x v="40"/>
            <x v="41"/>
          </reference>
        </references>
      </pivotArea>
    </format>
    <format dxfId="323">
      <pivotArea grandRow="1" outline="0" collapsedLevelsAreSubtotals="1" fieldPosition="0"/>
    </format>
    <format dxfId="322">
      <pivotArea grandRow="1" outline="0" collapsedLevelsAreSubtotals="1" fieldPosition="0"/>
    </format>
    <format dxfId="321">
      <pivotArea fieldPosition="0">
        <references count="2">
          <reference field="4294967294" count="6" selected="0">
            <x v="36"/>
            <x v="37"/>
            <x v="38"/>
            <x v="39"/>
            <x v="40"/>
            <x v="41"/>
          </reference>
          <reference field="0" count="0"/>
        </references>
      </pivotArea>
    </format>
    <format dxfId="320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0"/>
          </reference>
        </references>
      </pivotArea>
    </format>
    <format dxfId="319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1"/>
          </reference>
        </references>
      </pivotArea>
    </format>
    <format dxfId="318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2"/>
          </reference>
        </references>
      </pivotArea>
    </format>
    <format dxfId="317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3"/>
          </reference>
        </references>
      </pivotArea>
    </format>
    <format dxfId="316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4"/>
          </reference>
        </references>
      </pivotArea>
    </format>
    <format dxfId="315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0"/>
          </reference>
        </references>
      </pivotArea>
    </format>
    <format dxfId="314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1"/>
          </reference>
        </references>
      </pivotArea>
    </format>
    <format dxfId="313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2"/>
          </reference>
        </references>
      </pivotArea>
    </format>
    <format dxfId="312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3"/>
          </reference>
        </references>
      </pivotArea>
    </format>
    <format dxfId="311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4"/>
          </reference>
        </references>
      </pivotArea>
    </format>
    <format dxfId="310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0"/>
          </reference>
        </references>
      </pivotArea>
    </format>
    <format dxfId="309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1"/>
          </reference>
        </references>
      </pivotArea>
    </format>
    <format dxfId="308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2"/>
          </reference>
        </references>
      </pivotArea>
    </format>
    <format dxfId="307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3"/>
          </reference>
        </references>
      </pivotArea>
    </format>
    <format dxfId="306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4"/>
          </reference>
        </references>
      </pivotArea>
    </format>
    <format dxfId="305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0"/>
          </reference>
        </references>
      </pivotArea>
    </format>
    <format dxfId="304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1"/>
          </reference>
        </references>
      </pivotArea>
    </format>
    <format dxfId="303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2"/>
          </reference>
        </references>
      </pivotArea>
    </format>
    <format dxfId="302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3"/>
          </reference>
        </references>
      </pivotArea>
    </format>
    <format dxfId="301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4"/>
          </reference>
        </references>
      </pivotArea>
    </format>
    <format dxfId="300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0"/>
          </reference>
        </references>
      </pivotArea>
    </format>
    <format dxfId="299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1"/>
          </reference>
        </references>
      </pivotArea>
    </format>
    <format dxfId="298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2"/>
          </reference>
        </references>
      </pivotArea>
    </format>
    <format dxfId="297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3"/>
          </reference>
        </references>
      </pivotArea>
    </format>
    <format dxfId="296">
      <pivotArea fieldPosition="0">
        <references count="2">
          <reference field="4294967294" count="5" selected="0">
            <x v="37"/>
            <x v="38"/>
            <x v="39"/>
            <x v="40"/>
            <x v="41"/>
          </reference>
          <reference field="0" count="1">
            <x v="4"/>
          </reference>
        </references>
      </pivotArea>
    </format>
    <format dxfId="295">
      <pivotArea dataOnly="0" labelOnly="1" outline="0" fieldPosition="0">
        <references count="1">
          <reference field="4294967294" count="1">
            <x v="26"/>
          </reference>
        </references>
      </pivotArea>
    </format>
    <format dxfId="294">
      <pivotArea dataOnly="0" labelOnly="1" outline="0" fieldPosition="0">
        <references count="1">
          <reference field="4294967294" count="1">
            <x v="26"/>
          </reference>
        </references>
      </pivotArea>
    </format>
    <format dxfId="293">
      <pivotArea outline="0" fieldPosition="0">
        <references count="1">
          <reference field="4294967294" count="1">
            <x v="26"/>
          </reference>
        </references>
      </pivotArea>
    </format>
    <format dxfId="292">
      <pivotArea outline="0" fieldPosition="0">
        <references count="1">
          <reference field="4294967294" count="1" selected="0">
            <x v="26"/>
          </reference>
        </references>
      </pivotArea>
    </format>
    <format dxfId="291">
      <pivotArea field="0" grandRow="1" outline="0" axis="axisRow" fieldPosition="0">
        <references count="1">
          <reference field="4294967294" count="1" selected="0">
            <x v="26"/>
          </reference>
        </references>
      </pivotArea>
    </format>
    <format dxfId="290">
      <pivotArea field="0" grandRow="1" outline="0" axis="axisRow" fieldPosition="0">
        <references count="1">
          <reference field="4294967294" count="1" selected="0">
            <x v="26"/>
          </reference>
        </references>
      </pivotArea>
    </format>
    <format dxfId="289">
      <pivotArea field="0" grandRow="1" outline="0" axis="axisRow" fieldPosition="0">
        <references count="1">
          <reference field="4294967294" count="1" selected="0">
            <x v="26"/>
          </reference>
        </references>
      </pivotArea>
    </format>
    <format dxfId="28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87">
      <pivotArea outline="0" fieldPosition="0">
        <references count="1">
          <reference field="4294967294" count="1">
            <x v="7"/>
          </reference>
        </references>
      </pivotArea>
    </format>
    <format dxfId="28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8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84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8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82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81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80">
      <pivotArea outline="0" fieldPosition="0">
        <references count="1">
          <reference field="4294967294" count="1" selected="0">
            <x v="13"/>
          </reference>
        </references>
      </pivotArea>
    </format>
    <format dxfId="279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7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6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5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274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273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272">
      <pivotArea outline="0" fieldPosition="0">
        <references count="1">
          <reference field="4294967294" count="1" selected="0">
            <x v="14"/>
          </reference>
        </references>
      </pivotArea>
    </format>
    <format dxfId="271">
      <pivotArea field="0" grandRow="1" outline="0" axis="axisRow" fieldPosition="0">
        <references count="1">
          <reference field="4294967294" count="4" selected="0">
            <x v="12"/>
            <x v="13"/>
            <x v="14"/>
            <x v="15"/>
          </reference>
        </references>
      </pivotArea>
    </format>
    <format dxfId="270">
      <pivotArea field="0" grandRow="1" outline="0" axis="axisRow" fieldPosition="0">
        <references count="1">
          <reference field="4294967294" count="4" selected="0">
            <x v="12"/>
            <x v="13"/>
            <x v="14"/>
            <x v="15"/>
          </reference>
        </references>
      </pivotArea>
    </format>
    <format dxfId="269">
      <pivotArea field="0" grandRow="1" outline="0" axis="axisRow" fieldPosition="0">
        <references count="1">
          <reference field="4294967294" count="4" selected="0">
            <x v="12"/>
            <x v="13"/>
            <x v="14"/>
            <x v="15"/>
          </reference>
        </references>
      </pivotArea>
    </format>
    <format dxfId="268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267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266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265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264">
      <pivotArea outline="0" fieldPosition="0">
        <references count="1">
          <reference field="4294967294" count="1">
            <x v="21"/>
          </reference>
        </references>
      </pivotArea>
    </format>
    <format dxfId="263">
      <pivotArea field="0" grandRow="1" outline="0" axis="axisRow" fieldPosition="0">
        <references count="1">
          <reference field="4294967294" count="1" selected="0">
            <x v="21"/>
          </reference>
        </references>
      </pivotArea>
    </format>
    <format dxfId="262">
      <pivotArea field="0" grandRow="1" outline="0" axis="axisRow" fieldPosition="0">
        <references count="1">
          <reference field="4294967294" count="1" selected="0">
            <x v="21"/>
          </reference>
        </references>
      </pivotArea>
    </format>
    <format dxfId="261">
      <pivotArea dataOnly="0" labelOnly="1" outline="0" fieldPosition="0">
        <references count="1">
          <reference field="4294967294" count="1">
            <x v="26"/>
          </reference>
        </references>
      </pivotArea>
    </format>
    <format dxfId="260">
      <pivotArea dataOnly="0" labelOnly="1" outline="0" fieldPosition="0">
        <references count="1">
          <reference field="4294967294" count="1">
            <x v="27"/>
          </reference>
        </references>
      </pivotArea>
    </format>
    <format dxfId="259">
      <pivotArea dataOnly="0" labelOnly="1" outline="0" fieldPosition="0">
        <references count="1">
          <reference field="4294967294" count="1">
            <x v="27"/>
          </reference>
        </references>
      </pivotArea>
    </format>
    <format dxfId="258">
      <pivotArea outline="0" fieldPosition="0">
        <references count="1">
          <reference field="4294967294" count="1" selected="0">
            <x v="27"/>
          </reference>
        </references>
      </pivotArea>
    </format>
    <format dxfId="257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256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255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254">
      <pivotArea outline="0" fieldPosition="0">
        <references count="1">
          <reference field="4294967294" count="1" selected="0">
            <x v="28"/>
          </reference>
        </references>
      </pivotArea>
    </format>
    <format dxfId="253">
      <pivotArea field="0" grandRow="1" outline="0" axis="axisRow" fieldPosition="0">
        <references count="1">
          <reference field="4294967294" count="3" selected="0">
            <x v="27"/>
            <x v="28"/>
            <x v="29"/>
          </reference>
        </references>
      </pivotArea>
    </format>
    <format dxfId="252">
      <pivotArea field="0" grandRow="1" outline="0" axis="axisRow" fieldPosition="0">
        <references count="1">
          <reference field="4294967294" count="3" selected="0">
            <x v="27"/>
            <x v="28"/>
            <x v="29"/>
          </reference>
        </references>
      </pivotArea>
    </format>
    <format dxfId="251">
      <pivotArea field="0" grandRow="1" outline="0" axis="axisRow" fieldPosition="0">
        <references count="1">
          <reference field="4294967294" count="3" selected="0">
            <x v="27"/>
            <x v="28"/>
            <x v="29"/>
          </reference>
        </references>
      </pivotArea>
    </format>
    <format dxfId="250">
      <pivotArea dataOnly="0" labelOnly="1" outline="0" fieldPosition="0">
        <references count="1">
          <reference field="4294967294" count="1">
            <x v="35"/>
          </reference>
        </references>
      </pivotArea>
    </format>
    <format dxfId="249">
      <pivotArea field="0" grandRow="1" outline="0" axis="axisRow" fieldPosition="0">
        <references count="1">
          <reference field="4294967294" count="1" selected="0">
            <x v="35"/>
          </reference>
        </references>
      </pivotArea>
    </format>
    <format dxfId="248">
      <pivotArea field="0" grandRow="1" outline="0" axis="axisRow" fieldPosition="0">
        <references count="1">
          <reference field="4294967294" count="1" selected="0">
            <x v="35"/>
          </reference>
        </references>
      </pivotArea>
    </format>
    <format dxfId="247">
      <pivotArea field="0" grandRow="1" outline="0" axis="axisRow" fieldPosition="0">
        <references count="1">
          <reference field="4294967294" count="1" selected="0">
            <x v="35"/>
          </reference>
        </references>
      </pivotArea>
    </format>
    <format dxfId="246">
      <pivotArea dataOnly="0" labelOnly="1" outline="0" fieldPosition="0">
        <references count="1">
          <reference field="4294967294" count="1">
            <x v="35"/>
          </reference>
        </references>
      </pivotArea>
    </format>
    <format dxfId="245">
      <pivotArea outline="0" fieldPosition="0">
        <references count="1">
          <reference field="4294967294" count="1" selected="0">
            <x v="35"/>
          </reference>
        </references>
      </pivotArea>
    </format>
    <format dxfId="244">
      <pivotArea dataOnly="0" labelOnly="1" outline="0" fieldPosition="0">
        <references count="1">
          <reference field="4294967294" count="1">
            <x v="41"/>
          </reference>
        </references>
      </pivotArea>
    </format>
    <format dxfId="243">
      <pivotArea dataOnly="0" labelOnly="1" outline="0" fieldPosition="0">
        <references count="1">
          <reference field="4294967294" count="1">
            <x v="41"/>
          </reference>
        </references>
      </pivotArea>
    </format>
    <format dxfId="242">
      <pivotArea dataOnly="0" labelOnly="1" outline="0" fieldPosition="0">
        <references count="1">
          <reference field="4294967294" count="1">
            <x v="42"/>
          </reference>
        </references>
      </pivotArea>
    </format>
    <format dxfId="241">
      <pivotArea dataOnly="0" labelOnly="1" outline="0" fieldPosition="0">
        <references count="1">
          <reference field="4294967294" count="1">
            <x v="42"/>
          </reference>
        </references>
      </pivotArea>
    </format>
    <format dxfId="240">
      <pivotArea dataOnly="0" labelOnly="1" outline="0" fieldPosition="0">
        <references count="1">
          <reference field="4294967294" count="1">
            <x v="42"/>
          </reference>
        </references>
      </pivotArea>
    </format>
    <format dxfId="239">
      <pivotArea outline="0" fieldPosition="0">
        <references count="1">
          <reference field="4294967294" count="1">
            <x v="42"/>
          </reference>
        </references>
      </pivotArea>
    </format>
    <format dxfId="238">
      <pivotArea field="0" grandRow="1" outline="0" axis="axisRow" fieldPosition="0">
        <references count="1">
          <reference field="4294967294" count="1" selected="0">
            <x v="42"/>
          </reference>
        </references>
      </pivotArea>
    </format>
    <format dxfId="237">
      <pivotArea field="0" grandRow="1" outline="0" axis="axisRow" fieldPosition="0">
        <references count="1">
          <reference field="4294967294" count="1" selected="0">
            <x v="42"/>
          </reference>
        </references>
      </pivotArea>
    </format>
    <format dxfId="236">
      <pivotArea field="0" grandRow="1" outline="0" axis="axisRow" fieldPosition="0">
        <references count="1">
          <reference field="4294967294" count="1" selected="0">
            <x v="42"/>
          </reference>
        </references>
      </pivotArea>
    </format>
    <format dxfId="235">
      <pivotArea outline="0" fieldPosition="0">
        <references count="1">
          <reference field="4294967294" count="1" selected="0">
            <x v="42"/>
          </reference>
        </references>
      </pivotArea>
    </format>
    <format dxfId="234">
      <pivotArea dataOnly="0" labelOnly="1" outline="0" fieldPosition="0">
        <references count="1">
          <reference field="4294967294" count="1">
            <x v="27"/>
          </reference>
        </references>
      </pivotArea>
    </format>
    <format dxfId="233">
      <pivotArea field="0" grandRow="1" outline="0" axis="axisRow" fieldPosition="0">
        <references count="1">
          <reference field="4294967294" count="1" selected="0">
            <x v="7"/>
          </reference>
        </references>
      </pivotArea>
    </format>
    <format dxfId="232">
      <pivotArea field="0" grandRow="1" outline="0" axis="axisRow" fieldPosition="0">
        <references count="1">
          <reference field="4294967294" count="1" selected="0">
            <x v="7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87304-54D9-462B-B7BA-FC66D61BA25D}" name="TablaDinámica2" cacheId="200" applyNumberFormats="0" applyBorderFormats="0" applyFontFormats="0" applyPatternFormats="0" applyAlignmentFormats="0" applyWidthHeightFormats="1" dataCaption="Valores" updatedVersion="8" minRefreshableVersion="3" itemPrintTitles="1" createdVersion="8" indent="0" compact="0" outline="1" outlineData="1" compactData="0" multipleFieldFilters="0">
  <location ref="A6:F90" firstHeaderRow="1" firstDataRow="2" firstDataCol="2" rowPageCount="4" colPageCount="1"/>
  <pivotFields count="12">
    <pivotField axis="axisPage" compact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axis="axisPage" compact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multipleItemSelectionAllowed="1" showAll="0">
      <items count="5">
        <item x="0"/>
        <item x="1"/>
        <item x="2"/>
        <item x="3"/>
        <item t="default"/>
      </items>
    </pivotField>
    <pivotField axis="axisPage" compact="0" multipleItemSelectionAllowed="1" showAll="0">
      <items count="5">
        <item x="0"/>
        <item x="1"/>
        <item x="2"/>
        <item x="3"/>
        <item t="default"/>
      </items>
    </pivotField>
    <pivotField axis="axisRow" compact="0" showAll="0">
      <items count="6">
        <item x="0"/>
        <item x="4"/>
        <item x="1"/>
        <item x="2"/>
        <item x="3"/>
        <item t="default"/>
      </items>
    </pivotField>
    <pivotField compact="0" showAll="0"/>
    <pivotField compact="0" showAll="0"/>
    <pivotField axis="axisRow" compact="0" showAll="0">
      <items count="78">
        <item x="15"/>
        <item x="0"/>
        <item x="13"/>
        <item x="38"/>
        <item x="9"/>
        <item x="2"/>
        <item x="21"/>
        <item x="1"/>
        <item x="25"/>
        <item x="16"/>
        <item x="37"/>
        <item x="33"/>
        <item x="34"/>
        <item x="24"/>
        <item x="32"/>
        <item x="10"/>
        <item x="75"/>
        <item x="30"/>
        <item x="12"/>
        <item x="43"/>
        <item x="41"/>
        <item x="54"/>
        <item x="57"/>
        <item x="56"/>
        <item x="64"/>
        <item x="58"/>
        <item x="55"/>
        <item x="63"/>
        <item x="61"/>
        <item x="60"/>
        <item x="59"/>
        <item x="62"/>
        <item x="22"/>
        <item x="3"/>
        <item x="31"/>
        <item x="8"/>
        <item x="7"/>
        <item x="53"/>
        <item x="51"/>
        <item x="52"/>
        <item x="36"/>
        <item x="72"/>
        <item x="29"/>
        <item x="44"/>
        <item x="42"/>
        <item x="48"/>
        <item x="49"/>
        <item x="46"/>
        <item x="74"/>
        <item x="45"/>
        <item x="50"/>
        <item x="47"/>
        <item x="20"/>
        <item x="26"/>
        <item x="14"/>
        <item x="4"/>
        <item x="39"/>
        <item x="17"/>
        <item x="35"/>
        <item x="23"/>
        <item x="27"/>
        <item x="6"/>
        <item x="28"/>
        <item x="11"/>
        <item x="5"/>
        <item x="19"/>
        <item x="18"/>
        <item x="40"/>
        <item x="69"/>
        <item x="71"/>
        <item x="70"/>
        <item x="73"/>
        <item x="67"/>
        <item x="68"/>
        <item x="66"/>
        <item x="76"/>
        <item x="65"/>
        <item t="default"/>
      </items>
    </pivotField>
    <pivotField compact="0" showAll="0"/>
    <pivotField compact="0" showAll="0"/>
    <pivotField dataField="1" compact="0" dragToRow="0" dragToCol="0" dragToPage="0" showAll="0" defaultSubtotal="0"/>
  </pivotFields>
  <rowFields count="2">
    <field x="5"/>
    <field x="8"/>
  </rowFields>
  <rowItems count="83">
    <i>
      <x/>
    </i>
    <i r="1">
      <x/>
    </i>
    <i r="1">
      <x v="1"/>
    </i>
    <i r="1">
      <x v="6"/>
    </i>
    <i r="1">
      <x v="13"/>
    </i>
    <i r="1">
      <x v="19"/>
    </i>
    <i r="1">
      <x v="21"/>
    </i>
    <i r="1">
      <x v="28"/>
    </i>
    <i r="1">
      <x v="32"/>
    </i>
    <i r="1">
      <x v="48"/>
    </i>
    <i r="1">
      <x v="51"/>
    </i>
    <i r="1">
      <x v="52"/>
    </i>
    <i r="1">
      <x v="59"/>
    </i>
    <i r="1">
      <x v="61"/>
    </i>
    <i r="1">
      <x v="63"/>
    </i>
    <i r="1">
      <x v="68"/>
    </i>
    <i>
      <x v="1"/>
    </i>
    <i r="1">
      <x v="37"/>
    </i>
    <i r="1">
      <x v="38"/>
    </i>
    <i r="1">
      <x v="39"/>
    </i>
    <i>
      <x v="2"/>
    </i>
    <i r="1">
      <x v="2"/>
    </i>
    <i r="1">
      <x v="4"/>
    </i>
    <i r="1">
      <x v="7"/>
    </i>
    <i r="1">
      <x v="8"/>
    </i>
    <i r="1">
      <x v="17"/>
    </i>
    <i r="1">
      <x v="18"/>
    </i>
    <i r="1">
      <x v="22"/>
    </i>
    <i r="1">
      <x v="23"/>
    </i>
    <i r="1">
      <x v="26"/>
    </i>
    <i r="1">
      <x v="35"/>
    </i>
    <i r="1">
      <x v="36"/>
    </i>
    <i r="1">
      <x v="42"/>
    </i>
    <i r="1">
      <x v="45"/>
    </i>
    <i r="1">
      <x v="46"/>
    </i>
    <i r="1">
      <x v="49"/>
    </i>
    <i r="1">
      <x v="53"/>
    </i>
    <i r="1">
      <x v="60"/>
    </i>
    <i r="1">
      <x v="62"/>
    </i>
    <i r="1">
      <x v="64"/>
    </i>
    <i r="1">
      <x v="70"/>
    </i>
    <i r="1">
      <x v="71"/>
    </i>
    <i>
      <x v="3"/>
    </i>
    <i r="1">
      <x v="5"/>
    </i>
    <i r="1">
      <x v="9"/>
    </i>
    <i r="1">
      <x v="11"/>
    </i>
    <i r="1">
      <x v="12"/>
    </i>
    <i r="1">
      <x v="14"/>
    </i>
    <i r="1">
      <x v="15"/>
    </i>
    <i r="1">
      <x v="16"/>
    </i>
    <i r="1">
      <x v="24"/>
    </i>
    <i r="1">
      <x v="25"/>
    </i>
    <i r="1">
      <x v="27"/>
    </i>
    <i r="1">
      <x v="31"/>
    </i>
    <i r="1">
      <x v="33"/>
    </i>
    <i r="1">
      <x v="34"/>
    </i>
    <i r="1">
      <x v="40"/>
    </i>
    <i r="1">
      <x v="41"/>
    </i>
    <i r="1">
      <x v="43"/>
    </i>
    <i r="1">
      <x v="44"/>
    </i>
    <i r="1">
      <x v="47"/>
    </i>
    <i r="1">
      <x v="54"/>
    </i>
    <i r="1">
      <x v="57"/>
    </i>
    <i r="1">
      <x v="58"/>
    </i>
    <i r="1">
      <x v="65"/>
    </i>
    <i r="1">
      <x v="66"/>
    </i>
    <i r="1">
      <x v="69"/>
    </i>
    <i r="1">
      <x v="72"/>
    </i>
    <i r="1">
      <x v="73"/>
    </i>
    <i r="1">
      <x v="74"/>
    </i>
    <i>
      <x v="4"/>
    </i>
    <i r="1">
      <x v="3"/>
    </i>
    <i r="1">
      <x v="10"/>
    </i>
    <i r="1">
      <x v="20"/>
    </i>
    <i r="1">
      <x v="29"/>
    </i>
    <i r="1">
      <x v="30"/>
    </i>
    <i r="1">
      <x v="50"/>
    </i>
    <i r="1">
      <x v="55"/>
    </i>
    <i r="1">
      <x v="56"/>
    </i>
    <i r="1">
      <x v="67"/>
    </i>
    <i r="1">
      <x v="75"/>
    </i>
    <i r="1">
      <x v="7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4">
    <pageField fld="3" hier="-1"/>
    <pageField fld="4" hier="-1"/>
    <pageField fld="0" hier="-1"/>
    <pageField fld="2" hier="-1"/>
  </pageFields>
  <dataFields count="1">
    <dataField name="Cre 22 Real Vs 21 " fld="11" baseField="0" baseItem="0" numFmtId="9"/>
  </dataFields>
  <formats count="16">
    <format dxfId="231">
      <pivotArea outline="0" collapsedLevelsAreSubtotals="1" fieldPosition="0"/>
    </format>
    <format dxfId="230">
      <pivotArea grandRow="1" outline="0" collapsedLevelsAreSubtotals="1" fieldPosition="0"/>
    </format>
    <format dxfId="229">
      <pivotArea dataOnly="0" labelOnly="1" grandRow="1" outline="0" fieldPosition="0"/>
    </format>
    <format dxfId="228">
      <pivotArea grandRow="1" outline="0" collapsedLevelsAreSubtotals="1" fieldPosition="0"/>
    </format>
    <format dxfId="227">
      <pivotArea dataOnly="0" labelOnly="1" grandRow="1" outline="0" fieldPosition="0"/>
    </format>
    <format dxfId="226">
      <pivotArea grandRow="1" outline="0" collapsedLevelsAreSubtotals="1" fieldPosition="0"/>
    </format>
    <format dxfId="225">
      <pivotArea dataOnly="0" labelOnly="1" grandRow="1" outline="0" fieldPosition="0"/>
    </format>
    <format dxfId="224">
      <pivotArea field="2" type="button" dataOnly="0" labelOnly="1" outline="0" axis="axisPage" fieldPosition="3"/>
    </format>
    <format dxfId="223">
      <pivotArea dataOnly="0" labelOnly="1" outline="0" axis="axisValues" fieldPosition="0"/>
    </format>
    <format dxfId="222">
      <pivotArea type="origin" dataOnly="0" labelOnly="1" outline="0" fieldPosition="0"/>
    </format>
    <format dxfId="221">
      <pivotArea field="1" type="button" dataOnly="0" labelOnly="1" outline="0" axis="axisCol" fieldPosition="0"/>
    </format>
    <format dxfId="220">
      <pivotArea type="topRight" dataOnly="0" labelOnly="1" outline="0" fieldPosition="0"/>
    </format>
    <format dxfId="219">
      <pivotArea field="2" type="button" dataOnly="0" labelOnly="1" outline="0" axis="axisPage" fieldPosition="3"/>
    </format>
    <format dxfId="218">
      <pivotArea field="8" type="button" dataOnly="0" labelOnly="1" outline="0" axis="axisRow" fieldPosition="1"/>
    </format>
    <format dxfId="217">
      <pivotArea dataOnly="0" labelOnly="1" outline="0" fieldPosition="0">
        <references count="1">
          <reference field="1" count="0"/>
        </references>
      </pivotArea>
    </format>
    <format dxfId="21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DA577-FDF9-4EC9-ACE7-217AF68DAE4C}" name="TablaDinámica4" cacheId="200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6:G52" firstHeaderRow="1" firstDataRow="2" firstDataCol="3" rowPageCount="3" colPageCount="1"/>
  <pivotFields count="12">
    <pivotField axis="axisPage" compact="0" outline="0" multipleItemSelectionAllowed="1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5">
        <item x="0"/>
        <item h="1" x="1"/>
        <item h="1" x="2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4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7">
        <item x="15"/>
        <item x="0"/>
        <item x="13"/>
        <item x="38"/>
        <item x="9"/>
        <item x="2"/>
        <item x="21"/>
        <item x="1"/>
        <item x="25"/>
        <item x="16"/>
        <item x="37"/>
        <item x="33"/>
        <item x="34"/>
        <item x="24"/>
        <item x="32"/>
        <item x="10"/>
        <item x="75"/>
        <item x="30"/>
        <item x="12"/>
        <item x="43"/>
        <item x="41"/>
        <item x="54"/>
        <item x="57"/>
        <item x="56"/>
        <item x="64"/>
        <item x="58"/>
        <item x="55"/>
        <item x="63"/>
        <item x="61"/>
        <item x="60"/>
        <item x="59"/>
        <item x="62"/>
        <item x="22"/>
        <item x="3"/>
        <item x="31"/>
        <item x="8"/>
        <item x="7"/>
        <item x="53"/>
        <item x="51"/>
        <item x="52"/>
        <item x="36"/>
        <item x="72"/>
        <item x="29"/>
        <item x="44"/>
        <item x="42"/>
        <item x="48"/>
        <item x="49"/>
        <item x="46"/>
        <item x="74"/>
        <item x="45"/>
        <item x="50"/>
        <item x="47"/>
        <item x="20"/>
        <item x="26"/>
        <item x="14"/>
        <item x="4"/>
        <item x="39"/>
        <item x="17"/>
        <item x="35"/>
        <item x="23"/>
        <item x="27"/>
        <item x="6"/>
        <item x="28"/>
        <item x="11"/>
        <item x="5"/>
        <item x="19"/>
        <item x="18"/>
        <item x="40"/>
        <item x="69"/>
        <item x="71"/>
        <item x="70"/>
        <item x="73"/>
        <item x="67"/>
        <item x="68"/>
        <item x="66"/>
        <item x="76"/>
        <item x="6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5"/>
    <field x="8"/>
  </rowFields>
  <rowItems count="45">
    <i>
      <x/>
      <x/>
      <x/>
    </i>
    <i r="2">
      <x v="1"/>
    </i>
    <i r="2">
      <x v="6"/>
    </i>
    <i r="2">
      <x v="13"/>
    </i>
    <i r="2">
      <x v="32"/>
    </i>
    <i r="2">
      <x v="52"/>
    </i>
    <i r="2">
      <x v="59"/>
    </i>
    <i r="2">
      <x v="61"/>
    </i>
    <i r="2">
      <x v="63"/>
    </i>
    <i r="1">
      <x v="2"/>
      <x v="2"/>
    </i>
    <i r="2">
      <x v="4"/>
    </i>
    <i r="2">
      <x v="7"/>
    </i>
    <i r="2">
      <x v="8"/>
    </i>
    <i r="2">
      <x v="17"/>
    </i>
    <i r="2">
      <x v="18"/>
    </i>
    <i r="2">
      <x v="35"/>
    </i>
    <i r="2">
      <x v="36"/>
    </i>
    <i r="2">
      <x v="42"/>
    </i>
    <i r="2">
      <x v="53"/>
    </i>
    <i r="2">
      <x v="60"/>
    </i>
    <i r="2">
      <x v="62"/>
    </i>
    <i r="2">
      <x v="64"/>
    </i>
    <i r="1">
      <x v="3"/>
      <x v="5"/>
    </i>
    <i r="2">
      <x v="9"/>
    </i>
    <i r="2">
      <x v="11"/>
    </i>
    <i r="2">
      <x v="12"/>
    </i>
    <i r="2">
      <x v="14"/>
    </i>
    <i r="2">
      <x v="15"/>
    </i>
    <i r="2">
      <x v="16"/>
    </i>
    <i r="2">
      <x v="33"/>
    </i>
    <i r="2">
      <x v="34"/>
    </i>
    <i r="2">
      <x v="40"/>
    </i>
    <i r="2">
      <x v="41"/>
    </i>
    <i r="2">
      <x v="54"/>
    </i>
    <i r="2">
      <x v="57"/>
    </i>
    <i r="2">
      <x v="58"/>
    </i>
    <i r="2">
      <x v="65"/>
    </i>
    <i r="2">
      <x v="66"/>
    </i>
    <i r="1">
      <x v="4"/>
      <x v="3"/>
    </i>
    <i r="2">
      <x v="10"/>
    </i>
    <i r="2">
      <x v="20"/>
    </i>
    <i r="2">
      <x v="55"/>
    </i>
    <i r="2">
      <x v="56"/>
    </i>
    <i r="2">
      <x v="6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3">
    <pageField fld="3" hier="-1"/>
    <pageField fld="4" hier="-1"/>
    <pageField fld="0" hier="-1"/>
  </pageFields>
  <dataFields count="1">
    <dataField name="Cre 22 Real Vs 21 " fld="11" baseField="0" baseItem="0" numFmtId="9"/>
  </dataFields>
  <formats count="16">
    <format dxfId="215">
      <pivotArea outline="0" collapsedLevelsAreSubtotals="1" fieldPosition="0"/>
    </format>
    <format dxfId="214">
      <pivotArea grandRow="1" outline="0" collapsedLevelsAreSubtotals="1" fieldPosition="0"/>
    </format>
    <format dxfId="213">
      <pivotArea dataOnly="0" labelOnly="1" grandRow="1" outline="0" fieldPosition="0"/>
    </format>
    <format dxfId="212">
      <pivotArea grandRow="1" outline="0" collapsedLevelsAreSubtotals="1" fieldPosition="0"/>
    </format>
    <format dxfId="211">
      <pivotArea dataOnly="0" labelOnly="1" grandRow="1" outline="0" fieldPosition="0"/>
    </format>
    <format dxfId="210">
      <pivotArea grandRow="1" outline="0" collapsedLevelsAreSubtotals="1" fieldPosition="0"/>
    </format>
    <format dxfId="209">
      <pivotArea dataOnly="0" labelOnly="1" grandRow="1" outline="0" fieldPosition="0"/>
    </format>
    <format dxfId="208">
      <pivotArea field="2" type="button" dataOnly="0" labelOnly="1" outline="0" axis="axisRow" fieldPosition="0"/>
    </format>
    <format dxfId="207">
      <pivotArea dataOnly="0" labelOnly="1" outline="0" axis="axisValues" fieldPosition="0"/>
    </format>
    <format dxfId="206">
      <pivotArea type="origin" dataOnly="0" labelOnly="1" outline="0" fieldPosition="0"/>
    </format>
    <format dxfId="205">
      <pivotArea field="1" type="button" dataOnly="0" labelOnly="1" outline="0" axis="axisCol" fieldPosition="0"/>
    </format>
    <format dxfId="204">
      <pivotArea type="topRight" dataOnly="0" labelOnly="1" outline="0" fieldPosition="0"/>
    </format>
    <format dxfId="203">
      <pivotArea field="2" type="button" dataOnly="0" labelOnly="1" outline="0" axis="axisRow" fieldPosition="0"/>
    </format>
    <format dxfId="202">
      <pivotArea field="8" type="button" dataOnly="0" labelOnly="1" outline="0" axis="axisRow" fieldPosition="2"/>
    </format>
    <format dxfId="201">
      <pivotArea dataOnly="0" labelOnly="1" outline="0" fieldPosition="0">
        <references count="1">
          <reference field="1" count="0"/>
        </references>
      </pivotArea>
    </format>
    <format dxfId="20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C5F9A-1467-41BD-A053-842EE11A469C}" name="TablaDinámica112" cacheId="201" applyNumberFormats="0" applyBorderFormats="0" applyFontFormats="0" applyPatternFormats="0" applyAlignmentFormats="0" applyWidthHeightFormats="1" dataCaption="Valores" errorCaption="0" showError="1" updatedVersion="8" minRefreshableVersion="3" itemPrintTitles="1" createdVersion="6" indent="0" outline="1" outlineData="1" multipleFieldFilters="0">
  <location ref="A6:AA19" firstHeaderRow="0" firstDataRow="1" firstDataCol="1" rowPageCount="4" colPageCount="1"/>
  <pivotFields count="38">
    <pivotField axis="axisPage" multipleItemSelectionAllowed="1" showAll="0">
      <items count="15">
        <item sd="0" x="0"/>
        <item h="1" sd="0" x="1"/>
        <item h="1" sd="0" x="4"/>
        <item h="1" sd="0" x="3"/>
        <item h="1" sd="0" x="2"/>
        <item h="1" sd="0" m="1" x="11"/>
        <item sd="0" m="1" x="9"/>
        <item sd="0" m="1" x="13"/>
        <item n="FRANQUICIAS UA" sd="0" m="1" x="7"/>
        <item sd="0" m="1" x="10"/>
        <item sd="0" m="1" x="8"/>
        <item sd="0" m="1" x="5"/>
        <item sd="0" m="1" x="6"/>
        <item sd="0" m="1" x="12"/>
        <item t="default" sd="0"/>
      </items>
    </pivotField>
    <pivotField axis="axisPage" showAll="0">
      <items count="122">
        <item sd="0" x="0"/>
        <item sd="0" m="1" x="78"/>
        <item sd="0" m="1" x="85"/>
        <item sd="0" m="1" x="95"/>
        <item sd="0" m="1" x="79"/>
        <item sd="0" m="1" x="116"/>
        <item sd="0" m="1" x="120"/>
        <item sd="0" m="1" x="93"/>
        <item sd="0" m="1" x="92"/>
        <item sd="0" m="1" x="103"/>
        <item sd="0" m="1" x="108"/>
        <item sd="0" m="1" x="82"/>
        <item sd="0" m="1" x="86"/>
        <item sd="0" x="1"/>
        <item sd="0" x="2"/>
        <item sd="0" x="3"/>
        <item sd="0" x="4"/>
        <item sd="0" x="5"/>
        <item sd="0" x="6"/>
        <item sd="0" m="1" x="105"/>
        <item sd="0" m="1" x="106"/>
        <item sd="0" m="1" x="112"/>
        <item sd="0" m="1" x="80"/>
        <item sd="0" m="1" x="83"/>
        <item sd="0" m="1" x="98"/>
        <item sd="0" m="1" x="89"/>
        <item sd="0" m="1" x="97"/>
        <item sd="0" m="1" x="101"/>
        <item sd="0" m="1" x="91"/>
        <item sd="0" x="7"/>
        <item sd="0" x="8"/>
        <item sd="0" x="9"/>
        <item sd="0" x="10"/>
        <item sd="0" x="11"/>
        <item sd="0" x="12"/>
        <item sd="0" x="13"/>
        <item sd="0" x="14"/>
        <item sd="0" m="1" x="87"/>
        <item sd="0" m="1" x="96"/>
        <item sd="0" x="15"/>
        <item sd="0" x="16"/>
        <item sd="0" x="17"/>
        <item sd="0" m="1" x="117"/>
        <item sd="0" m="1" x="110"/>
        <item sd="0" x="18"/>
        <item sd="0" x="44"/>
        <item sd="0" m="1" x="115"/>
        <item sd="0" m="1" x="88"/>
        <item sd="0" m="1" x="114"/>
        <item sd="0" m="1" x="109"/>
        <item sd="0" x="19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20"/>
        <item sd="0" x="21"/>
        <item sd="0" x="22"/>
        <item sd="0" x="23"/>
        <item sd="0" x="24"/>
        <item sd="0" x="54"/>
        <item sd="0" x="55"/>
        <item sd="0" x="56"/>
        <item sd="0" x="25"/>
        <item sd="0" x="26"/>
        <item sd="0" m="1" x="119"/>
        <item sd="0" x="27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28"/>
        <item sd="0" x="29"/>
        <item sd="0" x="30"/>
        <item sd="0" x="31"/>
        <item sd="0" x="32"/>
        <item sd="0" x="33"/>
        <item sd="0" m="1" x="99"/>
        <item sd="0" m="1" x="94"/>
        <item sd="0" m="1" x="113"/>
        <item sd="0" m="1" x="107"/>
        <item sd="0" m="1" x="102"/>
        <item sd="0" x="34"/>
        <item sd="0" x="35"/>
        <item sd="0" x="36"/>
        <item sd="0" x="37"/>
        <item sd="0" x="38"/>
        <item sd="0" x="39"/>
        <item sd="0" m="1" x="81"/>
        <item sd="0" m="1" x="118"/>
        <item sd="0" m="1" x="104"/>
        <item sd="0" m="1" x="77"/>
        <item sd="0" x="40"/>
        <item sd="0" x="41"/>
        <item sd="0" m="1" x="84"/>
        <item sd="0" x="42"/>
        <item sd="0" x="43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m="1" x="100"/>
        <item sd="0" m="1" x="90"/>
        <item sd="0" m="1" x="111"/>
        <item t="default" sd="0"/>
      </items>
    </pivotField>
    <pivotField showAll="0" defaultSubtotal="0"/>
    <pivotField axis="axisPage" multipleItemSelectionAllowed="1" showAll="0" defaultSubtotal="0">
      <items count="4">
        <item x="1"/>
        <item x="3"/>
        <item x="2"/>
        <item x="0"/>
      </items>
    </pivotField>
    <pivotField axis="axisPage" multipleItemSelectionAllowed="1" showAll="0" defaultSubtotal="0">
      <items count="4">
        <item x="1"/>
        <item x="3"/>
        <item x="0"/>
        <item x="2"/>
      </items>
    </pivotField>
    <pivotField subtotalTop="0" showAll="0" defaultSubtotal="0"/>
    <pivotField showAll="0" defaultSubtotal="0"/>
    <pivotField showAll="0" defaultSubtotal="0"/>
    <pivotField axis="axisRow" multipleItemSelectionAllowed="1" showAll="0" defaultSubtota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</items>
    </pivotField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  <pivotField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  <pivotField dataField="1" showAll="0" defaultSubtotal="0"/>
    <pivotField dataField="1" showAll="0" defaultSubtotal="0"/>
    <pivotField dataField="1" numFmtId="164" showAll="0" defaultSubtotal="0"/>
    <pivotField dataField="1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</colItems>
  <pageFields count="4">
    <pageField fld="3" hier="-1"/>
    <pageField fld="4" hier="-1"/>
    <pageField fld="0" hier="-1"/>
    <pageField fld="1" hier="-1"/>
  </pageFields>
  <dataFields count="26">
    <dataField name="2019 Real $us" fld="9" baseField="0" baseItem="0" numFmtId="164"/>
    <dataField name="2021 Real $us" fld="11" baseField="0" baseItem="0" numFmtId="164"/>
    <dataField name="Ppto 2022 V1" fld="13" baseField="0" baseItem="0" numFmtId="164"/>
    <dataField name="Ppto 2022 V2" fld="15" baseField="0" baseItem="0" numFmtId="164"/>
    <dataField name="Real 2022 $us" fld="17" baseField="0" baseItem="0" numFmtId="164"/>
    <dataField name="Mejorado 2022 $us" fld="19" baseField="0" baseItem="0" numFmtId="164"/>
    <dataField name="Ppto 2023 $us" fld="21" baseField="0" baseItem="0" numFmtId="164"/>
    <dataField name="% Cump 22 Vs V2" fld="23" baseField="0" baseItem="0" numFmtId="165"/>
    <dataField name="% Cump 22 Mej vs v2" fld="24" baseField="0" baseItem="0" numFmtId="165"/>
    <dataField name="Crec 22 vs 21" fld="25" baseField="0" baseItem="0" numFmtId="165"/>
    <dataField name="Crec 23Vs 22 Mej" fld="26" baseField="0" baseItem="0" numFmtId="165"/>
    <dataField name="2019 Ut $us" fld="10" baseField="0" baseItem="0" numFmtId="164"/>
    <dataField name="2021 Ut $us" fld="12" baseField="0" baseItem="0" numFmtId="164"/>
    <dataField name="Ppto 2022 Ut V2 $us" fld="16" baseField="0" baseItem="0" numFmtId="164"/>
    <dataField name="Ut Real 2022 $us" fld="18" baseField="0" baseItem="0" numFmtId="164"/>
    <dataField name="Mejorado Ut 2022 $us" fld="20" baseField="0" baseItem="0" numFmtId="164"/>
    <dataField name="Ppto 2023 Ut" fld="22" baseField="0" baseItem="0" numFmtId="164"/>
    <dataField name="% Cump 22Ut Vs V2" fld="27" baseField="0" baseItem="0" numFmtId="9"/>
    <dataField name="%Cump 22Ut Mej Vs V2" fld="28" baseField="0" baseItem="0" numFmtId="9"/>
    <dataField name="Crec 22 Vs Ut" fld="29" baseField="0" baseItem="0" numFmtId="165"/>
    <dataField name="Crec 23 Vs 22 Mej" fld="30" baseField="0" baseItem="0" numFmtId="165"/>
    <dataField name="Margen 2021" fld="31" baseField="0" baseItem="0" numFmtId="165"/>
    <dataField name="Ppto 2022 Margen V2" fld="32" baseField="0" baseItem="0" numFmtId="165"/>
    <dataField name="Margen Real 2022" fld="33" baseField="0" baseItem="0" numFmtId="165"/>
    <dataField name="Margen Mejorado 2022" fld="34" baseField="0" baseItem="0" numFmtId="165"/>
    <dataField name="Ppto 2023 Margen" fld="35" baseField="0" baseItem="0" numFmtId="165"/>
  </dataFields>
  <formats count="95">
    <format dxfId="199">
      <pivotArea collapsedLevelsAreSubtotals="1" fieldPosition="0">
        <references count="1">
          <reference field="0" count="1">
            <x v="0"/>
          </reference>
        </references>
      </pivotArea>
    </format>
    <format dxfId="198">
      <pivotArea collapsedLevelsAreSubtotals="1" fieldPosition="0">
        <references count="1">
          <reference field="0" count="1">
            <x v="1"/>
          </reference>
        </references>
      </pivotArea>
    </format>
    <format dxfId="197">
      <pivotArea collapsedLevelsAreSubtotals="1" fieldPosition="0">
        <references count="1">
          <reference field="0" count="1">
            <x v="2"/>
          </reference>
        </references>
      </pivotArea>
    </format>
    <format dxfId="196">
      <pivotArea collapsedLevelsAreSubtotals="1" fieldPosition="0">
        <references count="1">
          <reference field="0" count="1">
            <x v="3"/>
          </reference>
        </references>
      </pivotArea>
    </format>
    <format dxfId="195">
      <pivotArea collapsedLevelsAreSubtotals="1" fieldPosition="0">
        <references count="1">
          <reference field="0" count="1">
            <x v="4"/>
          </reference>
        </references>
      </pivotArea>
    </format>
    <format dxfId="194">
      <pivotArea collapsedLevelsAreSubtotals="1" fieldPosition="0">
        <references count="1">
          <reference field="0" count="1">
            <x v="6"/>
          </reference>
        </references>
      </pivotArea>
    </format>
    <format dxfId="193">
      <pivotArea collapsedLevelsAreSubtotals="1" fieldPosition="0">
        <references count="1">
          <reference field="0" count="1">
            <x v="7"/>
          </reference>
        </references>
      </pivotArea>
    </format>
    <format dxfId="192">
      <pivotArea collapsedLevelsAreSubtotals="1" fieldPosition="0">
        <references count="1">
          <reference field="0" count="1">
            <x v="8"/>
          </reference>
        </references>
      </pivotArea>
    </format>
    <format dxfId="191">
      <pivotArea collapsedLevelsAreSubtotals="1" fieldPosition="0">
        <references count="1">
          <reference field="0" count="1">
            <x v="9"/>
          </reference>
        </references>
      </pivotArea>
    </format>
    <format dxfId="190">
      <pivotArea collapsedLevelsAreSubtotals="1" fieldPosition="0">
        <references count="1">
          <reference field="0" count="1">
            <x v="10"/>
          </reference>
        </references>
      </pivotArea>
    </format>
    <format dxfId="189">
      <pivotArea collapsedLevelsAreSubtotals="1" fieldPosition="0">
        <references count="1">
          <reference field="0" count="1">
            <x v="11"/>
          </reference>
        </references>
      </pivotArea>
    </format>
    <format dxfId="188">
      <pivotArea collapsedLevelsAreSubtotals="1" fieldPosition="0">
        <references count="1">
          <reference field="0" count="1">
            <x v="12"/>
          </reference>
        </references>
      </pivotArea>
    </format>
    <format dxfId="187">
      <pivotArea collapsedLevelsAreSubtotals="1" fieldPosition="0">
        <references count="1">
          <reference field="0" count="1">
            <x v="5"/>
          </reference>
        </references>
      </pivotArea>
    </format>
    <format dxfId="186">
      <pivotArea collapsedLevelsAreSubtotals="1" fieldPosition="0">
        <references count="1">
          <reference field="0" count="1">
            <x v="13"/>
          </reference>
        </references>
      </pivotArea>
    </format>
    <format dxfId="185">
      <pivotArea dataOnly="0" labelOnly="1" fieldPosition="0">
        <references count="1">
          <reference field="0" count="0"/>
        </references>
      </pivotArea>
    </format>
    <format dxfId="184">
      <pivotArea field="0" type="button" dataOnly="0" labelOnly="1" outline="0" axis="axisPage" fieldPosition="2"/>
    </format>
    <format dxfId="183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182">
      <pivotArea field="0" type="button" dataOnly="0" labelOnly="1" outline="0" axis="axisPage" fieldPosition="2"/>
    </format>
    <format dxfId="181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180">
      <pivotArea field="0" type="button" dataOnly="0" labelOnly="1" outline="0" axis="axisPage" fieldPosition="2"/>
    </format>
    <format dxfId="179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17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7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7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0" type="button" dataOnly="0" labelOnly="1" outline="0" axis="axisPage" fieldPosition="2"/>
    </format>
    <format dxfId="172">
      <pivotArea dataOnly="0" labelOnly="1" fieldPosition="0">
        <references count="1">
          <reference field="0" count="0"/>
        </references>
      </pivotArea>
    </format>
    <format dxfId="171">
      <pivotArea dataOnly="0" labelOnly="1" grandRow="1" outline="0" fieldPosition="0"/>
    </format>
    <format dxfId="17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69">
      <pivotArea grandRow="1" outline="0" collapsedLevelsAreSubtotals="1" fieldPosition="0"/>
    </format>
    <format dxfId="16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6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6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6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6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63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6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60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59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58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57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56">
      <pivotArea outline="0" collapsedLevelsAreSubtotals="1" fieldPosition="0">
        <references count="1">
          <reference field="4294967294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155">
      <pivotArea dataOnly="0" labelOnly="1" outline="0" fieldPosition="0">
        <references count="1">
          <reference field="4294967294" count="6">
            <x v="11"/>
            <x v="12"/>
            <x v="13"/>
            <x v="14"/>
            <x v="15"/>
            <x v="16"/>
          </reference>
        </references>
      </pivotArea>
    </format>
    <format dxfId="154">
      <pivotArea dataOnly="0" labelOnly="1" outline="0" fieldPosition="0">
        <references count="1">
          <reference field="4294967294" count="6">
            <x v="11"/>
            <x v="12"/>
            <x v="13"/>
            <x v="14"/>
            <x v="15"/>
            <x v="16"/>
          </reference>
        </references>
      </pivotArea>
    </format>
    <format dxfId="153">
      <pivotArea dataOnly="0" labelOnly="1" outline="0" fieldPosition="0">
        <references count="1">
          <reference field="4294967294" count="6">
            <x v="11"/>
            <x v="12"/>
            <x v="13"/>
            <x v="14"/>
            <x v="15"/>
            <x v="16"/>
          </reference>
        </references>
      </pivotArea>
    </format>
    <format dxfId="152">
      <pivotArea outline="0" collapsedLevelsAreSubtotals="1" fieldPosition="0">
        <references count="1">
          <reference field="4294967294" count="1" selected="0">
            <x v="17"/>
          </reference>
        </references>
      </pivotArea>
    </format>
    <format dxfId="151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150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149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148">
      <pivotArea outline="0" collapsedLevelsAreSubtotals="1" fieldPosition="0">
        <references count="1">
          <reference field="4294967294" count="1" selected="0">
            <x v="18"/>
          </reference>
        </references>
      </pivotArea>
    </format>
    <format dxfId="147">
      <pivotArea dataOnly="0" labelOnly="1" outline="0" fieldPosition="0">
        <references count="1">
          <reference field="4294967294" count="1">
            <x v="18"/>
          </reference>
        </references>
      </pivotArea>
    </format>
    <format dxfId="146">
      <pivotArea dataOnly="0" labelOnly="1" outline="0" fieldPosition="0">
        <references count="1">
          <reference field="4294967294" count="1">
            <x v="18"/>
          </reference>
        </references>
      </pivotArea>
    </format>
    <format dxfId="145">
      <pivotArea dataOnly="0" labelOnly="1" outline="0" fieldPosition="0">
        <references count="1">
          <reference field="4294967294" count="1">
            <x v="18"/>
          </reference>
        </references>
      </pivotArea>
    </format>
    <format dxfId="144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143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141">
      <pivotArea dataOnly="0" labelOnly="1" outline="0" fieldPosition="0">
        <references count="1">
          <reference field="4294967294" count="1">
            <x v="20"/>
          </reference>
        </references>
      </pivotArea>
    </format>
    <format dxfId="140">
      <pivotArea dataOnly="0" labelOnly="1" outline="0" fieldPosition="0">
        <references count="1">
          <reference field="4294967294" count="1">
            <x v="20"/>
          </reference>
        </references>
      </pivotArea>
    </format>
    <format dxfId="139">
      <pivotArea dataOnly="0" labelOnly="1" outline="0" fieldPosition="0">
        <references count="1">
          <reference field="4294967294" count="1">
            <x v="20"/>
          </reference>
        </references>
      </pivotArea>
    </format>
    <format dxfId="138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137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136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135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134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133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132">
      <pivotArea dataOnly="0" labelOnly="1" outline="0" fieldPosition="0">
        <references count="1">
          <reference field="4294967294" count="1">
            <x v="23"/>
          </reference>
        </references>
      </pivotArea>
    </format>
    <format dxfId="131">
      <pivotArea dataOnly="0" labelOnly="1" outline="0" fieldPosition="0">
        <references count="1">
          <reference field="4294967294" count="1">
            <x v="23"/>
          </reference>
        </references>
      </pivotArea>
    </format>
    <format dxfId="130">
      <pivotArea dataOnly="0" labelOnly="1" outline="0" fieldPosition="0">
        <references count="1">
          <reference field="4294967294" count="1">
            <x v="23"/>
          </reference>
        </references>
      </pivotArea>
    </format>
    <format dxfId="129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128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127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125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124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123">
      <pivotArea outline="0" collapsedLevelsAreSubtotals="1" fieldPosition="0">
        <references count="1">
          <reference field="4294967294" count="6" selected="0">
            <x v="11"/>
            <x v="12"/>
            <x v="13"/>
            <x v="14"/>
            <x v="15"/>
            <x v="16"/>
          </reference>
        </references>
      </pivotArea>
    </format>
    <format dxfId="122">
      <pivotArea outline="0" collapsedLevelsAreSubtotals="1" fieldPosition="0">
        <references count="1">
          <reference field="4294967294" count="4" selected="0">
            <x v="7"/>
            <x v="8"/>
            <x v="9"/>
            <x v="10"/>
          </reference>
        </references>
      </pivotArea>
    </format>
    <format dxfId="121">
      <pivotArea outline="0" collapsedLevelsAreSubtotals="1" fieldPosition="0">
        <references count="1">
          <reference field="4294967294" count="7" selected="0">
            <x v="19"/>
            <x v="20"/>
            <x v="21"/>
            <x v="22"/>
            <x v="23"/>
            <x v="24"/>
            <x v="25"/>
          </reference>
        </references>
      </pivotArea>
    </format>
    <format dxfId="120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  <format dxfId="119">
      <pivotArea dataOnly="0" labelOnly="1" outline="0" fieldPosition="0">
        <references count="1">
          <reference field="4294967294" count="5">
            <x v="13"/>
            <x v="14"/>
            <x v="15"/>
            <x v="16"/>
            <x v="17"/>
          </reference>
        </references>
      </pivotArea>
    </format>
    <format dxfId="118">
      <pivotArea dataOnly="0" labelOnly="1" outline="0" fieldPosition="0">
        <references count="1">
          <reference field="4294967294" count="2">
            <x v="22"/>
            <x v="23"/>
          </reference>
        </references>
      </pivotArea>
    </format>
    <format dxfId="117">
      <pivotArea field="0" type="button" dataOnly="0" labelOnly="1" outline="0" axis="axisPage" fieldPosition="2"/>
    </format>
    <format dxfId="1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">
      <pivotArea field="0" type="button" dataOnly="0" labelOnly="1" outline="0" axis="axisPage" fieldPosition="2"/>
    </format>
    <format dxfId="114">
      <pivotArea field="0" grandRow="1" outline="0" collapsedLevelsAreSubtotals="1" axis="axisPage" fieldPosition="2">
        <references count="1">
          <reference field="4294967294" count="24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13">
      <pivotArea dataOnly="0" labelOnly="1" grandRow="1" outline="0" fieldPosition="0"/>
    </format>
    <format dxfId="112">
      <pivotArea field="0" grandRow="1" outline="0" collapsedLevelsAreSubtotals="1" axis="axisPage" fieldPosition="2">
        <references count="1">
          <reference field="4294967294" count="24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8">
      <pivotArea dataOnly="0" labelOnly="1" outline="0" fieldPosition="0">
        <references count="1">
          <reference field="4294967294" count="10"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07">
      <pivotArea dataOnly="0" labelOnly="1" outline="0" fieldPosition="0">
        <references count="1">
          <reference field="4294967294" count="5">
            <x v="21"/>
            <x v="22"/>
            <x v="23"/>
            <x v="24"/>
            <x v="25"/>
          </reference>
        </references>
      </pivotArea>
    </format>
    <format dxfId="106">
      <pivotArea field="0" grandRow="1" outline="0" collapsedLevelsAreSubtotals="1" axis="axisPage" fieldPosition="2">
        <references count="1">
          <reference field="4294967294" count="2" selected="0">
            <x v="24"/>
            <x v="25"/>
          </reference>
        </references>
      </pivotArea>
    </format>
    <format dxfId="105">
      <pivotArea field="0" grandRow="1" outline="0" collapsedLevelsAreSubtotals="1" axis="axisPage" fieldPosition="2">
        <references count="1">
          <reference field="4294967294" count="2" selected="0">
            <x v="24"/>
            <x v="25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A563E-B59B-4C1F-9EAF-633B5D48C190}" name="TablaDinámica8" cacheId="20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1:J874" firstHeaderRow="0" firstDataRow="1" firstDataCol="8"/>
  <pivotFields count="38">
    <pivotField axis="axisRow" compact="0" outline="0" showAll="0" defaultSubtotal="0">
      <items count="14">
        <item m="1" x="8"/>
        <item m="1" x="5"/>
        <item m="1" x="12"/>
        <item x="0"/>
        <item x="1"/>
        <item m="1" x="9"/>
        <item m="1" x="10"/>
        <item m="1" x="13"/>
        <item m="1" x="7"/>
        <item m="1" x="6"/>
        <item x="2"/>
        <item x="3"/>
        <item m="1" x="1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1">
        <item x="0"/>
        <item m="1" x="85"/>
        <item m="1" x="79"/>
        <item m="1" x="111"/>
        <item m="1" x="95"/>
        <item m="1" x="78"/>
        <item m="1" x="116"/>
        <item m="1" x="120"/>
        <item m="1" x="93"/>
        <item m="1" x="92"/>
        <item m="1" x="103"/>
        <item m="1" x="108"/>
        <item m="1" x="82"/>
        <item m="1" x="86"/>
        <item x="1"/>
        <item x="2"/>
        <item x="3"/>
        <item x="4"/>
        <item x="5"/>
        <item x="6"/>
        <item m="1" x="105"/>
        <item m="1" x="106"/>
        <item m="1" x="112"/>
        <item m="1" x="80"/>
        <item m="1" x="83"/>
        <item m="1" x="98"/>
        <item m="1" x="89"/>
        <item m="1" x="97"/>
        <item m="1" x="101"/>
        <item m="1" x="91"/>
        <item x="7"/>
        <item x="8"/>
        <item x="9"/>
        <item x="10"/>
        <item x="11"/>
        <item x="12"/>
        <item x="13"/>
        <item x="14"/>
        <item m="1" x="87"/>
        <item m="1" x="96"/>
        <item x="15"/>
        <item x="16"/>
        <item x="17"/>
        <item m="1" x="117"/>
        <item m="1" x="110"/>
        <item x="18"/>
        <item x="44"/>
        <item m="1" x="115"/>
        <item m="1" x="88"/>
        <item m="1" x="114"/>
        <item m="1" x="109"/>
        <item x="19"/>
        <item x="57"/>
        <item x="58"/>
        <item x="59"/>
        <item x="60"/>
        <item x="61"/>
        <item x="62"/>
        <item x="63"/>
        <item x="64"/>
        <item x="65"/>
        <item x="66"/>
        <item x="67"/>
        <item x="20"/>
        <item x="21"/>
        <item x="22"/>
        <item x="23"/>
        <item x="24"/>
        <item x="54"/>
        <item x="55"/>
        <item x="56"/>
        <item x="25"/>
        <item x="26"/>
        <item m="1" x="119"/>
        <item x="27"/>
        <item x="45"/>
        <item x="46"/>
        <item x="47"/>
        <item x="48"/>
        <item x="49"/>
        <item x="50"/>
        <item x="51"/>
        <item x="52"/>
        <item x="53"/>
        <item x="28"/>
        <item x="29"/>
        <item x="30"/>
        <item x="31"/>
        <item x="32"/>
        <item x="33"/>
        <item m="1" x="107"/>
        <item m="1" x="94"/>
        <item m="1" x="113"/>
        <item m="1" x="99"/>
        <item m="1" x="102"/>
        <item x="34"/>
        <item x="35"/>
        <item x="36"/>
        <item x="37"/>
        <item x="38"/>
        <item x="39"/>
        <item m="1" x="118"/>
        <item m="1" x="104"/>
        <item m="1" x="81"/>
        <item m="1" x="77"/>
        <item x="40"/>
        <item x="41"/>
        <item m="1" x="84"/>
        <item x="42"/>
        <item x="43"/>
        <item x="68"/>
        <item x="69"/>
        <item x="70"/>
        <item x="71"/>
        <item x="72"/>
        <item x="73"/>
        <item x="74"/>
        <item x="75"/>
        <item x="76"/>
        <item m="1" x="100"/>
        <item m="1" x="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7">
        <item x="10"/>
        <item x="52"/>
        <item x="43"/>
        <item x="3"/>
        <item x="19"/>
        <item x="32"/>
        <item x="27"/>
        <item x="47"/>
        <item x="4"/>
        <item x="36"/>
        <item x="48"/>
        <item x="18"/>
        <item x="29"/>
        <item x="24"/>
        <item x="23"/>
        <item x="2"/>
        <item x="8"/>
        <item x="38"/>
        <item x="51"/>
        <item x="17"/>
        <item x="35"/>
        <item x="20"/>
        <item x="37"/>
        <item x="6"/>
        <item x="53"/>
        <item x="44"/>
        <item x="0"/>
        <item x="28"/>
        <item x="39"/>
        <item x="13"/>
        <item x="9"/>
        <item x="12"/>
        <item x="15"/>
        <item x="33"/>
        <item x="22"/>
        <item x="34"/>
        <item x="25"/>
        <item x="45"/>
        <item x="11"/>
        <item x="14"/>
        <item x="41"/>
        <item x="49"/>
        <item x="42"/>
        <item x="30"/>
        <item x="46"/>
        <item x="66"/>
        <item x="65"/>
        <item x="62"/>
        <item x="64"/>
        <item x="67"/>
        <item x="63"/>
        <item x="60"/>
        <item x="61"/>
        <item x="76"/>
        <item x="70"/>
        <item x="68"/>
        <item x="73"/>
        <item x="74"/>
        <item x="69"/>
        <item x="72"/>
        <item x="54"/>
        <item x="26"/>
        <item x="16"/>
        <item x="40"/>
        <item x="57"/>
        <item x="59"/>
        <item x="58"/>
        <item x="50"/>
        <item x="71"/>
        <item x="75"/>
        <item x="1"/>
        <item x="5"/>
        <item x="7"/>
        <item x="21"/>
        <item x="31"/>
        <item x="55"/>
        <item x="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3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m="1" x="5"/>
        <item x="4"/>
        <item x="1"/>
        <item m="1" x="6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4"/>
        <item x="3"/>
        <item x="5"/>
        <item x="0"/>
        <item x="1"/>
        <item x="2"/>
        <item x="7"/>
        <item x="9"/>
        <item x="11"/>
        <item x="10"/>
        <item x="8"/>
        <item x="6"/>
        <item x="13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8"/>
    <field x="0"/>
    <field x="3"/>
    <field x="4"/>
    <field x="6"/>
    <field x="7"/>
    <field x="2"/>
    <field x="1"/>
  </rowFields>
  <rowItems count="873">
    <i>
      <x/>
      <x v="3"/>
      <x/>
      <x/>
      <x/>
      <x v="4"/>
      <x v="70"/>
      <x v="14"/>
    </i>
    <i r="4">
      <x v="3"/>
      <x v="4"/>
      <x v="72"/>
      <x v="30"/>
    </i>
    <i r="4">
      <x v="5"/>
      <x v="4"/>
      <x v="71"/>
      <x v="18"/>
    </i>
    <i r="5">
      <x v="6"/>
      <x v="73"/>
      <x v="64"/>
    </i>
    <i r="4">
      <x v="6"/>
      <x v="6"/>
      <x v="74"/>
      <x v="87"/>
    </i>
    <i r="2">
      <x v="1"/>
      <x v="1"/>
      <x v="3"/>
      <x v="4"/>
      <x v="63"/>
      <x v="105"/>
    </i>
    <i r="2">
      <x v="2"/>
      <x v="2"/>
      <x/>
      <x v="4"/>
      <x v="22"/>
      <x v="98"/>
    </i>
    <i r="4">
      <x v="3"/>
      <x v="2"/>
      <x v="13"/>
      <x v="67"/>
    </i>
    <i r="6">
      <x v="14"/>
      <x v="66"/>
    </i>
    <i r="5">
      <x v="4"/>
      <x v="8"/>
      <x v="17"/>
    </i>
    <i r="4">
      <x v="5"/>
      <x v="2"/>
      <x v="32"/>
      <x v="40"/>
    </i>
    <i r="3">
      <x v="3"/>
      <x/>
      <x v="3"/>
      <x v="28"/>
      <x v="100"/>
    </i>
    <i r="4">
      <x v="3"/>
      <x v="3"/>
      <x v="11"/>
      <x v="45"/>
    </i>
    <i r="5">
      <x v="5"/>
      <x v="15"/>
      <x v="15"/>
    </i>
    <i r="4">
      <x v="5"/>
      <x/>
      <x v="43"/>
      <x v="86"/>
    </i>
    <i r="2">
      <x v="3"/>
      <x/>
      <x v="5"/>
      <x v="5"/>
      <x v="42"/>
      <x v="108"/>
    </i>
    <i r="3">
      <x v="2"/>
      <x/>
      <x v="3"/>
      <x v="26"/>
      <x/>
    </i>
    <i r="4">
      <x v="5"/>
      <x v="4"/>
      <x v="30"/>
      <x v="32"/>
    </i>
    <i r="6">
      <x v="33"/>
      <x v="89"/>
    </i>
    <i r="5">
      <x v="11"/>
      <x v="40"/>
      <x v="106"/>
    </i>
    <i r="3">
      <x v="3"/>
      <x/>
      <x/>
      <x v="27"/>
      <x v="84"/>
    </i>
    <i r="5">
      <x v="1"/>
      <x v="23"/>
      <x v="19"/>
    </i>
    <i r="5">
      <x v="3"/>
      <x v="21"/>
      <x v="63"/>
    </i>
    <i r="5">
      <x v="4"/>
      <x v="20"/>
      <x v="96"/>
    </i>
    <i r="6">
      <x v="29"/>
      <x v="36"/>
    </i>
    <i r="4">
      <x v="3"/>
      <x/>
      <x v="16"/>
      <x v="31"/>
    </i>
    <i r="5">
      <x v="1"/>
      <x v="12"/>
      <x v="85"/>
    </i>
    <i r="5">
      <x v="2"/>
      <x v="9"/>
      <x v="97"/>
    </i>
    <i r="6">
      <x v="17"/>
      <x v="99"/>
    </i>
    <i r="5">
      <x v="3"/>
      <x v="6"/>
      <x v="74"/>
    </i>
    <i r="6">
      <x v="19"/>
      <x v="42"/>
    </i>
    <i r="4">
      <x v="5"/>
      <x v="1"/>
      <x v="34"/>
      <x v="65"/>
    </i>
    <i r="6">
      <x v="39"/>
      <x v="37"/>
    </i>
    <i r="5">
      <x v="2"/>
      <x v="38"/>
      <x v="34"/>
    </i>
    <i r="5">
      <x v="3"/>
      <x v="31"/>
      <x v="35"/>
    </i>
    <i r="5">
      <x v="4"/>
      <x v="35"/>
      <x v="95"/>
    </i>
    <i r="6">
      <x v="36"/>
      <x v="71"/>
    </i>
    <i r="4">
      <x v="6"/>
      <x v="1"/>
      <x/>
      <x v="33"/>
    </i>
    <i r="6">
      <x v="3"/>
      <x v="16"/>
    </i>
    <i r="5">
      <x v="3"/>
      <x v="5"/>
      <x v="88"/>
    </i>
    <i r="5">
      <x v="5"/>
      <x v="2"/>
      <x v="109"/>
    </i>
    <i r="6">
      <x v="4"/>
      <x v="51"/>
    </i>
    <i r="1">
      <x v="4"/>
      <x v="1"/>
      <x v="1"/>
      <x v="5"/>
      <x v="10"/>
      <x v="44"/>
      <x v="76"/>
    </i>
    <i r="2">
      <x v="3"/>
      <x/>
      <x/>
      <x v="10"/>
      <x v="25"/>
      <x v="46"/>
    </i>
    <i r="4">
      <x v="5"/>
      <x v="10"/>
      <x v="37"/>
      <x v="75"/>
    </i>
    <i r="3">
      <x v="2"/>
      <x v="3"/>
      <x v="10"/>
      <x v="18"/>
      <x v="81"/>
    </i>
    <i r="4">
      <x v="5"/>
      <x v="10"/>
      <x v="41"/>
      <x v="79"/>
    </i>
    <i r="3">
      <x v="3"/>
      <x/>
      <x v="10"/>
      <x v="24"/>
      <x v="83"/>
    </i>
    <i r="4">
      <x v="3"/>
      <x v="10"/>
      <x v="7"/>
      <x v="77"/>
    </i>
    <i r="6">
      <x v="10"/>
      <x v="78"/>
    </i>
    <i r="4">
      <x v="6"/>
      <x v="10"/>
      <x v="1"/>
      <x v="82"/>
    </i>
    <i r="1">
      <x v="10"/>
      <x/>
      <x/>
      <x v="2"/>
      <x v="7"/>
      <x v="75"/>
      <x v="69"/>
    </i>
    <i r="6">
      <x v="76"/>
      <x v="70"/>
    </i>
    <i r="2">
      <x v="3"/>
      <x v="3"/>
      <x v="2"/>
      <x v="7"/>
      <x v="60"/>
      <x v="68"/>
    </i>
    <i r="1">
      <x v="11"/>
      <x v="1"/>
      <x v="1"/>
      <x/>
      <x v="9"/>
      <x v="64"/>
      <x v="52"/>
    </i>
    <i r="4">
      <x v="3"/>
      <x v="8"/>
      <x v="47"/>
      <x v="57"/>
    </i>
    <i r="5">
      <x v="9"/>
      <x v="65"/>
      <x v="54"/>
    </i>
    <i r="6">
      <x v="66"/>
      <x v="53"/>
    </i>
    <i r="4">
      <x v="5"/>
      <x v="9"/>
      <x v="52"/>
      <x v="56"/>
    </i>
    <i r="4">
      <x v="6"/>
      <x v="9"/>
      <x v="45"/>
      <x v="61"/>
    </i>
    <i r="6">
      <x v="46"/>
      <x v="60"/>
    </i>
    <i r="3">
      <x v="3"/>
      <x/>
      <x v="8"/>
      <x v="48"/>
      <x v="59"/>
    </i>
    <i r="4">
      <x v="5"/>
      <x v="8"/>
      <x v="49"/>
      <x v="62"/>
    </i>
    <i r="6">
      <x v="50"/>
      <x v="58"/>
    </i>
    <i r="6">
      <x v="51"/>
      <x v="55"/>
    </i>
    <i r="1">
      <x v="13"/>
      <x v="1"/>
      <x v="1"/>
      <x v="6"/>
      <x v="13"/>
      <x v="53"/>
      <x v="118"/>
    </i>
    <i r="3">
      <x v="3"/>
      <x v="5"/>
      <x v="12"/>
      <x v="57"/>
      <x v="116"/>
    </i>
    <i r="6">
      <x v="59"/>
      <x v="114"/>
    </i>
    <i r="2">
      <x v="2"/>
      <x v="3"/>
      <x v="5"/>
      <x v="12"/>
      <x v="56"/>
      <x v="115"/>
    </i>
    <i r="2">
      <x v="3"/>
      <x v="2"/>
      <x/>
      <x v="13"/>
      <x v="55"/>
      <x v="110"/>
    </i>
    <i r="3">
      <x v="3"/>
      <x v="3"/>
      <x v="12"/>
      <x v="54"/>
      <x v="112"/>
    </i>
    <i r="4">
      <x v="5"/>
      <x v="13"/>
      <x v="58"/>
      <x v="111"/>
    </i>
    <i>
      <x v="1"/>
      <x v="3"/>
      <x/>
      <x/>
      <x/>
      <x v="4"/>
      <x v="70"/>
      <x v="14"/>
    </i>
    <i r="4">
      <x v="3"/>
      <x v="4"/>
      <x v="72"/>
      <x v="30"/>
    </i>
    <i r="4">
      <x v="5"/>
      <x v="4"/>
      <x v="71"/>
      <x v="18"/>
    </i>
    <i r="5">
      <x v="6"/>
      <x v="73"/>
      <x v="64"/>
    </i>
    <i r="4">
      <x v="6"/>
      <x v="6"/>
      <x v="74"/>
      <x v="87"/>
    </i>
    <i r="2">
      <x v="1"/>
      <x v="1"/>
      <x v="3"/>
      <x v="4"/>
      <x v="63"/>
      <x v="105"/>
    </i>
    <i r="2">
      <x v="2"/>
      <x v="2"/>
      <x/>
      <x v="4"/>
      <x v="22"/>
      <x v="98"/>
    </i>
    <i r="4">
      <x v="3"/>
      <x v="2"/>
      <x v="13"/>
      <x v="67"/>
    </i>
    <i r="6">
      <x v="14"/>
      <x v="66"/>
    </i>
    <i r="5">
      <x v="4"/>
      <x v="8"/>
      <x v="17"/>
    </i>
    <i r="4">
      <x v="5"/>
      <x v="2"/>
      <x v="32"/>
      <x v="40"/>
    </i>
    <i r="3">
      <x v="3"/>
      <x/>
      <x v="3"/>
      <x v="28"/>
      <x v="100"/>
    </i>
    <i r="4">
      <x v="3"/>
      <x v="3"/>
      <x v="11"/>
      <x v="45"/>
    </i>
    <i r="5">
      <x v="5"/>
      <x v="15"/>
      <x v="15"/>
    </i>
    <i r="4">
      <x v="5"/>
      <x/>
      <x v="43"/>
      <x v="86"/>
    </i>
    <i r="2">
      <x v="3"/>
      <x/>
      <x v="5"/>
      <x v="5"/>
      <x v="42"/>
      <x v="108"/>
    </i>
    <i r="3">
      <x v="2"/>
      <x/>
      <x v="3"/>
      <x v="26"/>
      <x/>
    </i>
    <i r="4">
      <x v="5"/>
      <x v="4"/>
      <x v="30"/>
      <x v="32"/>
    </i>
    <i r="6">
      <x v="33"/>
      <x v="89"/>
    </i>
    <i r="5">
      <x v="11"/>
      <x v="40"/>
      <x v="106"/>
    </i>
    <i r="3">
      <x v="3"/>
      <x/>
      <x/>
      <x v="27"/>
      <x v="84"/>
    </i>
    <i r="5">
      <x v="1"/>
      <x v="23"/>
      <x v="19"/>
    </i>
    <i r="5">
      <x v="3"/>
      <x v="21"/>
      <x v="63"/>
    </i>
    <i r="5">
      <x v="4"/>
      <x v="20"/>
      <x v="96"/>
    </i>
    <i r="6">
      <x v="29"/>
      <x v="36"/>
    </i>
    <i r="4">
      <x v="3"/>
      <x/>
      <x v="16"/>
      <x v="31"/>
    </i>
    <i r="5">
      <x v="1"/>
      <x v="12"/>
      <x v="85"/>
    </i>
    <i r="5">
      <x v="2"/>
      <x v="9"/>
      <x v="97"/>
    </i>
    <i r="6">
      <x v="17"/>
      <x v="99"/>
    </i>
    <i r="5">
      <x v="3"/>
      <x v="6"/>
      <x v="74"/>
    </i>
    <i r="6">
      <x v="19"/>
      <x v="42"/>
    </i>
    <i r="4">
      <x v="5"/>
      <x v="1"/>
      <x v="34"/>
      <x v="65"/>
    </i>
    <i r="6">
      <x v="39"/>
      <x v="37"/>
    </i>
    <i r="5">
      <x v="2"/>
      <x v="38"/>
      <x v="34"/>
    </i>
    <i r="5">
      <x v="3"/>
      <x v="31"/>
      <x v="35"/>
    </i>
    <i r="5">
      <x v="4"/>
      <x v="35"/>
      <x v="95"/>
    </i>
    <i r="6">
      <x v="36"/>
      <x v="71"/>
    </i>
    <i r="4">
      <x v="6"/>
      <x v="1"/>
      <x/>
      <x v="33"/>
    </i>
    <i r="6">
      <x v="3"/>
      <x v="16"/>
    </i>
    <i r="5">
      <x v="3"/>
      <x v="5"/>
      <x v="88"/>
    </i>
    <i r="5">
      <x v="5"/>
      <x v="2"/>
      <x v="109"/>
    </i>
    <i r="6">
      <x v="4"/>
      <x v="51"/>
    </i>
    <i r="1">
      <x v="4"/>
      <x v="1"/>
      <x v="1"/>
      <x v="5"/>
      <x v="10"/>
      <x v="44"/>
      <x v="76"/>
    </i>
    <i r="2">
      <x v="3"/>
      <x/>
      <x/>
      <x v="10"/>
      <x v="25"/>
      <x v="46"/>
    </i>
    <i r="4">
      <x v="5"/>
      <x v="10"/>
      <x v="37"/>
      <x v="75"/>
    </i>
    <i r="3">
      <x v="2"/>
      <x v="3"/>
      <x v="10"/>
      <x v="18"/>
      <x v="81"/>
    </i>
    <i r="4">
      <x v="5"/>
      <x v="10"/>
      <x v="41"/>
      <x v="79"/>
    </i>
    <i r="3">
      <x v="3"/>
      <x/>
      <x v="10"/>
      <x v="24"/>
      <x v="83"/>
    </i>
    <i r="4">
      <x v="3"/>
      <x v="10"/>
      <x v="7"/>
      <x v="77"/>
    </i>
    <i r="6">
      <x v="10"/>
      <x v="78"/>
    </i>
    <i r="4">
      <x v="6"/>
      <x v="10"/>
      <x v="1"/>
      <x v="82"/>
    </i>
    <i r="1">
      <x v="10"/>
      <x/>
      <x/>
      <x v="2"/>
      <x v="7"/>
      <x v="75"/>
      <x v="69"/>
    </i>
    <i r="6">
      <x v="76"/>
      <x v="70"/>
    </i>
    <i r="2">
      <x v="3"/>
      <x v="3"/>
      <x v="2"/>
      <x v="7"/>
      <x v="60"/>
      <x v="68"/>
    </i>
    <i r="1">
      <x v="11"/>
      <x v="1"/>
      <x v="1"/>
      <x/>
      <x v="9"/>
      <x v="64"/>
      <x v="52"/>
    </i>
    <i r="4">
      <x v="3"/>
      <x v="8"/>
      <x v="47"/>
      <x v="57"/>
    </i>
    <i r="5">
      <x v="9"/>
      <x v="65"/>
      <x v="54"/>
    </i>
    <i r="6">
      <x v="66"/>
      <x v="53"/>
    </i>
    <i r="4">
      <x v="5"/>
      <x v="9"/>
      <x v="52"/>
      <x v="56"/>
    </i>
    <i r="4">
      <x v="6"/>
      <x v="9"/>
      <x v="45"/>
      <x v="61"/>
    </i>
    <i r="6">
      <x v="46"/>
      <x v="60"/>
    </i>
    <i r="3">
      <x v="3"/>
      <x/>
      <x v="8"/>
      <x v="48"/>
      <x v="59"/>
    </i>
    <i r="4">
      <x v="5"/>
      <x v="8"/>
      <x v="49"/>
      <x v="62"/>
    </i>
    <i r="6">
      <x v="50"/>
      <x v="58"/>
    </i>
    <i r="6">
      <x v="51"/>
      <x v="55"/>
    </i>
    <i r="1">
      <x v="13"/>
      <x v="1"/>
      <x v="1"/>
      <x v="6"/>
      <x v="13"/>
      <x v="53"/>
      <x v="118"/>
    </i>
    <i r="3">
      <x v="3"/>
      <x v="5"/>
      <x v="12"/>
      <x v="57"/>
      <x v="116"/>
    </i>
    <i r="6">
      <x v="59"/>
      <x v="114"/>
    </i>
    <i r="2">
      <x v="2"/>
      <x v="3"/>
      <x v="5"/>
      <x v="12"/>
      <x v="56"/>
      <x v="115"/>
    </i>
    <i r="2">
      <x v="3"/>
      <x v="2"/>
      <x/>
      <x v="13"/>
      <x v="55"/>
      <x v="110"/>
    </i>
    <i r="3">
      <x v="3"/>
      <x v="3"/>
      <x v="12"/>
      <x v="54"/>
      <x v="112"/>
    </i>
    <i r="4">
      <x v="5"/>
      <x v="13"/>
      <x v="58"/>
      <x v="111"/>
    </i>
    <i>
      <x v="2"/>
      <x v="3"/>
      <x/>
      <x/>
      <x/>
      <x v="4"/>
      <x v="70"/>
      <x v="14"/>
    </i>
    <i r="4">
      <x v="3"/>
      <x v="4"/>
      <x v="72"/>
      <x v="30"/>
    </i>
    <i r="4">
      <x v="5"/>
      <x v="4"/>
      <x v="71"/>
      <x v="18"/>
    </i>
    <i r="5">
      <x v="6"/>
      <x v="73"/>
      <x v="64"/>
    </i>
    <i r="4">
      <x v="6"/>
      <x v="6"/>
      <x v="74"/>
      <x v="87"/>
    </i>
    <i r="2">
      <x v="1"/>
      <x v="1"/>
      <x v="3"/>
      <x v="4"/>
      <x v="63"/>
      <x v="105"/>
    </i>
    <i r="2">
      <x v="2"/>
      <x v="2"/>
      <x/>
      <x v="4"/>
      <x v="22"/>
      <x v="98"/>
    </i>
    <i r="4">
      <x v="3"/>
      <x v="2"/>
      <x v="13"/>
      <x v="67"/>
    </i>
    <i r="6">
      <x v="14"/>
      <x v="66"/>
    </i>
    <i r="5">
      <x v="4"/>
      <x v="8"/>
      <x v="17"/>
    </i>
    <i r="4">
      <x v="5"/>
      <x v="2"/>
      <x v="32"/>
      <x v="40"/>
    </i>
    <i r="3">
      <x v="3"/>
      <x/>
      <x v="3"/>
      <x v="28"/>
      <x v="100"/>
    </i>
    <i r="4">
      <x v="3"/>
      <x v="3"/>
      <x v="11"/>
      <x v="45"/>
    </i>
    <i r="5">
      <x v="5"/>
      <x v="15"/>
      <x v="15"/>
    </i>
    <i r="4">
      <x v="5"/>
      <x/>
      <x v="43"/>
      <x v="86"/>
    </i>
    <i r="2">
      <x v="3"/>
      <x/>
      <x v="5"/>
      <x v="5"/>
      <x v="42"/>
      <x v="108"/>
    </i>
    <i r="3">
      <x v="2"/>
      <x/>
      <x v="3"/>
      <x v="26"/>
      <x/>
    </i>
    <i r="4">
      <x v="5"/>
      <x v="4"/>
      <x v="30"/>
      <x v="32"/>
    </i>
    <i r="6">
      <x v="33"/>
      <x v="89"/>
    </i>
    <i r="5">
      <x v="11"/>
      <x v="40"/>
      <x v="106"/>
    </i>
    <i r="3">
      <x v="3"/>
      <x/>
      <x/>
      <x v="27"/>
      <x v="84"/>
    </i>
    <i r="5">
      <x v="1"/>
      <x v="23"/>
      <x v="19"/>
    </i>
    <i r="5">
      <x v="3"/>
      <x v="21"/>
      <x v="63"/>
    </i>
    <i r="5">
      <x v="4"/>
      <x v="20"/>
      <x v="96"/>
    </i>
    <i r="6">
      <x v="29"/>
      <x v="36"/>
    </i>
    <i r="4">
      <x v="3"/>
      <x/>
      <x v="16"/>
      <x v="31"/>
    </i>
    <i r="5">
      <x v="1"/>
      <x v="12"/>
      <x v="85"/>
    </i>
    <i r="5">
      <x v="2"/>
      <x v="9"/>
      <x v="97"/>
    </i>
    <i r="6">
      <x v="17"/>
      <x v="99"/>
    </i>
    <i r="5">
      <x v="3"/>
      <x v="6"/>
      <x v="74"/>
    </i>
    <i r="6">
      <x v="19"/>
      <x v="42"/>
    </i>
    <i r="4">
      <x v="5"/>
      <x v="1"/>
      <x v="34"/>
      <x v="65"/>
    </i>
    <i r="6">
      <x v="39"/>
      <x v="37"/>
    </i>
    <i r="5">
      <x v="2"/>
      <x v="38"/>
      <x v="34"/>
    </i>
    <i r="5">
      <x v="3"/>
      <x v="31"/>
      <x v="35"/>
    </i>
    <i r="5">
      <x v="4"/>
      <x v="35"/>
      <x v="95"/>
    </i>
    <i r="6">
      <x v="36"/>
      <x v="71"/>
    </i>
    <i r="4">
      <x v="6"/>
      <x v="1"/>
      <x/>
      <x v="33"/>
    </i>
    <i r="6">
      <x v="3"/>
      <x v="16"/>
    </i>
    <i r="5">
      <x v="3"/>
      <x v="5"/>
      <x v="88"/>
    </i>
    <i r="5">
      <x v="5"/>
      <x v="2"/>
      <x v="109"/>
    </i>
    <i r="6">
      <x v="4"/>
      <x v="51"/>
    </i>
    <i r="1">
      <x v="4"/>
      <x v="1"/>
      <x v="1"/>
      <x v="5"/>
      <x v="10"/>
      <x v="44"/>
      <x v="76"/>
    </i>
    <i r="2">
      <x v="3"/>
      <x/>
      <x/>
      <x v="10"/>
      <x v="25"/>
      <x v="46"/>
    </i>
    <i r="4">
      <x v="5"/>
      <x v="10"/>
      <x v="37"/>
      <x v="75"/>
    </i>
    <i r="3">
      <x v="2"/>
      <x v="3"/>
      <x v="10"/>
      <x v="18"/>
      <x v="81"/>
    </i>
    <i r="4">
      <x v="5"/>
      <x v="10"/>
      <x v="41"/>
      <x v="79"/>
    </i>
    <i r="3">
      <x v="3"/>
      <x/>
      <x v="10"/>
      <x v="24"/>
      <x v="83"/>
    </i>
    <i r="4">
      <x v="3"/>
      <x v="10"/>
      <x v="7"/>
      <x v="77"/>
    </i>
    <i r="6">
      <x v="10"/>
      <x v="78"/>
    </i>
    <i r="4">
      <x v="6"/>
      <x v="10"/>
      <x v="1"/>
      <x v="82"/>
    </i>
    <i r="1">
      <x v="10"/>
      <x/>
      <x/>
      <x v="2"/>
      <x v="7"/>
      <x v="75"/>
      <x v="69"/>
    </i>
    <i r="6">
      <x v="76"/>
      <x v="70"/>
    </i>
    <i r="2">
      <x v="3"/>
      <x v="3"/>
      <x v="2"/>
      <x v="7"/>
      <x v="60"/>
      <x v="68"/>
    </i>
    <i r="1">
      <x v="11"/>
      <x v="1"/>
      <x v="1"/>
      <x/>
      <x v="9"/>
      <x v="64"/>
      <x v="52"/>
    </i>
    <i r="4">
      <x v="3"/>
      <x v="8"/>
      <x v="47"/>
      <x v="57"/>
    </i>
    <i r="5">
      <x v="9"/>
      <x v="65"/>
      <x v="54"/>
    </i>
    <i r="6">
      <x v="66"/>
      <x v="53"/>
    </i>
    <i r="4">
      <x v="5"/>
      <x v="9"/>
      <x v="52"/>
      <x v="56"/>
    </i>
    <i r="4">
      <x v="6"/>
      <x v="9"/>
      <x v="45"/>
      <x v="61"/>
    </i>
    <i r="6">
      <x v="46"/>
      <x v="60"/>
    </i>
    <i r="3">
      <x v="3"/>
      <x/>
      <x v="8"/>
      <x v="48"/>
      <x v="59"/>
    </i>
    <i r="4">
      <x v="5"/>
      <x v="8"/>
      <x v="49"/>
      <x v="62"/>
    </i>
    <i r="6">
      <x v="50"/>
      <x v="58"/>
    </i>
    <i r="6">
      <x v="51"/>
      <x v="55"/>
    </i>
    <i r="1">
      <x v="13"/>
      <x v="1"/>
      <x v="1"/>
      <x v="6"/>
      <x v="13"/>
      <x v="53"/>
      <x v="118"/>
    </i>
    <i r="3">
      <x v="3"/>
      <x v="5"/>
      <x v="12"/>
      <x v="57"/>
      <x v="116"/>
    </i>
    <i r="6">
      <x v="59"/>
      <x v="114"/>
    </i>
    <i r="2">
      <x v="2"/>
      <x v="3"/>
      <x v="5"/>
      <x v="12"/>
      <x v="56"/>
      <x v="115"/>
    </i>
    <i r="2">
      <x v="3"/>
      <x v="2"/>
      <x/>
      <x v="13"/>
      <x v="55"/>
      <x v="110"/>
    </i>
    <i r="3">
      <x v="3"/>
      <x v="3"/>
      <x v="12"/>
      <x v="54"/>
      <x v="112"/>
    </i>
    <i r="4">
      <x v="5"/>
      <x v="13"/>
      <x v="58"/>
      <x v="111"/>
    </i>
    <i>
      <x v="3"/>
      <x v="3"/>
      <x/>
      <x/>
      <x/>
      <x v="4"/>
      <x v="70"/>
      <x v="14"/>
    </i>
    <i r="4">
      <x v="3"/>
      <x v="4"/>
      <x v="72"/>
      <x v="30"/>
    </i>
    <i r="4">
      <x v="5"/>
      <x v="4"/>
      <x v="71"/>
      <x v="18"/>
    </i>
    <i r="5">
      <x v="6"/>
      <x v="73"/>
      <x v="64"/>
    </i>
    <i r="4">
      <x v="6"/>
      <x v="6"/>
      <x v="74"/>
      <x v="87"/>
    </i>
    <i r="2">
      <x v="1"/>
      <x v="1"/>
      <x v="3"/>
      <x v="4"/>
      <x v="63"/>
      <x v="105"/>
    </i>
    <i r="2">
      <x v="2"/>
      <x v="2"/>
      <x/>
      <x v="4"/>
      <x v="22"/>
      <x v="98"/>
    </i>
    <i r="4">
      <x v="3"/>
      <x v="2"/>
      <x v="13"/>
      <x v="67"/>
    </i>
    <i r="6">
      <x v="14"/>
      <x v="66"/>
    </i>
    <i r="5">
      <x v="4"/>
      <x v="8"/>
      <x v="17"/>
    </i>
    <i r="4">
      <x v="5"/>
      <x v="2"/>
      <x v="32"/>
      <x v="40"/>
    </i>
    <i r="3">
      <x v="3"/>
      <x/>
      <x v="3"/>
      <x v="28"/>
      <x v="100"/>
    </i>
    <i r="4">
      <x v="3"/>
      <x v="3"/>
      <x v="11"/>
      <x v="45"/>
    </i>
    <i r="5">
      <x v="5"/>
      <x v="15"/>
      <x v="15"/>
    </i>
    <i r="4">
      <x v="5"/>
      <x/>
      <x v="43"/>
      <x v="86"/>
    </i>
    <i r="2">
      <x v="3"/>
      <x/>
      <x v="5"/>
      <x v="5"/>
      <x v="42"/>
      <x v="108"/>
    </i>
    <i r="3">
      <x v="2"/>
      <x/>
      <x v="3"/>
      <x v="26"/>
      <x/>
    </i>
    <i r="4">
      <x v="5"/>
      <x v="4"/>
      <x v="30"/>
      <x v="32"/>
    </i>
    <i r="6">
      <x v="33"/>
      <x v="89"/>
    </i>
    <i r="5">
      <x v="11"/>
      <x v="40"/>
      <x v="106"/>
    </i>
    <i r="3">
      <x v="3"/>
      <x/>
      <x/>
      <x v="27"/>
      <x v="84"/>
    </i>
    <i r="5">
      <x v="1"/>
      <x v="23"/>
      <x v="19"/>
    </i>
    <i r="5">
      <x v="3"/>
      <x v="21"/>
      <x v="63"/>
    </i>
    <i r="5">
      <x v="4"/>
      <x v="20"/>
      <x v="96"/>
    </i>
    <i r="6">
      <x v="29"/>
      <x v="36"/>
    </i>
    <i r="4">
      <x v="3"/>
      <x/>
      <x v="16"/>
      <x v="31"/>
    </i>
    <i r="5">
      <x v="1"/>
      <x v="12"/>
      <x v="85"/>
    </i>
    <i r="5">
      <x v="2"/>
      <x v="9"/>
      <x v="97"/>
    </i>
    <i r="6">
      <x v="17"/>
      <x v="99"/>
    </i>
    <i r="5">
      <x v="3"/>
      <x v="6"/>
      <x v="74"/>
    </i>
    <i r="6">
      <x v="19"/>
      <x v="42"/>
    </i>
    <i r="4">
      <x v="5"/>
      <x v="1"/>
      <x v="34"/>
      <x v="65"/>
    </i>
    <i r="6">
      <x v="39"/>
      <x v="37"/>
    </i>
    <i r="5">
      <x v="2"/>
      <x v="38"/>
      <x v="34"/>
    </i>
    <i r="5">
      <x v="3"/>
      <x v="31"/>
      <x v="35"/>
    </i>
    <i r="5">
      <x v="4"/>
      <x v="35"/>
      <x v="95"/>
    </i>
    <i r="6">
      <x v="36"/>
      <x v="71"/>
    </i>
    <i r="4">
      <x v="6"/>
      <x v="1"/>
      <x/>
      <x v="33"/>
    </i>
    <i r="6">
      <x v="3"/>
      <x v="16"/>
    </i>
    <i r="5">
      <x v="3"/>
      <x v="5"/>
      <x v="88"/>
    </i>
    <i r="5">
      <x v="5"/>
      <x v="2"/>
      <x v="109"/>
    </i>
    <i r="6">
      <x v="4"/>
      <x v="51"/>
    </i>
    <i r="1">
      <x v="4"/>
      <x v="1"/>
      <x v="1"/>
      <x v="5"/>
      <x v="10"/>
      <x v="44"/>
      <x v="76"/>
    </i>
    <i r="2">
      <x v="3"/>
      <x/>
      <x/>
      <x v="10"/>
      <x v="25"/>
      <x v="46"/>
    </i>
    <i r="4">
      <x v="5"/>
      <x v="10"/>
      <x v="37"/>
      <x v="75"/>
    </i>
    <i r="3">
      <x v="2"/>
      <x v="3"/>
      <x v="10"/>
      <x v="18"/>
      <x v="81"/>
    </i>
    <i r="4">
      <x v="5"/>
      <x v="10"/>
      <x v="41"/>
      <x v="79"/>
    </i>
    <i r="3">
      <x v="3"/>
      <x/>
      <x v="10"/>
      <x v="24"/>
      <x v="83"/>
    </i>
    <i r="4">
      <x v="3"/>
      <x v="10"/>
      <x v="7"/>
      <x v="77"/>
    </i>
    <i r="6">
      <x v="10"/>
      <x v="78"/>
    </i>
    <i r="4">
      <x v="6"/>
      <x v="10"/>
      <x v="1"/>
      <x v="82"/>
    </i>
    <i r="1">
      <x v="10"/>
      <x/>
      <x/>
      <x v="2"/>
      <x v="7"/>
      <x v="75"/>
      <x v="69"/>
    </i>
    <i r="6">
      <x v="76"/>
      <x v="70"/>
    </i>
    <i r="2">
      <x v="3"/>
      <x v="3"/>
      <x v="2"/>
      <x v="7"/>
      <x v="60"/>
      <x v="68"/>
    </i>
    <i r="1">
      <x v="11"/>
      <x v="1"/>
      <x v="1"/>
      <x/>
      <x v="9"/>
      <x v="64"/>
      <x v="52"/>
    </i>
    <i r="4">
      <x v="3"/>
      <x v="8"/>
      <x v="47"/>
      <x v="57"/>
    </i>
    <i r="5">
      <x v="9"/>
      <x v="65"/>
      <x v="54"/>
    </i>
    <i r="6">
      <x v="66"/>
      <x v="53"/>
    </i>
    <i r="4">
      <x v="5"/>
      <x v="9"/>
      <x v="52"/>
      <x v="56"/>
    </i>
    <i r="4">
      <x v="6"/>
      <x v="9"/>
      <x v="45"/>
      <x v="61"/>
    </i>
    <i r="6">
      <x v="46"/>
      <x v="60"/>
    </i>
    <i r="3">
      <x v="3"/>
      <x/>
      <x v="8"/>
      <x v="48"/>
      <x v="59"/>
    </i>
    <i r="4">
      <x v="5"/>
      <x v="8"/>
      <x v="49"/>
      <x v="62"/>
    </i>
    <i r="6">
      <x v="50"/>
      <x v="58"/>
    </i>
    <i r="6">
      <x v="51"/>
      <x v="55"/>
    </i>
    <i r="1">
      <x v="13"/>
      <x v="1"/>
      <x v="1"/>
      <x v="6"/>
      <x v="13"/>
      <x v="53"/>
      <x v="118"/>
    </i>
    <i r="3">
      <x v="3"/>
      <x v="5"/>
      <x v="12"/>
      <x v="57"/>
      <x v="116"/>
    </i>
    <i r="6">
      <x v="59"/>
      <x v="114"/>
    </i>
    <i r="2">
      <x v="2"/>
      <x v="3"/>
      <x v="5"/>
      <x v="12"/>
      <x v="56"/>
      <x v="115"/>
    </i>
    <i r="2">
      <x v="3"/>
      <x v="2"/>
      <x/>
      <x v="13"/>
      <x v="55"/>
      <x v="110"/>
    </i>
    <i r="3">
      <x v="3"/>
      <x v="3"/>
      <x v="12"/>
      <x v="54"/>
      <x v="112"/>
    </i>
    <i r="4">
      <x v="5"/>
      <x v="13"/>
      <x v="58"/>
      <x v="111"/>
    </i>
    <i>
      <x v="4"/>
      <x v="3"/>
      <x/>
      <x/>
      <x/>
      <x v="4"/>
      <x v="70"/>
      <x v="14"/>
    </i>
    <i r="4">
      <x v="3"/>
      <x v="4"/>
      <x v="72"/>
      <x v="30"/>
    </i>
    <i r="4">
      <x v="5"/>
      <x v="4"/>
      <x v="71"/>
      <x v="18"/>
    </i>
    <i r="5">
      <x v="6"/>
      <x v="73"/>
      <x v="64"/>
    </i>
    <i r="4">
      <x v="6"/>
      <x v="6"/>
      <x v="74"/>
      <x v="87"/>
    </i>
    <i r="2">
      <x v="1"/>
      <x v="1"/>
      <x v="3"/>
      <x v="4"/>
      <x v="63"/>
      <x v="105"/>
    </i>
    <i r="2">
      <x v="2"/>
      <x v="2"/>
      <x/>
      <x v="4"/>
      <x v="22"/>
      <x v="98"/>
    </i>
    <i r="4">
      <x v="3"/>
      <x v="2"/>
      <x v="13"/>
      <x v="67"/>
    </i>
    <i r="6">
      <x v="14"/>
      <x v="66"/>
    </i>
    <i r="5">
      <x v="4"/>
      <x v="8"/>
      <x v="17"/>
    </i>
    <i r="4">
      <x v="5"/>
      <x v="2"/>
      <x v="32"/>
      <x v="40"/>
    </i>
    <i r="3">
      <x v="3"/>
      <x/>
      <x v="3"/>
      <x v="28"/>
      <x v="100"/>
    </i>
    <i r="4">
      <x v="3"/>
      <x v="3"/>
      <x v="11"/>
      <x v="45"/>
    </i>
    <i r="5">
      <x v="5"/>
      <x v="15"/>
      <x v="15"/>
    </i>
    <i r="4">
      <x v="5"/>
      <x/>
      <x v="43"/>
      <x v="86"/>
    </i>
    <i r="2">
      <x v="3"/>
      <x/>
      <x v="5"/>
      <x v="5"/>
      <x v="42"/>
      <x v="108"/>
    </i>
    <i r="3">
      <x v="2"/>
      <x/>
      <x v="3"/>
      <x v="26"/>
      <x/>
    </i>
    <i r="4">
      <x v="5"/>
      <x v="4"/>
      <x v="30"/>
      <x v="32"/>
    </i>
    <i r="6">
      <x v="33"/>
      <x v="89"/>
    </i>
    <i r="5">
      <x v="11"/>
      <x v="40"/>
      <x v="106"/>
    </i>
    <i r="3">
      <x v="3"/>
      <x/>
      <x/>
      <x v="27"/>
      <x v="84"/>
    </i>
    <i r="5">
      <x v="1"/>
      <x v="23"/>
      <x v="19"/>
    </i>
    <i r="5">
      <x v="3"/>
      <x v="21"/>
      <x v="63"/>
    </i>
    <i r="5">
      <x v="4"/>
      <x v="20"/>
      <x v="96"/>
    </i>
    <i r="6">
      <x v="29"/>
      <x v="36"/>
    </i>
    <i r="4">
      <x v="3"/>
      <x/>
      <x v="16"/>
      <x v="31"/>
    </i>
    <i r="5">
      <x v="1"/>
      <x v="12"/>
      <x v="85"/>
    </i>
    <i r="5">
      <x v="2"/>
      <x v="9"/>
      <x v="97"/>
    </i>
    <i r="6">
      <x v="17"/>
      <x v="99"/>
    </i>
    <i r="5">
      <x v="3"/>
      <x v="6"/>
      <x v="74"/>
    </i>
    <i r="6">
      <x v="19"/>
      <x v="42"/>
    </i>
    <i r="4">
      <x v="5"/>
      <x v="1"/>
      <x v="34"/>
      <x v="65"/>
    </i>
    <i r="6">
      <x v="39"/>
      <x v="37"/>
    </i>
    <i r="5">
      <x v="2"/>
      <x v="38"/>
      <x v="34"/>
    </i>
    <i r="5">
      <x v="3"/>
      <x v="31"/>
      <x v="35"/>
    </i>
    <i r="5">
      <x v="4"/>
      <x v="35"/>
      <x v="95"/>
    </i>
    <i r="6">
      <x v="36"/>
      <x v="71"/>
    </i>
    <i r="4">
      <x v="6"/>
      <x v="1"/>
      <x/>
      <x v="33"/>
    </i>
    <i r="6">
      <x v="3"/>
      <x v="16"/>
    </i>
    <i r="5">
      <x v="3"/>
      <x v="5"/>
      <x v="88"/>
    </i>
    <i r="5">
      <x v="5"/>
      <x v="2"/>
      <x v="109"/>
    </i>
    <i r="6">
      <x v="4"/>
      <x v="51"/>
    </i>
    <i r="1">
      <x v="4"/>
      <x v="1"/>
      <x v="1"/>
      <x v="5"/>
      <x v="10"/>
      <x v="44"/>
      <x v="76"/>
    </i>
    <i r="2">
      <x v="3"/>
      <x/>
      <x/>
      <x v="10"/>
      <x v="25"/>
      <x v="46"/>
    </i>
    <i r="4">
      <x v="5"/>
      <x v="10"/>
      <x v="37"/>
      <x v="75"/>
    </i>
    <i r="3">
      <x v="2"/>
      <x v="3"/>
      <x v="10"/>
      <x v="18"/>
      <x v="81"/>
    </i>
    <i r="4">
      <x v="5"/>
      <x v="10"/>
      <x v="41"/>
      <x v="79"/>
    </i>
    <i r="3">
      <x v="3"/>
      <x/>
      <x v="10"/>
      <x v="24"/>
      <x v="83"/>
    </i>
    <i r="4">
      <x v="3"/>
      <x v="10"/>
      <x v="7"/>
      <x v="77"/>
    </i>
    <i r="6">
      <x v="10"/>
      <x v="78"/>
    </i>
    <i r="4">
      <x v="6"/>
      <x v="10"/>
      <x v="1"/>
      <x v="82"/>
    </i>
    <i r="1">
      <x v="10"/>
      <x/>
      <x/>
      <x v="2"/>
      <x v="7"/>
      <x v="75"/>
      <x v="69"/>
    </i>
    <i r="6">
      <x v="76"/>
      <x v="70"/>
    </i>
    <i r="2">
      <x v="3"/>
      <x v="3"/>
      <x v="2"/>
      <x v="7"/>
      <x v="60"/>
      <x v="68"/>
    </i>
    <i r="1">
      <x v="11"/>
      <x v="1"/>
      <x v="1"/>
      <x/>
      <x v="9"/>
      <x v="64"/>
      <x v="52"/>
    </i>
    <i r="4">
      <x v="3"/>
      <x v="8"/>
      <x v="47"/>
      <x v="57"/>
    </i>
    <i r="5">
      <x v="9"/>
      <x v="65"/>
      <x v="54"/>
    </i>
    <i r="6">
      <x v="66"/>
      <x v="53"/>
    </i>
    <i r="4">
      <x v="5"/>
      <x v="9"/>
      <x v="52"/>
      <x v="56"/>
    </i>
    <i r="4">
      <x v="6"/>
      <x v="9"/>
      <x v="45"/>
      <x v="61"/>
    </i>
    <i r="6">
      <x v="46"/>
      <x v="60"/>
    </i>
    <i r="3">
      <x v="3"/>
      <x/>
      <x v="8"/>
      <x v="48"/>
      <x v="59"/>
    </i>
    <i r="4">
      <x v="5"/>
      <x v="8"/>
      <x v="49"/>
      <x v="62"/>
    </i>
    <i r="6">
      <x v="50"/>
      <x v="58"/>
    </i>
    <i r="6">
      <x v="51"/>
      <x v="55"/>
    </i>
    <i r="1">
      <x v="13"/>
      <x v="1"/>
      <x v="1"/>
      <x v="6"/>
      <x v="13"/>
      <x v="53"/>
      <x v="118"/>
    </i>
    <i r="3">
      <x v="3"/>
      <x v="5"/>
      <x v="12"/>
      <x v="57"/>
      <x v="116"/>
    </i>
    <i r="6">
      <x v="59"/>
      <x v="114"/>
    </i>
    <i r="2">
      <x v="2"/>
      <x v="3"/>
      <x v="5"/>
      <x v="12"/>
      <x v="56"/>
      <x v="115"/>
    </i>
    <i r="2">
      <x v="3"/>
      <x v="2"/>
      <x/>
      <x v="13"/>
      <x v="55"/>
      <x v="110"/>
    </i>
    <i r="3">
      <x v="3"/>
      <x v="3"/>
      <x v="12"/>
      <x v="54"/>
      <x v="112"/>
    </i>
    <i r="4">
      <x v="5"/>
      <x v="13"/>
      <x v="58"/>
      <x v="111"/>
    </i>
    <i>
      <x v="5"/>
      <x v="3"/>
      <x/>
      <x/>
      <x/>
      <x v="4"/>
      <x v="70"/>
      <x v="14"/>
    </i>
    <i r="4">
      <x v="3"/>
      <x v="4"/>
      <x v="72"/>
      <x v="30"/>
    </i>
    <i r="4">
      <x v="5"/>
      <x v="4"/>
      <x v="71"/>
      <x v="18"/>
    </i>
    <i r="5">
      <x v="6"/>
      <x v="73"/>
      <x v="64"/>
    </i>
    <i r="4">
      <x v="6"/>
      <x v="6"/>
      <x v="74"/>
      <x v="87"/>
    </i>
    <i r="2">
      <x v="1"/>
      <x v="1"/>
      <x v="3"/>
      <x v="4"/>
      <x v="63"/>
      <x v="105"/>
    </i>
    <i r="4">
      <x v="5"/>
      <x v="4"/>
      <x v="61"/>
      <x v="72"/>
    </i>
    <i r="2">
      <x v="2"/>
      <x v="2"/>
      <x/>
      <x v="4"/>
      <x v="22"/>
      <x v="98"/>
    </i>
    <i r="4">
      <x v="3"/>
      <x v="2"/>
      <x v="13"/>
      <x v="67"/>
    </i>
    <i r="6">
      <x v="14"/>
      <x v="66"/>
    </i>
    <i r="5">
      <x v="4"/>
      <x v="8"/>
      <x v="17"/>
    </i>
    <i r="4">
      <x v="5"/>
      <x v="2"/>
      <x v="32"/>
      <x v="40"/>
    </i>
    <i r="3">
      <x v="3"/>
      <x/>
      <x v="3"/>
      <x v="28"/>
      <x v="100"/>
    </i>
    <i r="4">
      <x v="3"/>
      <x v="3"/>
      <x v="11"/>
      <x v="45"/>
    </i>
    <i r="5">
      <x v="5"/>
      <x v="15"/>
      <x v="15"/>
    </i>
    <i r="4">
      <x v="5"/>
      <x/>
      <x v="43"/>
      <x v="86"/>
    </i>
    <i r="2">
      <x v="3"/>
      <x/>
      <x v="5"/>
      <x v="5"/>
      <x v="42"/>
      <x v="108"/>
    </i>
    <i r="3">
      <x v="2"/>
      <x/>
      <x v="3"/>
      <x v="26"/>
      <x/>
    </i>
    <i r="4">
      <x v="5"/>
      <x v="4"/>
      <x v="30"/>
      <x v="32"/>
    </i>
    <i r="6">
      <x v="33"/>
      <x v="89"/>
    </i>
    <i r="5">
      <x v="11"/>
      <x v="40"/>
      <x v="106"/>
    </i>
    <i r="3">
      <x v="3"/>
      <x/>
      <x/>
      <x v="27"/>
      <x v="84"/>
    </i>
    <i r="5">
      <x v="1"/>
      <x v="23"/>
      <x v="19"/>
    </i>
    <i r="5">
      <x v="3"/>
      <x v="21"/>
      <x v="63"/>
    </i>
    <i r="5">
      <x v="4"/>
      <x v="20"/>
      <x v="96"/>
    </i>
    <i r="6">
      <x v="29"/>
      <x v="36"/>
    </i>
    <i r="4">
      <x v="3"/>
      <x/>
      <x v="16"/>
      <x v="31"/>
    </i>
    <i r="5">
      <x v="1"/>
      <x v="12"/>
      <x v="85"/>
    </i>
    <i r="5">
      <x v="2"/>
      <x v="9"/>
      <x v="97"/>
    </i>
    <i r="6">
      <x v="17"/>
      <x v="99"/>
    </i>
    <i r="5">
      <x v="3"/>
      <x v="6"/>
      <x v="74"/>
    </i>
    <i r="6">
      <x v="19"/>
      <x v="42"/>
    </i>
    <i r="4">
      <x v="5"/>
      <x v="1"/>
      <x v="34"/>
      <x v="65"/>
    </i>
    <i r="6">
      <x v="39"/>
      <x v="37"/>
    </i>
    <i r="5">
      <x v="2"/>
      <x v="38"/>
      <x v="34"/>
    </i>
    <i r="5">
      <x v="3"/>
      <x v="31"/>
      <x v="35"/>
    </i>
    <i r="5">
      <x v="4"/>
      <x v="35"/>
      <x v="95"/>
    </i>
    <i r="6">
      <x v="36"/>
      <x v="71"/>
    </i>
    <i r="4">
      <x v="6"/>
      <x v="1"/>
      <x/>
      <x v="33"/>
    </i>
    <i r="6">
      <x v="3"/>
      <x v="16"/>
    </i>
    <i r="5">
      <x v="3"/>
      <x v="5"/>
      <x v="88"/>
    </i>
    <i r="5">
      <x v="5"/>
      <x v="2"/>
      <x v="109"/>
    </i>
    <i r="6">
      <x v="4"/>
      <x v="51"/>
    </i>
    <i r="1">
      <x v="4"/>
      <x v="1"/>
      <x v="1"/>
      <x v="5"/>
      <x v="10"/>
      <x v="44"/>
      <x v="76"/>
    </i>
    <i r="2">
      <x v="3"/>
      <x/>
      <x/>
      <x v="10"/>
      <x v="25"/>
      <x v="46"/>
    </i>
    <i r="4">
      <x v="5"/>
      <x v="10"/>
      <x v="37"/>
      <x v="75"/>
    </i>
    <i r="3">
      <x v="2"/>
      <x v="3"/>
      <x v="10"/>
      <x v="18"/>
      <x v="81"/>
    </i>
    <i r="4">
      <x v="5"/>
      <x v="10"/>
      <x v="41"/>
      <x v="79"/>
    </i>
    <i r="3">
      <x v="3"/>
      <x/>
      <x v="10"/>
      <x v="24"/>
      <x v="83"/>
    </i>
    <i r="4">
      <x v="3"/>
      <x v="10"/>
      <x v="7"/>
      <x v="77"/>
    </i>
    <i r="6">
      <x v="10"/>
      <x v="78"/>
    </i>
    <i r="4">
      <x v="6"/>
      <x v="10"/>
      <x v="1"/>
      <x v="82"/>
    </i>
    <i r="1">
      <x v="10"/>
      <x v="3"/>
      <x v="3"/>
      <x v="2"/>
      <x v="7"/>
      <x v="60"/>
      <x v="68"/>
    </i>
    <i r="1">
      <x v="11"/>
      <x v="1"/>
      <x v="1"/>
      <x/>
      <x v="9"/>
      <x v="64"/>
      <x v="52"/>
    </i>
    <i r="4">
      <x v="3"/>
      <x v="8"/>
      <x v="47"/>
      <x v="57"/>
    </i>
    <i r="5">
      <x v="9"/>
      <x v="65"/>
      <x v="54"/>
    </i>
    <i r="6">
      <x v="66"/>
      <x v="53"/>
    </i>
    <i r="4">
      <x v="5"/>
      <x v="9"/>
      <x v="52"/>
      <x v="56"/>
    </i>
    <i r="4">
      <x v="6"/>
      <x v="9"/>
      <x v="45"/>
      <x v="61"/>
    </i>
    <i r="6">
      <x v="46"/>
      <x v="60"/>
    </i>
    <i r="3">
      <x v="3"/>
      <x/>
      <x v="8"/>
      <x v="48"/>
      <x v="59"/>
    </i>
    <i r="4">
      <x v="5"/>
      <x v="8"/>
      <x v="49"/>
      <x v="62"/>
    </i>
    <i r="6">
      <x v="50"/>
      <x v="58"/>
    </i>
    <i r="6">
      <x v="51"/>
      <x v="55"/>
    </i>
    <i r="1">
      <x v="13"/>
      <x v="1"/>
      <x v="1"/>
      <x v="3"/>
      <x v="13"/>
      <x v="68"/>
      <x v="113"/>
    </i>
    <i r="4">
      <x v="6"/>
      <x v="13"/>
      <x v="53"/>
      <x v="118"/>
    </i>
    <i r="3">
      <x v="3"/>
      <x v="5"/>
      <x v="12"/>
      <x v="57"/>
      <x v="116"/>
    </i>
    <i r="6">
      <x v="59"/>
      <x v="114"/>
    </i>
    <i r="2">
      <x v="2"/>
      <x v="3"/>
      <x v="5"/>
      <x v="12"/>
      <x v="56"/>
      <x v="115"/>
    </i>
    <i r="2">
      <x v="3"/>
      <x v="2"/>
      <x/>
      <x v="13"/>
      <x v="55"/>
      <x v="110"/>
    </i>
    <i r="3">
      <x v="3"/>
      <x v="3"/>
      <x v="12"/>
      <x v="54"/>
      <x v="112"/>
    </i>
    <i r="4">
      <x v="5"/>
      <x v="13"/>
      <x v="58"/>
      <x v="111"/>
    </i>
    <i>
      <x v="6"/>
      <x v="3"/>
      <x/>
      <x/>
      <x/>
      <x v="4"/>
      <x v="70"/>
      <x v="14"/>
    </i>
    <i r="4">
      <x v="3"/>
      <x v="4"/>
      <x v="72"/>
      <x v="30"/>
    </i>
    <i r="4">
      <x v="5"/>
      <x v="4"/>
      <x v="71"/>
      <x v="18"/>
    </i>
    <i r="5">
      <x v="6"/>
      <x v="73"/>
      <x v="64"/>
    </i>
    <i r="4">
      <x v="6"/>
      <x v="6"/>
      <x v="74"/>
      <x v="87"/>
    </i>
    <i r="2">
      <x v="1"/>
      <x v="1"/>
      <x v="3"/>
      <x v="4"/>
      <x v="63"/>
      <x v="105"/>
    </i>
    <i r="4">
      <x v="5"/>
      <x v="4"/>
      <x v="61"/>
      <x v="72"/>
    </i>
    <i r="2">
      <x v="2"/>
      <x v="2"/>
      <x/>
      <x v="4"/>
      <x v="22"/>
      <x v="98"/>
    </i>
    <i r="4">
      <x v="3"/>
      <x v="2"/>
      <x v="13"/>
      <x v="67"/>
    </i>
    <i r="6">
      <x v="14"/>
      <x v="66"/>
    </i>
    <i r="5">
      <x v="4"/>
      <x v="8"/>
      <x v="17"/>
    </i>
    <i r="4">
      <x v="5"/>
      <x v="2"/>
      <x v="32"/>
      <x v="40"/>
    </i>
    <i r="3">
      <x v="3"/>
      <x/>
      <x v="3"/>
      <x v="28"/>
      <x v="100"/>
    </i>
    <i r="4">
      <x v="3"/>
      <x v="3"/>
      <x v="11"/>
      <x v="45"/>
    </i>
    <i r="5">
      <x v="5"/>
      <x v="15"/>
      <x v="15"/>
    </i>
    <i r="4">
      <x v="5"/>
      <x/>
      <x v="43"/>
      <x v="86"/>
    </i>
    <i r="2">
      <x v="3"/>
      <x/>
      <x v="5"/>
      <x v="5"/>
      <x v="42"/>
      <x v="108"/>
    </i>
    <i r="3">
      <x v="2"/>
      <x/>
      <x v="3"/>
      <x v="26"/>
      <x/>
    </i>
    <i r="4">
      <x v="5"/>
      <x v="4"/>
      <x v="30"/>
      <x v="32"/>
    </i>
    <i r="6">
      <x v="33"/>
      <x v="89"/>
    </i>
    <i r="5">
      <x v="11"/>
      <x v="40"/>
      <x v="106"/>
    </i>
    <i r="3">
      <x v="3"/>
      <x/>
      <x/>
      <x v="27"/>
      <x v="84"/>
    </i>
    <i r="5">
      <x v="1"/>
      <x v="23"/>
      <x v="19"/>
    </i>
    <i r="5">
      <x v="3"/>
      <x v="21"/>
      <x v="63"/>
    </i>
    <i r="5">
      <x v="4"/>
      <x v="20"/>
      <x v="96"/>
    </i>
    <i r="6">
      <x v="29"/>
      <x v="36"/>
    </i>
    <i r="4">
      <x v="3"/>
      <x/>
      <x v="16"/>
      <x v="31"/>
    </i>
    <i r="5">
      <x v="1"/>
      <x v="12"/>
      <x v="85"/>
    </i>
    <i r="5">
      <x v="2"/>
      <x v="9"/>
      <x v="97"/>
    </i>
    <i r="6">
      <x v="17"/>
      <x v="99"/>
    </i>
    <i r="5">
      <x v="3"/>
      <x v="6"/>
      <x v="74"/>
    </i>
    <i r="6">
      <x v="19"/>
      <x v="42"/>
    </i>
    <i r="4">
      <x v="5"/>
      <x v="1"/>
      <x v="34"/>
      <x v="65"/>
    </i>
    <i r="6">
      <x v="39"/>
      <x v="37"/>
    </i>
    <i r="5">
      <x v="2"/>
      <x v="38"/>
      <x v="34"/>
    </i>
    <i r="5">
      <x v="3"/>
      <x v="31"/>
      <x v="35"/>
    </i>
    <i r="5">
      <x v="4"/>
      <x v="35"/>
      <x v="95"/>
    </i>
    <i r="6">
      <x v="36"/>
      <x v="71"/>
    </i>
    <i r="4">
      <x v="6"/>
      <x v="1"/>
      <x/>
      <x v="33"/>
    </i>
    <i r="6">
      <x v="3"/>
      <x v="16"/>
    </i>
    <i r="5">
      <x v="3"/>
      <x v="5"/>
      <x v="88"/>
    </i>
    <i r="5">
      <x v="5"/>
      <x v="2"/>
      <x v="109"/>
    </i>
    <i r="6">
      <x v="4"/>
      <x v="51"/>
    </i>
    <i r="1">
      <x v="4"/>
      <x v="1"/>
      <x v="1"/>
      <x v="5"/>
      <x v="10"/>
      <x v="44"/>
      <x v="76"/>
    </i>
    <i r="2">
      <x v="3"/>
      <x/>
      <x/>
      <x v="10"/>
      <x v="25"/>
      <x v="46"/>
    </i>
    <i r="4">
      <x v="5"/>
      <x v="10"/>
      <x v="37"/>
      <x v="75"/>
    </i>
    <i r="3">
      <x v="2"/>
      <x v="3"/>
      <x v="10"/>
      <x v="18"/>
      <x v="81"/>
    </i>
    <i r="4">
      <x v="5"/>
      <x v="10"/>
      <x v="41"/>
      <x v="79"/>
    </i>
    <i r="3">
      <x v="3"/>
      <x/>
      <x v="10"/>
      <x v="24"/>
      <x v="83"/>
    </i>
    <i r="4">
      <x v="3"/>
      <x v="10"/>
      <x v="7"/>
      <x v="77"/>
    </i>
    <i r="6">
      <x v="10"/>
      <x v="78"/>
    </i>
    <i r="4">
      <x v="6"/>
      <x v="10"/>
      <x v="1"/>
      <x v="82"/>
    </i>
    <i r="1">
      <x v="10"/>
      <x v="3"/>
      <x v="3"/>
      <x v="2"/>
      <x v="7"/>
      <x v="60"/>
      <x v="68"/>
    </i>
    <i r="1">
      <x v="11"/>
      <x v="1"/>
      <x v="1"/>
      <x/>
      <x v="9"/>
      <x v="64"/>
      <x v="52"/>
    </i>
    <i r="4">
      <x v="3"/>
      <x v="8"/>
      <x v="47"/>
      <x v="57"/>
    </i>
    <i r="5">
      <x v="9"/>
      <x v="65"/>
      <x v="54"/>
    </i>
    <i r="6">
      <x v="66"/>
      <x v="53"/>
    </i>
    <i r="4">
      <x v="5"/>
      <x v="9"/>
      <x v="52"/>
      <x v="56"/>
    </i>
    <i r="4">
      <x v="6"/>
      <x v="9"/>
      <x v="45"/>
      <x v="61"/>
    </i>
    <i r="6">
      <x v="46"/>
      <x v="60"/>
    </i>
    <i r="3">
      <x v="3"/>
      <x/>
      <x v="8"/>
      <x v="48"/>
      <x v="59"/>
    </i>
    <i r="4">
      <x v="5"/>
      <x v="8"/>
      <x v="49"/>
      <x v="62"/>
    </i>
    <i r="6">
      <x v="50"/>
      <x v="58"/>
    </i>
    <i r="6">
      <x v="51"/>
      <x v="55"/>
    </i>
    <i r="1">
      <x v="13"/>
      <x v="1"/>
      <x v="1"/>
      <x v="3"/>
      <x v="13"/>
      <x v="68"/>
      <x v="113"/>
    </i>
    <i r="4">
      <x v="6"/>
      <x v="13"/>
      <x v="53"/>
      <x v="118"/>
    </i>
    <i r="3">
      <x v="3"/>
      <x v="5"/>
      <x v="12"/>
      <x v="57"/>
      <x v="116"/>
    </i>
    <i r="6">
      <x v="59"/>
      <x v="114"/>
    </i>
    <i r="2">
      <x v="2"/>
      <x v="3"/>
      <x v="5"/>
      <x v="12"/>
      <x v="56"/>
      <x v="115"/>
    </i>
    <i r="2">
      <x v="3"/>
      <x v="2"/>
      <x/>
      <x v="13"/>
      <x v="55"/>
      <x v="110"/>
    </i>
    <i r="3">
      <x v="3"/>
      <x v="3"/>
      <x v="12"/>
      <x v="54"/>
      <x v="112"/>
    </i>
    <i r="4">
      <x v="5"/>
      <x v="13"/>
      <x v="58"/>
      <x v="111"/>
    </i>
    <i>
      <x v="7"/>
      <x v="3"/>
      <x/>
      <x/>
      <x/>
      <x v="4"/>
      <x v="70"/>
      <x v="14"/>
    </i>
    <i r="4">
      <x v="3"/>
      <x v="4"/>
      <x v="72"/>
      <x v="30"/>
    </i>
    <i r="4">
      <x v="5"/>
      <x v="4"/>
      <x v="71"/>
      <x v="18"/>
    </i>
    <i r="5">
      <x v="6"/>
      <x v="73"/>
      <x v="64"/>
    </i>
    <i r="2">
      <x v="1"/>
      <x v="1"/>
      <x v="3"/>
      <x v="4"/>
      <x v="63"/>
      <x v="105"/>
    </i>
    <i r="4">
      <x v="5"/>
      <x v="4"/>
      <x v="61"/>
      <x v="72"/>
    </i>
    <i r="2">
      <x v="2"/>
      <x v="2"/>
      <x/>
      <x v="4"/>
      <x v="22"/>
      <x v="98"/>
    </i>
    <i r="4">
      <x v="3"/>
      <x v="2"/>
      <x v="13"/>
      <x v="67"/>
    </i>
    <i r="6">
      <x v="14"/>
      <x v="66"/>
    </i>
    <i r="5">
      <x v="4"/>
      <x v="8"/>
      <x v="17"/>
    </i>
    <i r="4">
      <x v="5"/>
      <x v="2"/>
      <x v="32"/>
      <x v="40"/>
    </i>
    <i r="3">
      <x v="3"/>
      <x/>
      <x v="3"/>
      <x v="28"/>
      <x v="100"/>
    </i>
    <i r="4">
      <x v="3"/>
      <x v="3"/>
      <x v="11"/>
      <x v="45"/>
    </i>
    <i r="5">
      <x v="5"/>
      <x v="15"/>
      <x v="15"/>
    </i>
    <i r="4">
      <x v="5"/>
      <x/>
      <x v="43"/>
      <x v="86"/>
    </i>
    <i r="2">
      <x v="3"/>
      <x/>
      <x v="5"/>
      <x v="5"/>
      <x v="42"/>
      <x v="108"/>
    </i>
    <i r="3">
      <x v="2"/>
      <x/>
      <x v="3"/>
      <x v="26"/>
      <x/>
    </i>
    <i r="4">
      <x v="5"/>
      <x v="4"/>
      <x v="30"/>
      <x v="32"/>
    </i>
    <i r="6">
      <x v="33"/>
      <x v="89"/>
    </i>
    <i r="5">
      <x v="11"/>
      <x v="40"/>
      <x v="106"/>
    </i>
    <i r="3">
      <x v="3"/>
      <x/>
      <x/>
      <x v="27"/>
      <x v="84"/>
    </i>
    <i r="5">
      <x v="1"/>
      <x v="23"/>
      <x v="19"/>
    </i>
    <i r="5">
      <x v="3"/>
      <x v="21"/>
      <x v="63"/>
    </i>
    <i r="5">
      <x v="4"/>
      <x v="20"/>
      <x v="96"/>
    </i>
    <i r="6">
      <x v="29"/>
      <x v="36"/>
    </i>
    <i r="4">
      <x v="3"/>
      <x/>
      <x v="16"/>
      <x v="31"/>
    </i>
    <i r="5">
      <x v="1"/>
      <x v="12"/>
      <x v="85"/>
    </i>
    <i r="5">
      <x v="2"/>
      <x v="9"/>
      <x v="97"/>
    </i>
    <i r="6">
      <x v="17"/>
      <x v="99"/>
    </i>
    <i r="5">
      <x v="3"/>
      <x v="6"/>
      <x v="74"/>
    </i>
    <i r="6">
      <x v="19"/>
      <x v="42"/>
    </i>
    <i r="4">
      <x v="5"/>
      <x v="1"/>
      <x v="34"/>
      <x v="65"/>
    </i>
    <i r="6">
      <x v="39"/>
      <x v="37"/>
    </i>
    <i r="5">
      <x v="2"/>
      <x v="38"/>
      <x v="34"/>
    </i>
    <i r="5">
      <x v="3"/>
      <x v="31"/>
      <x v="35"/>
    </i>
    <i r="5">
      <x v="4"/>
      <x v="35"/>
      <x v="95"/>
    </i>
    <i r="6">
      <x v="36"/>
      <x v="71"/>
    </i>
    <i r="4">
      <x v="6"/>
      <x v="1"/>
      <x/>
      <x v="33"/>
    </i>
    <i r="6">
      <x v="3"/>
      <x v="16"/>
    </i>
    <i r="5">
      <x v="3"/>
      <x v="5"/>
      <x v="88"/>
    </i>
    <i r="5">
      <x v="5"/>
      <x v="2"/>
      <x v="109"/>
    </i>
    <i r="6">
      <x v="4"/>
      <x v="51"/>
    </i>
    <i r="1">
      <x v="4"/>
      <x v="1"/>
      <x v="1"/>
      <x/>
      <x v="10"/>
      <x v="67"/>
      <x v="80"/>
    </i>
    <i r="4">
      <x v="5"/>
      <x v="10"/>
      <x v="44"/>
      <x v="76"/>
    </i>
    <i r="2">
      <x v="3"/>
      <x/>
      <x/>
      <x v="10"/>
      <x v="25"/>
      <x v="46"/>
    </i>
    <i r="4">
      <x v="5"/>
      <x v="10"/>
      <x v="37"/>
      <x v="75"/>
    </i>
    <i r="3">
      <x v="2"/>
      <x v="3"/>
      <x v="10"/>
      <x v="18"/>
      <x v="81"/>
    </i>
    <i r="4">
      <x v="5"/>
      <x v="10"/>
      <x v="41"/>
      <x v="79"/>
    </i>
    <i r="3">
      <x v="3"/>
      <x/>
      <x v="10"/>
      <x v="24"/>
      <x v="83"/>
    </i>
    <i r="4">
      <x v="3"/>
      <x v="10"/>
      <x v="7"/>
      <x v="77"/>
    </i>
    <i r="6">
      <x v="10"/>
      <x v="78"/>
    </i>
    <i r="4">
      <x v="6"/>
      <x v="10"/>
      <x v="1"/>
      <x v="82"/>
    </i>
    <i r="1">
      <x v="10"/>
      <x v="3"/>
      <x v="3"/>
      <x v="2"/>
      <x v="7"/>
      <x v="60"/>
      <x v="68"/>
    </i>
    <i r="1">
      <x v="11"/>
      <x v="1"/>
      <x v="1"/>
      <x/>
      <x v="9"/>
      <x v="64"/>
      <x v="52"/>
    </i>
    <i r="4">
      <x v="3"/>
      <x v="8"/>
      <x v="47"/>
      <x v="57"/>
    </i>
    <i r="5">
      <x v="9"/>
      <x v="65"/>
      <x v="54"/>
    </i>
    <i r="6">
      <x v="66"/>
      <x v="53"/>
    </i>
    <i r="4">
      <x v="5"/>
      <x v="9"/>
      <x v="52"/>
      <x v="56"/>
    </i>
    <i r="4">
      <x v="6"/>
      <x v="9"/>
      <x v="45"/>
      <x v="61"/>
    </i>
    <i r="6">
      <x v="46"/>
      <x v="60"/>
    </i>
    <i r="3">
      <x v="3"/>
      <x/>
      <x v="8"/>
      <x v="48"/>
      <x v="59"/>
    </i>
    <i r="4">
      <x v="5"/>
      <x v="8"/>
      <x v="49"/>
      <x v="62"/>
    </i>
    <i r="6">
      <x v="50"/>
      <x v="58"/>
    </i>
    <i r="6">
      <x v="51"/>
      <x v="55"/>
    </i>
    <i r="1">
      <x v="13"/>
      <x v="1"/>
      <x v="1"/>
      <x v="3"/>
      <x v="13"/>
      <x v="68"/>
      <x v="113"/>
    </i>
    <i r="4">
      <x v="6"/>
      <x v="13"/>
      <x v="53"/>
      <x v="118"/>
    </i>
    <i r="3">
      <x v="3"/>
      <x v="5"/>
      <x v="12"/>
      <x v="57"/>
      <x v="116"/>
    </i>
    <i r="6">
      <x v="59"/>
      <x v="114"/>
    </i>
    <i r="2">
      <x v="2"/>
      <x v="3"/>
      <x v="5"/>
      <x v="12"/>
      <x v="56"/>
      <x v="115"/>
    </i>
    <i r="2">
      <x v="3"/>
      <x v="2"/>
      <x/>
      <x v="13"/>
      <x v="55"/>
      <x v="110"/>
    </i>
    <i r="3">
      <x v="3"/>
      <x v="3"/>
      <x v="12"/>
      <x v="54"/>
      <x v="112"/>
    </i>
    <i r="4">
      <x v="5"/>
      <x v="13"/>
      <x v="58"/>
      <x v="111"/>
    </i>
    <i>
      <x v="8"/>
      <x v="3"/>
      <x/>
      <x/>
      <x/>
      <x v="4"/>
      <x v="70"/>
      <x v="14"/>
    </i>
    <i r="4">
      <x v="3"/>
      <x v="4"/>
      <x v="72"/>
      <x v="30"/>
    </i>
    <i r="4">
      <x v="5"/>
      <x v="4"/>
      <x v="71"/>
      <x v="18"/>
    </i>
    <i r="5">
      <x v="6"/>
      <x v="73"/>
      <x v="64"/>
    </i>
    <i r="2">
      <x v="1"/>
      <x v="1"/>
      <x v="3"/>
      <x v="4"/>
      <x v="63"/>
      <x v="105"/>
    </i>
    <i r="4">
      <x v="5"/>
      <x v="4"/>
      <x v="61"/>
      <x v="72"/>
    </i>
    <i r="5">
      <x v="11"/>
      <x v="62"/>
      <x v="41"/>
    </i>
    <i r="2">
      <x v="2"/>
      <x v="2"/>
      <x/>
      <x v="4"/>
      <x v="22"/>
      <x v="98"/>
    </i>
    <i r="4">
      <x v="3"/>
      <x v="2"/>
      <x v="13"/>
      <x v="67"/>
    </i>
    <i r="6">
      <x v="14"/>
      <x v="66"/>
    </i>
    <i r="5">
      <x v="4"/>
      <x v="8"/>
      <x v="17"/>
    </i>
    <i r="4">
      <x v="5"/>
      <x v="2"/>
      <x v="32"/>
      <x v="40"/>
    </i>
    <i r="3">
      <x v="3"/>
      <x/>
      <x v="3"/>
      <x v="28"/>
      <x v="100"/>
    </i>
    <i r="4">
      <x v="3"/>
      <x v="3"/>
      <x v="11"/>
      <x v="45"/>
    </i>
    <i r="5">
      <x v="5"/>
      <x v="15"/>
      <x v="15"/>
    </i>
    <i r="4">
      <x v="5"/>
      <x/>
      <x v="43"/>
      <x v="86"/>
    </i>
    <i r="2">
      <x v="3"/>
      <x/>
      <x v="5"/>
      <x v="5"/>
      <x v="42"/>
      <x v="108"/>
    </i>
    <i r="3">
      <x v="2"/>
      <x/>
      <x v="3"/>
      <x v="26"/>
      <x/>
    </i>
    <i r="4">
      <x v="5"/>
      <x v="4"/>
      <x v="30"/>
      <x v="32"/>
    </i>
    <i r="6">
      <x v="33"/>
      <x v="89"/>
    </i>
    <i r="5">
      <x v="11"/>
      <x v="40"/>
      <x v="106"/>
    </i>
    <i r="3">
      <x v="3"/>
      <x/>
      <x/>
      <x v="27"/>
      <x v="84"/>
    </i>
    <i r="5">
      <x v="1"/>
      <x v="23"/>
      <x v="19"/>
    </i>
    <i r="5">
      <x v="3"/>
      <x v="21"/>
      <x v="63"/>
    </i>
    <i r="5">
      <x v="4"/>
      <x v="20"/>
      <x v="96"/>
    </i>
    <i r="6">
      <x v="29"/>
      <x v="36"/>
    </i>
    <i r="4">
      <x v="3"/>
      <x/>
      <x v="16"/>
      <x v="31"/>
    </i>
    <i r="5">
      <x v="1"/>
      <x v="12"/>
      <x v="85"/>
    </i>
    <i r="5">
      <x v="2"/>
      <x v="9"/>
      <x v="97"/>
    </i>
    <i r="6">
      <x v="17"/>
      <x v="99"/>
    </i>
    <i r="5">
      <x v="3"/>
      <x v="6"/>
      <x v="74"/>
    </i>
    <i r="6">
      <x v="19"/>
      <x v="42"/>
    </i>
    <i r="4">
      <x v="5"/>
      <x v="1"/>
      <x v="34"/>
      <x v="65"/>
    </i>
    <i r="6">
      <x v="39"/>
      <x v="37"/>
    </i>
    <i r="5">
      <x v="2"/>
      <x v="38"/>
      <x v="34"/>
    </i>
    <i r="5">
      <x v="3"/>
      <x v="31"/>
      <x v="35"/>
    </i>
    <i r="5">
      <x v="4"/>
      <x v="35"/>
      <x v="95"/>
    </i>
    <i r="6">
      <x v="36"/>
      <x v="71"/>
    </i>
    <i r="4">
      <x v="6"/>
      <x v="1"/>
      <x/>
      <x v="33"/>
    </i>
    <i r="6">
      <x v="3"/>
      <x v="16"/>
    </i>
    <i r="5">
      <x v="3"/>
      <x v="5"/>
      <x v="88"/>
    </i>
    <i r="5">
      <x v="5"/>
      <x v="2"/>
      <x v="109"/>
    </i>
    <i r="6">
      <x v="4"/>
      <x v="51"/>
    </i>
    <i r="1">
      <x v="4"/>
      <x v="1"/>
      <x v="1"/>
      <x/>
      <x v="10"/>
      <x v="67"/>
      <x v="80"/>
    </i>
    <i r="4">
      <x v="5"/>
      <x v="10"/>
      <x v="44"/>
      <x v="76"/>
    </i>
    <i r="2">
      <x v="3"/>
      <x/>
      <x/>
      <x v="10"/>
      <x v="25"/>
      <x v="46"/>
    </i>
    <i r="4">
      <x v="5"/>
      <x v="10"/>
      <x v="37"/>
      <x v="75"/>
    </i>
    <i r="3">
      <x v="2"/>
      <x v="3"/>
      <x v="10"/>
      <x v="18"/>
      <x v="81"/>
    </i>
    <i r="4">
      <x v="5"/>
      <x v="10"/>
      <x v="41"/>
      <x v="79"/>
    </i>
    <i r="3">
      <x v="3"/>
      <x/>
      <x v="10"/>
      <x v="24"/>
      <x v="83"/>
    </i>
    <i r="4">
      <x v="3"/>
      <x v="10"/>
      <x v="7"/>
      <x v="77"/>
    </i>
    <i r="6">
      <x v="10"/>
      <x v="78"/>
    </i>
    <i r="4">
      <x v="6"/>
      <x v="10"/>
      <x v="1"/>
      <x v="82"/>
    </i>
    <i r="1">
      <x v="10"/>
      <x v="3"/>
      <x v="3"/>
      <x v="2"/>
      <x v="7"/>
      <x v="60"/>
      <x v="68"/>
    </i>
    <i r="1">
      <x v="11"/>
      <x v="1"/>
      <x v="1"/>
      <x/>
      <x v="9"/>
      <x v="64"/>
      <x v="52"/>
    </i>
    <i r="4">
      <x v="3"/>
      <x v="8"/>
      <x v="47"/>
      <x v="57"/>
    </i>
    <i r="5">
      <x v="9"/>
      <x v="65"/>
      <x v="54"/>
    </i>
    <i r="6">
      <x v="66"/>
      <x v="53"/>
    </i>
    <i r="4">
      <x v="5"/>
      <x v="9"/>
      <x v="52"/>
      <x v="56"/>
    </i>
    <i r="4">
      <x v="6"/>
      <x v="9"/>
      <x v="45"/>
      <x v="61"/>
    </i>
    <i r="6">
      <x v="46"/>
      <x v="60"/>
    </i>
    <i r="3">
      <x v="3"/>
      <x/>
      <x v="8"/>
      <x v="48"/>
      <x v="59"/>
    </i>
    <i r="4">
      <x v="5"/>
      <x v="8"/>
      <x v="49"/>
      <x v="62"/>
    </i>
    <i r="6">
      <x v="50"/>
      <x v="58"/>
    </i>
    <i r="6">
      <x v="51"/>
      <x v="55"/>
    </i>
    <i r="1">
      <x v="13"/>
      <x v="1"/>
      <x v="1"/>
      <x v="3"/>
      <x v="13"/>
      <x v="68"/>
      <x v="113"/>
    </i>
    <i r="4">
      <x v="6"/>
      <x v="13"/>
      <x v="53"/>
      <x v="118"/>
    </i>
    <i r="6">
      <x v="69"/>
      <x v="117"/>
    </i>
    <i r="3">
      <x v="3"/>
      <x v="5"/>
      <x v="12"/>
      <x v="57"/>
      <x v="116"/>
    </i>
    <i r="6">
      <x v="59"/>
      <x v="114"/>
    </i>
    <i r="2">
      <x v="2"/>
      <x v="3"/>
      <x v="5"/>
      <x v="12"/>
      <x v="56"/>
      <x v="115"/>
    </i>
    <i r="2">
      <x v="3"/>
      <x v="2"/>
      <x/>
      <x v="13"/>
      <x v="55"/>
      <x v="110"/>
    </i>
    <i r="3">
      <x v="3"/>
      <x v="3"/>
      <x v="12"/>
      <x v="54"/>
      <x v="112"/>
    </i>
    <i r="4">
      <x v="5"/>
      <x v="13"/>
      <x v="58"/>
      <x v="111"/>
    </i>
    <i>
      <x v="9"/>
      <x v="3"/>
      <x/>
      <x/>
      <x/>
      <x v="4"/>
      <x v="70"/>
      <x v="14"/>
    </i>
    <i r="4">
      <x v="3"/>
      <x v="4"/>
      <x v="72"/>
      <x v="30"/>
    </i>
    <i r="4">
      <x v="5"/>
      <x v="4"/>
      <x v="71"/>
      <x v="18"/>
    </i>
    <i r="5">
      <x v="6"/>
      <x v="73"/>
      <x v="64"/>
    </i>
    <i r="2">
      <x v="1"/>
      <x v="1"/>
      <x v="3"/>
      <x v="4"/>
      <x v="63"/>
      <x v="105"/>
    </i>
    <i r="4">
      <x v="5"/>
      <x v="4"/>
      <x v="61"/>
      <x v="72"/>
    </i>
    <i r="5">
      <x v="11"/>
      <x v="62"/>
      <x v="41"/>
    </i>
    <i r="2">
      <x v="2"/>
      <x v="2"/>
      <x/>
      <x v="4"/>
      <x v="22"/>
      <x v="98"/>
    </i>
    <i r="4">
      <x v="3"/>
      <x v="2"/>
      <x v="13"/>
      <x v="67"/>
    </i>
    <i r="6">
      <x v="14"/>
      <x v="66"/>
    </i>
    <i r="5">
      <x v="4"/>
      <x v="8"/>
      <x v="17"/>
    </i>
    <i r="4">
      <x v="5"/>
      <x v="2"/>
      <x v="32"/>
      <x v="40"/>
    </i>
    <i r="3">
      <x v="3"/>
      <x/>
      <x v="3"/>
      <x v="28"/>
      <x v="100"/>
    </i>
    <i r="4">
      <x v="3"/>
      <x v="3"/>
      <x v="11"/>
      <x v="45"/>
    </i>
    <i r="5">
      <x v="5"/>
      <x v="15"/>
      <x v="15"/>
    </i>
    <i r="4">
      <x v="5"/>
      <x/>
      <x v="43"/>
      <x v="86"/>
    </i>
    <i r="2">
      <x v="3"/>
      <x/>
      <x v="5"/>
      <x v="5"/>
      <x v="42"/>
      <x v="108"/>
    </i>
    <i r="3">
      <x v="2"/>
      <x/>
      <x v="3"/>
      <x v="26"/>
      <x/>
    </i>
    <i r="4">
      <x v="5"/>
      <x v="4"/>
      <x v="30"/>
      <x v="32"/>
    </i>
    <i r="6">
      <x v="33"/>
      <x v="89"/>
    </i>
    <i r="5">
      <x v="11"/>
      <x v="40"/>
      <x v="106"/>
    </i>
    <i r="3">
      <x v="3"/>
      <x/>
      <x/>
      <x v="27"/>
      <x v="84"/>
    </i>
    <i r="5">
      <x v="1"/>
      <x v="23"/>
      <x v="19"/>
    </i>
    <i r="5">
      <x v="3"/>
      <x v="21"/>
      <x v="63"/>
    </i>
    <i r="5">
      <x v="4"/>
      <x v="20"/>
      <x v="96"/>
    </i>
    <i r="6">
      <x v="29"/>
      <x v="36"/>
    </i>
    <i r="4">
      <x v="3"/>
      <x/>
      <x v="16"/>
      <x v="31"/>
    </i>
    <i r="5">
      <x v="1"/>
      <x v="12"/>
      <x v="85"/>
    </i>
    <i r="5">
      <x v="2"/>
      <x v="9"/>
      <x v="97"/>
    </i>
    <i r="6">
      <x v="17"/>
      <x v="99"/>
    </i>
    <i r="5">
      <x v="3"/>
      <x v="6"/>
      <x v="74"/>
    </i>
    <i r="6">
      <x v="19"/>
      <x v="42"/>
    </i>
    <i r="4">
      <x v="5"/>
      <x v="1"/>
      <x v="34"/>
      <x v="65"/>
    </i>
    <i r="6">
      <x v="39"/>
      <x v="37"/>
    </i>
    <i r="5">
      <x v="2"/>
      <x v="38"/>
      <x v="34"/>
    </i>
    <i r="5">
      <x v="3"/>
      <x v="31"/>
      <x v="35"/>
    </i>
    <i r="5">
      <x v="4"/>
      <x v="35"/>
      <x v="95"/>
    </i>
    <i r="6">
      <x v="36"/>
      <x v="71"/>
    </i>
    <i r="4">
      <x v="6"/>
      <x v="1"/>
      <x/>
      <x v="33"/>
    </i>
    <i r="6">
      <x v="3"/>
      <x v="16"/>
    </i>
    <i r="5">
      <x v="3"/>
      <x v="5"/>
      <x v="88"/>
    </i>
    <i r="5">
      <x v="5"/>
      <x v="2"/>
      <x v="109"/>
    </i>
    <i r="6">
      <x v="4"/>
      <x v="51"/>
    </i>
    <i r="1">
      <x v="4"/>
      <x v="1"/>
      <x v="1"/>
      <x/>
      <x v="10"/>
      <x v="67"/>
      <x v="80"/>
    </i>
    <i r="4">
      <x v="5"/>
      <x v="10"/>
      <x v="44"/>
      <x v="76"/>
    </i>
    <i r="2">
      <x v="3"/>
      <x/>
      <x/>
      <x v="10"/>
      <x v="25"/>
      <x v="46"/>
    </i>
    <i r="4">
      <x v="5"/>
      <x v="10"/>
      <x v="37"/>
      <x v="75"/>
    </i>
    <i r="3">
      <x v="2"/>
      <x v="3"/>
      <x v="10"/>
      <x v="18"/>
      <x v="81"/>
    </i>
    <i r="4">
      <x v="5"/>
      <x v="10"/>
      <x v="41"/>
      <x v="79"/>
    </i>
    <i r="3">
      <x v="3"/>
      <x/>
      <x v="10"/>
      <x v="24"/>
      <x v="83"/>
    </i>
    <i r="4">
      <x v="3"/>
      <x v="10"/>
      <x v="7"/>
      <x v="77"/>
    </i>
    <i r="6">
      <x v="10"/>
      <x v="78"/>
    </i>
    <i r="4">
      <x v="6"/>
      <x v="10"/>
      <x v="1"/>
      <x v="82"/>
    </i>
    <i r="1">
      <x v="10"/>
      <x v="3"/>
      <x v="3"/>
      <x v="2"/>
      <x v="7"/>
      <x v="60"/>
      <x v="68"/>
    </i>
    <i r="1">
      <x v="11"/>
      <x v="1"/>
      <x v="1"/>
      <x/>
      <x v="9"/>
      <x v="64"/>
      <x v="52"/>
    </i>
    <i r="4">
      <x v="3"/>
      <x v="8"/>
      <x v="47"/>
      <x v="57"/>
    </i>
    <i r="5">
      <x v="9"/>
      <x v="65"/>
      <x v="54"/>
    </i>
    <i r="6">
      <x v="66"/>
      <x v="53"/>
    </i>
    <i r="4">
      <x v="5"/>
      <x v="9"/>
      <x v="52"/>
      <x v="56"/>
    </i>
    <i r="4">
      <x v="6"/>
      <x v="9"/>
      <x v="45"/>
      <x v="61"/>
    </i>
    <i r="6">
      <x v="46"/>
      <x v="60"/>
    </i>
    <i r="3">
      <x v="3"/>
      <x/>
      <x v="8"/>
      <x v="48"/>
      <x v="59"/>
    </i>
    <i r="4">
      <x v="5"/>
      <x v="8"/>
      <x v="49"/>
      <x v="62"/>
    </i>
    <i r="6">
      <x v="50"/>
      <x v="58"/>
    </i>
    <i r="6">
      <x v="51"/>
      <x v="55"/>
    </i>
    <i r="1">
      <x v="13"/>
      <x v="1"/>
      <x v="1"/>
      <x v="3"/>
      <x v="13"/>
      <x v="68"/>
      <x v="113"/>
    </i>
    <i r="4">
      <x v="6"/>
      <x v="13"/>
      <x v="53"/>
      <x v="118"/>
    </i>
    <i r="6">
      <x v="69"/>
      <x v="117"/>
    </i>
    <i r="3">
      <x v="3"/>
      <x v="5"/>
      <x v="12"/>
      <x v="57"/>
      <x v="116"/>
    </i>
    <i r="6">
      <x v="59"/>
      <x v="114"/>
    </i>
    <i r="2">
      <x v="2"/>
      <x v="3"/>
      <x v="5"/>
      <x v="12"/>
      <x v="56"/>
      <x v="115"/>
    </i>
    <i r="2">
      <x v="3"/>
      <x v="2"/>
      <x/>
      <x v="13"/>
      <x v="55"/>
      <x v="110"/>
    </i>
    <i r="3">
      <x v="3"/>
      <x v="3"/>
      <x v="12"/>
      <x v="54"/>
      <x v="112"/>
    </i>
    <i r="4">
      <x v="5"/>
      <x v="13"/>
      <x v="58"/>
      <x v="111"/>
    </i>
    <i>
      <x v="10"/>
      <x v="3"/>
      <x/>
      <x/>
      <x/>
      <x v="4"/>
      <x v="70"/>
      <x v="14"/>
    </i>
    <i r="4">
      <x v="3"/>
      <x v="4"/>
      <x v="72"/>
      <x v="30"/>
    </i>
    <i r="4">
      <x v="5"/>
      <x v="4"/>
      <x v="71"/>
      <x v="18"/>
    </i>
    <i r="5">
      <x v="6"/>
      <x v="73"/>
      <x v="64"/>
    </i>
    <i r="2">
      <x v="1"/>
      <x v="1"/>
      <x v="3"/>
      <x v="4"/>
      <x v="63"/>
      <x v="105"/>
    </i>
    <i r="4">
      <x v="5"/>
      <x v="4"/>
      <x v="61"/>
      <x v="72"/>
    </i>
    <i r="5">
      <x v="11"/>
      <x v="62"/>
      <x v="41"/>
    </i>
    <i r="2">
      <x v="2"/>
      <x v="2"/>
      <x/>
      <x v="4"/>
      <x v="22"/>
      <x v="98"/>
    </i>
    <i r="4">
      <x v="3"/>
      <x v="2"/>
      <x v="13"/>
      <x v="67"/>
    </i>
    <i r="6">
      <x v="14"/>
      <x v="66"/>
    </i>
    <i r="5">
      <x v="4"/>
      <x v="8"/>
      <x v="17"/>
    </i>
    <i r="4">
      <x v="5"/>
      <x v="2"/>
      <x v="32"/>
      <x v="40"/>
    </i>
    <i r="3">
      <x v="3"/>
      <x/>
      <x v="3"/>
      <x v="28"/>
      <x v="100"/>
    </i>
    <i r="4">
      <x v="3"/>
      <x v="3"/>
      <x v="11"/>
      <x v="45"/>
    </i>
    <i r="5">
      <x v="5"/>
      <x v="15"/>
      <x v="15"/>
    </i>
    <i r="4">
      <x v="5"/>
      <x/>
      <x v="43"/>
      <x v="86"/>
    </i>
    <i r="2">
      <x v="3"/>
      <x/>
      <x v="5"/>
      <x v="5"/>
      <x v="42"/>
      <x v="108"/>
    </i>
    <i r="3">
      <x v="2"/>
      <x/>
      <x v="3"/>
      <x v="26"/>
      <x/>
    </i>
    <i r="4">
      <x v="5"/>
      <x v="4"/>
      <x v="30"/>
      <x v="32"/>
    </i>
    <i r="6">
      <x v="33"/>
      <x v="89"/>
    </i>
    <i r="5">
      <x v="11"/>
      <x v="40"/>
      <x v="106"/>
    </i>
    <i r="3">
      <x v="3"/>
      <x/>
      <x/>
      <x v="27"/>
      <x v="84"/>
    </i>
    <i r="5">
      <x v="1"/>
      <x v="23"/>
      <x v="19"/>
    </i>
    <i r="5">
      <x v="3"/>
      <x v="21"/>
      <x v="63"/>
    </i>
    <i r="5">
      <x v="4"/>
      <x v="20"/>
      <x v="96"/>
    </i>
    <i r="6">
      <x v="29"/>
      <x v="36"/>
    </i>
    <i r="4">
      <x v="3"/>
      <x/>
      <x v="16"/>
      <x v="31"/>
    </i>
    <i r="5">
      <x v="1"/>
      <x v="12"/>
      <x v="85"/>
    </i>
    <i r="5">
      <x v="2"/>
      <x v="9"/>
      <x v="97"/>
    </i>
    <i r="6">
      <x v="17"/>
      <x v="99"/>
    </i>
    <i r="5">
      <x v="3"/>
      <x v="6"/>
      <x v="74"/>
    </i>
    <i r="6">
      <x v="19"/>
      <x v="42"/>
    </i>
    <i r="4">
      <x v="5"/>
      <x v="1"/>
      <x v="34"/>
      <x v="65"/>
    </i>
    <i r="6">
      <x v="39"/>
      <x v="37"/>
    </i>
    <i r="5">
      <x v="2"/>
      <x v="38"/>
      <x v="34"/>
    </i>
    <i r="5">
      <x v="3"/>
      <x v="31"/>
      <x v="35"/>
    </i>
    <i r="5">
      <x v="4"/>
      <x v="35"/>
      <x v="95"/>
    </i>
    <i r="6">
      <x v="36"/>
      <x v="71"/>
    </i>
    <i r="4">
      <x v="6"/>
      <x v="1"/>
      <x/>
      <x v="33"/>
    </i>
    <i r="6">
      <x v="3"/>
      <x v="16"/>
    </i>
    <i r="5">
      <x v="3"/>
      <x v="5"/>
      <x v="88"/>
    </i>
    <i r="5">
      <x v="5"/>
      <x v="2"/>
      <x v="109"/>
    </i>
    <i r="6">
      <x v="4"/>
      <x v="51"/>
    </i>
    <i r="1">
      <x v="4"/>
      <x v="1"/>
      <x v="1"/>
      <x/>
      <x v="10"/>
      <x v="67"/>
      <x v="80"/>
    </i>
    <i r="4">
      <x v="5"/>
      <x v="10"/>
      <x v="44"/>
      <x v="76"/>
    </i>
    <i r="2">
      <x v="3"/>
      <x/>
      <x/>
      <x v="10"/>
      <x v="25"/>
      <x v="46"/>
    </i>
    <i r="4">
      <x v="5"/>
      <x v="10"/>
      <x v="37"/>
      <x v="75"/>
    </i>
    <i r="3">
      <x v="2"/>
      <x v="3"/>
      <x v="10"/>
      <x v="18"/>
      <x v="81"/>
    </i>
    <i r="4">
      <x v="5"/>
      <x v="10"/>
      <x v="41"/>
      <x v="79"/>
    </i>
    <i r="3">
      <x v="3"/>
      <x/>
      <x v="10"/>
      <x v="24"/>
      <x v="83"/>
    </i>
    <i r="4">
      <x v="3"/>
      <x v="10"/>
      <x v="7"/>
      <x v="77"/>
    </i>
    <i r="6">
      <x v="10"/>
      <x v="78"/>
    </i>
    <i r="4">
      <x v="6"/>
      <x v="10"/>
      <x v="1"/>
      <x v="82"/>
    </i>
    <i r="1">
      <x v="10"/>
      <x v="3"/>
      <x v="3"/>
      <x v="2"/>
      <x v="7"/>
      <x v="60"/>
      <x v="68"/>
    </i>
    <i r="1">
      <x v="11"/>
      <x v="1"/>
      <x v="1"/>
      <x/>
      <x v="9"/>
      <x v="64"/>
      <x v="52"/>
    </i>
    <i r="4">
      <x v="3"/>
      <x v="8"/>
      <x v="47"/>
      <x v="57"/>
    </i>
    <i r="5">
      <x v="9"/>
      <x v="65"/>
      <x v="54"/>
    </i>
    <i r="6">
      <x v="66"/>
      <x v="53"/>
    </i>
    <i r="4">
      <x v="5"/>
      <x v="9"/>
      <x v="52"/>
      <x v="56"/>
    </i>
    <i r="4">
      <x v="6"/>
      <x v="9"/>
      <x v="45"/>
      <x v="61"/>
    </i>
    <i r="6">
      <x v="46"/>
      <x v="60"/>
    </i>
    <i r="3">
      <x v="3"/>
      <x/>
      <x v="8"/>
      <x v="48"/>
      <x v="59"/>
    </i>
    <i r="4">
      <x v="5"/>
      <x v="8"/>
      <x v="49"/>
      <x v="62"/>
    </i>
    <i r="6">
      <x v="50"/>
      <x v="58"/>
    </i>
    <i r="6">
      <x v="51"/>
      <x v="55"/>
    </i>
    <i r="1">
      <x v="13"/>
      <x v="1"/>
      <x v="1"/>
      <x v="3"/>
      <x v="13"/>
      <x v="68"/>
      <x v="113"/>
    </i>
    <i r="4">
      <x v="6"/>
      <x v="13"/>
      <x v="53"/>
      <x v="118"/>
    </i>
    <i r="6">
      <x v="69"/>
      <x v="117"/>
    </i>
    <i r="3">
      <x v="3"/>
      <x v="5"/>
      <x v="12"/>
      <x v="57"/>
      <x v="116"/>
    </i>
    <i r="6">
      <x v="59"/>
      <x v="114"/>
    </i>
    <i r="2">
      <x v="2"/>
      <x v="3"/>
      <x v="5"/>
      <x v="12"/>
      <x v="56"/>
      <x v="115"/>
    </i>
    <i r="2">
      <x v="3"/>
      <x v="2"/>
      <x/>
      <x v="13"/>
      <x v="55"/>
      <x v="110"/>
    </i>
    <i r="3">
      <x v="3"/>
      <x v="3"/>
      <x v="12"/>
      <x v="54"/>
      <x v="112"/>
    </i>
    <i r="4">
      <x v="5"/>
      <x v="13"/>
      <x v="58"/>
      <x v="111"/>
    </i>
    <i>
      <x v="11"/>
      <x v="3"/>
      <x/>
      <x/>
      <x/>
      <x v="4"/>
      <x v="70"/>
      <x v="14"/>
    </i>
    <i r="4">
      <x v="3"/>
      <x v="4"/>
      <x v="72"/>
      <x v="30"/>
    </i>
    <i r="4">
      <x v="5"/>
      <x v="4"/>
      <x v="71"/>
      <x v="18"/>
    </i>
    <i r="5">
      <x v="6"/>
      <x v="73"/>
      <x v="64"/>
    </i>
    <i r="2">
      <x v="1"/>
      <x v="1"/>
      <x v="3"/>
      <x v="4"/>
      <x v="63"/>
      <x v="105"/>
    </i>
    <i r="4">
      <x v="5"/>
      <x v="4"/>
      <x v="61"/>
      <x v="72"/>
    </i>
    <i r="5">
      <x v="11"/>
      <x v="62"/>
      <x v="41"/>
    </i>
    <i r="2">
      <x v="2"/>
      <x v="2"/>
      <x/>
      <x v="4"/>
      <x v="22"/>
      <x v="98"/>
    </i>
    <i r="4">
      <x v="3"/>
      <x v="2"/>
      <x v="13"/>
      <x v="67"/>
    </i>
    <i r="6">
      <x v="14"/>
      <x v="66"/>
    </i>
    <i r="5">
      <x v="4"/>
      <x v="8"/>
      <x v="17"/>
    </i>
    <i r="4">
      <x v="5"/>
      <x v="2"/>
      <x v="32"/>
      <x v="40"/>
    </i>
    <i r="3">
      <x v="3"/>
      <x/>
      <x v="3"/>
      <x v="28"/>
      <x v="100"/>
    </i>
    <i r="4">
      <x v="3"/>
      <x v="3"/>
      <x v="11"/>
      <x v="45"/>
    </i>
    <i r="5">
      <x v="5"/>
      <x v="15"/>
      <x v="15"/>
    </i>
    <i r="4">
      <x v="5"/>
      <x/>
      <x v="43"/>
      <x v="86"/>
    </i>
    <i r="2">
      <x v="3"/>
      <x/>
      <x v="5"/>
      <x v="5"/>
      <x v="42"/>
      <x v="108"/>
    </i>
    <i r="3">
      <x v="2"/>
      <x/>
      <x v="3"/>
      <x v="26"/>
      <x/>
    </i>
    <i r="4">
      <x v="5"/>
      <x v="4"/>
      <x v="30"/>
      <x v="32"/>
    </i>
    <i r="6">
      <x v="33"/>
      <x v="89"/>
    </i>
    <i r="5">
      <x v="11"/>
      <x v="40"/>
      <x v="106"/>
    </i>
    <i r="3">
      <x v="3"/>
      <x/>
      <x/>
      <x v="27"/>
      <x v="84"/>
    </i>
    <i r="5">
      <x v="1"/>
      <x v="23"/>
      <x v="19"/>
    </i>
    <i r="5">
      <x v="3"/>
      <x v="21"/>
      <x v="63"/>
    </i>
    <i r="5">
      <x v="4"/>
      <x v="20"/>
      <x v="96"/>
    </i>
    <i r="6">
      <x v="29"/>
      <x v="36"/>
    </i>
    <i r="4">
      <x v="3"/>
      <x/>
      <x v="16"/>
      <x v="31"/>
    </i>
    <i r="5">
      <x v="1"/>
      <x v="12"/>
      <x v="85"/>
    </i>
    <i r="5">
      <x v="2"/>
      <x v="9"/>
      <x v="97"/>
    </i>
    <i r="6">
      <x v="17"/>
      <x v="99"/>
    </i>
    <i r="5">
      <x v="3"/>
      <x v="6"/>
      <x v="74"/>
    </i>
    <i r="6">
      <x v="19"/>
      <x v="42"/>
    </i>
    <i r="4">
      <x v="5"/>
      <x v="1"/>
      <x v="34"/>
      <x v="65"/>
    </i>
    <i r="6">
      <x v="39"/>
      <x v="37"/>
    </i>
    <i r="5">
      <x v="2"/>
      <x v="38"/>
      <x v="34"/>
    </i>
    <i r="5">
      <x v="3"/>
      <x v="31"/>
      <x v="35"/>
    </i>
    <i r="5">
      <x v="4"/>
      <x v="35"/>
      <x v="95"/>
    </i>
    <i r="6">
      <x v="36"/>
      <x v="71"/>
    </i>
    <i r="4">
      <x v="6"/>
      <x v="1"/>
      <x/>
      <x v="33"/>
    </i>
    <i r="6">
      <x v="3"/>
      <x v="16"/>
    </i>
    <i r="5">
      <x v="3"/>
      <x v="5"/>
      <x v="88"/>
    </i>
    <i r="5">
      <x v="5"/>
      <x v="2"/>
      <x v="109"/>
    </i>
    <i r="6">
      <x v="4"/>
      <x v="51"/>
    </i>
    <i r="1">
      <x v="4"/>
      <x v="1"/>
      <x v="1"/>
      <x/>
      <x v="10"/>
      <x v="67"/>
      <x v="80"/>
    </i>
    <i r="4">
      <x v="5"/>
      <x v="10"/>
      <x v="44"/>
      <x v="76"/>
    </i>
    <i r="2">
      <x v="3"/>
      <x/>
      <x/>
      <x v="10"/>
      <x v="25"/>
      <x v="46"/>
    </i>
    <i r="4">
      <x v="5"/>
      <x v="10"/>
      <x v="37"/>
      <x v="75"/>
    </i>
    <i r="3">
      <x v="2"/>
      <x v="3"/>
      <x v="10"/>
      <x v="18"/>
      <x v="81"/>
    </i>
    <i r="4">
      <x v="5"/>
      <x v="10"/>
      <x v="41"/>
      <x v="79"/>
    </i>
    <i r="3">
      <x v="3"/>
      <x/>
      <x v="10"/>
      <x v="24"/>
      <x v="83"/>
    </i>
    <i r="4">
      <x v="3"/>
      <x v="10"/>
      <x v="7"/>
      <x v="77"/>
    </i>
    <i r="6">
      <x v="10"/>
      <x v="78"/>
    </i>
    <i r="4">
      <x v="6"/>
      <x v="10"/>
      <x v="1"/>
      <x v="82"/>
    </i>
    <i r="1">
      <x v="10"/>
      <x v="3"/>
      <x v="3"/>
      <x v="2"/>
      <x v="7"/>
      <x v="60"/>
      <x v="68"/>
    </i>
    <i r="1">
      <x v="11"/>
      <x v="1"/>
      <x v="1"/>
      <x/>
      <x v="9"/>
      <x v="64"/>
      <x v="52"/>
    </i>
    <i r="4">
      <x v="3"/>
      <x v="8"/>
      <x v="47"/>
      <x v="57"/>
    </i>
    <i r="5">
      <x v="9"/>
      <x v="65"/>
      <x v="54"/>
    </i>
    <i r="6">
      <x v="66"/>
      <x v="53"/>
    </i>
    <i r="4">
      <x v="5"/>
      <x v="9"/>
      <x v="52"/>
      <x v="56"/>
    </i>
    <i r="4">
      <x v="6"/>
      <x v="9"/>
      <x v="45"/>
      <x v="61"/>
    </i>
    <i r="6">
      <x v="46"/>
      <x v="60"/>
    </i>
    <i r="3">
      <x v="3"/>
      <x/>
      <x v="8"/>
      <x v="48"/>
      <x v="59"/>
    </i>
    <i r="4">
      <x v="5"/>
      <x v="8"/>
      <x v="49"/>
      <x v="62"/>
    </i>
    <i r="6">
      <x v="50"/>
      <x v="58"/>
    </i>
    <i r="6">
      <x v="51"/>
      <x v="55"/>
    </i>
    <i r="1">
      <x v="13"/>
      <x v="1"/>
      <x v="1"/>
      <x v="3"/>
      <x v="13"/>
      <x v="68"/>
      <x v="113"/>
    </i>
    <i r="4">
      <x v="6"/>
      <x v="13"/>
      <x v="53"/>
      <x v="118"/>
    </i>
    <i r="6">
      <x v="69"/>
      <x v="117"/>
    </i>
    <i r="3">
      <x v="3"/>
      <x v="5"/>
      <x v="12"/>
      <x v="57"/>
      <x v="116"/>
    </i>
    <i r="6">
      <x v="59"/>
      <x v="114"/>
    </i>
    <i r="2">
      <x v="2"/>
      <x v="3"/>
      <x v="5"/>
      <x v="12"/>
      <x v="56"/>
      <x v="115"/>
    </i>
    <i r="2">
      <x v="3"/>
      <x v="2"/>
      <x/>
      <x v="13"/>
      <x v="55"/>
      <x v="110"/>
    </i>
    <i r="3">
      <x v="3"/>
      <x v="3"/>
      <x v="12"/>
      <x v="54"/>
      <x v="112"/>
    </i>
    <i r="4">
      <x v="5"/>
      <x v="13"/>
      <x v="58"/>
      <x v="1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2021 $us" fld="11" baseField="0" baseItem="0"/>
    <dataField name="Suma de 2022 Venta $us" fld="17" baseField="0" baseItem="0"/>
  </dataFields>
  <formats count="14">
    <format dxfId="104">
      <pivotArea collapsedLevelsAreSubtotals="1" fieldPosition="0">
        <references count="1">
          <reference field="1" count="1">
            <x v="41"/>
          </reference>
        </references>
      </pivotArea>
    </format>
    <format dxfId="103">
      <pivotArea dataOnly="0" labelOnly="1" fieldPosition="0">
        <references count="1">
          <reference field="1" count="1">
            <x v="41"/>
          </reference>
        </references>
      </pivotArea>
    </format>
    <format dxfId="102">
      <pivotArea collapsedLevelsAreSubtotals="1" fieldPosition="0">
        <references count="1">
          <reference field="1" count="2">
            <x v="69"/>
            <x v="70"/>
          </reference>
        </references>
      </pivotArea>
    </format>
    <format dxfId="101">
      <pivotArea dataOnly="0" labelOnly="1" fieldPosition="0">
        <references count="1">
          <reference field="1" count="2">
            <x v="69"/>
            <x v="70"/>
          </reference>
        </references>
      </pivotArea>
    </format>
    <format dxfId="100">
      <pivotArea collapsedLevelsAreSubtotals="1" fieldPosition="0">
        <references count="1">
          <reference field="1" count="1">
            <x v="72"/>
          </reference>
        </references>
      </pivotArea>
    </format>
    <format dxfId="99">
      <pivotArea dataOnly="0" labelOnly="1" fieldPosition="0">
        <references count="1">
          <reference field="1" count="1">
            <x v="72"/>
          </reference>
        </references>
      </pivotArea>
    </format>
    <format dxfId="98">
      <pivotArea collapsedLevelsAreSubtotals="1" fieldPosition="0">
        <references count="1">
          <reference field="1" count="1">
            <x v="80"/>
          </reference>
        </references>
      </pivotArea>
    </format>
    <format dxfId="97">
      <pivotArea dataOnly="0" labelOnly="1" fieldPosition="0">
        <references count="1">
          <reference field="1" count="1">
            <x v="80"/>
          </reference>
        </references>
      </pivotArea>
    </format>
    <format dxfId="96">
      <pivotArea collapsedLevelsAreSubtotals="1" fieldPosition="0">
        <references count="1">
          <reference field="1" count="1">
            <x v="87"/>
          </reference>
        </references>
      </pivotArea>
    </format>
    <format dxfId="95">
      <pivotArea dataOnly="0" labelOnly="1" fieldPosition="0">
        <references count="1">
          <reference field="1" count="1">
            <x v="87"/>
          </reference>
        </references>
      </pivotArea>
    </format>
    <format dxfId="94">
      <pivotArea collapsedLevelsAreSubtotals="1" fieldPosition="0">
        <references count="1">
          <reference field="1" count="1">
            <x v="113"/>
          </reference>
        </references>
      </pivotArea>
    </format>
    <format dxfId="93">
      <pivotArea dataOnly="0" labelOnly="1" fieldPosition="0">
        <references count="1">
          <reference field="1" count="1">
            <x v="113"/>
          </reference>
        </references>
      </pivotArea>
    </format>
    <format dxfId="92">
      <pivotArea collapsedLevelsAreSubtotals="1" fieldPosition="0">
        <references count="1">
          <reference field="1" count="1">
            <x v="117"/>
          </reference>
        </references>
      </pivotArea>
    </format>
    <format dxfId="91">
      <pivotArea dataOnly="0" labelOnly="1" fieldPosition="0">
        <references count="1">
          <reference field="1" count="1">
            <x v="1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24920-B50E-4D6E-8D92-D7AE234967BE}" name="TablaDinámica111" cacheId="201" applyNumberFormats="0" applyBorderFormats="0" applyFontFormats="0" applyPatternFormats="0" applyAlignmentFormats="0" applyWidthHeightFormats="1" dataCaption="Valores" errorCaption="0" showError="1" updatedVersion="8" minRefreshableVersion="3" itemPrintTitles="1" createdVersion="6" indent="0" compact="0" compactData="0" multipleFieldFilters="0">
  <location ref="A5:AC6" firstHeaderRow="0" firstDataRow="1" firstDataCol="3" rowPageCount="3" colPageCount="1"/>
  <pivotFields count="38">
    <pivotField axis="axisRow" compact="0" outline="0" showAll="0">
      <items count="15">
        <item h="1" x="0"/>
        <item h="1" x="1"/>
        <item h="1" x="4"/>
        <item h="1" x="3"/>
        <item h="1" x="2"/>
        <item h="1" m="1" x="11"/>
        <item m="1" x="9"/>
        <item m="1" x="13"/>
        <item n="FRANQUICIAS UA" m="1" x="7"/>
        <item m="1" x="10"/>
        <item m="1" x="8"/>
        <item h="1" m="1" x="5"/>
        <item h="1" m="1" x="6"/>
        <item h="1" m="1" x="12"/>
        <item t="default"/>
      </items>
    </pivotField>
    <pivotField axis="axisRow" compact="0" outline="0" showAll="0">
      <items count="122">
        <item sd="0" x="0"/>
        <item sd="0" m="1" x="78"/>
        <item sd="0" m="1" x="85"/>
        <item sd="0" m="1" x="95"/>
        <item sd="0" m="1" x="79"/>
        <item sd="0" m="1" x="116"/>
        <item sd="0" m="1" x="120"/>
        <item sd="0" m="1" x="93"/>
        <item sd="0" m="1" x="92"/>
        <item sd="0" m="1" x="103"/>
        <item sd="0" m="1" x="108"/>
        <item sd="0" m="1" x="82"/>
        <item sd="0" m="1" x="86"/>
        <item sd="0" x="1"/>
        <item sd="0" x="2"/>
        <item sd="0" x="3"/>
        <item sd="0" x="4"/>
        <item sd="0" x="5"/>
        <item sd="0" x="6"/>
        <item sd="0" m="1" x="105"/>
        <item sd="0" m="1" x="106"/>
        <item sd="0" m="1" x="112"/>
        <item sd="0" m="1" x="80"/>
        <item sd="0" m="1" x="83"/>
        <item sd="0" m="1" x="98"/>
        <item sd="0" m="1" x="89"/>
        <item sd="0" m="1" x="97"/>
        <item sd="0" m="1" x="101"/>
        <item sd="0" m="1" x="91"/>
        <item sd="0" x="7"/>
        <item sd="0" x="8"/>
        <item sd="0" x="9"/>
        <item sd="0" x="10"/>
        <item sd="0" x="11"/>
        <item sd="0" x="12"/>
        <item sd="0" x="13"/>
        <item sd="0" x="14"/>
        <item sd="0" m="1" x="87"/>
        <item sd="0" m="1" x="96"/>
        <item sd="0" x="15"/>
        <item sd="0" x="16"/>
        <item sd="0" x="17"/>
        <item sd="0" m="1" x="117"/>
        <item sd="0" m="1" x="110"/>
        <item sd="0" x="18"/>
        <item sd="0" x="44"/>
        <item sd="0" m="1" x="115"/>
        <item sd="0" m="1" x="88"/>
        <item sd="0" m="1" x="114"/>
        <item sd="0" m="1" x="109"/>
        <item sd="0" x="19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20"/>
        <item sd="0" x="21"/>
        <item sd="0" x="22"/>
        <item sd="0" x="23"/>
        <item sd="0" x="24"/>
        <item sd="0" x="54"/>
        <item sd="0" x="55"/>
        <item sd="0" x="56"/>
        <item sd="0" x="25"/>
        <item sd="0" x="26"/>
        <item sd="0" m="1" x="119"/>
        <item sd="0" x="27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28"/>
        <item sd="0" x="29"/>
        <item sd="0" x="30"/>
        <item sd="0" x="31"/>
        <item sd="0" x="32"/>
        <item sd="0" x="33"/>
        <item sd="0" m="1" x="99"/>
        <item sd="0" m="1" x="94"/>
        <item sd="0" m="1" x="113"/>
        <item sd="0" m="1" x="107"/>
        <item sd="0" m="1" x="102"/>
        <item sd="0" x="34"/>
        <item sd="0" x="35"/>
        <item sd="0" x="36"/>
        <item sd="0" x="37"/>
        <item sd="0" x="38"/>
        <item sd="0" x="39"/>
        <item sd="0" m="1" x="81"/>
        <item sd="0" m="1" x="118"/>
        <item sd="0" m="1" x="104"/>
        <item sd="0" m="1" x="77"/>
        <item sd="0" x="40"/>
        <item sd="0" x="41"/>
        <item sd="0" m="1" x="84"/>
        <item sd="0" x="42"/>
        <item sd="0" x="43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m="1" x="100"/>
        <item sd="0" m="1" x="90"/>
        <item sd="0" m="1" x="111"/>
        <item t="default" sd="0"/>
      </items>
    </pivotField>
    <pivotField compact="0" outline="0" showAll="0" defaultSubtotal="0"/>
    <pivotField axis="axisPage" compact="0" outline="0" multipleItemSelectionAllowed="1" showAll="0" defaultSubtotal="0">
      <items count="4">
        <item h="1" x="1"/>
        <item x="3"/>
        <item x="2"/>
        <item x="0"/>
      </items>
    </pivotField>
    <pivotField axis="axisPage" compact="0" outline="0" multipleItemSelectionAllowed="1" showAll="0" defaultSubtotal="0">
      <items count="4">
        <item x="1"/>
        <item x="3"/>
        <item x="0"/>
        <item x="2"/>
      </items>
    </pivotField>
    <pivotField compact="0" outline="0" subtotalTop="0" showAll="0" defaultSubtotal="0"/>
    <pivotField axis="axisRow" compact="0" outline="0" showAll="0" defaultSubtotal="0">
      <items count="7">
        <item x="0"/>
        <item h="1" m="1" x="5"/>
        <item x="4"/>
        <item x="1"/>
        <item h="1" m="1" x="6"/>
        <item x="3"/>
        <item x="2"/>
      </items>
    </pivotField>
    <pivotField compact="0" outline="0" showAll="0" defaultSubtotal="0"/>
    <pivotField axis="axisPage" compact="0" outline="0" multipleItemSelectionAllowed="1" showAll="0" defaultSubtotal="0">
      <items count="12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sd="0" x="10"/>
        <item h="1" sd="0" x="11"/>
      </items>
    </pivotField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outline="0" showAll="0" defaultSubtotal="0"/>
    <pivotField dataField="1" compact="0" outline="0" showAll="0" defaultSubtotal="0"/>
    <pivotField dataField="1" compact="0" numFmtId="164" outline="0" showAll="0" defaultSubtotal="0"/>
    <pivotField dataField="1" compact="0" outlin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3">
    <field x="0"/>
    <field x="6"/>
    <field x="1"/>
  </rowFields>
  <rowItems count="1">
    <i t="grand">
      <x/>
    </i>
  </rowItems>
  <colFields count="1">
    <field x="-2"/>
  </colFields>
  <colItems count="2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</colItems>
  <pageFields count="3">
    <pageField fld="3" hier="-1"/>
    <pageField fld="4" hier="-1"/>
    <pageField fld="8" hier="-1"/>
  </pageFields>
  <dataFields count="26">
    <dataField name="2019 Real $us" fld="9" baseField="0" baseItem="0" numFmtId="164"/>
    <dataField name="2021 Real $us" fld="11" baseField="0" baseItem="0" numFmtId="164"/>
    <dataField name="Ppto 2022 V1" fld="13" baseField="0" baseItem="0" numFmtId="164"/>
    <dataField name="Ppto 2022 V2" fld="15" baseField="0" baseItem="0" numFmtId="164"/>
    <dataField name="2022 Real $us" fld="17" baseField="0" baseItem="0" numFmtId="164"/>
    <dataField name="2022 Mejorado $us" fld="19" baseField="0" baseItem="0" numFmtId="164"/>
    <dataField name="Ppto 2023 $us" fld="21" baseField="0" baseItem="0" numFmtId="164"/>
    <dataField name="% Cump 22 Vs V2" fld="23" baseField="0" baseItem="0" numFmtId="165"/>
    <dataField name="% Cump 22 Mej vs v2" fld="24" baseField="0" baseItem="0" numFmtId="165"/>
    <dataField name="Crec 22 vs 21" fld="25" baseField="0" baseItem="0" numFmtId="165"/>
    <dataField name="Crec 23Vs 22 Mej" fld="26" baseField="0" baseItem="0" numFmtId="165"/>
    <dataField name="2019 Ut $us" fld="10" baseField="0" baseItem="0" numFmtId="164"/>
    <dataField name="2021 Ut $us" fld="12" baseField="0" baseItem="0" numFmtId="164"/>
    <dataField name="Ppto Ut V2 $us" fld="16" baseField="0" baseItem="0" numFmtId="164"/>
    <dataField name="2022 Ut Real $us" fld="18" baseField="0" baseItem="0" numFmtId="164"/>
    <dataField name="2022 Mejorado Ut $us" fld="20" baseField="0" baseItem="0" numFmtId="164"/>
    <dataField name="Ppto 2023 Ut" fld="22" baseField="0" baseItem="0" numFmtId="164"/>
    <dataField name="% Cump 22Ut Vs V2" fld="27" baseField="0" baseItem="0" numFmtId="9"/>
    <dataField name="%Cump 22Ut Mej Vs V2" fld="28" baseField="0" baseItem="0" numFmtId="9"/>
    <dataField name="Crec 22 Vs Ut" fld="29" baseField="0" baseItem="0" numFmtId="165"/>
    <dataField name="Crec 23 Vs 22 Mej" fld="30" baseField="0" baseItem="0" numFmtId="165"/>
    <dataField name="Margen 2021" fld="31" baseField="0" baseItem="0" numFmtId="165"/>
    <dataField name="Ppto Margen V2" fld="32" baseField="0" baseItem="0" numFmtId="165"/>
    <dataField name="2022 Margen Real" fld="33" baseField="0" baseItem="0" numFmtId="165"/>
    <dataField name="2022 Margen Mej" fld="34" baseField="0" baseItem="0" numFmtId="165"/>
    <dataField name="Ppto 2023 Margen" fld="35" baseField="0" baseItem="0" numFmtId="165"/>
  </dataFields>
  <formats count="91">
    <format dxfId="90">
      <pivotArea collapsedLevelsAreSubtotals="1" fieldPosition="0">
        <references count="1">
          <reference field="0" count="1">
            <x v="0"/>
          </reference>
        </references>
      </pivotArea>
    </format>
    <format dxfId="89">
      <pivotArea collapsedLevelsAreSubtotals="1" fieldPosition="0">
        <references count="1">
          <reference field="0" count="1">
            <x v="1"/>
          </reference>
        </references>
      </pivotArea>
    </format>
    <format dxfId="88">
      <pivotArea collapsedLevelsAreSubtotals="1" fieldPosition="0">
        <references count="1">
          <reference field="0" count="1">
            <x v="2"/>
          </reference>
        </references>
      </pivotArea>
    </format>
    <format dxfId="87">
      <pivotArea collapsedLevelsAreSubtotals="1" fieldPosition="0">
        <references count="1">
          <reference field="0" count="1">
            <x v="3"/>
          </reference>
        </references>
      </pivotArea>
    </format>
    <format dxfId="86">
      <pivotArea collapsedLevelsAreSubtotals="1" fieldPosition="0">
        <references count="1">
          <reference field="0" count="1">
            <x v="4"/>
          </reference>
        </references>
      </pivotArea>
    </format>
    <format dxfId="85">
      <pivotArea collapsedLevelsAreSubtotals="1" fieldPosition="0">
        <references count="1">
          <reference field="0" count="1">
            <x v="6"/>
          </reference>
        </references>
      </pivotArea>
    </format>
    <format dxfId="84">
      <pivotArea collapsedLevelsAreSubtotals="1" fieldPosition="0">
        <references count="1">
          <reference field="0" count="1">
            <x v="7"/>
          </reference>
        </references>
      </pivotArea>
    </format>
    <format dxfId="83">
      <pivotArea collapsedLevelsAreSubtotals="1" fieldPosition="0">
        <references count="1">
          <reference field="0" count="1">
            <x v="8"/>
          </reference>
        </references>
      </pivotArea>
    </format>
    <format dxfId="82">
      <pivotArea collapsedLevelsAreSubtotals="1" fieldPosition="0">
        <references count="1">
          <reference field="0" count="1">
            <x v="9"/>
          </reference>
        </references>
      </pivotArea>
    </format>
    <format dxfId="81">
      <pivotArea collapsedLevelsAreSubtotals="1" fieldPosition="0">
        <references count="1">
          <reference field="0" count="1">
            <x v="10"/>
          </reference>
        </references>
      </pivotArea>
    </format>
    <format dxfId="80">
      <pivotArea collapsedLevelsAreSubtotals="1" fieldPosition="0">
        <references count="1">
          <reference field="0" count="1">
            <x v="11"/>
          </reference>
        </references>
      </pivotArea>
    </format>
    <format dxfId="79">
      <pivotArea collapsedLevelsAreSubtotals="1" fieldPosition="0">
        <references count="1">
          <reference field="0" count="1">
            <x v="12"/>
          </reference>
        </references>
      </pivotArea>
    </format>
    <format dxfId="78">
      <pivotArea collapsedLevelsAreSubtotals="1" fieldPosition="0">
        <references count="1">
          <reference field="0" count="1">
            <x v="5"/>
          </reference>
        </references>
      </pivotArea>
    </format>
    <format dxfId="77">
      <pivotArea collapsedLevelsAreSubtotals="1" fieldPosition="0">
        <references count="1">
          <reference field="0" count="1">
            <x v="13"/>
          </reference>
        </references>
      </pivotArea>
    </format>
    <format dxfId="76">
      <pivotArea dataOnly="0" labelOnly="1" fieldPosition="0">
        <references count="1">
          <reference field="0" count="0"/>
        </references>
      </pivotArea>
    </format>
    <format dxfId="75">
      <pivotArea field="0" type="button" dataOnly="0" labelOnly="1" outline="0" axis="axisRow" fieldPosition="0"/>
    </format>
    <format dxfId="74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73">
      <pivotArea field="0" type="button" dataOnly="0" labelOnly="1" outline="0" axis="axisRow" fieldPosition="0"/>
    </format>
    <format dxfId="72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71">
      <pivotArea field="0" type="button" dataOnly="0" labelOnly="1" outline="0" axis="axisRow" fieldPosition="0"/>
    </format>
    <format dxfId="70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60">
      <pivotArea grandRow="1" outline="0" collapsedLevelsAreSubtotals="1" fieldPosition="0"/>
    </format>
    <format dxfId="5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7">
      <pivotArea outline="0" collapsedLevelsAreSubtotals="1" fieldPosition="0">
        <references count="1">
          <reference field="4294967294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46">
      <pivotArea dataOnly="0" labelOnly="1" outline="0" fieldPosition="0">
        <references count="1">
          <reference field="4294967294" count="6">
            <x v="11"/>
            <x v="12"/>
            <x v="13"/>
            <x v="14"/>
            <x v="15"/>
            <x v="16"/>
          </reference>
        </references>
      </pivotArea>
    </format>
    <format dxfId="45">
      <pivotArea dataOnly="0" labelOnly="1" outline="0" fieldPosition="0">
        <references count="1">
          <reference field="4294967294" count="6">
            <x v="11"/>
            <x v="12"/>
            <x v="13"/>
            <x v="14"/>
            <x v="15"/>
            <x v="16"/>
          </reference>
        </references>
      </pivotArea>
    </format>
    <format dxfId="44">
      <pivotArea dataOnly="0" labelOnly="1" outline="0" fieldPosition="0">
        <references count="1">
          <reference field="4294967294" count="6">
            <x v="11"/>
            <x v="12"/>
            <x v="13"/>
            <x v="14"/>
            <x v="15"/>
            <x v="16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17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17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18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18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18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18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20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20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20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23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23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23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14">
      <pivotArea outline="0" collapsedLevelsAreSubtotals="1" fieldPosition="0">
        <references count="1">
          <reference field="4294967294" count="6" selected="0">
            <x v="11"/>
            <x v="12"/>
            <x v="13"/>
            <x v="14"/>
            <x v="15"/>
            <x v="16"/>
          </reference>
        </references>
      </pivotArea>
    </format>
    <format dxfId="13">
      <pivotArea outline="0" collapsedLevelsAreSubtotals="1" fieldPosition="0">
        <references count="1">
          <reference field="4294967294" count="4" selected="0">
            <x v="7"/>
            <x v="8"/>
            <x v="9"/>
            <x v="10"/>
          </reference>
        </references>
      </pivotArea>
    </format>
    <format dxfId="12">
      <pivotArea outline="0" collapsedLevelsAreSubtotals="1" fieldPosition="0">
        <references count="1">
          <reference field="4294967294" count="7" selected="0">
            <x v="19"/>
            <x v="20"/>
            <x v="21"/>
            <x v="22"/>
            <x v="23"/>
            <x v="24"/>
            <x v="25"/>
          </reference>
        </references>
      </pivotArea>
    </format>
    <format dxfId="11">
      <pivotArea dataOnly="0" labelOnly="1" outline="0" fieldPosition="0">
        <references count="1">
          <reference field="4294967294" count="5">
            <x v="3"/>
            <x v="4"/>
            <x v="5"/>
            <x v="6"/>
            <x v="7"/>
          </reference>
        </references>
      </pivotArea>
    </format>
    <format dxfId="10">
      <pivotArea dataOnly="0" labelOnly="1" outline="0" fieldPosition="0">
        <references count="1">
          <reference field="4294967294" count="5">
            <x v="13"/>
            <x v="14"/>
            <x v="15"/>
            <x v="16"/>
            <x v="17"/>
          </reference>
        </references>
      </pivotArea>
    </format>
    <format dxfId="9">
      <pivotArea dataOnly="0" labelOnly="1" outline="0" fieldPosition="0">
        <references count="1">
          <reference field="4294967294" count="2">
            <x v="22"/>
            <x v="23"/>
          </reference>
        </references>
      </pivotArea>
    </format>
    <format dxfId="8">
      <pivotArea dataOnly="0" labelOnly="1" outline="0" fieldPosition="0">
        <references count="1">
          <reference field="4294967294" count="5">
            <x v="13"/>
            <x v="14"/>
            <x v="15"/>
            <x v="16"/>
            <x v="17"/>
          </reference>
        </references>
      </pivotArea>
    </format>
    <format dxfId="7">
      <pivotArea field="0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field="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field="0" grandRow="1" outline="0" collapsedLevelsAreSubtotals="1" axis="axisRow" fieldPosition="0">
        <references count="1">
          <reference field="4294967294" count="24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2">
      <pivotArea dataOnly="0" labelOnly="1" grandRow="1" outline="0" fieldPosition="0"/>
    </format>
    <format dxfId="1">
      <pivotArea field="0" grandRow="1" outline="0" collapsedLevelsAreSubtotals="1" axis="axisRow" fieldPosition="0">
        <references count="1">
          <reference field="4294967294" count="24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0">
      <pivotArea dataOnly="0" labelOnly="1" grandRow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16-E891-464C-8B88-136B29973441}">
  <sheetPr filterMode="1"/>
  <dimension ref="A1:AO875"/>
  <sheetViews>
    <sheetView topLeftCell="P1" zoomScale="70" zoomScaleNormal="70" workbookViewId="0">
      <selection activeCell="Z114" sqref="Z114:AA114"/>
    </sheetView>
  </sheetViews>
  <sheetFormatPr baseColWidth="10" defaultRowHeight="14.4" x14ac:dyDescent="0.3"/>
  <cols>
    <col min="1" max="1" width="4.5546875" customWidth="1"/>
    <col min="2" max="2" width="5" customWidth="1"/>
    <col min="3" max="3" width="10.44140625" customWidth="1"/>
    <col min="4" max="4" width="42.21875" bestFit="1" customWidth="1"/>
    <col min="5" max="5" width="14.88671875" bestFit="1" customWidth="1"/>
    <col min="6" max="7" width="12" customWidth="1"/>
    <col min="8" max="8" width="14.109375" customWidth="1"/>
    <col min="9" max="9" width="14" customWidth="1"/>
    <col min="10" max="10" width="10.44140625" bestFit="1" customWidth="1"/>
    <col min="11" max="11" width="5.6640625" customWidth="1"/>
    <col min="12" max="12" width="19.6640625" bestFit="1" customWidth="1"/>
    <col min="13" max="13" width="18.109375" bestFit="1" customWidth="1"/>
    <col min="14" max="14" width="19.6640625" bestFit="1" customWidth="1"/>
    <col min="15" max="15" width="18.109375" bestFit="1" customWidth="1"/>
    <col min="16" max="19" width="21.33203125" bestFit="1" customWidth="1"/>
    <col min="20" max="20" width="22.77734375" bestFit="1" customWidth="1"/>
    <col min="21" max="21" width="23.109375" bestFit="1" customWidth="1"/>
    <col min="22" max="22" width="22.77734375" style="6" bestFit="1" customWidth="1"/>
    <col min="23" max="23" width="23.109375" style="6" bestFit="1" customWidth="1"/>
    <col min="24" max="24" width="22.77734375" style="6" bestFit="1" customWidth="1"/>
    <col min="25" max="25" width="23.109375" style="6" bestFit="1" customWidth="1"/>
    <col min="26" max="27" width="23.109375" style="6" customWidth="1"/>
    <col min="28" max="29" width="17.88671875" bestFit="1" customWidth="1"/>
    <col min="30" max="30" width="18.33203125" bestFit="1" customWidth="1"/>
    <col min="31" max="32" width="20.33203125" bestFit="1" customWidth="1"/>
    <col min="33" max="33" width="18.33203125" bestFit="1" customWidth="1"/>
    <col min="34" max="34" width="22.5546875" bestFit="1" customWidth="1"/>
    <col min="35" max="37" width="19.5546875" bestFit="1" customWidth="1"/>
    <col min="38" max="38" width="21.33203125" bestFit="1" customWidth="1"/>
    <col min="39" max="39" width="22.33203125" bestFit="1" customWidth="1"/>
    <col min="40" max="40" width="19.5546875" bestFit="1" customWidth="1"/>
    <col min="41" max="41" width="19.5546875" customWidth="1"/>
  </cols>
  <sheetData>
    <row r="1" spans="1:41" x14ac:dyDescent="0.3">
      <c r="Z1" s="6">
        <v>6</v>
      </c>
      <c r="AA1" s="6">
        <v>7</v>
      </c>
      <c r="AH1" s="6">
        <v>6</v>
      </c>
    </row>
    <row r="2" spans="1:41" x14ac:dyDescent="0.3">
      <c r="L2" s="6">
        <f t="shared" ref="L2:AA2" si="0">SUBTOTAL(9,L4:L875)</f>
        <v>489750.04999999987</v>
      </c>
      <c r="M2" s="6">
        <f t="shared" si="0"/>
        <v>224971.48999999996</v>
      </c>
      <c r="N2" s="6">
        <f t="shared" si="0"/>
        <v>334308.47999999998</v>
      </c>
      <c r="O2" s="6">
        <f t="shared" si="0"/>
        <v>142189.5</v>
      </c>
      <c r="P2" s="6">
        <f t="shared" si="0"/>
        <v>4250</v>
      </c>
      <c r="Q2" s="6">
        <f t="shared" si="0"/>
        <v>166248.68223333327</v>
      </c>
      <c r="R2" s="6">
        <f t="shared" si="0"/>
        <v>280738.82699246967</v>
      </c>
      <c r="S2" s="6">
        <f t="shared" si="0"/>
        <v>127471.41475234929</v>
      </c>
      <c r="T2" s="6">
        <f t="shared" si="0"/>
        <v>317412.93609195406</v>
      </c>
      <c r="U2" s="6">
        <f t="shared" si="0"/>
        <v>144920.51853449849</v>
      </c>
      <c r="V2" s="6">
        <f t="shared" si="0"/>
        <v>338971.55273333337</v>
      </c>
      <c r="W2" s="6">
        <f t="shared" si="0"/>
        <v>151970.00331124745</v>
      </c>
      <c r="X2" s="6">
        <f t="shared" si="0"/>
        <v>366657.83387951367</v>
      </c>
      <c r="Y2" s="6">
        <f t="shared" si="0"/>
        <v>171219.7592740907</v>
      </c>
      <c r="Z2" s="6">
        <f t="shared" si="0"/>
        <v>81131.247126436836</v>
      </c>
      <c r="AA2" s="6">
        <f t="shared" si="0"/>
        <v>39796.189513426682</v>
      </c>
      <c r="AI2" s="6">
        <f t="shared" ref="AI2:AM2" si="1">SUBTOTAL(9,AI4:AI875)</f>
        <v>249083.84000000008</v>
      </c>
      <c r="AJ2" s="6">
        <f t="shared" si="1"/>
        <v>143465.02622129727</v>
      </c>
      <c r="AK2" s="6">
        <f t="shared" si="1"/>
        <v>161543.06515203021</v>
      </c>
      <c r="AL2" s="6">
        <f t="shared" si="1"/>
        <v>143961.351618085</v>
      </c>
      <c r="AM2" s="6">
        <f t="shared" si="1"/>
        <v>166084.88812386527</v>
      </c>
      <c r="AN2" s="6">
        <f>SUBTOTAL(9,AN4:AN875)</f>
        <v>217892.96182573761</v>
      </c>
      <c r="AO2" s="6"/>
    </row>
    <row r="3" spans="1:41" s="4" customFormat="1" ht="45" customHeight="1" x14ac:dyDescent="0.3">
      <c r="B3"/>
      <c r="C3" s="3" t="s">
        <v>77</v>
      </c>
      <c r="D3" s="3" t="s">
        <v>107</v>
      </c>
      <c r="E3" s="3" t="s">
        <v>106</v>
      </c>
      <c r="F3" s="3" t="s">
        <v>117</v>
      </c>
      <c r="G3" s="3" t="s">
        <v>118</v>
      </c>
      <c r="H3" s="3" t="s">
        <v>294</v>
      </c>
      <c r="I3" s="3" t="s">
        <v>123</v>
      </c>
      <c r="J3" s="3" t="s">
        <v>128</v>
      </c>
      <c r="K3" s="3" t="s">
        <v>78</v>
      </c>
      <c r="L3" s="5" t="s">
        <v>96</v>
      </c>
      <c r="M3" s="5" t="s">
        <v>97</v>
      </c>
      <c r="N3" s="5" t="s">
        <v>98</v>
      </c>
      <c r="O3" s="5" t="s">
        <v>99</v>
      </c>
      <c r="P3" s="5" t="s">
        <v>141</v>
      </c>
      <c r="Q3" s="5" t="s">
        <v>142</v>
      </c>
      <c r="R3" s="5" t="s">
        <v>100</v>
      </c>
      <c r="S3" s="5" t="s">
        <v>101</v>
      </c>
      <c r="T3" s="29" t="s">
        <v>102</v>
      </c>
      <c r="U3" s="29" t="s">
        <v>103</v>
      </c>
      <c r="V3" s="5" t="s">
        <v>104</v>
      </c>
      <c r="W3" s="5" t="s">
        <v>105</v>
      </c>
      <c r="X3" s="54" t="s">
        <v>143</v>
      </c>
      <c r="Y3" s="54" t="s">
        <v>144</v>
      </c>
      <c r="Z3" s="54" t="s">
        <v>290</v>
      </c>
      <c r="AA3" s="54" t="s">
        <v>291</v>
      </c>
      <c r="AB3" s="35" t="s">
        <v>184</v>
      </c>
      <c r="AC3" s="35" t="s">
        <v>185</v>
      </c>
      <c r="AD3" s="35" t="s">
        <v>186</v>
      </c>
      <c r="AE3" s="35" t="s">
        <v>187</v>
      </c>
      <c r="AF3" s="35" t="s">
        <v>188</v>
      </c>
      <c r="AG3" s="35" t="s">
        <v>189</v>
      </c>
      <c r="AH3" s="35" t="s">
        <v>292</v>
      </c>
      <c r="AI3" s="36" t="s">
        <v>190</v>
      </c>
      <c r="AJ3" s="36" t="s">
        <v>191</v>
      </c>
      <c r="AK3" s="36" t="s">
        <v>192</v>
      </c>
      <c r="AL3" s="36" t="s">
        <v>193</v>
      </c>
      <c r="AM3" s="36" t="s">
        <v>194</v>
      </c>
      <c r="AN3" s="36" t="s">
        <v>195</v>
      </c>
      <c r="AO3" s="36" t="s">
        <v>293</v>
      </c>
    </row>
    <row r="4" spans="1:41" hidden="1" x14ac:dyDescent="0.3">
      <c r="A4" t="str">
        <f>CONCATENATE(E4,K4)</f>
        <v>308ene</v>
      </c>
      <c r="B4" t="str">
        <f>CONCATENATE(D4,K4)</f>
        <v>25 DE MAYOene</v>
      </c>
      <c r="C4" s="1" t="s">
        <v>79</v>
      </c>
      <c r="D4" s="1" t="s">
        <v>0</v>
      </c>
      <c r="E4" s="1">
        <v>308</v>
      </c>
      <c r="F4" s="1" t="s">
        <v>119</v>
      </c>
      <c r="G4" s="1" t="s">
        <v>120</v>
      </c>
      <c r="H4" s="1" t="s">
        <v>119</v>
      </c>
      <c r="I4" s="1" t="s">
        <v>124</v>
      </c>
      <c r="J4" s="1" t="s">
        <v>134</v>
      </c>
      <c r="K4" t="s">
        <v>80</v>
      </c>
      <c r="L4" s="6">
        <v>42955.039999999994</v>
      </c>
      <c r="M4" s="6">
        <v>19907.949999999993</v>
      </c>
      <c r="N4" s="6">
        <v>31088.38</v>
      </c>
      <c r="O4" s="6">
        <v>14610.57</v>
      </c>
      <c r="P4" s="6">
        <v>30852.023449999993</v>
      </c>
      <c r="Q4" s="6">
        <v>14174.414224249995</v>
      </c>
      <c r="R4" s="6">
        <v>29710.119999999984</v>
      </c>
      <c r="S4" s="6">
        <v>14274.668044149916</v>
      </c>
      <c r="T4" s="6">
        <v>29710.119999999988</v>
      </c>
      <c r="U4" s="6">
        <v>14240.129999999986</v>
      </c>
      <c r="V4" s="30">
        <v>30852.023449999993</v>
      </c>
      <c r="W4" s="30">
        <v>14787.446994190806</v>
      </c>
      <c r="X4" s="30">
        <v>31777.584153499993</v>
      </c>
      <c r="Y4" s="30">
        <v>16939.04215027922</v>
      </c>
      <c r="Z4" s="30">
        <v>22044.252873563219</v>
      </c>
      <c r="AA4" s="30">
        <v>12330.549795420464</v>
      </c>
      <c r="AB4" s="34">
        <v>0.52821228894211236</v>
      </c>
      <c r="AC4" s="34">
        <v>0.53667286619630905</v>
      </c>
      <c r="AD4" s="34">
        <v>0.62325553475248108</v>
      </c>
      <c r="AE4" s="34">
        <v>0.62325553475248086</v>
      </c>
      <c r="AF4" s="34">
        <v>0.62325553475248086</v>
      </c>
      <c r="AG4" s="34">
        <v>0.88</v>
      </c>
      <c r="AH4" s="34">
        <v>0.96951012852934282</v>
      </c>
      <c r="AI4" s="37">
        <f>L4*AB4</f>
        <v>22689.37999999999</v>
      </c>
      <c r="AJ4" s="37">
        <f>N4*AC4</f>
        <v>16684.290000000012</v>
      </c>
      <c r="AK4" s="37">
        <f>T4*AD4</f>
        <v>18516.996728160375</v>
      </c>
      <c r="AL4" s="37">
        <f>R4*AE4</f>
        <v>18516.996728160368</v>
      </c>
      <c r="AM4" s="37">
        <f>V4*AF4</f>
        <v>19228.694373525825</v>
      </c>
      <c r="AN4" s="37">
        <f>X4*AG4</f>
        <v>27964.274055079994</v>
      </c>
      <c r="AO4" s="37">
        <f>Z4*AH4</f>
        <v>21372.126436781611</v>
      </c>
    </row>
    <row r="5" spans="1:41" hidden="1" x14ac:dyDescent="0.3">
      <c r="A5" t="str">
        <f t="shared" ref="A5:A68" si="2">CONCATENATE(E5,K5)</f>
        <v>308feb</v>
      </c>
      <c r="B5" t="str">
        <f t="shared" ref="B5:B68" si="3">CONCATENATE(D5,K5)</f>
        <v>25 DE MAYOfeb</v>
      </c>
      <c r="C5" s="1" t="s">
        <v>79</v>
      </c>
      <c r="D5" s="1" t="s">
        <v>0</v>
      </c>
      <c r="E5" s="1">
        <v>308</v>
      </c>
      <c r="F5" s="1" t="s">
        <v>119</v>
      </c>
      <c r="G5" s="1" t="s">
        <v>120</v>
      </c>
      <c r="H5" s="1" t="s">
        <v>119</v>
      </c>
      <c r="I5" s="1" t="s">
        <v>124</v>
      </c>
      <c r="J5" s="1" t="s">
        <v>134</v>
      </c>
      <c r="K5" t="s">
        <v>81</v>
      </c>
      <c r="L5" s="6">
        <v>90018.040000000008</v>
      </c>
      <c r="M5" s="6">
        <v>32560.039999999997</v>
      </c>
      <c r="N5" s="6">
        <v>39484.17</v>
      </c>
      <c r="O5" s="6">
        <v>17280.600000000002</v>
      </c>
      <c r="P5" s="6">
        <v>64245.472499999996</v>
      </c>
      <c r="Q5" s="6">
        <v>26779.705492500001</v>
      </c>
      <c r="R5" s="6">
        <v>44781.109999999971</v>
      </c>
      <c r="S5" s="6">
        <v>17227.462036415582</v>
      </c>
      <c r="T5" s="6">
        <v>44781.109999999971</v>
      </c>
      <c r="U5" s="6">
        <v>16870.859999999971</v>
      </c>
      <c r="V5" s="30">
        <v>64245.472499999996</v>
      </c>
      <c r="W5" s="30">
        <v>24203.874628863574</v>
      </c>
      <c r="X5" s="30">
        <v>66172.836674999999</v>
      </c>
      <c r="Y5" s="30">
        <v>28733.35576996451</v>
      </c>
      <c r="Z5" s="30">
        <v>33130.747126436785</v>
      </c>
      <c r="AA5" s="30">
        <v>14615.708620180907</v>
      </c>
      <c r="AB5" s="34">
        <v>0.2564126035181396</v>
      </c>
      <c r="AC5" s="34">
        <v>0.37470159584457097</v>
      </c>
      <c r="AD5" s="34">
        <v>0.21089445085011396</v>
      </c>
      <c r="AE5" s="34">
        <v>0.21089445085011377</v>
      </c>
      <c r="AF5" s="34">
        <v>0.21089445085011377</v>
      </c>
      <c r="AG5" s="34">
        <v>0.4</v>
      </c>
      <c r="AH5" s="34">
        <v>0.37338999956632996</v>
      </c>
      <c r="AI5" s="37">
        <f t="shared" ref="AI5:AI68" si="4">L5*AB5</f>
        <v>23081.760000000035</v>
      </c>
      <c r="AJ5" s="37">
        <f t="shared" ref="AJ5:AJ68" si="5">N5*AC5</f>
        <v>14794.781509598333</v>
      </c>
      <c r="AK5" s="37">
        <f t="shared" ref="AK5:AK68" si="6">T5*AD5</f>
        <v>9444.0876019085408</v>
      </c>
      <c r="AL5" s="37">
        <f t="shared" ref="AL5:AL68" si="7">R5*AE5</f>
        <v>9444.0876019085317</v>
      </c>
      <c r="AM5" s="37">
        <f t="shared" ref="AM5:AM68" si="8">V5*AF5</f>
        <v>13549.013642493584</v>
      </c>
      <c r="AN5" s="37">
        <f t="shared" ref="AN5:AN68" si="9">X5*AG5</f>
        <v>26469.134669999999</v>
      </c>
      <c r="AO5" s="37">
        <f t="shared" ref="AO5:AO68" si="10">Z5*AH5</f>
        <v>12370.689655172418</v>
      </c>
    </row>
    <row r="6" spans="1:41" hidden="1" x14ac:dyDescent="0.3">
      <c r="A6" t="str">
        <f t="shared" si="2"/>
        <v>308mar</v>
      </c>
      <c r="B6" t="str">
        <f t="shared" si="3"/>
        <v>25 DE MAYOmar</v>
      </c>
      <c r="C6" s="1" t="s">
        <v>79</v>
      </c>
      <c r="D6" s="1" t="s">
        <v>0</v>
      </c>
      <c r="E6" s="1">
        <v>308</v>
      </c>
      <c r="F6" s="1" t="s">
        <v>119</v>
      </c>
      <c r="G6" s="1" t="s">
        <v>120</v>
      </c>
      <c r="H6" s="1" t="s">
        <v>119</v>
      </c>
      <c r="I6" s="1" t="s">
        <v>124</v>
      </c>
      <c r="J6" s="1" t="s">
        <v>134</v>
      </c>
      <c r="K6" t="s">
        <v>82</v>
      </c>
      <c r="L6" s="6">
        <v>60093.210000000006</v>
      </c>
      <c r="M6" s="6">
        <v>26330.62</v>
      </c>
      <c r="N6" s="6">
        <v>65997.010000000009</v>
      </c>
      <c r="O6" s="6">
        <v>28602.400000000005</v>
      </c>
      <c r="P6" s="6">
        <v>35337</v>
      </c>
      <c r="Q6" s="6">
        <v>15503</v>
      </c>
      <c r="R6" s="6">
        <v>34632.55999999999</v>
      </c>
      <c r="S6" s="6">
        <v>16077.440333410232</v>
      </c>
      <c r="T6" s="6">
        <v>34632.559999999998</v>
      </c>
      <c r="U6" s="6">
        <v>15937.730000000007</v>
      </c>
      <c r="V6" s="30">
        <v>34632.559999999976</v>
      </c>
      <c r="W6" s="30">
        <v>15937.729999999996</v>
      </c>
      <c r="X6" s="30">
        <v>35671.53679999998</v>
      </c>
      <c r="Y6" s="30">
        <v>18794.367843849956</v>
      </c>
      <c r="Z6" s="30">
        <v>37331.084609485551</v>
      </c>
      <c r="AA6" s="30">
        <v>18889.528812399691</v>
      </c>
      <c r="AB6" s="34">
        <v>0.36529434856284154</v>
      </c>
      <c r="AC6" s="34">
        <v>0.3135218293567355</v>
      </c>
      <c r="AD6" s="34">
        <v>0.45472068306660079</v>
      </c>
      <c r="AE6" s="34">
        <v>0.45472068306660068</v>
      </c>
      <c r="AF6" s="34">
        <v>0.45472068306660068</v>
      </c>
      <c r="AG6" s="34">
        <v>0.85</v>
      </c>
      <c r="AH6" s="34">
        <v>0.69803493449781628</v>
      </c>
      <c r="AI6" s="37">
        <f t="shared" si="4"/>
        <v>21951.710000000036</v>
      </c>
      <c r="AJ6" s="37">
        <f t="shared" si="5"/>
        <v>20691.503307274768</v>
      </c>
      <c r="AK6" s="37">
        <f t="shared" si="6"/>
        <v>15748.141339545034</v>
      </c>
      <c r="AL6" s="37">
        <f t="shared" si="7"/>
        <v>15748.141339545027</v>
      </c>
      <c r="AM6" s="37">
        <f t="shared" si="8"/>
        <v>15748.141339545022</v>
      </c>
      <c r="AN6" s="37">
        <f t="shared" si="9"/>
        <v>30320.806279999983</v>
      </c>
      <c r="AO6" s="37">
        <f t="shared" si="10"/>
        <v>26058.401200114684</v>
      </c>
    </row>
    <row r="7" spans="1:41" hidden="1" x14ac:dyDescent="0.3">
      <c r="A7" t="str">
        <f t="shared" si="2"/>
        <v>308abr</v>
      </c>
      <c r="B7" t="str">
        <f t="shared" si="3"/>
        <v>25 DE MAYOabr</v>
      </c>
      <c r="C7" s="1" t="s">
        <v>79</v>
      </c>
      <c r="D7" s="1" t="s">
        <v>0</v>
      </c>
      <c r="E7" s="1">
        <v>308</v>
      </c>
      <c r="F7" s="1" t="s">
        <v>119</v>
      </c>
      <c r="G7" s="1" t="s">
        <v>120</v>
      </c>
      <c r="H7" s="1" t="s">
        <v>119</v>
      </c>
      <c r="I7" s="1" t="s">
        <v>124</v>
      </c>
      <c r="J7" s="1" t="s">
        <v>134</v>
      </c>
      <c r="K7" t="s">
        <v>83</v>
      </c>
      <c r="L7" s="6">
        <v>36283.32</v>
      </c>
      <c r="M7" s="6">
        <v>17837.670000000002</v>
      </c>
      <c r="N7" s="6">
        <v>31016.370000000003</v>
      </c>
      <c r="O7" s="6">
        <v>14941.929999999997</v>
      </c>
      <c r="P7" s="6">
        <v>31057</v>
      </c>
      <c r="Q7" s="6">
        <v>15067</v>
      </c>
      <c r="R7" s="6">
        <v>32993.700000000026</v>
      </c>
      <c r="S7" s="6">
        <v>16620.316844584613</v>
      </c>
      <c r="T7" s="6">
        <v>32993.700000000033</v>
      </c>
      <c r="U7" s="6">
        <v>16557.570000000036</v>
      </c>
      <c r="V7" s="30">
        <v>32993.700000000026</v>
      </c>
      <c r="W7" s="30">
        <v>16557.570000000032</v>
      </c>
      <c r="X7" s="30">
        <v>33983.51100000002</v>
      </c>
      <c r="Y7" s="30">
        <v>18114.911519479869</v>
      </c>
      <c r="Z7" s="30">
        <v>0</v>
      </c>
      <c r="AA7" s="30">
        <v>0</v>
      </c>
      <c r="AB7" s="34">
        <v>0.54893129956134201</v>
      </c>
      <c r="AC7" s="34">
        <v>0.55628718081294137</v>
      </c>
      <c r="AD7" s="34">
        <v>0.657791603537908</v>
      </c>
      <c r="AE7" s="34">
        <v>0.65779160353790778</v>
      </c>
      <c r="AF7" s="34">
        <v>0.65779160353790778</v>
      </c>
      <c r="AG7" s="34">
        <v>0.87999999999999989</v>
      </c>
      <c r="AH7" s="34">
        <v>0</v>
      </c>
      <c r="AI7" s="37">
        <f t="shared" si="4"/>
        <v>19917.050000000032</v>
      </c>
      <c r="AJ7" s="37">
        <f t="shared" si="5"/>
        <v>17254.00902635109</v>
      </c>
      <c r="AK7" s="37">
        <f t="shared" si="6"/>
        <v>21702.978829648699</v>
      </c>
      <c r="AL7" s="37">
        <f t="shared" si="7"/>
        <v>21702.978829648684</v>
      </c>
      <c r="AM7" s="37">
        <f t="shared" si="8"/>
        <v>21702.978829648684</v>
      </c>
      <c r="AN7" s="37">
        <f t="shared" si="9"/>
        <v>29905.489680000013</v>
      </c>
      <c r="AO7" s="37">
        <f t="shared" si="10"/>
        <v>0</v>
      </c>
    </row>
    <row r="8" spans="1:41" hidden="1" x14ac:dyDescent="0.3">
      <c r="A8" t="str">
        <f t="shared" si="2"/>
        <v>308may</v>
      </c>
      <c r="B8" t="str">
        <f t="shared" si="3"/>
        <v>25 DE MAYOmay</v>
      </c>
      <c r="C8" s="1" t="s">
        <v>79</v>
      </c>
      <c r="D8" s="1" t="s">
        <v>0</v>
      </c>
      <c r="E8" s="1">
        <v>308</v>
      </c>
      <c r="F8" s="1" t="s">
        <v>119</v>
      </c>
      <c r="G8" s="1" t="s">
        <v>120</v>
      </c>
      <c r="H8" s="1" t="s">
        <v>119</v>
      </c>
      <c r="I8" s="1" t="s">
        <v>124</v>
      </c>
      <c r="J8" s="1" t="s">
        <v>134</v>
      </c>
      <c r="K8" t="s">
        <v>84</v>
      </c>
      <c r="L8" s="6">
        <v>41680.300000000003</v>
      </c>
      <c r="M8" s="6">
        <v>20554.839999999997</v>
      </c>
      <c r="N8" s="6">
        <v>21905.15</v>
      </c>
      <c r="O8" s="6">
        <v>10475.89</v>
      </c>
      <c r="P8" s="6">
        <v>31489</v>
      </c>
      <c r="Q8" s="6">
        <v>14120</v>
      </c>
      <c r="R8" s="6">
        <v>30379.119999999995</v>
      </c>
      <c r="S8" s="6">
        <v>15517.643191349391</v>
      </c>
      <c r="T8" s="6">
        <v>30379.120000000006</v>
      </c>
      <c r="U8" s="6">
        <v>15306.050000000014</v>
      </c>
      <c r="V8" s="30">
        <v>30379.120000000006</v>
      </c>
      <c r="W8" s="30">
        <v>15306.050000000016</v>
      </c>
      <c r="X8" s="30">
        <v>23391.922400000007</v>
      </c>
      <c r="Y8" s="30">
        <v>12469.064910524961</v>
      </c>
      <c r="Z8" s="30">
        <v>0</v>
      </c>
      <c r="AA8" s="30">
        <v>0</v>
      </c>
      <c r="AB8" s="34">
        <v>0.54072211572373596</v>
      </c>
      <c r="AC8" s="34">
        <v>0.54810990464103937</v>
      </c>
      <c r="AD8" s="34">
        <v>0.70416175243700363</v>
      </c>
      <c r="AE8" s="34">
        <v>0.70416175243700385</v>
      </c>
      <c r="AF8" s="34">
        <v>0.70416175243700385</v>
      </c>
      <c r="AG8" s="34">
        <v>0.88000000000000012</v>
      </c>
      <c r="AH8" s="34">
        <v>0</v>
      </c>
      <c r="AI8" s="37">
        <f t="shared" si="4"/>
        <v>22537.460000000032</v>
      </c>
      <c r="AJ8" s="37">
        <f t="shared" si="5"/>
        <v>12006.429677647664</v>
      </c>
      <c r="AK8" s="37">
        <f t="shared" si="6"/>
        <v>21391.81437669403</v>
      </c>
      <c r="AL8" s="37">
        <f t="shared" si="7"/>
        <v>21391.81437669403</v>
      </c>
      <c r="AM8" s="37">
        <f t="shared" si="8"/>
        <v>21391.814376694037</v>
      </c>
      <c r="AN8" s="37">
        <f t="shared" si="9"/>
        <v>20584.891712000008</v>
      </c>
      <c r="AO8" s="37">
        <f t="shared" si="10"/>
        <v>0</v>
      </c>
    </row>
    <row r="9" spans="1:41" hidden="1" x14ac:dyDescent="0.3">
      <c r="A9" t="str">
        <f t="shared" si="2"/>
        <v>308jun</v>
      </c>
      <c r="B9" t="str">
        <f t="shared" si="3"/>
        <v>25 DE MAYOjun</v>
      </c>
      <c r="C9" s="1" t="s">
        <v>79</v>
      </c>
      <c r="D9" s="1" t="s">
        <v>0</v>
      </c>
      <c r="E9" s="1">
        <v>308</v>
      </c>
      <c r="F9" s="1" t="s">
        <v>119</v>
      </c>
      <c r="G9" s="1" t="s">
        <v>120</v>
      </c>
      <c r="H9" s="1" t="s">
        <v>119</v>
      </c>
      <c r="I9" s="1" t="s">
        <v>124</v>
      </c>
      <c r="J9" s="1" t="s">
        <v>134</v>
      </c>
      <c r="K9" t="s">
        <v>85</v>
      </c>
      <c r="L9" s="6">
        <v>42179.1</v>
      </c>
      <c r="M9" s="6">
        <v>20861.229999999996</v>
      </c>
      <c r="N9" s="6">
        <v>17645.940000000002</v>
      </c>
      <c r="O9" s="6">
        <v>8728.59</v>
      </c>
      <c r="P9" s="6">
        <v>29179</v>
      </c>
      <c r="Q9" s="6">
        <v>14519</v>
      </c>
      <c r="R9" s="6">
        <v>28449.960000000017</v>
      </c>
      <c r="S9" s="6">
        <v>14534.738012742677</v>
      </c>
      <c r="T9" s="6">
        <v>28449.960000000017</v>
      </c>
      <c r="U9" s="6">
        <v>14536.640000000032</v>
      </c>
      <c r="V9" s="30">
        <v>28449.960000000021</v>
      </c>
      <c r="W9" s="30">
        <v>14536.640000000034</v>
      </c>
      <c r="X9" s="30">
        <v>43812.938400000043</v>
      </c>
      <c r="Y9" s="30">
        <v>23354.488078775088</v>
      </c>
      <c r="Z9" s="30">
        <v>0</v>
      </c>
      <c r="AA9" s="30">
        <v>0</v>
      </c>
      <c r="AB9" s="34">
        <v>0.56799410134403039</v>
      </c>
      <c r="AC9" s="34">
        <v>0.57507218316605191</v>
      </c>
      <c r="AD9" s="34">
        <v>0.73765847099500592</v>
      </c>
      <c r="AE9" s="34">
        <v>0.73765847099500592</v>
      </c>
      <c r="AF9" s="34">
        <v>0.73765847099500592</v>
      </c>
      <c r="AG9" s="34">
        <v>0.88</v>
      </c>
      <c r="AH9" s="34">
        <v>0</v>
      </c>
      <c r="AI9" s="37">
        <f t="shared" si="4"/>
        <v>23957.479999999992</v>
      </c>
      <c r="AJ9" s="37">
        <f t="shared" si="5"/>
        <v>10147.689239817164</v>
      </c>
      <c r="AK9" s="37">
        <f t="shared" si="6"/>
        <v>20986.353993469093</v>
      </c>
      <c r="AL9" s="37">
        <f t="shared" si="7"/>
        <v>20986.353993469093</v>
      </c>
      <c r="AM9" s="37">
        <f t="shared" si="8"/>
        <v>20986.353993469093</v>
      </c>
      <c r="AN9" s="37">
        <f t="shared" si="9"/>
        <v>38555.385792000037</v>
      </c>
      <c r="AO9" s="37">
        <f t="shared" si="10"/>
        <v>0</v>
      </c>
    </row>
    <row r="10" spans="1:41" hidden="1" x14ac:dyDescent="0.3">
      <c r="A10" t="str">
        <f t="shared" si="2"/>
        <v>308jul</v>
      </c>
      <c r="B10" t="str">
        <f t="shared" si="3"/>
        <v>25 DE MAYOjul</v>
      </c>
      <c r="C10" s="1" t="s">
        <v>79</v>
      </c>
      <c r="D10" s="1" t="s">
        <v>0</v>
      </c>
      <c r="E10" s="1">
        <v>308</v>
      </c>
      <c r="F10" s="1" t="s">
        <v>119</v>
      </c>
      <c r="G10" s="1" t="s">
        <v>120</v>
      </c>
      <c r="H10" s="1" t="s">
        <v>119</v>
      </c>
      <c r="I10" s="1" t="s">
        <v>124</v>
      </c>
      <c r="J10" s="1" t="s">
        <v>134</v>
      </c>
      <c r="K10" t="s">
        <v>86</v>
      </c>
      <c r="L10" s="6">
        <v>37336.730000000003</v>
      </c>
      <c r="M10" s="6">
        <v>18888.290000000005</v>
      </c>
      <c r="N10" s="6">
        <v>33021.949999999997</v>
      </c>
      <c r="O10" s="6">
        <v>16043.889999999996</v>
      </c>
      <c r="P10" s="6">
        <v>21511</v>
      </c>
      <c r="Q10" s="6">
        <v>10748</v>
      </c>
      <c r="R10" s="6">
        <v>29592.83</v>
      </c>
      <c r="S10" s="6">
        <v>15162.95</v>
      </c>
      <c r="T10" s="6">
        <v>29592.829999999987</v>
      </c>
      <c r="U10" s="6">
        <v>15162.949999999993</v>
      </c>
      <c r="V10" s="30">
        <v>29592.830000000031</v>
      </c>
      <c r="W10" s="30">
        <v>15162.950000000015</v>
      </c>
      <c r="X10" s="30">
        <v>45572.958200000059</v>
      </c>
      <c r="Y10" s="30">
        <v>24292.666683967851</v>
      </c>
      <c r="Z10" s="30">
        <v>0</v>
      </c>
      <c r="AA10" s="30">
        <v>0</v>
      </c>
      <c r="AB10" s="34">
        <v>0.62562950745820534</v>
      </c>
      <c r="AC10" s="34">
        <v>0.60625345355623306</v>
      </c>
      <c r="AD10" s="34">
        <v>0.75983878527332471</v>
      </c>
      <c r="AE10" s="34">
        <v>0.75983878527332471</v>
      </c>
      <c r="AF10" s="34">
        <v>0.75983878527332471</v>
      </c>
      <c r="AG10" s="34">
        <v>0.88</v>
      </c>
      <c r="AH10" s="34">
        <v>0</v>
      </c>
      <c r="AI10" s="37">
        <f t="shared" si="4"/>
        <v>23358.959999999999</v>
      </c>
      <c r="AJ10" s="37">
        <f t="shared" si="5"/>
        <v>20019.67123066125</v>
      </c>
      <c r="AK10" s="37">
        <f t="shared" si="6"/>
        <v>22485.779999999992</v>
      </c>
      <c r="AL10" s="37">
        <f t="shared" si="7"/>
        <v>22485.780000000002</v>
      </c>
      <c r="AM10" s="37">
        <f t="shared" si="8"/>
        <v>22485.780000000024</v>
      </c>
      <c r="AN10" s="37">
        <f t="shared" si="9"/>
        <v>40104.203216000053</v>
      </c>
      <c r="AO10" s="37">
        <f t="shared" si="10"/>
        <v>0</v>
      </c>
    </row>
    <row r="11" spans="1:41" hidden="1" x14ac:dyDescent="0.3">
      <c r="A11" t="str">
        <f t="shared" si="2"/>
        <v>308ago</v>
      </c>
      <c r="B11" t="str">
        <f t="shared" si="3"/>
        <v>25 DE MAYOago</v>
      </c>
      <c r="C11" s="1" t="s">
        <v>79</v>
      </c>
      <c r="D11" s="1" t="s">
        <v>0</v>
      </c>
      <c r="E11" s="1">
        <v>308</v>
      </c>
      <c r="F11" s="1" t="s">
        <v>119</v>
      </c>
      <c r="G11" s="1" t="s">
        <v>120</v>
      </c>
      <c r="H11" s="1" t="s">
        <v>119</v>
      </c>
      <c r="I11" s="1" t="s">
        <v>124</v>
      </c>
      <c r="J11" s="1" t="s">
        <v>134</v>
      </c>
      <c r="K11" t="s">
        <v>87</v>
      </c>
      <c r="L11" s="6">
        <v>130773.44</v>
      </c>
      <c r="M11" s="6">
        <v>41951.689999999995</v>
      </c>
      <c r="N11" s="6">
        <v>69755.209999999977</v>
      </c>
      <c r="O11" s="6">
        <v>26274.269999999997</v>
      </c>
      <c r="P11" s="6">
        <v>75963</v>
      </c>
      <c r="Q11" s="6">
        <v>29056</v>
      </c>
      <c r="R11" s="6">
        <v>57023.18540731207</v>
      </c>
      <c r="S11" s="6">
        <v>23145.140724973899</v>
      </c>
      <c r="T11" s="6">
        <v>65079.250000000044</v>
      </c>
      <c r="U11" s="6">
        <v>27700.890000000058</v>
      </c>
      <c r="V11" s="30">
        <v>65079.250000000131</v>
      </c>
      <c r="W11" s="30">
        <v>26415.016782500054</v>
      </c>
      <c r="X11" s="30">
        <v>100222.0450000002</v>
      </c>
      <c r="Y11" s="30">
        <v>43518.093218850183</v>
      </c>
      <c r="Z11" s="30">
        <v>0</v>
      </c>
      <c r="AA11" s="30">
        <v>0</v>
      </c>
      <c r="AB11" s="34">
        <v>0.16561466915606127</v>
      </c>
      <c r="AC11" s="34">
        <v>0.24448734510037118</v>
      </c>
      <c r="AD11" s="34">
        <v>0.31917577415228393</v>
      </c>
      <c r="AE11" s="34">
        <v>0.27</v>
      </c>
      <c r="AF11" s="34">
        <v>0.27</v>
      </c>
      <c r="AG11" s="34">
        <v>0.40000000000000008</v>
      </c>
      <c r="AH11" s="34">
        <v>0</v>
      </c>
      <c r="AI11" s="37">
        <f t="shared" si="4"/>
        <v>21658.000000000029</v>
      </c>
      <c r="AJ11" s="37">
        <f t="shared" si="5"/>
        <v>17054.266099818858</v>
      </c>
      <c r="AK11" s="37">
        <f t="shared" si="6"/>
        <v>20771.720000000038</v>
      </c>
      <c r="AL11" s="37">
        <f t="shared" si="7"/>
        <v>15396.26005997426</v>
      </c>
      <c r="AM11" s="37">
        <f t="shared" si="8"/>
        <v>17571.397500000036</v>
      </c>
      <c r="AN11" s="37">
        <f t="shared" si="9"/>
        <v>40088.818000000087</v>
      </c>
      <c r="AO11" s="37">
        <f t="shared" si="10"/>
        <v>0</v>
      </c>
    </row>
    <row r="12" spans="1:41" hidden="1" x14ac:dyDescent="0.3">
      <c r="A12" t="str">
        <f t="shared" si="2"/>
        <v>308sep</v>
      </c>
      <c r="B12" t="str">
        <f t="shared" si="3"/>
        <v>25 DE MAYOsep</v>
      </c>
      <c r="C12" s="1" t="s">
        <v>79</v>
      </c>
      <c r="D12" s="1" t="s">
        <v>0</v>
      </c>
      <c r="E12" s="1">
        <v>308</v>
      </c>
      <c r="F12" s="1" t="s">
        <v>119</v>
      </c>
      <c r="G12" s="1" t="s">
        <v>120</v>
      </c>
      <c r="H12" s="1" t="s">
        <v>119</v>
      </c>
      <c r="I12" s="1" t="s">
        <v>124</v>
      </c>
      <c r="J12" s="1" t="s">
        <v>134</v>
      </c>
      <c r="K12" t="s">
        <v>88</v>
      </c>
      <c r="L12" s="6">
        <v>31616.79</v>
      </c>
      <c r="M12" s="6">
        <v>15334.689999999997</v>
      </c>
      <c r="N12" s="6">
        <v>35510.759999999995</v>
      </c>
      <c r="O12" s="6">
        <v>15293.779999999999</v>
      </c>
      <c r="P12" s="6">
        <v>31458</v>
      </c>
      <c r="Q12" s="6">
        <v>14628</v>
      </c>
      <c r="R12" s="6">
        <v>25670.051462399999</v>
      </c>
      <c r="S12" s="6">
        <v>12482.062523592</v>
      </c>
      <c r="T12" s="6">
        <v>20616.05000000001</v>
      </c>
      <c r="U12" s="6">
        <v>10258.960000000014</v>
      </c>
      <c r="V12" s="30">
        <v>20616.05000000001</v>
      </c>
      <c r="W12" s="30">
        <v>10258.960000000014</v>
      </c>
      <c r="X12" s="30">
        <v>31748.717000000019</v>
      </c>
      <c r="Y12" s="30">
        <v>16727.540201416083</v>
      </c>
      <c r="Z12" s="30">
        <v>0</v>
      </c>
      <c r="AA12" s="30">
        <v>0</v>
      </c>
      <c r="AB12" s="34">
        <v>0.53837375647559427</v>
      </c>
      <c r="AC12" s="34">
        <v>0.47117700205890628</v>
      </c>
      <c r="AD12" s="34">
        <v>0.72048234264080679</v>
      </c>
      <c r="AE12" s="34">
        <v>0.65</v>
      </c>
      <c r="AF12" s="34">
        <v>0.65</v>
      </c>
      <c r="AG12" s="34">
        <v>0.85</v>
      </c>
      <c r="AH12" s="34">
        <v>0</v>
      </c>
      <c r="AI12" s="37">
        <f t="shared" si="4"/>
        <v>17021.650000000005</v>
      </c>
      <c r="AJ12" s="37">
        <f t="shared" si="5"/>
        <v>16731.853437633323</v>
      </c>
      <c r="AK12" s="37">
        <f t="shared" si="6"/>
        <v>14853.500000000013</v>
      </c>
      <c r="AL12" s="37">
        <f t="shared" si="7"/>
        <v>16685.53345056</v>
      </c>
      <c r="AM12" s="37">
        <f t="shared" si="8"/>
        <v>13400.432500000006</v>
      </c>
      <c r="AN12" s="37">
        <f t="shared" si="9"/>
        <v>26986.409450000014</v>
      </c>
      <c r="AO12" s="37">
        <f t="shared" si="10"/>
        <v>0</v>
      </c>
    </row>
    <row r="13" spans="1:41" hidden="1" x14ac:dyDescent="0.3">
      <c r="A13" t="str">
        <f t="shared" si="2"/>
        <v>308oct</v>
      </c>
      <c r="B13" t="str">
        <f t="shared" si="3"/>
        <v>25 DE MAYOoct</v>
      </c>
      <c r="C13" s="1" t="s">
        <v>79</v>
      </c>
      <c r="D13" s="1" t="s">
        <v>0</v>
      </c>
      <c r="E13" s="1">
        <v>308</v>
      </c>
      <c r="F13" s="1" t="s">
        <v>119</v>
      </c>
      <c r="G13" s="1" t="s">
        <v>120</v>
      </c>
      <c r="H13" s="1" t="s">
        <v>119</v>
      </c>
      <c r="I13" s="1" t="s">
        <v>124</v>
      </c>
      <c r="J13" s="1" t="s">
        <v>134</v>
      </c>
      <c r="K13" t="s">
        <v>89</v>
      </c>
      <c r="L13" s="6">
        <v>21940.259999999995</v>
      </c>
      <c r="M13" s="6">
        <v>10510.21</v>
      </c>
      <c r="N13" s="6">
        <v>28670.819999999996</v>
      </c>
      <c r="O13" s="6">
        <v>13725.039999999997</v>
      </c>
      <c r="P13" s="6">
        <v>32688</v>
      </c>
      <c r="Q13" s="6">
        <v>16055</v>
      </c>
      <c r="R13" s="6">
        <v>35008.566027119981</v>
      </c>
      <c r="S13" s="6">
        <v>17521.787296573548</v>
      </c>
      <c r="T13" s="6">
        <v>22646.869999999992</v>
      </c>
      <c r="U13" s="6">
        <v>11412.879999999992</v>
      </c>
      <c r="V13" s="30">
        <v>35008.566027119981</v>
      </c>
      <c r="W13" s="30">
        <v>17521.787296573548</v>
      </c>
      <c r="X13" s="30">
        <v>53913.191681764773</v>
      </c>
      <c r="Y13" s="30">
        <v>28738.428382162343</v>
      </c>
      <c r="Z13" s="30">
        <v>0</v>
      </c>
      <c r="AA13" s="30">
        <v>0</v>
      </c>
      <c r="AB13" s="34">
        <v>0.53109443552628899</v>
      </c>
      <c r="AC13" s="34">
        <v>0.5905882287598333</v>
      </c>
      <c r="AD13" s="34">
        <v>0.6505256576295092</v>
      </c>
      <c r="AE13" s="34">
        <v>0.7</v>
      </c>
      <c r="AF13" s="34">
        <v>0.7</v>
      </c>
      <c r="AG13" s="34">
        <v>0.88</v>
      </c>
      <c r="AH13" s="34">
        <v>0</v>
      </c>
      <c r="AI13" s="37">
        <f t="shared" si="4"/>
        <v>11652.350000000015</v>
      </c>
      <c r="AJ13" s="37">
        <f t="shared" si="5"/>
        <v>16932.648800892002</v>
      </c>
      <c r="AK13" s="37">
        <f t="shared" si="6"/>
        <v>14732.369999999997</v>
      </c>
      <c r="AL13" s="37">
        <f t="shared" si="7"/>
        <v>24505.996218983986</v>
      </c>
      <c r="AM13" s="37">
        <f t="shared" si="8"/>
        <v>24505.996218983986</v>
      </c>
      <c r="AN13" s="37">
        <f t="shared" si="9"/>
        <v>47443.608679953002</v>
      </c>
      <c r="AO13" s="37">
        <f t="shared" si="10"/>
        <v>0</v>
      </c>
    </row>
    <row r="14" spans="1:41" hidden="1" x14ac:dyDescent="0.3">
      <c r="A14" t="str">
        <f t="shared" si="2"/>
        <v>308nov</v>
      </c>
      <c r="B14" t="str">
        <f t="shared" si="3"/>
        <v>25 DE MAYOnov</v>
      </c>
      <c r="C14" s="1" t="s">
        <v>79</v>
      </c>
      <c r="D14" s="1" t="s">
        <v>0</v>
      </c>
      <c r="E14" s="1">
        <v>308</v>
      </c>
      <c r="F14" s="1" t="s">
        <v>119</v>
      </c>
      <c r="G14" s="1" t="s">
        <v>120</v>
      </c>
      <c r="H14" s="1" t="s">
        <v>119</v>
      </c>
      <c r="I14" s="1" t="s">
        <v>124</v>
      </c>
      <c r="J14" s="1" t="s">
        <v>134</v>
      </c>
      <c r="K14" t="s">
        <v>90</v>
      </c>
      <c r="L14" s="6">
        <v>43691.289999999994</v>
      </c>
      <c r="M14" s="6">
        <v>18472.379999999997</v>
      </c>
      <c r="N14" s="6">
        <v>34186.33</v>
      </c>
      <c r="O14" s="6">
        <v>15603.669999999996</v>
      </c>
      <c r="P14" s="6">
        <v>42559</v>
      </c>
      <c r="Q14" s="6">
        <v>18335</v>
      </c>
      <c r="R14" s="6">
        <v>45580.975685279998</v>
      </c>
      <c r="S14" s="6">
        <v>19679.58625211964</v>
      </c>
      <c r="T14" s="6">
        <v>35122.84482758621</v>
      </c>
      <c r="U14" s="6">
        <v>14469.072367632483</v>
      </c>
      <c r="V14" s="30">
        <v>45580.975685279998</v>
      </c>
      <c r="W14" s="30">
        <v>19679.58625211964</v>
      </c>
      <c r="X14" s="30">
        <v>70194.702555331198</v>
      </c>
      <c r="Y14" s="30">
        <v>33370.371912158116</v>
      </c>
      <c r="Z14" s="30">
        <v>0</v>
      </c>
      <c r="AA14" s="30">
        <v>0</v>
      </c>
      <c r="AB14" s="34">
        <v>0.32089118906766051</v>
      </c>
      <c r="AC14" s="34">
        <v>0.43533003016331684</v>
      </c>
      <c r="AD14" s="34">
        <v>0.31917577415228393</v>
      </c>
      <c r="AE14" s="34">
        <v>0.35</v>
      </c>
      <c r="AF14" s="34">
        <v>0.35</v>
      </c>
      <c r="AG14" s="34">
        <v>0.6</v>
      </c>
      <c r="AH14" s="34">
        <v>0</v>
      </c>
      <c r="AI14" s="37">
        <f t="shared" si="4"/>
        <v>14020.149999999983</v>
      </c>
      <c r="AJ14" s="37">
        <f t="shared" si="5"/>
        <v>14882.336070073105</v>
      </c>
      <c r="AK14" s="37">
        <f t="shared" si="6"/>
        <v>11210.36118827537</v>
      </c>
      <c r="AL14" s="37">
        <f t="shared" si="7"/>
        <v>15953.341489847999</v>
      </c>
      <c r="AM14" s="37">
        <f t="shared" si="8"/>
        <v>15953.341489847999</v>
      </c>
      <c r="AN14" s="37">
        <f t="shared" si="9"/>
        <v>42116.821533198716</v>
      </c>
      <c r="AO14" s="37">
        <f t="shared" si="10"/>
        <v>0</v>
      </c>
    </row>
    <row r="15" spans="1:41" hidden="1" x14ac:dyDescent="0.3">
      <c r="A15" t="str">
        <f t="shared" si="2"/>
        <v>308dic</v>
      </c>
      <c r="B15" t="str">
        <f t="shared" si="3"/>
        <v>25 DE MAYOdic</v>
      </c>
      <c r="C15" s="1" t="s">
        <v>79</v>
      </c>
      <c r="D15" s="1" t="s">
        <v>0</v>
      </c>
      <c r="E15" s="1">
        <v>308</v>
      </c>
      <c r="F15" s="1" t="s">
        <v>119</v>
      </c>
      <c r="G15" s="1" t="s">
        <v>120</v>
      </c>
      <c r="H15" s="1" t="s">
        <v>119</v>
      </c>
      <c r="I15" s="1" t="s">
        <v>124</v>
      </c>
      <c r="J15" s="1" t="s">
        <v>134</v>
      </c>
      <c r="K15" t="s">
        <v>91</v>
      </c>
      <c r="L15" s="6">
        <v>91614.159999999989</v>
      </c>
      <c r="M15" s="6">
        <v>41211.559999999983</v>
      </c>
      <c r="N15" s="6">
        <v>78130.399999999994</v>
      </c>
      <c r="O15" s="6">
        <v>38425.660000000003</v>
      </c>
      <c r="P15" s="6">
        <v>82945</v>
      </c>
      <c r="Q15" s="6">
        <v>40822</v>
      </c>
      <c r="R15" s="6">
        <v>88833.874588199978</v>
      </c>
      <c r="S15" s="6">
        <v>43262.096924453384</v>
      </c>
      <c r="T15" s="6">
        <v>66329.382183908063</v>
      </c>
      <c r="U15" s="6">
        <v>31683.388947927509</v>
      </c>
      <c r="V15" s="30">
        <v>88833.874588199978</v>
      </c>
      <c r="W15" s="30">
        <v>43262.096924453384</v>
      </c>
      <c r="X15" s="30">
        <v>137692.50561170996</v>
      </c>
      <c r="Y15" s="30">
        <v>72546.45669787495</v>
      </c>
      <c r="Z15" s="30">
        <v>0</v>
      </c>
      <c r="AA15" s="30">
        <v>0</v>
      </c>
      <c r="AB15" s="34">
        <v>0.36407232244447846</v>
      </c>
      <c r="AC15" s="34">
        <v>0.60688342772941628</v>
      </c>
      <c r="AD15" s="34">
        <v>0.45472068306660079</v>
      </c>
      <c r="AE15" s="34">
        <v>0.6</v>
      </c>
      <c r="AF15" s="34">
        <v>0.6</v>
      </c>
      <c r="AG15" s="34">
        <v>0.85</v>
      </c>
      <c r="AH15" s="34">
        <v>0</v>
      </c>
      <c r="AI15" s="37">
        <f t="shared" si="4"/>
        <v>33354.180000000037</v>
      </c>
      <c r="AJ15" s="37">
        <f t="shared" si="5"/>
        <v>47416.044961870379</v>
      </c>
      <c r="AK15" s="37">
        <f t="shared" si="6"/>
        <v>30161.341974052295</v>
      </c>
      <c r="AL15" s="37">
        <f t="shared" si="7"/>
        <v>53300.324752919987</v>
      </c>
      <c r="AM15" s="37">
        <f t="shared" si="8"/>
        <v>53300.324752919987</v>
      </c>
      <c r="AN15" s="37">
        <f t="shared" si="9"/>
        <v>117038.62976995346</v>
      </c>
      <c r="AO15" s="37">
        <f t="shared" si="10"/>
        <v>0</v>
      </c>
    </row>
    <row r="16" spans="1:41" hidden="1" x14ac:dyDescent="0.3">
      <c r="A16" t="str">
        <f t="shared" si="2"/>
        <v>303ene</v>
      </c>
      <c r="B16" t="str">
        <f t="shared" si="3"/>
        <v>AMERICAene</v>
      </c>
      <c r="C16" s="1" t="s">
        <v>79</v>
      </c>
      <c r="D16" s="1" t="s">
        <v>1</v>
      </c>
      <c r="E16" s="1">
        <v>303</v>
      </c>
      <c r="F16" s="1" t="s">
        <v>122</v>
      </c>
      <c r="G16" s="1" t="s">
        <v>122</v>
      </c>
      <c r="H16" s="1" t="s">
        <v>122</v>
      </c>
      <c r="I16" s="1" t="s">
        <v>124</v>
      </c>
      <c r="J16" s="1" t="s">
        <v>129</v>
      </c>
      <c r="K16" t="s">
        <v>80</v>
      </c>
      <c r="L16" s="6">
        <v>32104.459999999992</v>
      </c>
      <c r="M16" s="6">
        <v>17044.279999999995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4">
        <v>0.8179056741648979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7">
        <f t="shared" si="4"/>
        <v>26258.419999999991</v>
      </c>
      <c r="AJ16" s="37">
        <f t="shared" si="5"/>
        <v>0</v>
      </c>
      <c r="AK16" s="37">
        <f t="shared" si="6"/>
        <v>0</v>
      </c>
      <c r="AL16" s="37">
        <f t="shared" si="7"/>
        <v>0</v>
      </c>
      <c r="AM16" s="37">
        <f t="shared" si="8"/>
        <v>0</v>
      </c>
      <c r="AN16" s="37">
        <f t="shared" si="9"/>
        <v>0</v>
      </c>
      <c r="AO16" s="37">
        <f t="shared" si="10"/>
        <v>0</v>
      </c>
    </row>
    <row r="17" spans="1:41" hidden="1" x14ac:dyDescent="0.3">
      <c r="A17" t="str">
        <f t="shared" si="2"/>
        <v>303feb</v>
      </c>
      <c r="B17" t="str">
        <f t="shared" si="3"/>
        <v>AMERICAfeb</v>
      </c>
      <c r="C17" s="1" t="s">
        <v>79</v>
      </c>
      <c r="D17" s="1" t="s">
        <v>1</v>
      </c>
      <c r="E17" s="1">
        <v>303</v>
      </c>
      <c r="F17" s="1" t="s">
        <v>122</v>
      </c>
      <c r="G17" s="1" t="s">
        <v>122</v>
      </c>
      <c r="H17" s="1" t="s">
        <v>122</v>
      </c>
      <c r="I17" s="1" t="s">
        <v>124</v>
      </c>
      <c r="J17" s="1" t="s">
        <v>129</v>
      </c>
      <c r="K17" t="s">
        <v>81</v>
      </c>
      <c r="L17" s="6">
        <v>40688.44</v>
      </c>
      <c r="M17" s="6">
        <v>17120.100000000006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4">
        <v>0.36127902667194961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7">
        <f t="shared" si="4"/>
        <v>14699.880000000023</v>
      </c>
      <c r="AJ17" s="37">
        <f t="shared" si="5"/>
        <v>0</v>
      </c>
      <c r="AK17" s="37">
        <f t="shared" si="6"/>
        <v>0</v>
      </c>
      <c r="AL17" s="37">
        <f t="shared" si="7"/>
        <v>0</v>
      </c>
      <c r="AM17" s="37">
        <f t="shared" si="8"/>
        <v>0</v>
      </c>
      <c r="AN17" s="37">
        <f t="shared" si="9"/>
        <v>0</v>
      </c>
      <c r="AO17" s="37">
        <f t="shared" si="10"/>
        <v>0</v>
      </c>
    </row>
    <row r="18" spans="1:41" hidden="1" x14ac:dyDescent="0.3">
      <c r="A18" t="str">
        <f t="shared" si="2"/>
        <v>303mar</v>
      </c>
      <c r="B18" t="str">
        <f t="shared" si="3"/>
        <v>AMERICAmar</v>
      </c>
      <c r="C18" s="1" t="s">
        <v>79</v>
      </c>
      <c r="D18" s="1" t="s">
        <v>1</v>
      </c>
      <c r="E18" s="1">
        <v>303</v>
      </c>
      <c r="F18" s="1" t="s">
        <v>122</v>
      </c>
      <c r="G18" s="1" t="s">
        <v>122</v>
      </c>
      <c r="H18" s="1" t="s">
        <v>122</v>
      </c>
      <c r="I18" s="1" t="s">
        <v>124</v>
      </c>
      <c r="J18" s="1" t="s">
        <v>129</v>
      </c>
      <c r="K18" t="s">
        <v>82</v>
      </c>
      <c r="L18" s="6">
        <v>36579.5</v>
      </c>
      <c r="M18" s="6">
        <v>17569.950000000004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4">
        <v>0.54738391722139501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7">
        <f t="shared" si="4"/>
        <v>20023.030000000017</v>
      </c>
      <c r="AJ18" s="37">
        <f t="shared" si="5"/>
        <v>0</v>
      </c>
      <c r="AK18" s="37">
        <f t="shared" si="6"/>
        <v>0</v>
      </c>
      <c r="AL18" s="37">
        <f t="shared" si="7"/>
        <v>0</v>
      </c>
      <c r="AM18" s="37">
        <f t="shared" si="8"/>
        <v>0</v>
      </c>
      <c r="AN18" s="37">
        <f t="shared" si="9"/>
        <v>0</v>
      </c>
      <c r="AO18" s="37">
        <f t="shared" si="10"/>
        <v>0</v>
      </c>
    </row>
    <row r="19" spans="1:41" hidden="1" x14ac:dyDescent="0.3">
      <c r="A19" t="str">
        <f t="shared" si="2"/>
        <v>303abr</v>
      </c>
      <c r="B19" t="str">
        <f t="shared" si="3"/>
        <v>AMERICAabr</v>
      </c>
      <c r="C19" s="1" t="s">
        <v>79</v>
      </c>
      <c r="D19" s="1" t="s">
        <v>1</v>
      </c>
      <c r="E19" s="1">
        <v>303</v>
      </c>
      <c r="F19" s="1" t="s">
        <v>122</v>
      </c>
      <c r="G19" s="1" t="s">
        <v>122</v>
      </c>
      <c r="H19" s="1" t="s">
        <v>122</v>
      </c>
      <c r="I19" s="1" t="s">
        <v>124</v>
      </c>
      <c r="J19" s="1" t="s">
        <v>129</v>
      </c>
      <c r="K19" t="s">
        <v>83</v>
      </c>
      <c r="L19" s="6">
        <v>23941.91</v>
      </c>
      <c r="M19" s="6">
        <v>12776.550000000001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4">
        <v>0.78261258187003513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7">
        <f t="shared" si="4"/>
        <v>18737.240000000013</v>
      </c>
      <c r="AJ19" s="37">
        <f t="shared" si="5"/>
        <v>0</v>
      </c>
      <c r="AK19" s="37">
        <f t="shared" si="6"/>
        <v>0</v>
      </c>
      <c r="AL19" s="37">
        <f t="shared" si="7"/>
        <v>0</v>
      </c>
      <c r="AM19" s="37">
        <f t="shared" si="8"/>
        <v>0</v>
      </c>
      <c r="AN19" s="37">
        <f t="shared" si="9"/>
        <v>0</v>
      </c>
      <c r="AO19" s="37">
        <f t="shared" si="10"/>
        <v>0</v>
      </c>
    </row>
    <row r="20" spans="1:41" hidden="1" x14ac:dyDescent="0.3">
      <c r="A20" t="str">
        <f t="shared" si="2"/>
        <v>303may</v>
      </c>
      <c r="B20" t="str">
        <f t="shared" si="3"/>
        <v>AMERICAmay</v>
      </c>
      <c r="C20" s="1" t="s">
        <v>79</v>
      </c>
      <c r="D20" s="1" t="s">
        <v>1</v>
      </c>
      <c r="E20" s="1">
        <v>303</v>
      </c>
      <c r="F20" s="1" t="s">
        <v>122</v>
      </c>
      <c r="G20" s="1" t="s">
        <v>122</v>
      </c>
      <c r="H20" s="1" t="s">
        <v>122</v>
      </c>
      <c r="I20" s="1" t="s">
        <v>124</v>
      </c>
      <c r="J20" s="1" t="s">
        <v>129</v>
      </c>
      <c r="K20" t="s">
        <v>84</v>
      </c>
      <c r="L20" s="6">
        <v>25414.53</v>
      </c>
      <c r="M20" s="6">
        <v>13384.909999999996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4">
        <v>0.789500337011938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7">
        <f t="shared" si="4"/>
        <v>20064.780000000006</v>
      </c>
      <c r="AJ20" s="37">
        <f t="shared" si="5"/>
        <v>0</v>
      </c>
      <c r="AK20" s="37">
        <f t="shared" si="6"/>
        <v>0</v>
      </c>
      <c r="AL20" s="37">
        <f t="shared" si="7"/>
        <v>0</v>
      </c>
      <c r="AM20" s="37">
        <f t="shared" si="8"/>
        <v>0</v>
      </c>
      <c r="AN20" s="37">
        <f t="shared" si="9"/>
        <v>0</v>
      </c>
      <c r="AO20" s="37">
        <f t="shared" si="10"/>
        <v>0</v>
      </c>
    </row>
    <row r="21" spans="1:41" hidden="1" x14ac:dyDescent="0.3">
      <c r="A21" t="str">
        <f t="shared" si="2"/>
        <v>303jun</v>
      </c>
      <c r="B21" t="str">
        <f t="shared" si="3"/>
        <v>AMERICAjun</v>
      </c>
      <c r="C21" s="1" t="s">
        <v>79</v>
      </c>
      <c r="D21" s="1" t="s">
        <v>1</v>
      </c>
      <c r="E21" s="1">
        <v>303</v>
      </c>
      <c r="F21" s="1" t="s">
        <v>122</v>
      </c>
      <c r="G21" s="1" t="s">
        <v>122</v>
      </c>
      <c r="H21" s="1" t="s">
        <v>122</v>
      </c>
      <c r="I21" s="1" t="s">
        <v>124</v>
      </c>
      <c r="J21" s="1" t="s">
        <v>129</v>
      </c>
      <c r="K21" t="s">
        <v>85</v>
      </c>
      <c r="L21" s="6">
        <v>22676.1</v>
      </c>
      <c r="M21" s="6">
        <v>11924.419999999998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4">
        <v>0.75989301511282836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7">
        <f t="shared" si="4"/>
        <v>17231.410000000007</v>
      </c>
      <c r="AJ21" s="37">
        <f t="shared" si="5"/>
        <v>0</v>
      </c>
      <c r="AK21" s="37">
        <f t="shared" si="6"/>
        <v>0</v>
      </c>
      <c r="AL21" s="37">
        <f t="shared" si="7"/>
        <v>0</v>
      </c>
      <c r="AM21" s="37">
        <f t="shared" si="8"/>
        <v>0</v>
      </c>
      <c r="AN21" s="37">
        <f t="shared" si="9"/>
        <v>0</v>
      </c>
      <c r="AO21" s="37">
        <f t="shared" si="10"/>
        <v>0</v>
      </c>
    </row>
    <row r="22" spans="1:41" hidden="1" x14ac:dyDescent="0.3">
      <c r="A22" t="str">
        <f t="shared" si="2"/>
        <v>303jul</v>
      </c>
      <c r="B22" t="str">
        <f t="shared" si="3"/>
        <v>AMERICAjul</v>
      </c>
      <c r="C22" s="1" t="s">
        <v>79</v>
      </c>
      <c r="D22" s="1" t="s">
        <v>1</v>
      </c>
      <c r="E22" s="1">
        <v>303</v>
      </c>
      <c r="F22" s="1" t="s">
        <v>122</v>
      </c>
      <c r="G22" s="1" t="s">
        <v>122</v>
      </c>
      <c r="H22" s="1" t="s">
        <v>122</v>
      </c>
      <c r="I22" s="1" t="s">
        <v>124</v>
      </c>
      <c r="J22" s="1" t="s">
        <v>129</v>
      </c>
      <c r="K22" t="s">
        <v>86</v>
      </c>
      <c r="L22" s="6">
        <v>25069.100000000002</v>
      </c>
      <c r="M22" s="6">
        <v>13518.8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4">
        <v>0.86462377987243244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7">
        <f t="shared" si="4"/>
        <v>21675.339999999997</v>
      </c>
      <c r="AJ22" s="37">
        <f t="shared" si="5"/>
        <v>0</v>
      </c>
      <c r="AK22" s="37">
        <f t="shared" si="6"/>
        <v>0</v>
      </c>
      <c r="AL22" s="37">
        <f t="shared" si="7"/>
        <v>0</v>
      </c>
      <c r="AM22" s="37">
        <f t="shared" si="8"/>
        <v>0</v>
      </c>
      <c r="AN22" s="37">
        <f t="shared" si="9"/>
        <v>0</v>
      </c>
      <c r="AO22" s="37">
        <f t="shared" si="10"/>
        <v>0</v>
      </c>
    </row>
    <row r="23" spans="1:41" hidden="1" x14ac:dyDescent="0.3">
      <c r="A23" t="str">
        <f t="shared" si="2"/>
        <v>303ago</v>
      </c>
      <c r="B23" t="str">
        <f t="shared" si="3"/>
        <v>AMERICAago</v>
      </c>
      <c r="C23" s="1" t="s">
        <v>79</v>
      </c>
      <c r="D23" s="1" t="s">
        <v>1</v>
      </c>
      <c r="E23" s="1">
        <v>303</v>
      </c>
      <c r="F23" s="1" t="s">
        <v>122</v>
      </c>
      <c r="G23" s="1" t="s">
        <v>122</v>
      </c>
      <c r="H23" s="1" t="s">
        <v>122</v>
      </c>
      <c r="I23" s="1" t="s">
        <v>124</v>
      </c>
      <c r="J23" s="1" t="s">
        <v>129</v>
      </c>
      <c r="K23" t="s">
        <v>87</v>
      </c>
      <c r="L23" s="6">
        <v>58822.37999999999</v>
      </c>
      <c r="M23" s="6">
        <v>23510.899999999994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4">
        <v>0.29852277313498676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7">
        <f t="shared" si="4"/>
        <v>17559.819999999982</v>
      </c>
      <c r="AJ23" s="37">
        <f t="shared" si="5"/>
        <v>0</v>
      </c>
      <c r="AK23" s="37">
        <f t="shared" si="6"/>
        <v>0</v>
      </c>
      <c r="AL23" s="37">
        <f t="shared" si="7"/>
        <v>0</v>
      </c>
      <c r="AM23" s="37">
        <f t="shared" si="8"/>
        <v>0</v>
      </c>
      <c r="AN23" s="37">
        <f t="shared" si="9"/>
        <v>0</v>
      </c>
      <c r="AO23" s="37">
        <f t="shared" si="10"/>
        <v>0</v>
      </c>
    </row>
    <row r="24" spans="1:41" hidden="1" x14ac:dyDescent="0.3">
      <c r="A24" t="str">
        <f t="shared" si="2"/>
        <v>303sep</v>
      </c>
      <c r="B24" t="str">
        <f t="shared" si="3"/>
        <v>AMERICAsep</v>
      </c>
      <c r="C24" s="1" t="s">
        <v>79</v>
      </c>
      <c r="D24" s="1" t="s">
        <v>1</v>
      </c>
      <c r="E24" s="1">
        <v>303</v>
      </c>
      <c r="F24" s="1" t="s">
        <v>122</v>
      </c>
      <c r="G24" s="1" t="s">
        <v>122</v>
      </c>
      <c r="H24" s="1" t="s">
        <v>122</v>
      </c>
      <c r="I24" s="1" t="s">
        <v>124</v>
      </c>
      <c r="J24" s="1" t="s">
        <v>129</v>
      </c>
      <c r="K24" t="s">
        <v>88</v>
      </c>
      <c r="L24" s="6">
        <v>19907.599999999999</v>
      </c>
      <c r="M24" s="6">
        <v>10206.119999999999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4">
        <v>0.63634642046253731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7">
        <f t="shared" si="4"/>
        <v>12668.130000000006</v>
      </c>
      <c r="AJ24" s="37">
        <f t="shared" si="5"/>
        <v>0</v>
      </c>
      <c r="AK24" s="37">
        <f t="shared" si="6"/>
        <v>0</v>
      </c>
      <c r="AL24" s="37">
        <f t="shared" si="7"/>
        <v>0</v>
      </c>
      <c r="AM24" s="37">
        <f t="shared" si="8"/>
        <v>0</v>
      </c>
      <c r="AN24" s="37">
        <f t="shared" si="9"/>
        <v>0</v>
      </c>
      <c r="AO24" s="37">
        <f t="shared" si="10"/>
        <v>0</v>
      </c>
    </row>
    <row r="25" spans="1:41" hidden="1" x14ac:dyDescent="0.3">
      <c r="A25" t="str">
        <f t="shared" si="2"/>
        <v>303oct</v>
      </c>
      <c r="B25" t="str">
        <f t="shared" si="3"/>
        <v>AMERICAoct</v>
      </c>
      <c r="C25" s="1" t="s">
        <v>79</v>
      </c>
      <c r="D25" s="1" t="s">
        <v>1</v>
      </c>
      <c r="E25" s="1">
        <v>303</v>
      </c>
      <c r="F25" s="1" t="s">
        <v>122</v>
      </c>
      <c r="G25" s="1" t="s">
        <v>122</v>
      </c>
      <c r="H25" s="1" t="s">
        <v>122</v>
      </c>
      <c r="I25" s="1" t="s">
        <v>124</v>
      </c>
      <c r="J25" s="1" t="s">
        <v>129</v>
      </c>
      <c r="K25" t="s">
        <v>89</v>
      </c>
      <c r="L25" s="6">
        <v>18041.59</v>
      </c>
      <c r="M25" s="6">
        <v>9427.239999999998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4">
        <v>0.7855449547406852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7">
        <f t="shared" si="4"/>
        <v>14172.48</v>
      </c>
      <c r="AJ25" s="37">
        <f t="shared" si="5"/>
        <v>0</v>
      </c>
      <c r="AK25" s="37">
        <f t="shared" si="6"/>
        <v>0</v>
      </c>
      <c r="AL25" s="37">
        <f t="shared" si="7"/>
        <v>0</v>
      </c>
      <c r="AM25" s="37">
        <f t="shared" si="8"/>
        <v>0</v>
      </c>
      <c r="AN25" s="37">
        <f t="shared" si="9"/>
        <v>0</v>
      </c>
      <c r="AO25" s="37">
        <f t="shared" si="10"/>
        <v>0</v>
      </c>
    </row>
    <row r="26" spans="1:41" hidden="1" x14ac:dyDescent="0.3">
      <c r="A26" t="str">
        <f t="shared" si="2"/>
        <v>303nov</v>
      </c>
      <c r="B26" t="str">
        <f t="shared" si="3"/>
        <v>AMERICAnov</v>
      </c>
      <c r="C26" s="1" t="s">
        <v>79</v>
      </c>
      <c r="D26" s="1" t="s">
        <v>1</v>
      </c>
      <c r="E26" s="1">
        <v>303</v>
      </c>
      <c r="F26" s="1" t="s">
        <v>122</v>
      </c>
      <c r="G26" s="1" t="s">
        <v>122</v>
      </c>
      <c r="H26" s="1" t="s">
        <v>122</v>
      </c>
      <c r="I26" s="1" t="s">
        <v>124</v>
      </c>
      <c r="J26" s="1" t="s">
        <v>129</v>
      </c>
      <c r="K26" t="s">
        <v>90</v>
      </c>
      <c r="L26" s="6">
        <v>23209.9</v>
      </c>
      <c r="M26" s="6">
        <v>10993.919999999998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4">
        <v>0.42603328751954977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7">
        <f t="shared" si="4"/>
        <v>9888.1899999999987</v>
      </c>
      <c r="AJ26" s="37">
        <f t="shared" si="5"/>
        <v>0</v>
      </c>
      <c r="AK26" s="37">
        <f t="shared" si="6"/>
        <v>0</v>
      </c>
      <c r="AL26" s="37">
        <f t="shared" si="7"/>
        <v>0</v>
      </c>
      <c r="AM26" s="37">
        <f t="shared" si="8"/>
        <v>0</v>
      </c>
      <c r="AN26" s="37">
        <f t="shared" si="9"/>
        <v>0</v>
      </c>
      <c r="AO26" s="37">
        <f t="shared" si="10"/>
        <v>0</v>
      </c>
    </row>
    <row r="27" spans="1:41" hidden="1" x14ac:dyDescent="0.3">
      <c r="A27" t="str">
        <f t="shared" si="2"/>
        <v>303dic</v>
      </c>
      <c r="B27" t="str">
        <f t="shared" si="3"/>
        <v>AMERICAdic</v>
      </c>
      <c r="C27" s="1" t="s">
        <v>79</v>
      </c>
      <c r="D27" s="1" t="s">
        <v>1</v>
      </c>
      <c r="E27" s="1">
        <v>303</v>
      </c>
      <c r="F27" s="1" t="s">
        <v>122</v>
      </c>
      <c r="G27" s="1" t="s">
        <v>122</v>
      </c>
      <c r="H27" s="1" t="s">
        <v>122</v>
      </c>
      <c r="I27" s="1" t="s">
        <v>124</v>
      </c>
      <c r="J27" s="1" t="s">
        <v>129</v>
      </c>
      <c r="K27" t="s">
        <v>91</v>
      </c>
      <c r="L27" s="6">
        <v>56174.189999999988</v>
      </c>
      <c r="M27" s="6">
        <v>27076.639999999992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4">
        <v>0.48522551014976839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7">
        <f t="shared" si="4"/>
        <v>27257.150000000012</v>
      </c>
      <c r="AJ27" s="37">
        <f t="shared" si="5"/>
        <v>0</v>
      </c>
      <c r="AK27" s="37">
        <f t="shared" si="6"/>
        <v>0</v>
      </c>
      <c r="AL27" s="37">
        <f t="shared" si="7"/>
        <v>0</v>
      </c>
      <c r="AM27" s="37">
        <f t="shared" si="8"/>
        <v>0</v>
      </c>
      <c r="AN27" s="37">
        <f t="shared" si="9"/>
        <v>0</v>
      </c>
      <c r="AO27" s="37">
        <f t="shared" si="10"/>
        <v>0</v>
      </c>
    </row>
    <row r="28" spans="1:41" hidden="1" x14ac:dyDescent="0.3">
      <c r="A28" t="str">
        <f t="shared" si="2"/>
        <v>210ene</v>
      </c>
      <c r="B28" t="str">
        <f t="shared" si="3"/>
        <v>ANTOFAGASTAene</v>
      </c>
      <c r="C28" s="1" t="s">
        <v>79</v>
      </c>
      <c r="D28" s="1" t="s">
        <v>2</v>
      </c>
      <c r="E28" s="1">
        <v>210</v>
      </c>
      <c r="F28" s="1" t="s">
        <v>120</v>
      </c>
      <c r="G28" s="1" t="s">
        <v>119</v>
      </c>
      <c r="H28" s="1" t="s">
        <v>119</v>
      </c>
      <c r="I28" s="1" t="s">
        <v>125</v>
      </c>
      <c r="J28" s="1" t="s">
        <v>132</v>
      </c>
      <c r="K28" t="s">
        <v>80</v>
      </c>
      <c r="L28" s="6">
        <v>52917.81</v>
      </c>
      <c r="M28" s="6">
        <v>24652.440000000002</v>
      </c>
      <c r="N28" s="6">
        <v>26642.520000000004</v>
      </c>
      <c r="O28" s="6">
        <v>12259.050000000003</v>
      </c>
      <c r="P28" s="6">
        <v>33695.14929999999</v>
      </c>
      <c r="Q28" s="6">
        <v>15195.916232499994</v>
      </c>
      <c r="R28" s="6">
        <v>36413.97</v>
      </c>
      <c r="S28" s="6">
        <v>14444.453320520739</v>
      </c>
      <c r="T28" s="6">
        <v>36413.97</v>
      </c>
      <c r="U28" s="6">
        <v>14731.910000000011</v>
      </c>
      <c r="V28" s="30">
        <v>36413.970000000038</v>
      </c>
      <c r="W28" s="30">
        <v>14731.910000000025</v>
      </c>
      <c r="X28" s="30">
        <v>38962.947900000043</v>
      </c>
      <c r="Y28" s="30">
        <v>16897.34766025799</v>
      </c>
      <c r="Z28" s="30">
        <v>31137.931034482775</v>
      </c>
      <c r="AA28" s="30">
        <v>16394.469732472491</v>
      </c>
      <c r="AB28" s="34">
        <v>0.59562952435106464</v>
      </c>
      <c r="AC28" s="34">
        <v>0.50859925691734054</v>
      </c>
      <c r="AD28" s="34">
        <v>0.52718544088098473</v>
      </c>
      <c r="AE28" s="34">
        <v>0.52718544088098362</v>
      </c>
      <c r="AF28" s="34">
        <v>0.52718544088098362</v>
      </c>
      <c r="AG28" s="34">
        <v>0.60000000000000009</v>
      </c>
      <c r="AH28" s="34">
        <v>0.93364710225175351</v>
      </c>
      <c r="AI28" s="37">
        <f t="shared" si="4"/>
        <v>31519.410000000011</v>
      </c>
      <c r="AJ28" s="37">
        <f t="shared" si="5"/>
        <v>13550.365874405386</v>
      </c>
      <c r="AK28" s="37">
        <f t="shared" si="6"/>
        <v>19196.914828676952</v>
      </c>
      <c r="AL28" s="37">
        <f t="shared" si="7"/>
        <v>19196.914828676912</v>
      </c>
      <c r="AM28" s="37">
        <f t="shared" si="8"/>
        <v>19196.91482867693</v>
      </c>
      <c r="AN28" s="37">
        <f t="shared" si="9"/>
        <v>23377.768740000029</v>
      </c>
      <c r="AO28" s="37">
        <f t="shared" si="10"/>
        <v>29071.839080459788</v>
      </c>
    </row>
    <row r="29" spans="1:41" hidden="1" x14ac:dyDescent="0.3">
      <c r="A29" t="str">
        <f t="shared" si="2"/>
        <v>210feb</v>
      </c>
      <c r="B29" t="str">
        <f t="shared" si="3"/>
        <v>ANTOFAGASTAfeb</v>
      </c>
      <c r="C29" s="1" t="s">
        <v>79</v>
      </c>
      <c r="D29" s="1" t="s">
        <v>2</v>
      </c>
      <c r="E29" s="1">
        <v>210</v>
      </c>
      <c r="F29" s="1" t="s">
        <v>120</v>
      </c>
      <c r="G29" s="1" t="s">
        <v>119</v>
      </c>
      <c r="H29" s="1" t="s">
        <v>119</v>
      </c>
      <c r="I29" s="1" t="s">
        <v>125</v>
      </c>
      <c r="J29" s="1" t="s">
        <v>132</v>
      </c>
      <c r="K29" t="s">
        <v>81</v>
      </c>
      <c r="L29" s="6">
        <v>55160.84</v>
      </c>
      <c r="M29" s="6">
        <v>21346.809999999998</v>
      </c>
      <c r="N29" s="6">
        <v>33022.92</v>
      </c>
      <c r="O29" s="6">
        <v>13103.6</v>
      </c>
      <c r="P29" s="6">
        <v>53667.52049999997</v>
      </c>
      <c r="Q29" s="6">
        <v>19800.589994999988</v>
      </c>
      <c r="R29" s="6">
        <v>47907.939999999988</v>
      </c>
      <c r="S29" s="6">
        <v>16150.185659239736</v>
      </c>
      <c r="T29" s="6">
        <v>47907.94</v>
      </c>
      <c r="U29" s="6">
        <v>16404.890000000014</v>
      </c>
      <c r="V29" s="30">
        <v>53667.52049999997</v>
      </c>
      <c r="W29" s="30">
        <v>18377.115993199564</v>
      </c>
      <c r="X29" s="30">
        <v>55277.546114999976</v>
      </c>
      <c r="Y29" s="30">
        <v>19773.09909464404</v>
      </c>
      <c r="Z29" s="30">
        <v>43373.419540229952</v>
      </c>
      <c r="AA29" s="30">
        <v>17855.438486325638</v>
      </c>
      <c r="AB29" s="34">
        <v>0.33102378426434459</v>
      </c>
      <c r="AC29" s="34">
        <v>0.33242274382249554</v>
      </c>
      <c r="AD29" s="34">
        <v>0.1997575104798002</v>
      </c>
      <c r="AE29" s="34">
        <v>0.19975751047979984</v>
      </c>
      <c r="AF29" s="34">
        <v>0.19975751047979984</v>
      </c>
      <c r="AG29" s="34">
        <v>0.36000000000000004</v>
      </c>
      <c r="AH29" s="34">
        <v>0.45206854401929225</v>
      </c>
      <c r="AI29" s="37">
        <f t="shared" si="4"/>
        <v>18259.550000000028</v>
      </c>
      <c r="AJ29" s="37">
        <f t="shared" si="5"/>
        <v>10977.569675430765</v>
      </c>
      <c r="AK29" s="37">
        <f t="shared" si="6"/>
        <v>9569.9708266156395</v>
      </c>
      <c r="AL29" s="37">
        <f t="shared" si="7"/>
        <v>9569.9708266156194</v>
      </c>
      <c r="AM29" s="37">
        <f t="shared" si="8"/>
        <v>10720.490288703617</v>
      </c>
      <c r="AN29" s="37">
        <f t="shared" si="9"/>
        <v>19899.916601399993</v>
      </c>
      <c r="AO29" s="37">
        <f t="shared" si="10"/>
        <v>19607.758620689674</v>
      </c>
    </row>
    <row r="30" spans="1:41" hidden="1" x14ac:dyDescent="0.3">
      <c r="A30" t="str">
        <f t="shared" si="2"/>
        <v>210mar</v>
      </c>
      <c r="B30" t="str">
        <f t="shared" si="3"/>
        <v>ANTOFAGASTAmar</v>
      </c>
      <c r="C30" s="1" t="s">
        <v>79</v>
      </c>
      <c r="D30" s="1" t="s">
        <v>2</v>
      </c>
      <c r="E30" s="1">
        <v>210</v>
      </c>
      <c r="F30" s="1" t="s">
        <v>120</v>
      </c>
      <c r="G30" s="1" t="s">
        <v>119</v>
      </c>
      <c r="H30" s="1" t="s">
        <v>119</v>
      </c>
      <c r="I30" s="1" t="s">
        <v>125</v>
      </c>
      <c r="J30" s="1" t="s">
        <v>132</v>
      </c>
      <c r="K30" t="s">
        <v>82</v>
      </c>
      <c r="L30" s="6">
        <v>45659.149999999994</v>
      </c>
      <c r="M30" s="6">
        <v>18932.330000000002</v>
      </c>
      <c r="N30" s="6">
        <v>61354.80000000001</v>
      </c>
      <c r="O30" s="6">
        <v>23067.540000000008</v>
      </c>
      <c r="P30" s="6">
        <v>36275.496149999984</v>
      </c>
      <c r="Q30" s="6">
        <v>14173.549447999994</v>
      </c>
      <c r="R30" s="6">
        <v>45125.820000000007</v>
      </c>
      <c r="S30" s="6">
        <v>17825.748521025675</v>
      </c>
      <c r="T30" s="6">
        <v>45125.820000000007</v>
      </c>
      <c r="U30" s="6">
        <v>17855.839999999982</v>
      </c>
      <c r="V30" s="30">
        <v>45125.820000000029</v>
      </c>
      <c r="W30" s="30">
        <v>17855.839999999989</v>
      </c>
      <c r="X30" s="30">
        <v>46930.852800000022</v>
      </c>
      <c r="Y30" s="30">
        <v>20055.730055425262</v>
      </c>
      <c r="Z30" s="30">
        <v>40300.225829208008</v>
      </c>
      <c r="AA30" s="30">
        <v>19585.909752995092</v>
      </c>
      <c r="AB30" s="34">
        <v>0.39907970253497965</v>
      </c>
      <c r="AC30" s="34">
        <v>0.24462982846761336</v>
      </c>
      <c r="AD30" s="34">
        <v>0.38158198930186865</v>
      </c>
      <c r="AE30" s="34">
        <v>0.38158198930186848</v>
      </c>
      <c r="AF30" s="34">
        <v>0.38158198930186848</v>
      </c>
      <c r="AG30" s="34">
        <v>0.58000000000000007</v>
      </c>
      <c r="AH30" s="34">
        <v>0.76808762103928319</v>
      </c>
      <c r="AI30" s="37">
        <f t="shared" si="4"/>
        <v>18221.640000000014</v>
      </c>
      <c r="AJ30" s="37">
        <f t="shared" si="5"/>
        <v>15009.214199664726</v>
      </c>
      <c r="AK30" s="37">
        <f t="shared" si="6"/>
        <v>17219.200164478054</v>
      </c>
      <c r="AL30" s="37">
        <f t="shared" si="7"/>
        <v>17219.200164478047</v>
      </c>
      <c r="AM30" s="37">
        <f t="shared" si="8"/>
        <v>17219.200164478054</v>
      </c>
      <c r="AN30" s="37">
        <f t="shared" si="9"/>
        <v>27219.894624000015</v>
      </c>
      <c r="AO30" s="37">
        <f t="shared" si="10"/>
        <v>30954.104584502253</v>
      </c>
    </row>
    <row r="31" spans="1:41" hidden="1" x14ac:dyDescent="0.3">
      <c r="A31" t="str">
        <f t="shared" si="2"/>
        <v>210abr</v>
      </c>
      <c r="B31" t="str">
        <f t="shared" si="3"/>
        <v>ANTOFAGASTAabr</v>
      </c>
      <c r="C31" s="1" t="s">
        <v>79</v>
      </c>
      <c r="D31" s="1" t="s">
        <v>2</v>
      </c>
      <c r="E31" s="1">
        <v>210</v>
      </c>
      <c r="F31" s="1" t="s">
        <v>120</v>
      </c>
      <c r="G31" s="1" t="s">
        <v>119</v>
      </c>
      <c r="H31" s="1" t="s">
        <v>119</v>
      </c>
      <c r="I31" s="1" t="s">
        <v>125</v>
      </c>
      <c r="J31" s="1" t="s">
        <v>132</v>
      </c>
      <c r="K31" t="s">
        <v>83</v>
      </c>
      <c r="L31" s="6">
        <v>47151.149999999994</v>
      </c>
      <c r="M31" s="6">
        <v>22184.549999999996</v>
      </c>
      <c r="N31" s="6">
        <v>39916.97</v>
      </c>
      <c r="O31" s="6">
        <v>17661.969999999998</v>
      </c>
      <c r="P31" s="6">
        <v>32349.826949999973</v>
      </c>
      <c r="Q31" s="6">
        <v>14449.859626499987</v>
      </c>
      <c r="R31" s="6">
        <v>45550.800000000017</v>
      </c>
      <c r="S31" s="6">
        <v>18577.372139467607</v>
      </c>
      <c r="T31" s="6">
        <v>45550.8</v>
      </c>
      <c r="U31" s="6">
        <v>18561.040000000005</v>
      </c>
      <c r="V31" s="30">
        <v>45550.800000000017</v>
      </c>
      <c r="W31" s="30">
        <v>18561.040000000012</v>
      </c>
      <c r="X31" s="30">
        <v>48739.356000000022</v>
      </c>
      <c r="Y31" s="30">
        <v>21137.154333978939</v>
      </c>
      <c r="Z31" s="30">
        <v>0</v>
      </c>
      <c r="AA31" s="30">
        <v>0</v>
      </c>
      <c r="AB31" s="34">
        <v>0.52286508388448616</v>
      </c>
      <c r="AC31" s="34">
        <v>0.45827923642321006</v>
      </c>
      <c r="AD31" s="34">
        <v>0.50773872117902896</v>
      </c>
      <c r="AE31" s="34">
        <v>0.50773872117902896</v>
      </c>
      <c r="AF31" s="34">
        <v>0.50773872117902896</v>
      </c>
      <c r="AG31" s="34">
        <v>0.6</v>
      </c>
      <c r="AH31" s="34">
        <v>0</v>
      </c>
      <c r="AI31" s="37">
        <f t="shared" si="4"/>
        <v>24653.689999999988</v>
      </c>
      <c r="AJ31" s="37">
        <f t="shared" si="5"/>
        <v>18293.118531928183</v>
      </c>
      <c r="AK31" s="37">
        <f t="shared" si="6"/>
        <v>23127.904940681714</v>
      </c>
      <c r="AL31" s="37">
        <f t="shared" si="7"/>
        <v>23127.904940681721</v>
      </c>
      <c r="AM31" s="37">
        <f t="shared" si="8"/>
        <v>23127.904940681721</v>
      </c>
      <c r="AN31" s="37">
        <f t="shared" si="9"/>
        <v>29243.613600000012</v>
      </c>
      <c r="AO31" s="37">
        <f t="shared" si="10"/>
        <v>0</v>
      </c>
    </row>
    <row r="32" spans="1:41" hidden="1" x14ac:dyDescent="0.3">
      <c r="A32" t="str">
        <f t="shared" si="2"/>
        <v>210may</v>
      </c>
      <c r="B32" t="str">
        <f t="shared" si="3"/>
        <v>ANTOFAGASTAmay</v>
      </c>
      <c r="C32" s="1" t="s">
        <v>79</v>
      </c>
      <c r="D32" s="1" t="s">
        <v>2</v>
      </c>
      <c r="E32" s="1">
        <v>210</v>
      </c>
      <c r="F32" s="1" t="s">
        <v>120</v>
      </c>
      <c r="G32" s="1" t="s">
        <v>119</v>
      </c>
      <c r="H32" s="1" t="s">
        <v>119</v>
      </c>
      <c r="I32" s="1" t="s">
        <v>125</v>
      </c>
      <c r="J32" s="1" t="s">
        <v>132</v>
      </c>
      <c r="K32" t="s">
        <v>84</v>
      </c>
      <c r="L32" s="6">
        <v>38382.770000000004</v>
      </c>
      <c r="M32" s="6">
        <v>18629.009999999998</v>
      </c>
      <c r="N32" s="6">
        <v>37214.75</v>
      </c>
      <c r="O32" s="6">
        <v>16430.5</v>
      </c>
      <c r="P32" s="6">
        <v>35226.989499999974</v>
      </c>
      <c r="Q32" s="6">
        <v>14721.10328599999</v>
      </c>
      <c r="R32" s="6">
        <v>43154.120000000054</v>
      </c>
      <c r="S32" s="6">
        <v>18158.401147264296</v>
      </c>
      <c r="T32" s="6">
        <v>43154.120000000039</v>
      </c>
      <c r="U32" s="6">
        <v>18454.790000000026</v>
      </c>
      <c r="V32" s="30">
        <v>43154.120000000039</v>
      </c>
      <c r="W32" s="30">
        <v>18454.790000000026</v>
      </c>
      <c r="X32" s="30">
        <v>46174.908400000044</v>
      </c>
      <c r="Y32" s="30">
        <v>20025.011516527655</v>
      </c>
      <c r="Z32" s="30">
        <v>0</v>
      </c>
      <c r="AA32" s="30">
        <v>0</v>
      </c>
      <c r="AB32" s="34">
        <v>0.57496293258667941</v>
      </c>
      <c r="AC32" s="34">
        <v>0.47237024086711221</v>
      </c>
      <c r="AD32" s="34">
        <v>0.57782799965576281</v>
      </c>
      <c r="AE32" s="34">
        <v>0.57782799965576248</v>
      </c>
      <c r="AF32" s="34">
        <v>0.57782799965576248</v>
      </c>
      <c r="AG32" s="34">
        <v>0.59999999999999987</v>
      </c>
      <c r="AH32" s="34">
        <v>0</v>
      </c>
      <c r="AI32" s="37">
        <f t="shared" si="4"/>
        <v>22068.670000000024</v>
      </c>
      <c r="AJ32" s="37">
        <f t="shared" si="5"/>
        <v>17579.140421309363</v>
      </c>
      <c r="AK32" s="37">
        <f t="shared" si="6"/>
        <v>24935.658836504768</v>
      </c>
      <c r="AL32" s="37">
        <f t="shared" si="7"/>
        <v>24935.658836504765</v>
      </c>
      <c r="AM32" s="37">
        <f t="shared" si="8"/>
        <v>24935.658836504754</v>
      </c>
      <c r="AN32" s="37">
        <f t="shared" si="9"/>
        <v>27704.945040000021</v>
      </c>
      <c r="AO32" s="37">
        <f t="shared" si="10"/>
        <v>0</v>
      </c>
    </row>
    <row r="33" spans="1:41" hidden="1" x14ac:dyDescent="0.3">
      <c r="A33" t="str">
        <f t="shared" si="2"/>
        <v>210jun</v>
      </c>
      <c r="B33" t="str">
        <f t="shared" si="3"/>
        <v>ANTOFAGASTAjun</v>
      </c>
      <c r="C33" s="1" t="s">
        <v>79</v>
      </c>
      <c r="D33" s="1" t="s">
        <v>2</v>
      </c>
      <c r="E33" s="1">
        <v>210</v>
      </c>
      <c r="F33" s="1" t="s">
        <v>120</v>
      </c>
      <c r="G33" s="1" t="s">
        <v>119</v>
      </c>
      <c r="H33" s="1" t="s">
        <v>119</v>
      </c>
      <c r="I33" s="1" t="s">
        <v>125</v>
      </c>
      <c r="J33" s="1" t="s">
        <v>132</v>
      </c>
      <c r="K33" t="s">
        <v>85</v>
      </c>
      <c r="L33" s="6">
        <v>36959.089999999997</v>
      </c>
      <c r="M33" s="6">
        <v>17180.419999999991</v>
      </c>
      <c r="N33" s="6">
        <v>29572.759999999995</v>
      </c>
      <c r="O33" s="6">
        <v>13603.789999999997</v>
      </c>
      <c r="P33" s="6">
        <v>31586.217599999982</v>
      </c>
      <c r="Q33" s="6">
        <v>14370.813467999993</v>
      </c>
      <c r="R33" s="6">
        <v>34762.689999999995</v>
      </c>
      <c r="S33" s="6">
        <v>14324.045726284232</v>
      </c>
      <c r="T33" s="6">
        <v>34762.689999999981</v>
      </c>
      <c r="U33" s="6">
        <v>14306.829999999994</v>
      </c>
      <c r="V33" s="30">
        <v>34762.689999999988</v>
      </c>
      <c r="W33" s="30">
        <v>14306.829999999998</v>
      </c>
      <c r="X33" s="30">
        <v>39977.093499999988</v>
      </c>
      <c r="Y33" s="30">
        <v>17337.159627907386</v>
      </c>
      <c r="Z33" s="30">
        <v>0</v>
      </c>
      <c r="AA33" s="30">
        <v>0</v>
      </c>
      <c r="AB33" s="34">
        <v>0.49922955354149767</v>
      </c>
      <c r="AC33" s="34">
        <v>0.52051919988161599</v>
      </c>
      <c r="AD33" s="34">
        <v>0.55446928750489111</v>
      </c>
      <c r="AE33" s="34">
        <v>0.55446928750489111</v>
      </c>
      <c r="AF33" s="34">
        <v>0.55446928750489111</v>
      </c>
      <c r="AG33" s="34">
        <v>0.6</v>
      </c>
      <c r="AH33" s="34">
        <v>0</v>
      </c>
      <c r="AI33" s="37">
        <f t="shared" si="4"/>
        <v>18451.070000000029</v>
      </c>
      <c r="AJ33" s="37">
        <f t="shared" si="5"/>
        <v>15393.189373491055</v>
      </c>
      <c r="AK33" s="37">
        <f t="shared" si="6"/>
        <v>19274.843956053392</v>
      </c>
      <c r="AL33" s="37">
        <f t="shared" si="7"/>
        <v>19274.843956053399</v>
      </c>
      <c r="AM33" s="37">
        <f t="shared" si="8"/>
        <v>19274.843956053395</v>
      </c>
      <c r="AN33" s="37">
        <f t="shared" si="9"/>
        <v>23986.256099999991</v>
      </c>
      <c r="AO33" s="37">
        <f t="shared" si="10"/>
        <v>0</v>
      </c>
    </row>
    <row r="34" spans="1:41" hidden="1" x14ac:dyDescent="0.3">
      <c r="A34" t="str">
        <f t="shared" si="2"/>
        <v>210jul</v>
      </c>
      <c r="B34" t="str">
        <f t="shared" si="3"/>
        <v>ANTOFAGASTAjul</v>
      </c>
      <c r="C34" s="1" t="s">
        <v>79</v>
      </c>
      <c r="D34" s="1" t="s">
        <v>2</v>
      </c>
      <c r="E34" s="1">
        <v>210</v>
      </c>
      <c r="F34" s="1" t="s">
        <v>120</v>
      </c>
      <c r="G34" s="1" t="s">
        <v>119</v>
      </c>
      <c r="H34" s="1" t="s">
        <v>119</v>
      </c>
      <c r="I34" s="1" t="s">
        <v>125</v>
      </c>
      <c r="J34" s="1" t="s">
        <v>132</v>
      </c>
      <c r="K34" t="s">
        <v>86</v>
      </c>
      <c r="L34" s="6">
        <v>44474.570000000007</v>
      </c>
      <c r="M34" s="6">
        <v>21461.279999999999</v>
      </c>
      <c r="N34" s="6">
        <v>27818.780000000002</v>
      </c>
      <c r="O34" s="6">
        <v>12993.32</v>
      </c>
      <c r="P34" s="6">
        <v>33588.964299999992</v>
      </c>
      <c r="Q34" s="6">
        <v>15504.155645999996</v>
      </c>
      <c r="R34" s="6">
        <v>34877.140000000007</v>
      </c>
      <c r="S34" s="6">
        <v>16601.579999999998</v>
      </c>
      <c r="T34" s="6">
        <v>34877.139999999992</v>
      </c>
      <c r="U34" s="6">
        <v>16601.579999999987</v>
      </c>
      <c r="V34" s="30">
        <v>34877.139999999956</v>
      </c>
      <c r="W34" s="30">
        <v>16601.579999999969</v>
      </c>
      <c r="X34" s="30">
        <v>38713.625399999961</v>
      </c>
      <c r="Y34" s="30">
        <v>16789.222141294726</v>
      </c>
      <c r="Z34" s="30">
        <v>0</v>
      </c>
      <c r="AA34" s="30">
        <v>0</v>
      </c>
      <c r="AB34" s="34">
        <v>0.58817184741752448</v>
      </c>
      <c r="AC34" s="34">
        <v>0.53428184057922068</v>
      </c>
      <c r="AD34" s="34">
        <v>0.6657268915971899</v>
      </c>
      <c r="AE34" s="34">
        <v>0.6657268915971899</v>
      </c>
      <c r="AF34" s="34">
        <v>0.6657268915971899</v>
      </c>
      <c r="AG34" s="34">
        <v>0.6</v>
      </c>
      <c r="AH34" s="34">
        <v>0</v>
      </c>
      <c r="AI34" s="37">
        <f t="shared" si="4"/>
        <v>26158.690000000017</v>
      </c>
      <c r="AJ34" s="37">
        <f t="shared" si="5"/>
        <v>14863.068981068414</v>
      </c>
      <c r="AK34" s="37">
        <f t="shared" si="6"/>
        <v>23218.650000000009</v>
      </c>
      <c r="AL34" s="37">
        <f t="shared" si="7"/>
        <v>23218.65000000002</v>
      </c>
      <c r="AM34" s="37">
        <f t="shared" si="8"/>
        <v>23218.649999999987</v>
      </c>
      <c r="AN34" s="37">
        <f t="shared" si="9"/>
        <v>23228.175239999975</v>
      </c>
      <c r="AO34" s="37">
        <f t="shared" si="10"/>
        <v>0</v>
      </c>
    </row>
    <row r="35" spans="1:41" hidden="1" x14ac:dyDescent="0.3">
      <c r="A35" t="str">
        <f t="shared" si="2"/>
        <v>210ago</v>
      </c>
      <c r="B35" t="str">
        <f t="shared" si="3"/>
        <v>ANTOFAGASTAago</v>
      </c>
      <c r="C35" s="1" t="s">
        <v>79</v>
      </c>
      <c r="D35" s="1" t="s">
        <v>2</v>
      </c>
      <c r="E35" s="1">
        <v>210</v>
      </c>
      <c r="F35" s="1" t="s">
        <v>120</v>
      </c>
      <c r="G35" s="1" t="s">
        <v>119</v>
      </c>
      <c r="H35" s="1" t="s">
        <v>119</v>
      </c>
      <c r="I35" s="1" t="s">
        <v>125</v>
      </c>
      <c r="J35" s="1" t="s">
        <v>132</v>
      </c>
      <c r="K35" t="s">
        <v>87</v>
      </c>
      <c r="L35" s="6">
        <v>105408.47999999998</v>
      </c>
      <c r="M35" s="6">
        <v>33647.03</v>
      </c>
      <c r="N35" s="6">
        <v>56065.859999999993</v>
      </c>
      <c r="O35" s="6">
        <v>20078.989999999998</v>
      </c>
      <c r="P35" s="6">
        <v>58166.524199999985</v>
      </c>
      <c r="Q35" s="6">
        <v>20587.690478999997</v>
      </c>
      <c r="R35" s="6">
        <v>61975.616781359618</v>
      </c>
      <c r="S35" s="6">
        <v>22692.991840662642</v>
      </c>
      <c r="T35" s="6">
        <v>70595.590000000069</v>
      </c>
      <c r="U35" s="6">
        <v>22496.670000000056</v>
      </c>
      <c r="V35" s="30">
        <v>70595.590000000127</v>
      </c>
      <c r="W35" s="30">
        <v>25849.281234400049</v>
      </c>
      <c r="X35" s="30">
        <v>72713.45770000013</v>
      </c>
      <c r="Y35" s="30">
        <v>26010.025872442995</v>
      </c>
      <c r="Z35" s="30">
        <v>0</v>
      </c>
      <c r="AA35" s="30">
        <v>0</v>
      </c>
      <c r="AB35" s="34">
        <v>0.19461204639323151</v>
      </c>
      <c r="AC35" s="34">
        <v>0.22001221382972025</v>
      </c>
      <c r="AD35" s="34">
        <v>0.33282688054593718</v>
      </c>
      <c r="AE35" s="34">
        <v>0.27</v>
      </c>
      <c r="AF35" s="34">
        <v>0.27</v>
      </c>
      <c r="AG35" s="34">
        <v>0.35999999999999993</v>
      </c>
      <c r="AH35" s="34">
        <v>0</v>
      </c>
      <c r="AI35" s="37">
        <f t="shared" si="4"/>
        <v>20513.760000000013</v>
      </c>
      <c r="AJ35" s="37">
        <f t="shared" si="5"/>
        <v>12335.173978867158</v>
      </c>
      <c r="AK35" s="37">
        <f t="shared" si="6"/>
        <v>23496.109999999979</v>
      </c>
      <c r="AL35" s="37">
        <f t="shared" si="7"/>
        <v>16733.416530967097</v>
      </c>
      <c r="AM35" s="37">
        <f t="shared" si="8"/>
        <v>19060.809300000037</v>
      </c>
      <c r="AN35" s="37">
        <f t="shared" si="9"/>
        <v>26176.84477200004</v>
      </c>
      <c r="AO35" s="37">
        <f t="shared" si="10"/>
        <v>0</v>
      </c>
    </row>
    <row r="36" spans="1:41" hidden="1" x14ac:dyDescent="0.3">
      <c r="A36" t="str">
        <f t="shared" si="2"/>
        <v>210sep</v>
      </c>
      <c r="B36" t="str">
        <f t="shared" si="3"/>
        <v>ANTOFAGASTAsep</v>
      </c>
      <c r="C36" s="1" t="s">
        <v>79</v>
      </c>
      <c r="D36" s="1" t="s">
        <v>2</v>
      </c>
      <c r="E36" s="1">
        <v>210</v>
      </c>
      <c r="F36" s="1" t="s">
        <v>120</v>
      </c>
      <c r="G36" s="1" t="s">
        <v>119</v>
      </c>
      <c r="H36" s="1" t="s">
        <v>119</v>
      </c>
      <c r="I36" s="1" t="s">
        <v>125</v>
      </c>
      <c r="J36" s="1" t="s">
        <v>132</v>
      </c>
      <c r="K36" t="s">
        <v>88</v>
      </c>
      <c r="L36" s="6">
        <v>32584.849999999991</v>
      </c>
      <c r="M36" s="6">
        <v>12954.289999999994</v>
      </c>
      <c r="N36" s="6">
        <v>32998.980000000003</v>
      </c>
      <c r="O36" s="6">
        <v>13171.170000000002</v>
      </c>
      <c r="P36" s="6">
        <v>31461.353264999998</v>
      </c>
      <c r="Q36" s="6">
        <v>13381.710649949997</v>
      </c>
      <c r="R36" s="6">
        <v>34025.453556097491</v>
      </c>
      <c r="S36" s="6">
        <v>14596.919575565824</v>
      </c>
      <c r="T36" s="6">
        <v>33527.240000000027</v>
      </c>
      <c r="U36" s="6">
        <v>15588.010000000042</v>
      </c>
      <c r="V36" s="30">
        <v>33527.240000000027</v>
      </c>
      <c r="W36" s="30">
        <v>15588.010000000042</v>
      </c>
      <c r="X36" s="30">
        <v>39562.143200000035</v>
      </c>
      <c r="Y36" s="30">
        <v>16906.738682431918</v>
      </c>
      <c r="Z36" s="30">
        <v>0</v>
      </c>
      <c r="AA36" s="30">
        <v>0</v>
      </c>
      <c r="AB36" s="34">
        <v>0.35787520887774577</v>
      </c>
      <c r="AC36" s="34">
        <v>0.38490440444529211</v>
      </c>
      <c r="AD36" s="34">
        <v>0.66818861319929701</v>
      </c>
      <c r="AE36" s="34">
        <v>0.5</v>
      </c>
      <c r="AF36" s="34">
        <v>0.5</v>
      </c>
      <c r="AG36" s="34">
        <v>0.58000000000000007</v>
      </c>
      <c r="AH36" s="34">
        <v>0</v>
      </c>
      <c r="AI36" s="37">
        <f t="shared" si="4"/>
        <v>11661.31000000001</v>
      </c>
      <c r="AJ36" s="37">
        <f t="shared" si="5"/>
        <v>12701.452744202106</v>
      </c>
      <c r="AK36" s="37">
        <f t="shared" si="6"/>
        <v>22402.520000000015</v>
      </c>
      <c r="AL36" s="37">
        <f t="shared" si="7"/>
        <v>17012.726778048745</v>
      </c>
      <c r="AM36" s="37">
        <f t="shared" si="8"/>
        <v>16763.620000000014</v>
      </c>
      <c r="AN36" s="37">
        <f t="shared" si="9"/>
        <v>22946.043056000024</v>
      </c>
      <c r="AO36" s="37">
        <f t="shared" si="10"/>
        <v>0</v>
      </c>
    </row>
    <row r="37" spans="1:41" hidden="1" x14ac:dyDescent="0.3">
      <c r="A37" t="str">
        <f t="shared" si="2"/>
        <v>210oct</v>
      </c>
      <c r="B37" t="str">
        <f t="shared" si="3"/>
        <v>ANTOFAGASTAoct</v>
      </c>
      <c r="C37" s="1" t="s">
        <v>79</v>
      </c>
      <c r="D37" s="1" t="s">
        <v>2</v>
      </c>
      <c r="E37" s="1">
        <v>210</v>
      </c>
      <c r="F37" s="1" t="s">
        <v>120</v>
      </c>
      <c r="G37" s="1" t="s">
        <v>119</v>
      </c>
      <c r="H37" s="1" t="s">
        <v>119</v>
      </c>
      <c r="I37" s="1" t="s">
        <v>125</v>
      </c>
      <c r="J37" s="1" t="s">
        <v>132</v>
      </c>
      <c r="K37" t="s">
        <v>89</v>
      </c>
      <c r="L37" s="6">
        <v>28858.459999999992</v>
      </c>
      <c r="M37" s="6">
        <v>12341.209999999995</v>
      </c>
      <c r="N37" s="6">
        <v>28612.490000000005</v>
      </c>
      <c r="O37" s="6">
        <v>12171.200000000004</v>
      </c>
      <c r="P37" s="6">
        <v>33261.549539999985</v>
      </c>
      <c r="Q37" s="6">
        <v>14104.952928149996</v>
      </c>
      <c r="R37" s="6">
        <v>35972.365827509981</v>
      </c>
      <c r="S37" s="6">
        <v>15612.006769139334</v>
      </c>
      <c r="T37" s="6">
        <v>36225.399999999994</v>
      </c>
      <c r="U37" s="6">
        <v>16847.39</v>
      </c>
      <c r="V37" s="30">
        <v>36225.4</v>
      </c>
      <c r="W37" s="30">
        <v>15721.823600000003</v>
      </c>
      <c r="X37" s="30">
        <v>39847.939999999995</v>
      </c>
      <c r="Y37" s="30">
        <v>17281.148681388659</v>
      </c>
      <c r="Z37" s="30">
        <v>0</v>
      </c>
      <c r="AA37" s="30">
        <v>0</v>
      </c>
      <c r="AB37" s="34">
        <v>0.44894737972850962</v>
      </c>
      <c r="AC37" s="34">
        <v>0.49374786466015214</v>
      </c>
      <c r="AD37" s="34">
        <v>0.70173276209510482</v>
      </c>
      <c r="AE37" s="34">
        <v>0.5</v>
      </c>
      <c r="AF37" s="34">
        <v>0.5</v>
      </c>
      <c r="AG37" s="34">
        <v>0.6</v>
      </c>
      <c r="AH37" s="34">
        <v>0</v>
      </c>
      <c r="AI37" s="37">
        <f t="shared" si="4"/>
        <v>12955.930000000002</v>
      </c>
      <c r="AJ37" s="37">
        <f t="shared" si="5"/>
        <v>14127.355840109958</v>
      </c>
      <c r="AK37" s="37">
        <f t="shared" si="6"/>
        <v>25420.550000000007</v>
      </c>
      <c r="AL37" s="37">
        <f t="shared" si="7"/>
        <v>17986.18291375499</v>
      </c>
      <c r="AM37" s="37">
        <f t="shared" si="8"/>
        <v>18112.7</v>
      </c>
      <c r="AN37" s="37">
        <f t="shared" si="9"/>
        <v>23908.763999999996</v>
      </c>
      <c r="AO37" s="37">
        <f t="shared" si="10"/>
        <v>0</v>
      </c>
    </row>
    <row r="38" spans="1:41" hidden="1" x14ac:dyDescent="0.3">
      <c r="A38" t="str">
        <f t="shared" si="2"/>
        <v>210nov</v>
      </c>
      <c r="B38" t="str">
        <f t="shared" si="3"/>
        <v>ANTOFAGASTAnov</v>
      </c>
      <c r="C38" s="1" t="s">
        <v>79</v>
      </c>
      <c r="D38" s="1" t="s">
        <v>2</v>
      </c>
      <c r="E38" s="1">
        <v>210</v>
      </c>
      <c r="F38" s="1" t="s">
        <v>120</v>
      </c>
      <c r="G38" s="1" t="s">
        <v>119</v>
      </c>
      <c r="H38" s="1" t="s">
        <v>119</v>
      </c>
      <c r="I38" s="1" t="s">
        <v>125</v>
      </c>
      <c r="J38" s="1" t="s">
        <v>132</v>
      </c>
      <c r="K38" t="s">
        <v>90</v>
      </c>
      <c r="L38" s="6">
        <v>22914.059999999998</v>
      </c>
      <c r="M38" s="6">
        <v>9149.9699999999975</v>
      </c>
      <c r="N38" s="6">
        <v>40963.56</v>
      </c>
      <c r="O38" s="6">
        <v>16241.04999999999</v>
      </c>
      <c r="P38" s="6">
        <v>45042.389144999986</v>
      </c>
      <c r="Q38" s="6">
        <v>16963.382039149998</v>
      </c>
      <c r="R38" s="6">
        <v>47785.470643930486</v>
      </c>
      <c r="S38" s="6">
        <v>19271.880310697168</v>
      </c>
      <c r="T38" s="6">
        <v>45513.074712643669</v>
      </c>
      <c r="U38" s="6">
        <v>19804.995787297201</v>
      </c>
      <c r="V38" s="30">
        <v>47785.470643930486</v>
      </c>
      <c r="W38" s="30">
        <v>19271.880310697168</v>
      </c>
      <c r="X38" s="30">
        <v>51130.453589005629</v>
      </c>
      <c r="Y38" s="30">
        <v>20231.889603255131</v>
      </c>
      <c r="Z38" s="30">
        <v>0</v>
      </c>
      <c r="AA38" s="30">
        <v>0</v>
      </c>
      <c r="AB38" s="34">
        <v>0.25536461020002554</v>
      </c>
      <c r="AC38" s="34">
        <v>0.37852667681426383</v>
      </c>
      <c r="AD38" s="34">
        <v>0.33282688054593718</v>
      </c>
      <c r="AE38" s="34">
        <v>0.35000000000000003</v>
      </c>
      <c r="AF38" s="34">
        <v>0.35000000000000003</v>
      </c>
      <c r="AG38" s="34">
        <v>0.48000000000000009</v>
      </c>
      <c r="AH38" s="34">
        <v>0</v>
      </c>
      <c r="AI38" s="37">
        <f t="shared" si="4"/>
        <v>5851.4399999999969</v>
      </c>
      <c r="AJ38" s="37">
        <f t="shared" si="5"/>
        <v>15505.800237281705</v>
      </c>
      <c r="AK38" s="37">
        <f t="shared" si="6"/>
        <v>15147.974680663368</v>
      </c>
      <c r="AL38" s="37">
        <f t="shared" si="7"/>
        <v>16724.914725375671</v>
      </c>
      <c r="AM38" s="37">
        <f t="shared" si="8"/>
        <v>16724.914725375671</v>
      </c>
      <c r="AN38" s="37">
        <f t="shared" si="9"/>
        <v>24542.617722722705</v>
      </c>
      <c r="AO38" s="37">
        <f t="shared" si="10"/>
        <v>0</v>
      </c>
    </row>
    <row r="39" spans="1:41" hidden="1" x14ac:dyDescent="0.3">
      <c r="A39" t="str">
        <f t="shared" si="2"/>
        <v>210dic</v>
      </c>
      <c r="B39" t="str">
        <f t="shared" si="3"/>
        <v>ANTOFAGASTAdic</v>
      </c>
      <c r="C39" s="1" t="s">
        <v>79</v>
      </c>
      <c r="D39" s="1" t="s">
        <v>2</v>
      </c>
      <c r="E39" s="1">
        <v>210</v>
      </c>
      <c r="F39" s="1" t="s">
        <v>120</v>
      </c>
      <c r="G39" s="1" t="s">
        <v>119</v>
      </c>
      <c r="H39" s="1" t="s">
        <v>119</v>
      </c>
      <c r="I39" s="1" t="s">
        <v>125</v>
      </c>
      <c r="J39" s="1" t="s">
        <v>132</v>
      </c>
      <c r="K39" t="s">
        <v>91</v>
      </c>
      <c r="L39" s="6">
        <v>96870.069999999992</v>
      </c>
      <c r="M39" s="6">
        <v>40387.859999999993</v>
      </c>
      <c r="N39" s="6">
        <v>72285.97</v>
      </c>
      <c r="O39" s="6">
        <v>30995.78999999999</v>
      </c>
      <c r="P39" s="6">
        <v>74294.337349999987</v>
      </c>
      <c r="Q39" s="6">
        <v>33013.410885249992</v>
      </c>
      <c r="R39" s="6">
        <v>78818.862494614994</v>
      </c>
      <c r="S39" s="6">
        <v>36635.00728749705</v>
      </c>
      <c r="T39" s="6">
        <v>63348.132183908041</v>
      </c>
      <c r="U39" s="6">
        <v>31393.608939692309</v>
      </c>
      <c r="V39" s="30">
        <v>78818.862494614994</v>
      </c>
      <c r="W39" s="30">
        <v>36635.00728749705</v>
      </c>
      <c r="X39" s="30">
        <v>84336.18286923808</v>
      </c>
      <c r="Y39" s="30">
        <v>35239.868773170696</v>
      </c>
      <c r="Z39" s="30">
        <v>0</v>
      </c>
      <c r="AA39" s="30">
        <v>0</v>
      </c>
      <c r="AB39" s="34">
        <v>0.31765260415317093</v>
      </c>
      <c r="AC39" s="34">
        <v>0.50322221721767446</v>
      </c>
      <c r="AD39" s="34">
        <v>0.38158198930186865</v>
      </c>
      <c r="AE39" s="34">
        <v>0.6</v>
      </c>
      <c r="AF39" s="34">
        <v>0.6</v>
      </c>
      <c r="AG39" s="34">
        <v>0.55000000000000004</v>
      </c>
      <c r="AH39" s="34">
        <v>0</v>
      </c>
      <c r="AI39" s="37">
        <f t="shared" si="4"/>
        <v>30771.029999999955</v>
      </c>
      <c r="AJ39" s="37">
        <f t="shared" si="5"/>
        <v>36375.906097130297</v>
      </c>
      <c r="AK39" s="37">
        <f t="shared" si="6"/>
        <v>24172.506297293359</v>
      </c>
      <c r="AL39" s="37">
        <f t="shared" si="7"/>
        <v>47291.317496768992</v>
      </c>
      <c r="AM39" s="37">
        <f t="shared" si="8"/>
        <v>47291.317496768992</v>
      </c>
      <c r="AN39" s="37">
        <f t="shared" si="9"/>
        <v>46384.900578080946</v>
      </c>
      <c r="AO39" s="37">
        <f t="shared" si="10"/>
        <v>0</v>
      </c>
    </row>
    <row r="40" spans="1:41" hidden="1" x14ac:dyDescent="0.3">
      <c r="A40" t="str">
        <f t="shared" si="2"/>
        <v>150ene</v>
      </c>
      <c r="B40" t="str">
        <f t="shared" si="3"/>
        <v>ARCEene</v>
      </c>
      <c r="C40" s="1" t="s">
        <v>79</v>
      </c>
      <c r="D40" s="1" t="s">
        <v>3</v>
      </c>
      <c r="E40" s="1">
        <v>150</v>
      </c>
      <c r="F40" s="1" t="s">
        <v>119</v>
      </c>
      <c r="G40" s="1" t="s">
        <v>119</v>
      </c>
      <c r="H40" s="1" t="s">
        <v>119</v>
      </c>
      <c r="I40" s="1" t="s">
        <v>126</v>
      </c>
      <c r="J40" s="1" t="s">
        <v>130</v>
      </c>
      <c r="K40" t="s">
        <v>80</v>
      </c>
      <c r="L40" s="6">
        <v>154581.06999999998</v>
      </c>
      <c r="M40" s="6">
        <v>80860.679999999978</v>
      </c>
      <c r="N40" s="6">
        <v>106746.95999999999</v>
      </c>
      <c r="O40" s="6">
        <v>57003.509999999987</v>
      </c>
      <c r="P40" s="6">
        <v>95696.713086666699</v>
      </c>
      <c r="Q40" s="6">
        <v>50310.312974883353</v>
      </c>
      <c r="R40" s="6">
        <v>102430.84000000026</v>
      </c>
      <c r="S40" s="6">
        <v>54551.41960992344</v>
      </c>
      <c r="T40" s="6">
        <v>102430.84000000024</v>
      </c>
      <c r="U40" s="6">
        <v>54205.550000000207</v>
      </c>
      <c r="V40" s="30">
        <v>102430.84000000026</v>
      </c>
      <c r="W40" s="30">
        <v>54205.550000000214</v>
      </c>
      <c r="X40" s="30">
        <v>110625.30720000027</v>
      </c>
      <c r="Y40" s="30">
        <v>58914.874423448557</v>
      </c>
      <c r="Z40" s="30">
        <v>90798.132183908048</v>
      </c>
      <c r="AA40" s="30">
        <v>50436.406113010838</v>
      </c>
      <c r="AB40" s="34">
        <v>0.7786388721465064</v>
      </c>
      <c r="AC40" s="34">
        <v>0.85317527525351933</v>
      </c>
      <c r="AD40" s="34">
        <v>0.86206246674513931</v>
      </c>
      <c r="AE40" s="34">
        <v>0.86206246674513853</v>
      </c>
      <c r="AF40" s="34">
        <v>0.86206246674513853</v>
      </c>
      <c r="AG40" s="34">
        <v>0.9</v>
      </c>
      <c r="AH40" s="34">
        <v>0.98434223955819644</v>
      </c>
      <c r="AI40" s="37">
        <f t="shared" si="4"/>
        <v>120362.83000000013</v>
      </c>
      <c r="AJ40" s="37">
        <f t="shared" si="5"/>
        <v>91073.866980476407</v>
      </c>
      <c r="AK40" s="37">
        <f t="shared" si="6"/>
        <v>88301.782601176892</v>
      </c>
      <c r="AL40" s="37">
        <f t="shared" si="7"/>
        <v>88301.782601176834</v>
      </c>
      <c r="AM40" s="37">
        <f t="shared" si="8"/>
        <v>88301.782601176834</v>
      </c>
      <c r="AN40" s="37">
        <f t="shared" si="9"/>
        <v>99562.776480000248</v>
      </c>
      <c r="AO40" s="37">
        <f t="shared" si="10"/>
        <v>89376.436781609198</v>
      </c>
    </row>
    <row r="41" spans="1:41" hidden="1" x14ac:dyDescent="0.3">
      <c r="A41" t="str">
        <f t="shared" si="2"/>
        <v>150feb</v>
      </c>
      <c r="B41" t="str">
        <f t="shared" si="3"/>
        <v>ARCEfeb</v>
      </c>
      <c r="C41" s="1" t="s">
        <v>79</v>
      </c>
      <c r="D41" s="1" t="s">
        <v>3</v>
      </c>
      <c r="E41" s="1">
        <v>150</v>
      </c>
      <c r="F41" s="1" t="s">
        <v>119</v>
      </c>
      <c r="G41" s="1" t="s">
        <v>119</v>
      </c>
      <c r="H41" s="1" t="s">
        <v>119</v>
      </c>
      <c r="I41" s="1" t="s">
        <v>126</v>
      </c>
      <c r="J41" s="1" t="s">
        <v>130</v>
      </c>
      <c r="K41" t="s">
        <v>81</v>
      </c>
      <c r="L41" s="6">
        <v>184193.67</v>
      </c>
      <c r="M41" s="6">
        <v>73956.249999999956</v>
      </c>
      <c r="N41" s="6">
        <v>121140.47999999998</v>
      </c>
      <c r="O41" s="6">
        <v>56664.02999999997</v>
      </c>
      <c r="P41" s="6">
        <v>160459.71333000029</v>
      </c>
      <c r="Q41" s="6">
        <v>70500.719823450127</v>
      </c>
      <c r="R41" s="6">
        <v>166945.26000000015</v>
      </c>
      <c r="S41" s="6">
        <v>71080.165533448017</v>
      </c>
      <c r="T41" s="6">
        <v>166945.26000000007</v>
      </c>
      <c r="U41" s="6">
        <v>70735.019999999917</v>
      </c>
      <c r="V41" s="30">
        <v>166945.25999999995</v>
      </c>
      <c r="W41" s="30">
        <v>70735.019999999873</v>
      </c>
      <c r="X41" s="30">
        <v>175292.52299999999</v>
      </c>
      <c r="Y41" s="30">
        <v>80150.699937700818</v>
      </c>
      <c r="Z41" s="30">
        <v>129149.71264367808</v>
      </c>
      <c r="AA41" s="30">
        <v>59889.469113381434</v>
      </c>
      <c r="AB41" s="34">
        <v>0.39410051387759448</v>
      </c>
      <c r="AC41" s="34">
        <v>0.55591718534242596</v>
      </c>
      <c r="AD41" s="34">
        <v>0.269860126796577</v>
      </c>
      <c r="AE41" s="34">
        <v>0.26986012679657673</v>
      </c>
      <c r="AF41" s="34">
        <v>0.26986012679657673</v>
      </c>
      <c r="AG41" s="34">
        <v>0.39</v>
      </c>
      <c r="AH41" s="34">
        <v>0.45594416174759256</v>
      </c>
      <c r="AI41" s="37">
        <f t="shared" si="4"/>
        <v>72590.820000000065</v>
      </c>
      <c r="AJ41" s="37">
        <f t="shared" si="5"/>
        <v>67344.074672630435</v>
      </c>
      <c r="AK41" s="37">
        <f t="shared" si="6"/>
        <v>45051.869031687536</v>
      </c>
      <c r="AL41" s="37">
        <f t="shared" si="7"/>
        <v>45051.869031687507</v>
      </c>
      <c r="AM41" s="37">
        <f t="shared" si="8"/>
        <v>45051.869031687456</v>
      </c>
      <c r="AN41" s="37">
        <f t="shared" si="9"/>
        <v>68364.083969999992</v>
      </c>
      <c r="AO41" s="37">
        <f t="shared" si="10"/>
        <v>58885.057471264256</v>
      </c>
    </row>
    <row r="42" spans="1:41" hidden="1" x14ac:dyDescent="0.3">
      <c r="A42" t="str">
        <f t="shared" si="2"/>
        <v>150mar</v>
      </c>
      <c r="B42" t="str">
        <f t="shared" si="3"/>
        <v>ARCEmar</v>
      </c>
      <c r="C42" s="1" t="s">
        <v>79</v>
      </c>
      <c r="D42" s="1" t="s">
        <v>3</v>
      </c>
      <c r="E42" s="1">
        <v>150</v>
      </c>
      <c r="F42" s="1" t="s">
        <v>119</v>
      </c>
      <c r="G42" s="1" t="s">
        <v>119</v>
      </c>
      <c r="H42" s="1" t="s">
        <v>119</v>
      </c>
      <c r="I42" s="1" t="s">
        <v>126</v>
      </c>
      <c r="J42" s="1" t="s">
        <v>130</v>
      </c>
      <c r="K42" t="s">
        <v>82</v>
      </c>
      <c r="L42" s="6">
        <v>132234.15999999997</v>
      </c>
      <c r="M42" s="6">
        <v>62661.409999999996</v>
      </c>
      <c r="N42" s="6">
        <v>149538.96</v>
      </c>
      <c r="O42" s="6">
        <v>68379.409999999989</v>
      </c>
      <c r="P42" s="6">
        <v>106547</v>
      </c>
      <c r="Q42" s="6">
        <v>51958</v>
      </c>
      <c r="R42" s="6">
        <v>131234.78000000023</v>
      </c>
      <c r="S42" s="6">
        <v>64851.978969201955</v>
      </c>
      <c r="T42" s="6">
        <v>131234.78000000026</v>
      </c>
      <c r="U42" s="6">
        <v>64615.070000000269</v>
      </c>
      <c r="V42" s="30">
        <v>131234.78000000044</v>
      </c>
      <c r="W42" s="30">
        <v>64615.070000000356</v>
      </c>
      <c r="X42" s="30">
        <v>141733.56240000046</v>
      </c>
      <c r="Y42" s="30">
        <v>73179.347591904356</v>
      </c>
      <c r="Z42" s="30">
        <v>117466.83171425</v>
      </c>
      <c r="AA42" s="30">
        <v>59555.683679124755</v>
      </c>
      <c r="AB42" s="34">
        <v>0.55807379878240326</v>
      </c>
      <c r="AC42" s="34">
        <v>0.46490880355144631</v>
      </c>
      <c r="AD42" s="34">
        <v>0.59281389946223595</v>
      </c>
      <c r="AE42" s="34">
        <v>0.59281389946223495</v>
      </c>
      <c r="AF42" s="34">
        <v>0.59281389946223495</v>
      </c>
      <c r="AG42" s="34">
        <v>0.79</v>
      </c>
      <c r="AH42" s="34">
        <v>0.77338204016241763</v>
      </c>
      <c r="AI42" s="37">
        <f t="shared" si="4"/>
        <v>73796.4200000001</v>
      </c>
      <c r="AJ42" s="37">
        <f t="shared" si="5"/>
        <v>69521.978977927589</v>
      </c>
      <c r="AK42" s="37">
        <f t="shared" si="6"/>
        <v>77797.80167686881</v>
      </c>
      <c r="AL42" s="37">
        <f t="shared" si="7"/>
        <v>77797.801676868665</v>
      </c>
      <c r="AM42" s="37">
        <f t="shared" si="8"/>
        <v>77797.801676868781</v>
      </c>
      <c r="AN42" s="37">
        <f t="shared" si="9"/>
        <v>111969.51429600037</v>
      </c>
      <c r="AO42" s="37">
        <f t="shared" si="10"/>
        <v>90846.737962582047</v>
      </c>
    </row>
    <row r="43" spans="1:41" hidden="1" x14ac:dyDescent="0.3">
      <c r="A43" t="str">
        <f t="shared" si="2"/>
        <v>150abr</v>
      </c>
      <c r="B43" t="str">
        <f t="shared" si="3"/>
        <v>ARCEabr</v>
      </c>
      <c r="C43" s="1" t="s">
        <v>79</v>
      </c>
      <c r="D43" s="1" t="s">
        <v>3</v>
      </c>
      <c r="E43" s="1">
        <v>150</v>
      </c>
      <c r="F43" s="1" t="s">
        <v>119</v>
      </c>
      <c r="G43" s="1" t="s">
        <v>119</v>
      </c>
      <c r="H43" s="1" t="s">
        <v>119</v>
      </c>
      <c r="I43" s="1" t="s">
        <v>126</v>
      </c>
      <c r="J43" s="1" t="s">
        <v>130</v>
      </c>
      <c r="K43" t="s">
        <v>83</v>
      </c>
      <c r="L43" s="6">
        <v>97774.209999999963</v>
      </c>
      <c r="M43" s="6">
        <v>52568.109999999964</v>
      </c>
      <c r="N43" s="6">
        <v>82244.179999999978</v>
      </c>
      <c r="O43" s="6">
        <v>44243.179999999986</v>
      </c>
      <c r="P43" s="6">
        <v>96208</v>
      </c>
      <c r="Q43" s="6">
        <v>52657</v>
      </c>
      <c r="R43" s="6">
        <v>106312.51000000024</v>
      </c>
      <c r="S43" s="6">
        <v>57237.561880739668</v>
      </c>
      <c r="T43" s="6">
        <v>106312.51000000017</v>
      </c>
      <c r="U43" s="6">
        <v>56933.790000000154</v>
      </c>
      <c r="V43" s="30">
        <v>108438.76020000028</v>
      </c>
      <c r="W43" s="30">
        <v>58072.465800000209</v>
      </c>
      <c r="X43" s="30">
        <v>116029.47341400028</v>
      </c>
      <c r="Y43" s="30">
        <v>60936.101613352366</v>
      </c>
      <c r="Z43" s="30">
        <v>0</v>
      </c>
      <c r="AA43" s="30">
        <v>0</v>
      </c>
      <c r="AB43" s="34">
        <v>0.85546536249180705</v>
      </c>
      <c r="AC43" s="34">
        <v>0.8495160243175357</v>
      </c>
      <c r="AD43" s="34">
        <v>0.83624703166048164</v>
      </c>
      <c r="AE43" s="34">
        <v>0.83624703166048087</v>
      </c>
      <c r="AF43" s="34">
        <v>0.83624703166048087</v>
      </c>
      <c r="AG43" s="34">
        <v>0.85</v>
      </c>
      <c r="AH43" s="34">
        <v>0</v>
      </c>
      <c r="AI43" s="37">
        <f t="shared" si="4"/>
        <v>83642.450000000041</v>
      </c>
      <c r="AJ43" s="37">
        <f t="shared" si="5"/>
        <v>69867.748816855761</v>
      </c>
      <c r="AK43" s="37">
        <f t="shared" si="6"/>
        <v>88903.520915875415</v>
      </c>
      <c r="AL43" s="37">
        <f t="shared" si="7"/>
        <v>88903.520915875386</v>
      </c>
      <c r="AM43" s="37">
        <f t="shared" si="8"/>
        <v>90681.591334192926</v>
      </c>
      <c r="AN43" s="37">
        <f t="shared" si="9"/>
        <v>98625.052401900233</v>
      </c>
      <c r="AO43" s="37">
        <f t="shared" si="10"/>
        <v>0</v>
      </c>
    </row>
    <row r="44" spans="1:41" hidden="1" x14ac:dyDescent="0.3">
      <c r="A44" t="str">
        <f t="shared" si="2"/>
        <v>150may</v>
      </c>
      <c r="B44" t="str">
        <f t="shared" si="3"/>
        <v>ARCEmay</v>
      </c>
      <c r="C44" s="1" t="s">
        <v>79</v>
      </c>
      <c r="D44" s="1" t="s">
        <v>3</v>
      </c>
      <c r="E44" s="1">
        <v>150</v>
      </c>
      <c r="F44" s="1" t="s">
        <v>119</v>
      </c>
      <c r="G44" s="1" t="s">
        <v>119</v>
      </c>
      <c r="H44" s="1" t="s">
        <v>119</v>
      </c>
      <c r="I44" s="1" t="s">
        <v>126</v>
      </c>
      <c r="J44" s="1" t="s">
        <v>130</v>
      </c>
      <c r="K44" t="s">
        <v>84</v>
      </c>
      <c r="L44" s="6">
        <v>112517.69</v>
      </c>
      <c r="M44" s="6">
        <v>59863.240000000005</v>
      </c>
      <c r="N44" s="6">
        <v>98080.419999999969</v>
      </c>
      <c r="O44" s="6">
        <v>53727.20999999997</v>
      </c>
      <c r="P44" s="6">
        <v>101190</v>
      </c>
      <c r="Q44" s="6">
        <v>52606</v>
      </c>
      <c r="R44" s="6">
        <v>109280.97000000018</v>
      </c>
      <c r="S44" s="6">
        <v>59987.712223281225</v>
      </c>
      <c r="T44" s="6">
        <v>109280.97000000016</v>
      </c>
      <c r="U44" s="6">
        <v>59556.740000000165</v>
      </c>
      <c r="V44" s="30">
        <v>109280.97000000016</v>
      </c>
      <c r="W44" s="30">
        <v>59556.740000000165</v>
      </c>
      <c r="X44" s="30">
        <v>116930.63790000019</v>
      </c>
      <c r="Y44" s="30">
        <v>62272.856207103287</v>
      </c>
      <c r="Z44" s="30">
        <v>0</v>
      </c>
      <c r="AA44" s="30">
        <v>0</v>
      </c>
      <c r="AB44" s="34">
        <v>0.846756807751742</v>
      </c>
      <c r="AC44" s="34">
        <v>0.93266726448149651</v>
      </c>
      <c r="AD44" s="34">
        <v>0.91792731192923904</v>
      </c>
      <c r="AE44" s="34">
        <v>0.91792731192923815</v>
      </c>
      <c r="AF44" s="34">
        <v>0.91792731192923815</v>
      </c>
      <c r="AG44" s="34">
        <v>0.9</v>
      </c>
      <c r="AH44" s="34">
        <v>0</v>
      </c>
      <c r="AI44" s="37">
        <f t="shared" si="4"/>
        <v>95275.120000000112</v>
      </c>
      <c r="AJ44" s="37">
        <f t="shared" si="5"/>
        <v>91476.397020596225</v>
      </c>
      <c r="AK44" s="37">
        <f t="shared" si="6"/>
        <v>100311.98703711996</v>
      </c>
      <c r="AL44" s="37">
        <f t="shared" si="7"/>
        <v>100311.98703711988</v>
      </c>
      <c r="AM44" s="37">
        <f t="shared" si="8"/>
        <v>100311.98703711986</v>
      </c>
      <c r="AN44" s="37">
        <f t="shared" si="9"/>
        <v>105237.57411000018</v>
      </c>
      <c r="AO44" s="37">
        <f t="shared" si="10"/>
        <v>0</v>
      </c>
    </row>
    <row r="45" spans="1:41" hidden="1" x14ac:dyDescent="0.3">
      <c r="A45" t="str">
        <f t="shared" si="2"/>
        <v>150jun</v>
      </c>
      <c r="B45" t="str">
        <f t="shared" si="3"/>
        <v>ARCEjun</v>
      </c>
      <c r="C45" s="1" t="s">
        <v>79</v>
      </c>
      <c r="D45" s="1" t="s">
        <v>3</v>
      </c>
      <c r="E45" s="1">
        <v>150</v>
      </c>
      <c r="F45" s="1" t="s">
        <v>119</v>
      </c>
      <c r="G45" s="1" t="s">
        <v>119</v>
      </c>
      <c r="H45" s="1" t="s">
        <v>119</v>
      </c>
      <c r="I45" s="1" t="s">
        <v>126</v>
      </c>
      <c r="J45" s="1" t="s">
        <v>130</v>
      </c>
      <c r="K45" t="s">
        <v>85</v>
      </c>
      <c r="L45" s="6">
        <v>108563.46999999999</v>
      </c>
      <c r="M45" s="6">
        <v>57002.139999999985</v>
      </c>
      <c r="N45" s="6">
        <v>70901.960000000006</v>
      </c>
      <c r="O45" s="6">
        <v>38869.64</v>
      </c>
      <c r="P45" s="6">
        <v>93855</v>
      </c>
      <c r="Q45" s="6">
        <v>51676</v>
      </c>
      <c r="R45" s="6">
        <v>93851.150000000038</v>
      </c>
      <c r="S45" s="6">
        <v>51748.306334199653</v>
      </c>
      <c r="T45" s="6">
        <v>93851.150000000096</v>
      </c>
      <c r="U45" s="6">
        <v>51750.610000000044</v>
      </c>
      <c r="V45" s="30">
        <v>99482.219000000128</v>
      </c>
      <c r="W45" s="30">
        <v>54855.646600000058</v>
      </c>
      <c r="X45" s="30">
        <v>106445.97433000014</v>
      </c>
      <c r="Y45" s="30">
        <v>56689.119056598385</v>
      </c>
      <c r="Z45" s="30">
        <v>0</v>
      </c>
      <c r="AA45" s="30">
        <v>0</v>
      </c>
      <c r="AB45" s="34">
        <v>0.83018956560618473</v>
      </c>
      <c r="AC45" s="34">
        <v>0.94235362804505696</v>
      </c>
      <c r="AD45" s="34">
        <v>0.93830930029846127</v>
      </c>
      <c r="AE45" s="34">
        <v>0.93830930029846127</v>
      </c>
      <c r="AF45" s="34">
        <v>0.93830930029846127</v>
      </c>
      <c r="AG45" s="34">
        <v>0.9</v>
      </c>
      <c r="AH45" s="34">
        <v>0</v>
      </c>
      <c r="AI45" s="37">
        <f t="shared" si="4"/>
        <v>90128.260000000053</v>
      </c>
      <c r="AJ45" s="37">
        <f t="shared" si="5"/>
        <v>66814.719241505518</v>
      </c>
      <c r="AK45" s="37">
        <f t="shared" si="6"/>
        <v>88061.406888706028</v>
      </c>
      <c r="AL45" s="37">
        <f t="shared" si="7"/>
        <v>88061.406888705969</v>
      </c>
      <c r="AM45" s="37">
        <f t="shared" si="8"/>
        <v>93345.091302028406</v>
      </c>
      <c r="AN45" s="37">
        <f t="shared" si="9"/>
        <v>95801.376897000126</v>
      </c>
      <c r="AO45" s="37">
        <f t="shared" si="10"/>
        <v>0</v>
      </c>
    </row>
    <row r="46" spans="1:41" hidden="1" x14ac:dyDescent="0.3">
      <c r="A46" t="str">
        <f t="shared" si="2"/>
        <v>150jul</v>
      </c>
      <c r="B46" t="str">
        <f t="shared" si="3"/>
        <v>ARCEjul</v>
      </c>
      <c r="C46" s="1" t="s">
        <v>79</v>
      </c>
      <c r="D46" s="1" t="s">
        <v>3</v>
      </c>
      <c r="E46" s="1">
        <v>150</v>
      </c>
      <c r="F46" s="1" t="s">
        <v>119</v>
      </c>
      <c r="G46" s="1" t="s">
        <v>119</v>
      </c>
      <c r="H46" s="1" t="s">
        <v>119</v>
      </c>
      <c r="I46" s="1" t="s">
        <v>126</v>
      </c>
      <c r="J46" s="1" t="s">
        <v>130</v>
      </c>
      <c r="K46" t="s">
        <v>86</v>
      </c>
      <c r="L46" s="6">
        <v>124767.52</v>
      </c>
      <c r="M46" s="6">
        <v>66310.260000000009</v>
      </c>
      <c r="N46" s="6">
        <v>89037.59</v>
      </c>
      <c r="O46" s="6">
        <v>48986.50999999998</v>
      </c>
      <c r="P46" s="6">
        <v>99727</v>
      </c>
      <c r="Q46" s="6">
        <v>55570</v>
      </c>
      <c r="R46" s="6">
        <v>104682.02999999994</v>
      </c>
      <c r="S46" s="6">
        <v>57333.400000000511</v>
      </c>
      <c r="T46" s="6">
        <v>104682.03</v>
      </c>
      <c r="U46" s="6">
        <v>57333.400000000009</v>
      </c>
      <c r="V46" s="30">
        <v>104682.0300000008</v>
      </c>
      <c r="W46" s="30">
        <v>57333.400000000453</v>
      </c>
      <c r="X46" s="30">
        <v>112009.77210000086</v>
      </c>
      <c r="Y46" s="30">
        <v>59652.188314742372</v>
      </c>
      <c r="Z46" s="30">
        <v>0</v>
      </c>
      <c r="AA46" s="30">
        <v>0</v>
      </c>
      <c r="AB46" s="34">
        <v>0.89075474129805643</v>
      </c>
      <c r="AC46" s="34">
        <v>0.96391211293250434</v>
      </c>
      <c r="AD46" s="34">
        <v>0.95105138866718619</v>
      </c>
      <c r="AE46" s="34">
        <v>0.95105138866718619</v>
      </c>
      <c r="AF46" s="34">
        <v>0.95105138866718619</v>
      </c>
      <c r="AG46" s="34">
        <v>0.9</v>
      </c>
      <c r="AH46" s="34">
        <v>0</v>
      </c>
      <c r="AI46" s="37">
        <f t="shared" si="4"/>
        <v>111137.26000000008</v>
      </c>
      <c r="AJ46" s="37">
        <f t="shared" si="5"/>
        <v>85824.411507318015</v>
      </c>
      <c r="AK46" s="37">
        <f t="shared" si="6"/>
        <v>99557.990000000049</v>
      </c>
      <c r="AL46" s="37">
        <f t="shared" si="7"/>
        <v>99557.989999999991</v>
      </c>
      <c r="AM46" s="37">
        <f t="shared" si="8"/>
        <v>99557.990000000806</v>
      </c>
      <c r="AN46" s="37">
        <f t="shared" si="9"/>
        <v>100808.79489000078</v>
      </c>
      <c r="AO46" s="37">
        <f t="shared" si="10"/>
        <v>0</v>
      </c>
    </row>
    <row r="47" spans="1:41" hidden="1" x14ac:dyDescent="0.3">
      <c r="A47" t="str">
        <f t="shared" si="2"/>
        <v>150ago</v>
      </c>
      <c r="B47" t="str">
        <f t="shared" si="3"/>
        <v>ARCEago</v>
      </c>
      <c r="C47" s="1" t="s">
        <v>79</v>
      </c>
      <c r="D47" s="1" t="s">
        <v>3</v>
      </c>
      <c r="E47" s="1">
        <v>150</v>
      </c>
      <c r="F47" s="1" t="s">
        <v>119</v>
      </c>
      <c r="G47" s="1" t="s">
        <v>119</v>
      </c>
      <c r="H47" s="1" t="s">
        <v>119</v>
      </c>
      <c r="I47" s="1" t="s">
        <v>126</v>
      </c>
      <c r="J47" s="1" t="s">
        <v>130</v>
      </c>
      <c r="K47" t="s">
        <v>87</v>
      </c>
      <c r="L47" s="6">
        <v>274318.54000000004</v>
      </c>
      <c r="M47" s="6">
        <v>98235.709999999963</v>
      </c>
      <c r="N47" s="6">
        <v>165212.55999999994</v>
      </c>
      <c r="O47" s="6">
        <v>72784.699999999968</v>
      </c>
      <c r="P47" s="6">
        <v>181509</v>
      </c>
      <c r="Q47" s="6">
        <v>81345</v>
      </c>
      <c r="R47" s="6">
        <v>180853.66678707415</v>
      </c>
      <c r="S47" s="6">
        <v>79930.086573215303</v>
      </c>
      <c r="T47" s="6">
        <v>215353.31000000046</v>
      </c>
      <c r="U47" s="6">
        <v>97874.300000000469</v>
      </c>
      <c r="V47" s="30">
        <v>215353.31000000105</v>
      </c>
      <c r="W47" s="30">
        <v>95177.548887600482</v>
      </c>
      <c r="X47" s="30">
        <v>223967.44240000108</v>
      </c>
      <c r="Y47" s="30">
        <v>104060.70959196967</v>
      </c>
      <c r="Z47" s="30">
        <v>0</v>
      </c>
      <c r="AA47" s="30">
        <v>0</v>
      </c>
      <c r="AB47" s="34">
        <v>0.28027303586553187</v>
      </c>
      <c r="AC47" s="34">
        <v>0.45158570752247756</v>
      </c>
      <c r="AD47" s="34">
        <v>0.43111958669221756</v>
      </c>
      <c r="AE47" s="34">
        <v>0.32000000000000006</v>
      </c>
      <c r="AF47" s="34">
        <v>0.32000000000000006</v>
      </c>
      <c r="AG47" s="34">
        <v>0.44</v>
      </c>
      <c r="AH47" s="34">
        <v>0</v>
      </c>
      <c r="AI47" s="37">
        <f t="shared" si="4"/>
        <v>76884.090000000346</v>
      </c>
      <c r="AJ47" s="37">
        <f t="shared" si="5"/>
        <v>74607.630799199746</v>
      </c>
      <c r="AK47" s="37">
        <f t="shared" si="6"/>
        <v>92843.030000001207</v>
      </c>
      <c r="AL47" s="37">
        <f t="shared" si="7"/>
        <v>57873.173371863741</v>
      </c>
      <c r="AM47" s="37">
        <f t="shared" si="8"/>
        <v>68913.059200000353</v>
      </c>
      <c r="AN47" s="37">
        <f t="shared" si="9"/>
        <v>98545.674656000469</v>
      </c>
      <c r="AO47" s="37">
        <f t="shared" si="10"/>
        <v>0</v>
      </c>
    </row>
    <row r="48" spans="1:41" hidden="1" x14ac:dyDescent="0.3">
      <c r="A48" t="str">
        <f t="shared" si="2"/>
        <v>150sep</v>
      </c>
      <c r="B48" t="str">
        <f t="shared" si="3"/>
        <v>ARCEsep</v>
      </c>
      <c r="C48" s="1" t="s">
        <v>79</v>
      </c>
      <c r="D48" s="1" t="s">
        <v>3</v>
      </c>
      <c r="E48" s="1">
        <v>150</v>
      </c>
      <c r="F48" s="1" t="s">
        <v>119</v>
      </c>
      <c r="G48" s="1" t="s">
        <v>119</v>
      </c>
      <c r="H48" s="1" t="s">
        <v>119</v>
      </c>
      <c r="I48" s="1" t="s">
        <v>126</v>
      </c>
      <c r="J48" s="1" t="s">
        <v>130</v>
      </c>
      <c r="K48" t="s">
        <v>88</v>
      </c>
      <c r="L48" s="6">
        <v>100465.33</v>
      </c>
      <c r="M48" s="6">
        <v>51100.38</v>
      </c>
      <c r="N48" s="6">
        <v>102825.35999999999</v>
      </c>
      <c r="O48" s="6">
        <v>52815.209999999992</v>
      </c>
      <c r="P48" s="6">
        <v>94231</v>
      </c>
      <c r="Q48" s="6">
        <v>50833</v>
      </c>
      <c r="R48" s="6">
        <v>102009.91334308955</v>
      </c>
      <c r="S48" s="6">
        <v>54228.469933186396</v>
      </c>
      <c r="T48" s="6">
        <v>88379.520000000091</v>
      </c>
      <c r="U48" s="6">
        <v>47209.370000000112</v>
      </c>
      <c r="V48" s="30">
        <v>90147.110400000092</v>
      </c>
      <c r="W48" s="30">
        <v>48153.557400000114</v>
      </c>
      <c r="X48" s="30">
        <v>97358.879232000094</v>
      </c>
      <c r="Y48" s="30">
        <v>50267.975656814153</v>
      </c>
      <c r="Z48" s="30">
        <v>0</v>
      </c>
      <c r="AA48" s="30">
        <v>0</v>
      </c>
      <c r="AB48" s="34">
        <v>0.74937423686360427</v>
      </c>
      <c r="AC48" s="34">
        <v>0.76160659234207373</v>
      </c>
      <c r="AD48" s="34">
        <v>0.89061979517426737</v>
      </c>
      <c r="AE48" s="34">
        <v>0.79999999999999993</v>
      </c>
      <c r="AF48" s="34">
        <v>0.79999999999999993</v>
      </c>
      <c r="AG48" s="34">
        <v>0.79</v>
      </c>
      <c r="AH48" s="34">
        <v>0</v>
      </c>
      <c r="AI48" s="37">
        <f t="shared" si="4"/>
        <v>75286.130000000165</v>
      </c>
      <c r="AJ48" s="37">
        <f t="shared" si="5"/>
        <v>78312.472035946965</v>
      </c>
      <c r="AK48" s="37">
        <f t="shared" si="6"/>
        <v>78712.550000000148</v>
      </c>
      <c r="AL48" s="37">
        <f t="shared" si="7"/>
        <v>81607.93067447163</v>
      </c>
      <c r="AM48" s="37">
        <f t="shared" si="8"/>
        <v>72117.688320000074</v>
      </c>
      <c r="AN48" s="37">
        <f t="shared" si="9"/>
        <v>76913.514593280081</v>
      </c>
      <c r="AO48" s="37">
        <f t="shared" si="10"/>
        <v>0</v>
      </c>
    </row>
    <row r="49" spans="1:41" hidden="1" x14ac:dyDescent="0.3">
      <c r="A49" t="str">
        <f t="shared" si="2"/>
        <v>150oct</v>
      </c>
      <c r="B49" t="str">
        <f t="shared" si="3"/>
        <v>ARCEoct</v>
      </c>
      <c r="C49" s="1" t="s">
        <v>79</v>
      </c>
      <c r="D49" s="1" t="s">
        <v>3</v>
      </c>
      <c r="E49" s="1">
        <v>150</v>
      </c>
      <c r="F49" s="1" t="s">
        <v>119</v>
      </c>
      <c r="G49" s="1" t="s">
        <v>119</v>
      </c>
      <c r="H49" s="1" t="s">
        <v>119</v>
      </c>
      <c r="I49" s="1" t="s">
        <v>126</v>
      </c>
      <c r="J49" s="1" t="s">
        <v>130</v>
      </c>
      <c r="K49" t="s">
        <v>89</v>
      </c>
      <c r="L49" s="6">
        <v>68511.009999999995</v>
      </c>
      <c r="M49" s="6">
        <v>36058.779999999992</v>
      </c>
      <c r="N49" s="6">
        <v>85383.360000000001</v>
      </c>
      <c r="O49" s="6">
        <v>46947.200000000004</v>
      </c>
      <c r="P49" s="6">
        <v>99517</v>
      </c>
      <c r="Q49" s="6">
        <v>55286</v>
      </c>
      <c r="R49" s="6">
        <v>107731.6830917723</v>
      </c>
      <c r="S49" s="6">
        <v>58821.498968107677</v>
      </c>
      <c r="T49" s="6">
        <v>108997.39000000022</v>
      </c>
      <c r="U49" s="6">
        <v>56582.280000000275</v>
      </c>
      <c r="V49" s="30">
        <v>108997.38999999994</v>
      </c>
      <c r="W49" s="30">
        <v>59512.57493999997</v>
      </c>
      <c r="X49" s="30">
        <v>117717.18119999993</v>
      </c>
      <c r="Y49" s="30">
        <v>62691.739561382361</v>
      </c>
      <c r="Z49" s="30">
        <v>0</v>
      </c>
      <c r="AA49" s="30">
        <v>0</v>
      </c>
      <c r="AB49" s="34">
        <v>0.85299997766782387</v>
      </c>
      <c r="AC49" s="34">
        <v>0.90578294488524058</v>
      </c>
      <c r="AD49" s="34">
        <v>0.70714051042873649</v>
      </c>
      <c r="AE49" s="34">
        <v>0.9</v>
      </c>
      <c r="AF49" s="34">
        <v>0.9</v>
      </c>
      <c r="AG49" s="34">
        <v>0.9</v>
      </c>
      <c r="AH49" s="34">
        <v>0</v>
      </c>
      <c r="AI49" s="37">
        <f t="shared" si="4"/>
        <v>58439.89000000005</v>
      </c>
      <c r="AJ49" s="37">
        <f t="shared" si="5"/>
        <v>77338.79126499666</v>
      </c>
      <c r="AK49" s="37">
        <f t="shared" si="6"/>
        <v>77076.470000000219</v>
      </c>
      <c r="AL49" s="37">
        <f t="shared" si="7"/>
        <v>96958.51478259507</v>
      </c>
      <c r="AM49" s="37">
        <f t="shared" si="8"/>
        <v>98097.650999999954</v>
      </c>
      <c r="AN49" s="37">
        <f t="shared" si="9"/>
        <v>105945.46307999994</v>
      </c>
      <c r="AO49" s="37">
        <f t="shared" si="10"/>
        <v>0</v>
      </c>
    </row>
    <row r="50" spans="1:41" hidden="1" x14ac:dyDescent="0.3">
      <c r="A50" t="str">
        <f t="shared" si="2"/>
        <v>150nov</v>
      </c>
      <c r="B50" t="str">
        <f t="shared" si="3"/>
        <v>ARCEnov</v>
      </c>
      <c r="C50" s="1" t="s">
        <v>79</v>
      </c>
      <c r="D50" s="1" t="s">
        <v>3</v>
      </c>
      <c r="E50" s="1">
        <v>150</v>
      </c>
      <c r="F50" s="1" t="s">
        <v>119</v>
      </c>
      <c r="G50" s="1" t="s">
        <v>119</v>
      </c>
      <c r="H50" s="1" t="s">
        <v>119</v>
      </c>
      <c r="I50" s="1" t="s">
        <v>126</v>
      </c>
      <c r="J50" s="1" t="s">
        <v>130</v>
      </c>
      <c r="K50" t="s">
        <v>90</v>
      </c>
      <c r="L50" s="6">
        <v>137319.19999999995</v>
      </c>
      <c r="M50" s="6">
        <v>65145.669999999984</v>
      </c>
      <c r="N50" s="6">
        <v>114117.72999999998</v>
      </c>
      <c r="O50" s="6">
        <v>58867.529999999962</v>
      </c>
      <c r="P50" s="6">
        <v>135324</v>
      </c>
      <c r="Q50" s="6">
        <v>67189</v>
      </c>
      <c r="R50" s="6">
        <v>145099.53789836462</v>
      </c>
      <c r="S50" s="6">
        <v>71969.370797588868</v>
      </c>
      <c r="T50" s="6">
        <v>198384.33908045982</v>
      </c>
      <c r="U50" s="6">
        <v>80022.514810124252</v>
      </c>
      <c r="V50" s="30">
        <v>190448.96551724142</v>
      </c>
      <c r="W50" s="30">
        <v>94462.686896551764</v>
      </c>
      <c r="X50" s="30">
        <v>205684.88275862072</v>
      </c>
      <c r="Y50" s="30">
        <v>101945.54922797608</v>
      </c>
      <c r="Z50" s="30">
        <v>0</v>
      </c>
      <c r="AA50" s="30">
        <v>0</v>
      </c>
      <c r="AB50" s="34">
        <v>0.50151289841478974</v>
      </c>
      <c r="AC50" s="34">
        <v>0.6514931294242875</v>
      </c>
      <c r="AD50" s="34">
        <v>0.43111958669221756</v>
      </c>
      <c r="AE50" s="34">
        <v>0.6</v>
      </c>
      <c r="AF50" s="34">
        <v>0.6</v>
      </c>
      <c r="AG50" s="34">
        <v>0.65000000000000013</v>
      </c>
      <c r="AH50" s="34">
        <v>0</v>
      </c>
      <c r="AI50" s="37">
        <f t="shared" si="4"/>
        <v>68867.350000000166</v>
      </c>
      <c r="AJ50" s="37">
        <f t="shared" si="5"/>
        <v>74346.917040495886</v>
      </c>
      <c r="AK50" s="37">
        <f t="shared" si="6"/>
        <v>85527.374270576576</v>
      </c>
      <c r="AL50" s="37">
        <f t="shared" si="7"/>
        <v>87059.722739018776</v>
      </c>
      <c r="AM50" s="37">
        <f t="shared" si="8"/>
        <v>114269.37931034486</v>
      </c>
      <c r="AN50" s="37">
        <f t="shared" si="9"/>
        <v>133695.17379310349</v>
      </c>
      <c r="AO50" s="37">
        <f t="shared" si="10"/>
        <v>0</v>
      </c>
    </row>
    <row r="51" spans="1:41" hidden="1" x14ac:dyDescent="0.3">
      <c r="A51" t="str">
        <f t="shared" si="2"/>
        <v>150dic</v>
      </c>
      <c r="B51" t="str">
        <f t="shared" si="3"/>
        <v>ARCEdic</v>
      </c>
      <c r="C51" s="1" t="s">
        <v>79</v>
      </c>
      <c r="D51" s="1" t="s">
        <v>3</v>
      </c>
      <c r="E51" s="1">
        <v>150</v>
      </c>
      <c r="F51" s="1" t="s">
        <v>119</v>
      </c>
      <c r="G51" s="1" t="s">
        <v>119</v>
      </c>
      <c r="H51" s="1" t="s">
        <v>119</v>
      </c>
      <c r="I51" s="1" t="s">
        <v>126</v>
      </c>
      <c r="J51" s="1" t="s">
        <v>130</v>
      </c>
      <c r="K51" t="s">
        <v>91</v>
      </c>
      <c r="L51" s="6">
        <v>292335.62</v>
      </c>
      <c r="M51" s="6">
        <v>138824.82</v>
      </c>
      <c r="N51" s="6">
        <v>277513.82999999996</v>
      </c>
      <c r="O51" s="6">
        <v>147661.53999999998</v>
      </c>
      <c r="P51" s="6">
        <v>286573.57210000081</v>
      </c>
      <c r="Q51" s="6">
        <v>157053.54513100046</v>
      </c>
      <c r="R51" s="6">
        <v>307275.64694850484</v>
      </c>
      <c r="S51" s="6">
        <v>162241.54158881059</v>
      </c>
      <c r="T51" s="6">
        <v>253460.48850574726</v>
      </c>
      <c r="U51" s="6">
        <v>122803.5339517831</v>
      </c>
      <c r="V51" s="30">
        <v>307275.64694850484</v>
      </c>
      <c r="W51" s="30">
        <v>162241.54158881059</v>
      </c>
      <c r="X51" s="30">
        <v>331857.69870438537</v>
      </c>
      <c r="Y51" s="30">
        <v>173304.03930356851</v>
      </c>
      <c r="Z51" s="30">
        <v>0</v>
      </c>
      <c r="AA51" s="30">
        <v>0</v>
      </c>
      <c r="AB51" s="34">
        <v>0.44893608927985079</v>
      </c>
      <c r="AC51" s="34">
        <v>0.80525321419634921</v>
      </c>
      <c r="AD51" s="34">
        <v>0.59281389946223595</v>
      </c>
      <c r="AE51" s="34">
        <v>0.8</v>
      </c>
      <c r="AF51" s="34">
        <v>0.8</v>
      </c>
      <c r="AG51" s="34">
        <v>0.83000000000000007</v>
      </c>
      <c r="AH51" s="34">
        <v>0</v>
      </c>
      <c r="AI51" s="37">
        <f t="shared" si="4"/>
        <v>131240.01000000053</v>
      </c>
      <c r="AJ51" s="37">
        <f t="shared" si="5"/>
        <v>223468.90359143922</v>
      </c>
      <c r="AK51" s="37">
        <f t="shared" si="6"/>
        <v>150254.90055069525</v>
      </c>
      <c r="AL51" s="37">
        <f t="shared" si="7"/>
        <v>245820.5175588039</v>
      </c>
      <c r="AM51" s="37">
        <f t="shared" si="8"/>
        <v>245820.5175588039</v>
      </c>
      <c r="AN51" s="37">
        <f t="shared" si="9"/>
        <v>275441.88992463989</v>
      </c>
      <c r="AO51" s="37">
        <f t="shared" si="10"/>
        <v>0</v>
      </c>
    </row>
    <row r="52" spans="1:41" hidden="1" x14ac:dyDescent="0.3">
      <c r="A52" t="str">
        <f t="shared" si="2"/>
        <v>202ene</v>
      </c>
      <c r="B52" t="str">
        <f t="shared" si="3"/>
        <v>AROMAene</v>
      </c>
      <c r="C52" s="1" t="s">
        <v>79</v>
      </c>
      <c r="D52" s="1" t="s">
        <v>4</v>
      </c>
      <c r="E52" s="1">
        <v>202</v>
      </c>
      <c r="F52" s="1" t="s">
        <v>120</v>
      </c>
      <c r="G52" s="1" t="s">
        <v>120</v>
      </c>
      <c r="H52" s="1" t="s">
        <v>120</v>
      </c>
      <c r="I52" s="1" t="s">
        <v>125</v>
      </c>
      <c r="J52" s="1" t="s">
        <v>129</v>
      </c>
      <c r="K52" t="s">
        <v>80</v>
      </c>
      <c r="L52" s="6">
        <v>79971.98000000001</v>
      </c>
      <c r="M52" s="6">
        <v>39744.490000000005</v>
      </c>
      <c r="N52" s="6">
        <v>46035.81</v>
      </c>
      <c r="O52" s="6">
        <v>20589.739999999998</v>
      </c>
      <c r="P52" s="6">
        <v>56689.664233333337</v>
      </c>
      <c r="Q52" s="6">
        <v>24966.75624216667</v>
      </c>
      <c r="R52" s="6">
        <v>35077.929999999971</v>
      </c>
      <c r="S52" s="6">
        <v>15635.027438471941</v>
      </c>
      <c r="T52" s="6">
        <v>35077.929999999971</v>
      </c>
      <c r="U52" s="6">
        <v>15553.719999999976</v>
      </c>
      <c r="V52" s="30">
        <v>56689.664233333337</v>
      </c>
      <c r="W52" s="30">
        <v>25136.465132899255</v>
      </c>
      <c r="X52" s="30">
        <v>48186.214598333332</v>
      </c>
      <c r="Y52" s="30">
        <v>23442.952899454751</v>
      </c>
      <c r="Z52" s="30">
        <v>35906.60919540238</v>
      </c>
      <c r="AA52" s="30">
        <v>20020.110691882965</v>
      </c>
      <c r="AB52" s="34">
        <v>0.70651233094391386</v>
      </c>
      <c r="AC52" s="34">
        <v>0.48958754909095969</v>
      </c>
      <c r="AD52" s="34">
        <v>0.46842998911349643</v>
      </c>
      <c r="AE52" s="34">
        <v>0.46842998911349587</v>
      </c>
      <c r="AF52" s="34">
        <v>0.46842998911349587</v>
      </c>
      <c r="AG52" s="34">
        <v>0.7</v>
      </c>
      <c r="AH52" s="34">
        <v>0.97086951302468893</v>
      </c>
      <c r="AI52" s="37">
        <f t="shared" si="4"/>
        <v>56501.190000000068</v>
      </c>
      <c r="AJ52" s="37">
        <f t="shared" si="5"/>
        <v>22538.559388317091</v>
      </c>
      <c r="AK52" s="37">
        <f t="shared" si="6"/>
        <v>16431.554368023975</v>
      </c>
      <c r="AL52" s="37">
        <f t="shared" si="7"/>
        <v>16431.554368023957</v>
      </c>
      <c r="AM52" s="37">
        <f t="shared" si="8"/>
        <v>26555.138799668071</v>
      </c>
      <c r="AN52" s="37">
        <f t="shared" si="9"/>
        <v>33730.35021883333</v>
      </c>
      <c r="AO52" s="37">
        <f t="shared" si="10"/>
        <v>34860.632183908128</v>
      </c>
    </row>
    <row r="53" spans="1:41" hidden="1" x14ac:dyDescent="0.3">
      <c r="A53" t="str">
        <f t="shared" si="2"/>
        <v>202feb</v>
      </c>
      <c r="B53" t="str">
        <f t="shared" si="3"/>
        <v>AROMAfeb</v>
      </c>
      <c r="C53" s="1" t="s">
        <v>79</v>
      </c>
      <c r="D53" s="1" t="s">
        <v>4</v>
      </c>
      <c r="E53" s="1">
        <v>202</v>
      </c>
      <c r="F53" s="1" t="s">
        <v>120</v>
      </c>
      <c r="G53" s="1" t="s">
        <v>120</v>
      </c>
      <c r="H53" s="1" t="s">
        <v>120</v>
      </c>
      <c r="I53" s="1" t="s">
        <v>125</v>
      </c>
      <c r="J53" s="1" t="s">
        <v>129</v>
      </c>
      <c r="K53" t="s">
        <v>81</v>
      </c>
      <c r="L53" s="6">
        <v>92854.860000000015</v>
      </c>
      <c r="M53" s="6">
        <v>36279.590000000011</v>
      </c>
      <c r="N53" s="6">
        <v>49648.430000000008</v>
      </c>
      <c r="O53" s="6">
        <v>20143.329999999998</v>
      </c>
      <c r="P53" s="6">
        <v>81619.51559999997</v>
      </c>
      <c r="Q53" s="6">
        <v>29392.115081999989</v>
      </c>
      <c r="R53" s="6">
        <v>57001.439999999988</v>
      </c>
      <c r="S53" s="6">
        <v>20851.600401796441</v>
      </c>
      <c r="T53" s="6">
        <v>57001.440000000002</v>
      </c>
      <c r="U53" s="6">
        <v>20801.040000000023</v>
      </c>
      <c r="V53" s="30">
        <v>81619.51559999997</v>
      </c>
      <c r="W53" s="30">
        <v>29784.700329960524</v>
      </c>
      <c r="X53" s="30">
        <v>83251.905911999958</v>
      </c>
      <c r="Y53" s="30">
        <v>34834.953803741075</v>
      </c>
      <c r="Z53" s="30">
        <v>56893.390804597831</v>
      </c>
      <c r="AA53" s="30">
        <v>25631.808752468925</v>
      </c>
      <c r="AB53" s="34">
        <v>0.34867275660100205</v>
      </c>
      <c r="AC53" s="34">
        <v>0.3483736622423545</v>
      </c>
      <c r="AD53" s="34">
        <v>0.17765716043821331</v>
      </c>
      <c r="AE53" s="34">
        <v>0.17765716043821256</v>
      </c>
      <c r="AF53" s="34">
        <v>0.17765716043821256</v>
      </c>
      <c r="AG53" s="34">
        <v>0.39</v>
      </c>
      <c r="AH53" s="34">
        <v>0.40439115304385564</v>
      </c>
      <c r="AI53" s="37">
        <f t="shared" si="4"/>
        <v>32375.960000000126</v>
      </c>
      <c r="AJ53" s="37">
        <f t="shared" si="5"/>
        <v>17296.205383683184</v>
      </c>
      <c r="AK53" s="37">
        <f t="shared" si="6"/>
        <v>10126.713971289189</v>
      </c>
      <c r="AL53" s="37">
        <f t="shared" si="7"/>
        <v>10126.713971289144</v>
      </c>
      <c r="AM53" s="37">
        <f t="shared" si="8"/>
        <v>14500.291377838388</v>
      </c>
      <c r="AN53" s="37">
        <f t="shared" si="9"/>
        <v>32468.243305679985</v>
      </c>
      <c r="AO53" s="37">
        <f t="shared" si="10"/>
        <v>23007.183908046012</v>
      </c>
    </row>
    <row r="54" spans="1:41" hidden="1" x14ac:dyDescent="0.3">
      <c r="A54" t="str">
        <f t="shared" si="2"/>
        <v>202mar</v>
      </c>
      <c r="B54" t="str">
        <f t="shared" si="3"/>
        <v>AROMAmar</v>
      </c>
      <c r="C54" s="1" t="s">
        <v>79</v>
      </c>
      <c r="D54" s="1" t="s">
        <v>4</v>
      </c>
      <c r="E54" s="1">
        <v>202</v>
      </c>
      <c r="F54" s="1" t="s">
        <v>120</v>
      </c>
      <c r="G54" s="1" t="s">
        <v>120</v>
      </c>
      <c r="H54" s="1" t="s">
        <v>120</v>
      </c>
      <c r="I54" s="1" t="s">
        <v>125</v>
      </c>
      <c r="J54" s="1" t="s">
        <v>129</v>
      </c>
      <c r="K54" t="s">
        <v>82</v>
      </c>
      <c r="L54" s="6">
        <v>66643.289999999994</v>
      </c>
      <c r="M54" s="6">
        <v>30617.91</v>
      </c>
      <c r="N54" s="6">
        <v>82431.22</v>
      </c>
      <c r="O54" s="6">
        <v>29213.659999999996</v>
      </c>
      <c r="P54" s="6">
        <v>16581.590999999979</v>
      </c>
      <c r="Q54" s="6">
        <v>5637.7409399999933</v>
      </c>
      <c r="R54" s="6">
        <v>36468.240000000049</v>
      </c>
      <c r="S54" s="6">
        <v>15110.579329577949</v>
      </c>
      <c r="T54" s="6">
        <v>36468.240000000027</v>
      </c>
      <c r="U54" s="6">
        <v>15047.79000000003</v>
      </c>
      <c r="V54" s="30">
        <v>36468.240000000034</v>
      </c>
      <c r="W54" s="30">
        <v>15047.790000000034</v>
      </c>
      <c r="X54" s="30">
        <v>43761.88800000005</v>
      </c>
      <c r="Y54" s="30">
        <v>21098.273877344476</v>
      </c>
      <c r="Z54" s="30">
        <v>44171.74564151356</v>
      </c>
      <c r="AA54" s="30">
        <v>22880.964242304024</v>
      </c>
      <c r="AB54" s="34">
        <v>0.50024135963275551</v>
      </c>
      <c r="AC54" s="34">
        <v>0.23237905402277517</v>
      </c>
      <c r="AD54" s="34">
        <v>0.41688723126851479</v>
      </c>
      <c r="AE54" s="34">
        <v>0.41688723126851501</v>
      </c>
      <c r="AF54" s="34">
        <v>0.41688723126851501</v>
      </c>
      <c r="AG54" s="34">
        <v>0.67999999999999994</v>
      </c>
      <c r="AH54" s="34">
        <v>0.78890047970835142</v>
      </c>
      <c r="AI54" s="37">
        <f t="shared" si="4"/>
        <v>33337.730000000018</v>
      </c>
      <c r="AJ54" s="37">
        <f t="shared" si="5"/>
        <v>19155.288925543264</v>
      </c>
      <c r="AK54" s="37">
        <f t="shared" si="6"/>
        <v>15203.143602835713</v>
      </c>
      <c r="AL54" s="37">
        <f t="shared" si="7"/>
        <v>15203.143602835731</v>
      </c>
      <c r="AM54" s="37">
        <f t="shared" si="8"/>
        <v>15203.143602835724</v>
      </c>
      <c r="AN54" s="37">
        <f t="shared" si="9"/>
        <v>29758.083840000032</v>
      </c>
      <c r="AO54" s="37">
        <f t="shared" si="10"/>
        <v>34847.111326145328</v>
      </c>
    </row>
    <row r="55" spans="1:41" hidden="1" x14ac:dyDescent="0.3">
      <c r="A55" t="str">
        <f t="shared" si="2"/>
        <v>202abr</v>
      </c>
      <c r="B55" t="str">
        <f t="shared" si="3"/>
        <v>AROMAabr</v>
      </c>
      <c r="C55" s="1" t="s">
        <v>79</v>
      </c>
      <c r="D55" s="1" t="s">
        <v>4</v>
      </c>
      <c r="E55" s="1">
        <v>202</v>
      </c>
      <c r="F55" s="1" t="s">
        <v>120</v>
      </c>
      <c r="G55" s="1" t="s">
        <v>120</v>
      </c>
      <c r="H55" s="1" t="s">
        <v>120</v>
      </c>
      <c r="I55" s="1" t="s">
        <v>125</v>
      </c>
      <c r="J55" s="1" t="s">
        <v>129</v>
      </c>
      <c r="K55" t="s">
        <v>83</v>
      </c>
      <c r="L55" s="6">
        <v>58833.3</v>
      </c>
      <c r="M55" s="6">
        <v>29745.760000000009</v>
      </c>
      <c r="N55" s="6">
        <v>71834.69</v>
      </c>
      <c r="O55" s="6">
        <v>32497.490000000013</v>
      </c>
      <c r="P55" s="6">
        <v>48260.707689999996</v>
      </c>
      <c r="Q55" s="6">
        <v>21951.427125850001</v>
      </c>
      <c r="R55" s="6">
        <v>0</v>
      </c>
      <c r="S55" s="6">
        <v>0</v>
      </c>
      <c r="T55" s="6">
        <v>0</v>
      </c>
      <c r="U55" s="6">
        <v>0</v>
      </c>
      <c r="V55" s="30">
        <v>46898.069999999949</v>
      </c>
      <c r="W55" s="30">
        <v>0</v>
      </c>
      <c r="X55" s="30">
        <v>48773.992799999949</v>
      </c>
      <c r="Y55" s="30">
        <v>23728.911379734989</v>
      </c>
      <c r="Z55" s="30">
        <v>0</v>
      </c>
      <c r="AA55" s="30">
        <v>0</v>
      </c>
      <c r="AB55" s="34">
        <v>0.6332675542592382</v>
      </c>
      <c r="AC55" s="34">
        <v>0.4480314433707554</v>
      </c>
      <c r="AD55" s="34">
        <v>0</v>
      </c>
      <c r="AE55" s="34">
        <v>0.41688723126851501</v>
      </c>
      <c r="AF55" s="34">
        <v>0.41688723126851501</v>
      </c>
      <c r="AG55" s="34">
        <v>0.7</v>
      </c>
      <c r="AH55" s="34">
        <v>0</v>
      </c>
      <c r="AI55" s="37">
        <f t="shared" si="4"/>
        <v>37257.220000000038</v>
      </c>
      <c r="AJ55" s="37">
        <f t="shared" si="5"/>
        <v>32184.199844790772</v>
      </c>
      <c r="AK55" s="37">
        <f t="shared" si="6"/>
        <v>0</v>
      </c>
      <c r="AL55" s="37">
        <f t="shared" si="7"/>
        <v>0</v>
      </c>
      <c r="AM55" s="37">
        <f t="shared" si="8"/>
        <v>19551.206554136985</v>
      </c>
      <c r="AN55" s="37">
        <f t="shared" si="9"/>
        <v>34141.794959999963</v>
      </c>
      <c r="AO55" s="37">
        <f t="shared" si="10"/>
        <v>0</v>
      </c>
    </row>
    <row r="56" spans="1:41" hidden="1" x14ac:dyDescent="0.3">
      <c r="A56" t="str">
        <f t="shared" si="2"/>
        <v>202may</v>
      </c>
      <c r="B56" t="str">
        <f t="shared" si="3"/>
        <v>AROMAmay</v>
      </c>
      <c r="C56" s="1" t="s">
        <v>79</v>
      </c>
      <c r="D56" s="1" t="s">
        <v>4</v>
      </c>
      <c r="E56" s="1">
        <v>202</v>
      </c>
      <c r="F56" s="1" t="s">
        <v>120</v>
      </c>
      <c r="G56" s="1" t="s">
        <v>120</v>
      </c>
      <c r="H56" s="1" t="s">
        <v>120</v>
      </c>
      <c r="I56" s="1" t="s">
        <v>125</v>
      </c>
      <c r="J56" s="1" t="s">
        <v>129</v>
      </c>
      <c r="K56" t="s">
        <v>84</v>
      </c>
      <c r="L56" s="6">
        <v>61308.36</v>
      </c>
      <c r="M56" s="6">
        <v>31723.820000000003</v>
      </c>
      <c r="N56" s="6">
        <v>71752.56</v>
      </c>
      <c r="O56" s="6">
        <v>32215.810000000016</v>
      </c>
      <c r="P56" s="6">
        <v>63487.752060000028</v>
      </c>
      <c r="Q56" s="6">
        <v>25744.55695490001</v>
      </c>
      <c r="R56" s="6">
        <v>23668.22</v>
      </c>
      <c r="S56" s="6">
        <v>12128.236541294154</v>
      </c>
      <c r="T56" s="6">
        <v>23668.22</v>
      </c>
      <c r="U56" s="6">
        <v>12126.639999999998</v>
      </c>
      <c r="V56" s="30">
        <v>48943.36000000011</v>
      </c>
      <c r="W56" s="30">
        <v>25076.600906633503</v>
      </c>
      <c r="X56" s="30">
        <v>50901.094400000104</v>
      </c>
      <c r="Y56" s="30">
        <v>24763.762177558052</v>
      </c>
      <c r="Z56" s="30">
        <v>0</v>
      </c>
      <c r="AA56" s="30">
        <v>0</v>
      </c>
      <c r="AB56" s="34">
        <v>0.66963298316901754</v>
      </c>
      <c r="AC56" s="34">
        <v>0.48962791041598247</v>
      </c>
      <c r="AD56" s="34">
        <v>0.78401425742907593</v>
      </c>
      <c r="AE56" s="34">
        <v>0.78401425742907582</v>
      </c>
      <c r="AF56" s="34">
        <v>0.78401425742907582</v>
      </c>
      <c r="AG56" s="34">
        <v>0.70000000000000007</v>
      </c>
      <c r="AH56" s="34">
        <v>0</v>
      </c>
      <c r="AI56" s="37">
        <f t="shared" si="4"/>
        <v>41054.100000000071</v>
      </c>
      <c r="AJ56" s="37">
        <f t="shared" si="5"/>
        <v>35132.056019797405</v>
      </c>
      <c r="AK56" s="37">
        <f t="shared" si="6"/>
        <v>18556.221927968003</v>
      </c>
      <c r="AL56" s="37">
        <f t="shared" si="7"/>
        <v>18556.221927968003</v>
      </c>
      <c r="AM56" s="37">
        <f t="shared" si="8"/>
        <v>38372.292046484021</v>
      </c>
      <c r="AN56" s="37">
        <f t="shared" si="9"/>
        <v>35630.766080000074</v>
      </c>
      <c r="AO56" s="37">
        <f t="shared" si="10"/>
        <v>0</v>
      </c>
    </row>
    <row r="57" spans="1:41" hidden="1" x14ac:dyDescent="0.3">
      <c r="A57" t="str">
        <f t="shared" si="2"/>
        <v>202jun</v>
      </c>
      <c r="B57" t="str">
        <f t="shared" si="3"/>
        <v>AROMAjun</v>
      </c>
      <c r="C57" s="1" t="s">
        <v>79</v>
      </c>
      <c r="D57" s="1" t="s">
        <v>4</v>
      </c>
      <c r="E57" s="1">
        <v>202</v>
      </c>
      <c r="F57" s="1" t="s">
        <v>120</v>
      </c>
      <c r="G57" s="1" t="s">
        <v>120</v>
      </c>
      <c r="H57" s="1" t="s">
        <v>120</v>
      </c>
      <c r="I57" s="1" t="s">
        <v>125</v>
      </c>
      <c r="J57" s="1" t="s">
        <v>129</v>
      </c>
      <c r="K57" t="s">
        <v>85</v>
      </c>
      <c r="L57" s="6">
        <v>58281.350000000006</v>
      </c>
      <c r="M57" s="6">
        <v>28764.690000000002</v>
      </c>
      <c r="N57" s="6">
        <v>57355.62</v>
      </c>
      <c r="O57" s="6">
        <v>26264.940000000002</v>
      </c>
      <c r="P57" s="6">
        <v>53472.725900000012</v>
      </c>
      <c r="Q57" s="6">
        <v>24595.700867250005</v>
      </c>
      <c r="R57" s="6">
        <v>46898.069999999942</v>
      </c>
      <c r="S57" s="6">
        <v>23456.951679802409</v>
      </c>
      <c r="T57" s="6">
        <v>46898.069999999949</v>
      </c>
      <c r="U57" s="6">
        <v>23470.559999999965</v>
      </c>
      <c r="V57" s="30">
        <v>46898.069999999949</v>
      </c>
      <c r="W57" s="30">
        <v>23470.559999999961</v>
      </c>
      <c r="X57" s="30">
        <v>48773.992799999949</v>
      </c>
      <c r="Y57" s="30">
        <v>23728.911379734989</v>
      </c>
      <c r="Z57" s="30">
        <v>0</v>
      </c>
      <c r="AA57" s="30">
        <v>0</v>
      </c>
      <c r="AB57" s="34">
        <v>0.57436298232625083</v>
      </c>
      <c r="AC57" s="34">
        <v>0.53175024029546669</v>
      </c>
      <c r="AD57" s="34">
        <v>0.72088950753551195</v>
      </c>
      <c r="AE57" s="34">
        <v>0.72088950753551206</v>
      </c>
      <c r="AF57" s="34">
        <v>0.72088950753551206</v>
      </c>
      <c r="AG57" s="34">
        <v>0.7</v>
      </c>
      <c r="AH57" s="34">
        <v>0</v>
      </c>
      <c r="AI57" s="37">
        <f t="shared" si="4"/>
        <v>33474.650000000045</v>
      </c>
      <c r="AJ57" s="37">
        <f t="shared" si="5"/>
        <v>30498.864717295477</v>
      </c>
      <c r="AK57" s="37">
        <f t="shared" si="6"/>
        <v>33808.326586665928</v>
      </c>
      <c r="AL57" s="37">
        <f t="shared" si="7"/>
        <v>33808.326586665928</v>
      </c>
      <c r="AM57" s="37">
        <f t="shared" si="8"/>
        <v>33808.326586665935</v>
      </c>
      <c r="AN57" s="37">
        <f t="shared" si="9"/>
        <v>34141.794959999963</v>
      </c>
      <c r="AO57" s="37">
        <f t="shared" si="10"/>
        <v>0</v>
      </c>
    </row>
    <row r="58" spans="1:41" hidden="1" x14ac:dyDescent="0.3">
      <c r="A58" t="str">
        <f t="shared" si="2"/>
        <v>202jul</v>
      </c>
      <c r="B58" t="str">
        <f t="shared" si="3"/>
        <v>AROMAjul</v>
      </c>
      <c r="C58" s="1" t="s">
        <v>79</v>
      </c>
      <c r="D58" s="1" t="s">
        <v>4</v>
      </c>
      <c r="E58" s="1">
        <v>202</v>
      </c>
      <c r="F58" s="1" t="s">
        <v>120</v>
      </c>
      <c r="G58" s="1" t="s">
        <v>120</v>
      </c>
      <c r="H58" s="1" t="s">
        <v>120</v>
      </c>
      <c r="I58" s="1" t="s">
        <v>125</v>
      </c>
      <c r="J58" s="1" t="s">
        <v>129</v>
      </c>
      <c r="K58" t="s">
        <v>86</v>
      </c>
      <c r="L58" s="6">
        <v>64893.199999999983</v>
      </c>
      <c r="M58" s="6">
        <v>32788.339999999982</v>
      </c>
      <c r="N58" s="6">
        <v>50462.8</v>
      </c>
      <c r="O58" s="6">
        <v>23313.319999999996</v>
      </c>
      <c r="P58" s="6">
        <v>56132.847849999984</v>
      </c>
      <c r="Q58" s="6">
        <v>25880.69459399999</v>
      </c>
      <c r="R58" s="6">
        <v>48943.359999999986</v>
      </c>
      <c r="S58" s="6">
        <v>25445.479999999974</v>
      </c>
      <c r="T58" s="6">
        <v>48943.359999999993</v>
      </c>
      <c r="U58" s="6">
        <v>25445.479999999992</v>
      </c>
      <c r="V58" s="30">
        <v>48943.36000000011</v>
      </c>
      <c r="W58" s="30">
        <v>25445.480000000054</v>
      </c>
      <c r="X58" s="30">
        <v>50901.094400000104</v>
      </c>
      <c r="Y58" s="30">
        <v>24763.762177558052</v>
      </c>
      <c r="Z58" s="30">
        <v>0</v>
      </c>
      <c r="AA58" s="30">
        <v>0</v>
      </c>
      <c r="AB58" s="34">
        <v>0.65445886471926273</v>
      </c>
      <c r="AC58" s="34">
        <v>0.54948230161716238</v>
      </c>
      <c r="AD58" s="34">
        <v>0.7760983308052406</v>
      </c>
      <c r="AE58" s="34">
        <v>0.77609833080524071</v>
      </c>
      <c r="AF58" s="34">
        <v>0.77609833080524071</v>
      </c>
      <c r="AG58" s="34">
        <v>0.70000000000000007</v>
      </c>
      <c r="AH58" s="34">
        <v>0</v>
      </c>
      <c r="AI58" s="37">
        <f t="shared" si="4"/>
        <v>42469.930000000051</v>
      </c>
      <c r="AJ58" s="37">
        <f t="shared" si="5"/>
        <v>27728.415490046544</v>
      </c>
      <c r="AK58" s="37">
        <f t="shared" si="6"/>
        <v>37984.859999999979</v>
      </c>
      <c r="AL58" s="37">
        <f t="shared" si="7"/>
        <v>37984.859999999979</v>
      </c>
      <c r="AM58" s="37">
        <f t="shared" si="8"/>
        <v>37984.860000000073</v>
      </c>
      <c r="AN58" s="37">
        <f t="shared" si="9"/>
        <v>35630.766080000074</v>
      </c>
      <c r="AO58" s="37">
        <f t="shared" si="10"/>
        <v>0</v>
      </c>
    </row>
    <row r="59" spans="1:41" hidden="1" x14ac:dyDescent="0.3">
      <c r="A59" t="str">
        <f t="shared" si="2"/>
        <v>202ago</v>
      </c>
      <c r="B59" t="str">
        <f t="shared" si="3"/>
        <v>AROMAago</v>
      </c>
      <c r="C59" s="1" t="s">
        <v>79</v>
      </c>
      <c r="D59" s="1" t="s">
        <v>4</v>
      </c>
      <c r="E59" s="1">
        <v>202</v>
      </c>
      <c r="F59" s="1" t="s">
        <v>120</v>
      </c>
      <c r="G59" s="1" t="s">
        <v>120</v>
      </c>
      <c r="H59" s="1" t="s">
        <v>120</v>
      </c>
      <c r="I59" s="1" t="s">
        <v>125</v>
      </c>
      <c r="J59" s="1" t="s">
        <v>129</v>
      </c>
      <c r="K59" t="s">
        <v>87</v>
      </c>
      <c r="L59" s="6">
        <v>149621.56</v>
      </c>
      <c r="M59" s="6">
        <v>45652.119999999988</v>
      </c>
      <c r="N59" s="6">
        <v>79886.689999999959</v>
      </c>
      <c r="O59" s="6">
        <v>27133.969999999972</v>
      </c>
      <c r="P59" s="6">
        <v>86872.071180000086</v>
      </c>
      <c r="Q59" s="6">
        <v>29533.968611200027</v>
      </c>
      <c r="R59" s="6">
        <v>84444.939793885002</v>
      </c>
      <c r="S59" s="6">
        <v>29898.575383422925</v>
      </c>
      <c r="T59" s="6">
        <v>108410.29</v>
      </c>
      <c r="U59" s="6">
        <v>45766.26999999999</v>
      </c>
      <c r="V59" s="30">
        <v>108410.2900000002</v>
      </c>
      <c r="W59" s="30">
        <v>38383.747277400071</v>
      </c>
      <c r="X59" s="30">
        <v>111662.59870000021</v>
      </c>
      <c r="Y59" s="30">
        <v>46722.791805292625</v>
      </c>
      <c r="Z59" s="30">
        <v>0</v>
      </c>
      <c r="AA59" s="30">
        <v>0</v>
      </c>
      <c r="AB59" s="34">
        <v>0.19544522861544805</v>
      </c>
      <c r="AC59" s="34">
        <v>0.19856475656682504</v>
      </c>
      <c r="AD59" s="34">
        <v>0.33109255588191794</v>
      </c>
      <c r="AE59" s="34">
        <v>0.22</v>
      </c>
      <c r="AF59" s="34">
        <v>0.22</v>
      </c>
      <c r="AG59" s="34">
        <v>0.39000000000000007</v>
      </c>
      <c r="AH59" s="34">
        <v>0</v>
      </c>
      <c r="AI59" s="37">
        <f t="shared" si="4"/>
        <v>29242.819999999978</v>
      </c>
      <c r="AJ59" s="37">
        <f t="shared" si="5"/>
        <v>15862.681152779409</v>
      </c>
      <c r="AK59" s="37">
        <f t="shared" si="6"/>
        <v>35893.839999999924</v>
      </c>
      <c r="AL59" s="37">
        <f t="shared" si="7"/>
        <v>18577.886754654701</v>
      </c>
      <c r="AM59" s="37">
        <f t="shared" si="8"/>
        <v>23850.263800000044</v>
      </c>
      <c r="AN59" s="37">
        <f t="shared" si="9"/>
        <v>43548.413493000087</v>
      </c>
      <c r="AO59" s="37">
        <f t="shared" si="10"/>
        <v>0</v>
      </c>
    </row>
    <row r="60" spans="1:41" hidden="1" x14ac:dyDescent="0.3">
      <c r="A60" t="str">
        <f t="shared" si="2"/>
        <v>202sep</v>
      </c>
      <c r="B60" t="str">
        <f t="shared" si="3"/>
        <v>AROMAsep</v>
      </c>
      <c r="C60" s="1" t="s">
        <v>79</v>
      </c>
      <c r="D60" s="1" t="s">
        <v>4</v>
      </c>
      <c r="E60" s="1">
        <v>202</v>
      </c>
      <c r="F60" s="1" t="s">
        <v>120</v>
      </c>
      <c r="G60" s="1" t="s">
        <v>120</v>
      </c>
      <c r="H60" s="1" t="s">
        <v>120</v>
      </c>
      <c r="I60" s="1" t="s">
        <v>125</v>
      </c>
      <c r="J60" s="1" t="s">
        <v>129</v>
      </c>
      <c r="K60" t="s">
        <v>88</v>
      </c>
      <c r="L60" s="6">
        <v>42929.569999999992</v>
      </c>
      <c r="M60" s="6">
        <v>20008.78</v>
      </c>
      <c r="N60" s="6">
        <v>49667.529999999992</v>
      </c>
      <c r="O60" s="6">
        <v>20287.869999999992</v>
      </c>
      <c r="P60" s="6">
        <v>52498.185419999987</v>
      </c>
      <c r="Q60" s="6">
        <v>22933.017065299995</v>
      </c>
      <c r="R60" s="6">
        <v>53553.398946941983</v>
      </c>
      <c r="S60" s="6">
        <v>23509.94213770753</v>
      </c>
      <c r="T60" s="6">
        <v>39564.600000000006</v>
      </c>
      <c r="U60" s="6">
        <v>19791.160000000014</v>
      </c>
      <c r="V60" s="30">
        <v>39564.600000000006</v>
      </c>
      <c r="W60" s="30">
        <v>19791.160000000014</v>
      </c>
      <c r="X60" s="30">
        <v>43521.06</v>
      </c>
      <c r="Y60" s="30">
        <v>20982.16702424586</v>
      </c>
      <c r="Z60" s="30">
        <v>0</v>
      </c>
      <c r="AA60" s="30">
        <v>0</v>
      </c>
      <c r="AB60" s="34">
        <v>0.47910216664178173</v>
      </c>
      <c r="AC60" s="34">
        <v>0.38475969457557568</v>
      </c>
      <c r="AD60" s="34">
        <v>0.74227592342649784</v>
      </c>
      <c r="AE60" s="34">
        <v>0.44999999999999996</v>
      </c>
      <c r="AF60" s="34">
        <v>0.44999999999999996</v>
      </c>
      <c r="AG60" s="34">
        <v>0.68</v>
      </c>
      <c r="AH60" s="34">
        <v>0</v>
      </c>
      <c r="AI60" s="37">
        <f t="shared" si="4"/>
        <v>20567.650000000031</v>
      </c>
      <c r="AJ60" s="37">
        <f t="shared" si="5"/>
        <v>19110.063673123241</v>
      </c>
      <c r="AK60" s="37">
        <f t="shared" si="6"/>
        <v>29367.85000000002</v>
      </c>
      <c r="AL60" s="37">
        <f t="shared" si="7"/>
        <v>24099.02952612389</v>
      </c>
      <c r="AM60" s="37">
        <f t="shared" si="8"/>
        <v>17804.07</v>
      </c>
      <c r="AN60" s="37">
        <f t="shared" si="9"/>
        <v>29594.320800000001</v>
      </c>
      <c r="AO60" s="37">
        <f t="shared" si="10"/>
        <v>0</v>
      </c>
    </row>
    <row r="61" spans="1:41" hidden="1" x14ac:dyDescent="0.3">
      <c r="A61" t="str">
        <f t="shared" si="2"/>
        <v>202oct</v>
      </c>
      <c r="B61" t="str">
        <f t="shared" si="3"/>
        <v>AROMAoct</v>
      </c>
      <c r="C61" s="1" t="s">
        <v>79</v>
      </c>
      <c r="D61" s="1" t="s">
        <v>4</v>
      </c>
      <c r="E61" s="1">
        <v>202</v>
      </c>
      <c r="F61" s="1" t="s">
        <v>120</v>
      </c>
      <c r="G61" s="1" t="s">
        <v>120</v>
      </c>
      <c r="H61" s="1" t="s">
        <v>120</v>
      </c>
      <c r="I61" s="1" t="s">
        <v>125</v>
      </c>
      <c r="J61" s="1" t="s">
        <v>129</v>
      </c>
      <c r="K61" t="s">
        <v>89</v>
      </c>
      <c r="L61" s="6">
        <v>35149.96</v>
      </c>
      <c r="M61" s="6">
        <v>16171.920000000002</v>
      </c>
      <c r="N61" s="6">
        <v>45911.979999999996</v>
      </c>
      <c r="O61" s="6">
        <v>20081.689999999988</v>
      </c>
      <c r="P61" s="6">
        <v>56166.663699999997</v>
      </c>
      <c r="Q61" s="6">
        <v>24892.582001499999</v>
      </c>
      <c r="R61" s="6">
        <v>57295.61364037</v>
      </c>
      <c r="S61" s="6">
        <v>27673.781388298714</v>
      </c>
      <c r="T61" s="6">
        <v>44153.089999999989</v>
      </c>
      <c r="U61" s="6">
        <v>21319.049999999996</v>
      </c>
      <c r="V61" s="30">
        <v>57295.61364037</v>
      </c>
      <c r="W61" s="30">
        <v>27673.781388298714</v>
      </c>
      <c r="X61" s="30">
        <v>59014.482049581093</v>
      </c>
      <c r="Y61" s="30">
        <v>28710.985799700054</v>
      </c>
      <c r="Z61" s="30">
        <v>0</v>
      </c>
      <c r="AA61" s="30">
        <v>0</v>
      </c>
      <c r="AB61" s="34">
        <v>0.43957973209642304</v>
      </c>
      <c r="AC61" s="34">
        <v>0.44276631865659427</v>
      </c>
      <c r="AD61" s="34">
        <v>0.54337261559723216</v>
      </c>
      <c r="AE61" s="34">
        <v>0.65</v>
      </c>
      <c r="AF61" s="34">
        <v>0.65</v>
      </c>
      <c r="AG61" s="34">
        <v>0.70000000000000007</v>
      </c>
      <c r="AH61" s="34">
        <v>0</v>
      </c>
      <c r="AI61" s="37">
        <f t="shared" si="4"/>
        <v>15451.209999999986</v>
      </c>
      <c r="AJ61" s="37">
        <f t="shared" si="5"/>
        <v>20328.27836683518</v>
      </c>
      <c r="AK61" s="37">
        <f t="shared" si="6"/>
        <v>23991.579999999991</v>
      </c>
      <c r="AL61" s="37">
        <f t="shared" si="7"/>
        <v>37242.148866240503</v>
      </c>
      <c r="AM61" s="37">
        <f t="shared" si="8"/>
        <v>37242.148866240503</v>
      </c>
      <c r="AN61" s="37">
        <f t="shared" si="9"/>
        <v>41310.137434706769</v>
      </c>
      <c r="AO61" s="37">
        <f t="shared" si="10"/>
        <v>0</v>
      </c>
    </row>
    <row r="62" spans="1:41" hidden="1" x14ac:dyDescent="0.3">
      <c r="A62" t="str">
        <f t="shared" si="2"/>
        <v>202nov</v>
      </c>
      <c r="B62" t="str">
        <f t="shared" si="3"/>
        <v>AROMAnov</v>
      </c>
      <c r="C62" s="1" t="s">
        <v>79</v>
      </c>
      <c r="D62" s="1" t="s">
        <v>4</v>
      </c>
      <c r="E62" s="1">
        <v>202</v>
      </c>
      <c r="F62" s="1" t="s">
        <v>120</v>
      </c>
      <c r="G62" s="1" t="s">
        <v>120</v>
      </c>
      <c r="H62" s="1" t="s">
        <v>120</v>
      </c>
      <c r="I62" s="1" t="s">
        <v>125</v>
      </c>
      <c r="J62" s="1" t="s">
        <v>129</v>
      </c>
      <c r="K62" t="s">
        <v>90</v>
      </c>
      <c r="L62" s="6">
        <v>56380.909999999996</v>
      </c>
      <c r="M62" s="6">
        <v>21836.670000000002</v>
      </c>
      <c r="N62" s="6">
        <v>45726.819999999992</v>
      </c>
      <c r="O62" s="6">
        <v>19022.199999999993</v>
      </c>
      <c r="P62" s="6">
        <v>62735.617499999993</v>
      </c>
      <c r="Q62" s="6">
        <v>25515.033552999994</v>
      </c>
      <c r="R62" s="6">
        <v>63362.973674999994</v>
      </c>
      <c r="S62" s="6">
        <v>26422.360022475001</v>
      </c>
      <c r="T62" s="6">
        <v>56206.178160919531</v>
      </c>
      <c r="U62" s="6">
        <v>24278.052297468177</v>
      </c>
      <c r="V62" s="30">
        <v>63362.973674999994</v>
      </c>
      <c r="W62" s="30">
        <v>26422.360022475001</v>
      </c>
      <c r="X62" s="30">
        <v>66531.122358749999</v>
      </c>
      <c r="Y62" s="30">
        <v>29737.923245896036</v>
      </c>
      <c r="Z62" s="30">
        <v>0</v>
      </c>
      <c r="AA62" s="30">
        <v>0</v>
      </c>
      <c r="AB62" s="34">
        <v>0.23166742076351779</v>
      </c>
      <c r="AC62" s="34">
        <v>0.32302226042917742</v>
      </c>
      <c r="AD62" s="34">
        <v>0.33109255588191794</v>
      </c>
      <c r="AE62" s="34">
        <v>0.35000000000000003</v>
      </c>
      <c r="AF62" s="34">
        <v>0.35000000000000003</v>
      </c>
      <c r="AG62" s="34">
        <v>0.52</v>
      </c>
      <c r="AH62" s="34">
        <v>0</v>
      </c>
      <c r="AI62" s="37">
        <f t="shared" si="4"/>
        <v>13061.620000000026</v>
      </c>
      <c r="AJ62" s="37">
        <f t="shared" si="5"/>
        <v>14770.780758638117</v>
      </c>
      <c r="AK62" s="37">
        <f t="shared" si="6"/>
        <v>18609.447183653287</v>
      </c>
      <c r="AL62" s="37">
        <f t="shared" si="7"/>
        <v>22177.04078625</v>
      </c>
      <c r="AM62" s="37">
        <f t="shared" si="8"/>
        <v>22177.04078625</v>
      </c>
      <c r="AN62" s="37">
        <f t="shared" si="9"/>
        <v>34596.183626550002</v>
      </c>
      <c r="AO62" s="37">
        <f t="shared" si="10"/>
        <v>0</v>
      </c>
    </row>
    <row r="63" spans="1:41" hidden="1" x14ac:dyDescent="0.3">
      <c r="A63" t="str">
        <f t="shared" si="2"/>
        <v>202dic</v>
      </c>
      <c r="B63" t="str">
        <f t="shared" si="3"/>
        <v>AROMAdic</v>
      </c>
      <c r="C63" s="1" t="s">
        <v>79</v>
      </c>
      <c r="D63" s="1" t="s">
        <v>4</v>
      </c>
      <c r="E63" s="1">
        <v>202</v>
      </c>
      <c r="F63" s="1" t="s">
        <v>120</v>
      </c>
      <c r="G63" s="1" t="s">
        <v>120</v>
      </c>
      <c r="H63" s="1" t="s">
        <v>120</v>
      </c>
      <c r="I63" s="1" t="s">
        <v>125</v>
      </c>
      <c r="J63" s="1" t="s">
        <v>129</v>
      </c>
      <c r="K63" t="s">
        <v>91</v>
      </c>
      <c r="L63" s="6">
        <v>159343.88</v>
      </c>
      <c r="M63" s="6">
        <v>70154.909999999989</v>
      </c>
      <c r="N63" s="6">
        <v>122951.73000000001</v>
      </c>
      <c r="O63" s="6">
        <v>56511.750000000029</v>
      </c>
      <c r="P63" s="6">
        <v>124746.73050000012</v>
      </c>
      <c r="Q63" s="6">
        <v>58319.539233000054</v>
      </c>
      <c r="R63" s="6">
        <v>125994.19780500012</v>
      </c>
      <c r="S63" s="6">
        <v>59469.26136396006</v>
      </c>
      <c r="T63" s="6">
        <v>89319.899425287309</v>
      </c>
      <c r="U63" s="6">
        <v>44513.200600427626</v>
      </c>
      <c r="V63" s="30">
        <v>125994.19780500012</v>
      </c>
      <c r="W63" s="30">
        <v>59469.26136396006</v>
      </c>
      <c r="X63" s="30">
        <v>132293.90769525012</v>
      </c>
      <c r="Y63" s="30">
        <v>63780.911300228028</v>
      </c>
      <c r="Z63" s="30">
        <v>0</v>
      </c>
      <c r="AA63" s="30">
        <v>0</v>
      </c>
      <c r="AB63" s="34">
        <v>0.34865505973621347</v>
      </c>
      <c r="AC63" s="34">
        <v>0.49400279666971791</v>
      </c>
      <c r="AD63" s="34">
        <v>0.41688723126851479</v>
      </c>
      <c r="AE63" s="34">
        <v>0.6</v>
      </c>
      <c r="AF63" s="34">
        <v>0.6</v>
      </c>
      <c r="AG63" s="34">
        <v>0.68</v>
      </c>
      <c r="AH63" s="34">
        <v>0</v>
      </c>
      <c r="AI63" s="37">
        <f t="shared" si="4"/>
        <v>55556.050000000032</v>
      </c>
      <c r="AJ63" s="37">
        <f t="shared" si="5"/>
        <v>60738.49847538006</v>
      </c>
      <c r="AK63" s="37">
        <f t="shared" si="6"/>
        <v>37236.325568590233</v>
      </c>
      <c r="AL63" s="37">
        <f t="shared" si="7"/>
        <v>75596.518683000075</v>
      </c>
      <c r="AM63" s="37">
        <f t="shared" si="8"/>
        <v>75596.518683000075</v>
      </c>
      <c r="AN63" s="37">
        <f t="shared" si="9"/>
        <v>89959.857232770082</v>
      </c>
      <c r="AO63" s="37">
        <f t="shared" si="10"/>
        <v>0</v>
      </c>
    </row>
    <row r="64" spans="1:41" hidden="1" x14ac:dyDescent="0.3">
      <c r="A64" t="str">
        <f t="shared" si="2"/>
        <v>401ene</v>
      </c>
      <c r="B64" t="str">
        <f t="shared" si="3"/>
        <v>AYACUCHOene</v>
      </c>
      <c r="C64" s="1" t="s">
        <v>79</v>
      </c>
      <c r="D64" s="1" t="s">
        <v>5</v>
      </c>
      <c r="E64" s="1">
        <v>401</v>
      </c>
      <c r="F64" s="1" t="s">
        <v>122</v>
      </c>
      <c r="G64" s="1" t="s">
        <v>122</v>
      </c>
      <c r="H64" s="1" t="s">
        <v>122</v>
      </c>
      <c r="I64" s="1" t="s">
        <v>127</v>
      </c>
      <c r="J64" s="1" t="s">
        <v>129</v>
      </c>
      <c r="K64" t="s">
        <v>80</v>
      </c>
      <c r="L64" s="6">
        <v>69503.100000000006</v>
      </c>
      <c r="M64" s="6">
        <v>36302.92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4">
        <v>0.75535364609636169</v>
      </c>
      <c r="AC64" s="34">
        <v>0</v>
      </c>
      <c r="AD64" s="34">
        <v>0</v>
      </c>
      <c r="AE64" s="34">
        <v>0</v>
      </c>
      <c r="AF64" s="34">
        <v>0</v>
      </c>
      <c r="AG64" s="34">
        <v>0</v>
      </c>
      <c r="AH64" s="34">
        <v>0</v>
      </c>
      <c r="AI64" s="37">
        <f t="shared" si="4"/>
        <v>52499.420000000042</v>
      </c>
      <c r="AJ64" s="37">
        <f t="shared" si="5"/>
        <v>0</v>
      </c>
      <c r="AK64" s="37">
        <f t="shared" si="6"/>
        <v>0</v>
      </c>
      <c r="AL64" s="37">
        <f t="shared" si="7"/>
        <v>0</v>
      </c>
      <c r="AM64" s="37">
        <f t="shared" si="8"/>
        <v>0</v>
      </c>
      <c r="AN64" s="37">
        <f t="shared" si="9"/>
        <v>0</v>
      </c>
      <c r="AO64" s="37">
        <f t="shared" si="10"/>
        <v>0</v>
      </c>
    </row>
    <row r="65" spans="1:41" hidden="1" x14ac:dyDescent="0.3">
      <c r="A65" t="str">
        <f t="shared" si="2"/>
        <v>401feb</v>
      </c>
      <c r="B65" t="str">
        <f t="shared" si="3"/>
        <v>AYACUCHOfeb</v>
      </c>
      <c r="C65" s="1" t="s">
        <v>79</v>
      </c>
      <c r="D65" s="1" t="s">
        <v>5</v>
      </c>
      <c r="E65" s="1">
        <v>401</v>
      </c>
      <c r="F65" s="1" t="s">
        <v>122</v>
      </c>
      <c r="G65" s="1" t="s">
        <v>122</v>
      </c>
      <c r="H65" s="1" t="s">
        <v>122</v>
      </c>
      <c r="I65" s="1" t="s">
        <v>127</v>
      </c>
      <c r="J65" s="1" t="s">
        <v>129</v>
      </c>
      <c r="K65" t="s">
        <v>81</v>
      </c>
      <c r="L65" s="6">
        <v>121406.45999999998</v>
      </c>
      <c r="M65" s="6">
        <v>54779.01999999999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4">
        <v>0.40024945954276242</v>
      </c>
      <c r="AC65" s="34">
        <v>0</v>
      </c>
      <c r="AD65" s="34">
        <v>0</v>
      </c>
      <c r="AE65" s="34">
        <v>0</v>
      </c>
      <c r="AF65" s="34">
        <v>0</v>
      </c>
      <c r="AG65" s="34">
        <v>0</v>
      </c>
      <c r="AH65" s="34">
        <v>0</v>
      </c>
      <c r="AI65" s="37">
        <f t="shared" si="4"/>
        <v>48592.869999999995</v>
      </c>
      <c r="AJ65" s="37">
        <f t="shared" si="5"/>
        <v>0</v>
      </c>
      <c r="AK65" s="37">
        <f t="shared" si="6"/>
        <v>0</v>
      </c>
      <c r="AL65" s="37">
        <f t="shared" si="7"/>
        <v>0</v>
      </c>
      <c r="AM65" s="37">
        <f t="shared" si="8"/>
        <v>0</v>
      </c>
      <c r="AN65" s="37">
        <f t="shared" si="9"/>
        <v>0</v>
      </c>
      <c r="AO65" s="37">
        <f t="shared" si="10"/>
        <v>0</v>
      </c>
    </row>
    <row r="66" spans="1:41" hidden="1" x14ac:dyDescent="0.3">
      <c r="A66" t="str">
        <f t="shared" si="2"/>
        <v>401mar</v>
      </c>
      <c r="B66" t="str">
        <f t="shared" si="3"/>
        <v>AYACUCHOmar</v>
      </c>
      <c r="C66" s="1" t="s">
        <v>79</v>
      </c>
      <c r="D66" s="1" t="s">
        <v>5</v>
      </c>
      <c r="E66" s="1">
        <v>401</v>
      </c>
      <c r="F66" s="1" t="s">
        <v>122</v>
      </c>
      <c r="G66" s="1" t="s">
        <v>122</v>
      </c>
      <c r="H66" s="1" t="s">
        <v>122</v>
      </c>
      <c r="I66" s="1" t="s">
        <v>127</v>
      </c>
      <c r="J66" s="1" t="s">
        <v>129</v>
      </c>
      <c r="K66" t="s">
        <v>82</v>
      </c>
      <c r="L66" s="6">
        <v>86844.03</v>
      </c>
      <c r="M66" s="6">
        <v>42400.749999999985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4">
        <v>0.50825888665001051</v>
      </c>
      <c r="AC66" s="34">
        <v>0</v>
      </c>
      <c r="AD66" s="34">
        <v>0</v>
      </c>
      <c r="AE66" s="34">
        <v>0</v>
      </c>
      <c r="AF66" s="34">
        <v>0</v>
      </c>
      <c r="AG66" s="34">
        <v>0</v>
      </c>
      <c r="AH66" s="34">
        <v>0</v>
      </c>
      <c r="AI66" s="37">
        <f t="shared" si="4"/>
        <v>44139.250000000109</v>
      </c>
      <c r="AJ66" s="37">
        <f t="shared" si="5"/>
        <v>0</v>
      </c>
      <c r="AK66" s="37">
        <f t="shared" si="6"/>
        <v>0</v>
      </c>
      <c r="AL66" s="37">
        <f t="shared" si="7"/>
        <v>0</v>
      </c>
      <c r="AM66" s="37">
        <f t="shared" si="8"/>
        <v>0</v>
      </c>
      <c r="AN66" s="37">
        <f t="shared" si="9"/>
        <v>0</v>
      </c>
      <c r="AO66" s="37">
        <f t="shared" si="10"/>
        <v>0</v>
      </c>
    </row>
    <row r="67" spans="1:41" hidden="1" x14ac:dyDescent="0.3">
      <c r="A67" t="str">
        <f t="shared" si="2"/>
        <v>401abr</v>
      </c>
      <c r="B67" t="str">
        <f t="shared" si="3"/>
        <v>AYACUCHOabr</v>
      </c>
      <c r="C67" s="1" t="s">
        <v>79</v>
      </c>
      <c r="D67" s="1" t="s">
        <v>5</v>
      </c>
      <c r="E67" s="1">
        <v>401</v>
      </c>
      <c r="F67" s="1" t="s">
        <v>122</v>
      </c>
      <c r="G67" s="1" t="s">
        <v>122</v>
      </c>
      <c r="H67" s="1" t="s">
        <v>122</v>
      </c>
      <c r="I67" s="1" t="s">
        <v>127</v>
      </c>
      <c r="J67" s="1" t="s">
        <v>129</v>
      </c>
      <c r="K67" t="s">
        <v>83</v>
      </c>
      <c r="L67" s="6">
        <v>79351.409999999989</v>
      </c>
      <c r="M67" s="6">
        <v>42141.219999999987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4">
        <v>0.75168481568254542</v>
      </c>
      <c r="AC67" s="34">
        <v>0</v>
      </c>
      <c r="AD67" s="34">
        <v>0</v>
      </c>
      <c r="AE67" s="34">
        <v>0</v>
      </c>
      <c r="AF67" s="34">
        <v>0</v>
      </c>
      <c r="AG67" s="34">
        <v>0</v>
      </c>
      <c r="AH67" s="34">
        <v>0</v>
      </c>
      <c r="AI67" s="37">
        <f t="shared" si="4"/>
        <v>59647.25000000008</v>
      </c>
      <c r="AJ67" s="37">
        <f t="shared" si="5"/>
        <v>0</v>
      </c>
      <c r="AK67" s="37">
        <f t="shared" si="6"/>
        <v>0</v>
      </c>
      <c r="AL67" s="37">
        <f t="shared" si="7"/>
        <v>0</v>
      </c>
      <c r="AM67" s="37">
        <f t="shared" si="8"/>
        <v>0</v>
      </c>
      <c r="AN67" s="37">
        <f t="shared" si="9"/>
        <v>0</v>
      </c>
      <c r="AO67" s="37">
        <f t="shared" si="10"/>
        <v>0</v>
      </c>
    </row>
    <row r="68" spans="1:41" hidden="1" x14ac:dyDescent="0.3">
      <c r="A68" t="str">
        <f t="shared" si="2"/>
        <v>401may</v>
      </c>
      <c r="B68" t="str">
        <f t="shared" si="3"/>
        <v>AYACUCHOmay</v>
      </c>
      <c r="C68" s="1" t="s">
        <v>79</v>
      </c>
      <c r="D68" s="1" t="s">
        <v>5</v>
      </c>
      <c r="E68" s="1">
        <v>401</v>
      </c>
      <c r="F68" s="1" t="s">
        <v>122</v>
      </c>
      <c r="G68" s="1" t="s">
        <v>122</v>
      </c>
      <c r="H68" s="1" t="s">
        <v>122</v>
      </c>
      <c r="I68" s="1" t="s">
        <v>127</v>
      </c>
      <c r="J68" s="1" t="s">
        <v>129</v>
      </c>
      <c r="K68" t="s">
        <v>84</v>
      </c>
      <c r="L68" s="6">
        <v>73874.23</v>
      </c>
      <c r="M68" s="6">
        <v>38979.839999999997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4">
        <v>0.74969485299542282</v>
      </c>
      <c r="AC68" s="34">
        <v>0</v>
      </c>
      <c r="AD68" s="34">
        <v>0</v>
      </c>
      <c r="AE68" s="34">
        <v>0</v>
      </c>
      <c r="AF68" s="34">
        <v>0</v>
      </c>
      <c r="AG68" s="34">
        <v>0</v>
      </c>
      <c r="AH68" s="34">
        <v>0</v>
      </c>
      <c r="AI68" s="37">
        <f t="shared" si="4"/>
        <v>55383.130000000048</v>
      </c>
      <c r="AJ68" s="37">
        <f t="shared" si="5"/>
        <v>0</v>
      </c>
      <c r="AK68" s="37">
        <f t="shared" si="6"/>
        <v>0</v>
      </c>
      <c r="AL68" s="37">
        <f t="shared" si="7"/>
        <v>0</v>
      </c>
      <c r="AM68" s="37">
        <f t="shared" si="8"/>
        <v>0</v>
      </c>
      <c r="AN68" s="37">
        <f t="shared" si="9"/>
        <v>0</v>
      </c>
      <c r="AO68" s="37">
        <f t="shared" si="10"/>
        <v>0</v>
      </c>
    </row>
    <row r="69" spans="1:41" hidden="1" x14ac:dyDescent="0.3">
      <c r="A69" t="str">
        <f t="shared" ref="A69:A132" si="11">CONCATENATE(E69,K69)</f>
        <v>401jun</v>
      </c>
      <c r="B69" t="str">
        <f t="shared" ref="B69:B132" si="12">CONCATENATE(D69,K69)</f>
        <v>AYACUCHOjun</v>
      </c>
      <c r="C69" s="1" t="s">
        <v>79</v>
      </c>
      <c r="D69" s="1" t="s">
        <v>5</v>
      </c>
      <c r="E69" s="1">
        <v>401</v>
      </c>
      <c r="F69" s="1" t="s">
        <v>122</v>
      </c>
      <c r="G69" s="1" t="s">
        <v>122</v>
      </c>
      <c r="H69" s="1" t="s">
        <v>122</v>
      </c>
      <c r="I69" s="1" t="s">
        <v>127</v>
      </c>
      <c r="J69" s="1" t="s">
        <v>129</v>
      </c>
      <c r="K69" t="s">
        <v>85</v>
      </c>
      <c r="L69" s="6">
        <v>60937.220000000008</v>
      </c>
      <c r="M69" s="6">
        <v>31550.890000000003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4">
        <v>0.68537701588618671</v>
      </c>
      <c r="AC69" s="34">
        <v>0</v>
      </c>
      <c r="AD69" s="34">
        <v>0</v>
      </c>
      <c r="AE69" s="34">
        <v>0</v>
      </c>
      <c r="AF69" s="34">
        <v>0</v>
      </c>
      <c r="AG69" s="34">
        <v>0</v>
      </c>
      <c r="AH69" s="34">
        <v>0</v>
      </c>
      <c r="AI69" s="37">
        <f t="shared" ref="AI69:AI132" si="13">L69*AB69</f>
        <v>41764.970000000059</v>
      </c>
      <c r="AJ69" s="37">
        <f t="shared" ref="AJ69:AJ132" si="14">N69*AC69</f>
        <v>0</v>
      </c>
      <c r="AK69" s="37">
        <f t="shared" ref="AK69:AK132" si="15">T69*AD69</f>
        <v>0</v>
      </c>
      <c r="AL69" s="37">
        <f t="shared" ref="AL69:AL132" si="16">R69*AE69</f>
        <v>0</v>
      </c>
      <c r="AM69" s="37">
        <f t="shared" ref="AM69:AM132" si="17">V69*AF69</f>
        <v>0</v>
      </c>
      <c r="AN69" s="37">
        <f t="shared" ref="AN69:AN132" si="18">X69*AG69</f>
        <v>0</v>
      </c>
      <c r="AO69" s="37">
        <f t="shared" ref="AO69:AO132" si="19">Z69*AH69</f>
        <v>0</v>
      </c>
    </row>
    <row r="70" spans="1:41" hidden="1" x14ac:dyDescent="0.3">
      <c r="A70" t="str">
        <f t="shared" si="11"/>
        <v>401jul</v>
      </c>
      <c r="B70" t="str">
        <f t="shared" si="12"/>
        <v>AYACUCHOjul</v>
      </c>
      <c r="C70" s="1" t="s">
        <v>79</v>
      </c>
      <c r="D70" s="1" t="s">
        <v>5</v>
      </c>
      <c r="E70" s="1">
        <v>401</v>
      </c>
      <c r="F70" s="1" t="s">
        <v>122</v>
      </c>
      <c r="G70" s="1" t="s">
        <v>122</v>
      </c>
      <c r="H70" s="1" t="s">
        <v>122</v>
      </c>
      <c r="I70" s="1" t="s">
        <v>127</v>
      </c>
      <c r="J70" s="1" t="s">
        <v>129</v>
      </c>
      <c r="K70" t="s">
        <v>86</v>
      </c>
      <c r="L70" s="6">
        <v>65127.270000000004</v>
      </c>
      <c r="M70" s="6">
        <v>34913.97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4">
        <v>0.78289401659243585</v>
      </c>
      <c r="AC70" s="34">
        <v>0</v>
      </c>
      <c r="AD70" s="34">
        <v>0</v>
      </c>
      <c r="AE70" s="34">
        <v>0</v>
      </c>
      <c r="AF70" s="34">
        <v>0</v>
      </c>
      <c r="AG70" s="34">
        <v>0</v>
      </c>
      <c r="AH70" s="34">
        <v>0</v>
      </c>
      <c r="AI70" s="37">
        <f t="shared" si="13"/>
        <v>50987.750000000051</v>
      </c>
      <c r="AJ70" s="37">
        <f t="shared" si="14"/>
        <v>0</v>
      </c>
      <c r="AK70" s="37">
        <f t="shared" si="15"/>
        <v>0</v>
      </c>
      <c r="AL70" s="37">
        <f t="shared" si="16"/>
        <v>0</v>
      </c>
      <c r="AM70" s="37">
        <f t="shared" si="17"/>
        <v>0</v>
      </c>
      <c r="AN70" s="37">
        <f t="shared" si="18"/>
        <v>0</v>
      </c>
      <c r="AO70" s="37">
        <f t="shared" si="19"/>
        <v>0</v>
      </c>
    </row>
    <row r="71" spans="1:41" hidden="1" x14ac:dyDescent="0.3">
      <c r="A71" t="str">
        <f t="shared" si="11"/>
        <v>401ago</v>
      </c>
      <c r="B71" t="str">
        <f t="shared" si="12"/>
        <v>AYACUCHOago</v>
      </c>
      <c r="C71" s="1" t="s">
        <v>79</v>
      </c>
      <c r="D71" s="1" t="s">
        <v>5</v>
      </c>
      <c r="E71" s="1">
        <v>401</v>
      </c>
      <c r="F71" s="1" t="s">
        <v>122</v>
      </c>
      <c r="G71" s="1" t="s">
        <v>122</v>
      </c>
      <c r="H71" s="1" t="s">
        <v>122</v>
      </c>
      <c r="I71" s="1" t="s">
        <v>127</v>
      </c>
      <c r="J71" s="1" t="s">
        <v>129</v>
      </c>
      <c r="K71" t="s">
        <v>87</v>
      </c>
      <c r="L71" s="6">
        <v>172018.37</v>
      </c>
      <c r="M71" s="6">
        <v>63741.95999999997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4">
        <v>0.24520485806254269</v>
      </c>
      <c r="AC71" s="34">
        <v>0</v>
      </c>
      <c r="AD71" s="34">
        <v>0</v>
      </c>
      <c r="AE71" s="34">
        <v>0</v>
      </c>
      <c r="AF71" s="34">
        <v>0</v>
      </c>
      <c r="AG71" s="34">
        <v>0</v>
      </c>
      <c r="AH71" s="34">
        <v>0</v>
      </c>
      <c r="AI71" s="37">
        <f t="shared" si="13"/>
        <v>42179.739999999947</v>
      </c>
      <c r="AJ71" s="37">
        <f t="shared" si="14"/>
        <v>0</v>
      </c>
      <c r="AK71" s="37">
        <f t="shared" si="15"/>
        <v>0</v>
      </c>
      <c r="AL71" s="37">
        <f t="shared" si="16"/>
        <v>0</v>
      </c>
      <c r="AM71" s="37">
        <f t="shared" si="17"/>
        <v>0</v>
      </c>
      <c r="AN71" s="37">
        <f t="shared" si="18"/>
        <v>0</v>
      </c>
      <c r="AO71" s="37">
        <f t="shared" si="19"/>
        <v>0</v>
      </c>
    </row>
    <row r="72" spans="1:41" hidden="1" x14ac:dyDescent="0.3">
      <c r="A72" t="str">
        <f t="shared" si="11"/>
        <v>401sep</v>
      </c>
      <c r="B72" t="str">
        <f t="shared" si="12"/>
        <v>AYACUCHOsep</v>
      </c>
      <c r="C72" s="1" t="s">
        <v>79</v>
      </c>
      <c r="D72" s="1" t="s">
        <v>5</v>
      </c>
      <c r="E72" s="1">
        <v>401</v>
      </c>
      <c r="F72" s="1" t="s">
        <v>122</v>
      </c>
      <c r="G72" s="1" t="s">
        <v>122</v>
      </c>
      <c r="H72" s="1" t="s">
        <v>122</v>
      </c>
      <c r="I72" s="1" t="s">
        <v>127</v>
      </c>
      <c r="J72" s="1" t="s">
        <v>129</v>
      </c>
      <c r="K72" t="s">
        <v>88</v>
      </c>
      <c r="L72" s="6">
        <v>56408.52</v>
      </c>
      <c r="M72" s="6">
        <v>28783.829999999994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4">
        <v>0.66326735748429533</v>
      </c>
      <c r="AC72" s="34">
        <v>0</v>
      </c>
      <c r="AD72" s="34">
        <v>0</v>
      </c>
      <c r="AE72" s="34">
        <v>0</v>
      </c>
      <c r="AF72" s="34">
        <v>0</v>
      </c>
      <c r="AG72" s="34">
        <v>0</v>
      </c>
      <c r="AH72" s="34">
        <v>0</v>
      </c>
      <c r="AI72" s="37">
        <f t="shared" si="13"/>
        <v>37413.930000000022</v>
      </c>
      <c r="AJ72" s="37">
        <f t="shared" si="14"/>
        <v>0</v>
      </c>
      <c r="AK72" s="37">
        <f t="shared" si="15"/>
        <v>0</v>
      </c>
      <c r="AL72" s="37">
        <f t="shared" si="16"/>
        <v>0</v>
      </c>
      <c r="AM72" s="37">
        <f t="shared" si="17"/>
        <v>0</v>
      </c>
      <c r="AN72" s="37">
        <f t="shared" si="18"/>
        <v>0</v>
      </c>
      <c r="AO72" s="37">
        <f t="shared" si="19"/>
        <v>0</v>
      </c>
    </row>
    <row r="73" spans="1:41" hidden="1" x14ac:dyDescent="0.3">
      <c r="A73" t="str">
        <f t="shared" si="11"/>
        <v>401oct</v>
      </c>
      <c r="B73" t="str">
        <f t="shared" si="12"/>
        <v>AYACUCHOoct</v>
      </c>
      <c r="C73" s="1" t="s">
        <v>79</v>
      </c>
      <c r="D73" s="1" t="s">
        <v>5</v>
      </c>
      <c r="E73" s="1">
        <v>401</v>
      </c>
      <c r="F73" s="1" t="s">
        <v>122</v>
      </c>
      <c r="G73" s="1" t="s">
        <v>122</v>
      </c>
      <c r="H73" s="1" t="s">
        <v>122</v>
      </c>
      <c r="I73" s="1" t="s">
        <v>127</v>
      </c>
      <c r="J73" s="1" t="s">
        <v>129</v>
      </c>
      <c r="K73" t="s">
        <v>89</v>
      </c>
      <c r="L73" s="6">
        <v>32481.559999999998</v>
      </c>
      <c r="M73" s="6">
        <v>16722.439999999995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4">
        <v>0.73663764917694841</v>
      </c>
      <c r="AC73" s="34">
        <v>0</v>
      </c>
      <c r="AD73" s="34">
        <v>0</v>
      </c>
      <c r="AE73" s="34">
        <v>0</v>
      </c>
      <c r="AF73" s="34">
        <v>0</v>
      </c>
      <c r="AG73" s="34">
        <v>0</v>
      </c>
      <c r="AH73" s="34">
        <v>0</v>
      </c>
      <c r="AI73" s="37">
        <f t="shared" si="13"/>
        <v>23927.14</v>
      </c>
      <c r="AJ73" s="37">
        <f t="shared" si="14"/>
        <v>0</v>
      </c>
      <c r="AK73" s="37">
        <f t="shared" si="15"/>
        <v>0</v>
      </c>
      <c r="AL73" s="37">
        <f t="shared" si="16"/>
        <v>0</v>
      </c>
      <c r="AM73" s="37">
        <f t="shared" si="17"/>
        <v>0</v>
      </c>
      <c r="AN73" s="37">
        <f t="shared" si="18"/>
        <v>0</v>
      </c>
      <c r="AO73" s="37">
        <f t="shared" si="19"/>
        <v>0</v>
      </c>
    </row>
    <row r="74" spans="1:41" hidden="1" x14ac:dyDescent="0.3">
      <c r="A74" t="str">
        <f t="shared" si="11"/>
        <v>401nov</v>
      </c>
      <c r="B74" t="str">
        <f t="shared" si="12"/>
        <v>AYACUCHOnov</v>
      </c>
      <c r="C74" s="1" t="s">
        <v>79</v>
      </c>
      <c r="D74" s="1" t="s">
        <v>5</v>
      </c>
      <c r="E74" s="1">
        <v>401</v>
      </c>
      <c r="F74" s="1" t="s">
        <v>122</v>
      </c>
      <c r="G74" s="1" t="s">
        <v>122</v>
      </c>
      <c r="H74" s="1" t="s">
        <v>122</v>
      </c>
      <c r="I74" s="1" t="s">
        <v>127</v>
      </c>
      <c r="J74" s="1" t="s">
        <v>129</v>
      </c>
      <c r="K74" t="s">
        <v>90</v>
      </c>
      <c r="L74" s="6">
        <v>49222.990000000005</v>
      </c>
      <c r="M74" s="6">
        <v>23525.410000000011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4">
        <v>0.47219012904335994</v>
      </c>
      <c r="AC74" s="34">
        <v>0</v>
      </c>
      <c r="AD74" s="34">
        <v>0</v>
      </c>
      <c r="AE74" s="34">
        <v>0</v>
      </c>
      <c r="AF74" s="34">
        <v>0</v>
      </c>
      <c r="AG74" s="34">
        <v>0</v>
      </c>
      <c r="AH74" s="34">
        <v>0</v>
      </c>
      <c r="AI74" s="37">
        <f t="shared" si="13"/>
        <v>23242.610000000019</v>
      </c>
      <c r="AJ74" s="37">
        <f t="shared" si="14"/>
        <v>0</v>
      </c>
      <c r="AK74" s="37">
        <f t="shared" si="15"/>
        <v>0</v>
      </c>
      <c r="AL74" s="37">
        <f t="shared" si="16"/>
        <v>0</v>
      </c>
      <c r="AM74" s="37">
        <f t="shared" si="17"/>
        <v>0</v>
      </c>
      <c r="AN74" s="37">
        <f t="shared" si="18"/>
        <v>0</v>
      </c>
      <c r="AO74" s="37">
        <f t="shared" si="19"/>
        <v>0</v>
      </c>
    </row>
    <row r="75" spans="1:41" hidden="1" x14ac:dyDescent="0.3">
      <c r="A75" t="str">
        <f t="shared" si="11"/>
        <v>401dic</v>
      </c>
      <c r="B75" t="str">
        <f t="shared" si="12"/>
        <v>AYACUCHOdic</v>
      </c>
      <c r="C75" s="1" t="s">
        <v>79</v>
      </c>
      <c r="D75" s="1" t="s">
        <v>5</v>
      </c>
      <c r="E75" s="1">
        <v>401</v>
      </c>
      <c r="F75" s="1" t="s">
        <v>122</v>
      </c>
      <c r="G75" s="1" t="s">
        <v>122</v>
      </c>
      <c r="H75" s="1" t="s">
        <v>122</v>
      </c>
      <c r="I75" s="1" t="s">
        <v>127</v>
      </c>
      <c r="J75" s="1" t="s">
        <v>129</v>
      </c>
      <c r="K75" t="s">
        <v>91</v>
      </c>
      <c r="L75" s="6">
        <v>124315.05999999997</v>
      </c>
      <c r="M75" s="6">
        <v>60727.759999999951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4">
        <v>0.49352588495714123</v>
      </c>
      <c r="AC75" s="34">
        <v>0</v>
      </c>
      <c r="AD75" s="34">
        <v>0</v>
      </c>
      <c r="AE75" s="34">
        <v>0</v>
      </c>
      <c r="AF75" s="34">
        <v>0</v>
      </c>
      <c r="AG75" s="34">
        <v>0</v>
      </c>
      <c r="AH75" s="34">
        <v>0</v>
      </c>
      <c r="AI75" s="37">
        <f t="shared" si="13"/>
        <v>61352.700000000092</v>
      </c>
      <c r="AJ75" s="37">
        <f t="shared" si="14"/>
        <v>0</v>
      </c>
      <c r="AK75" s="37">
        <f t="shared" si="15"/>
        <v>0</v>
      </c>
      <c r="AL75" s="37">
        <f t="shared" si="16"/>
        <v>0</v>
      </c>
      <c r="AM75" s="37">
        <f t="shared" si="17"/>
        <v>0</v>
      </c>
      <c r="AN75" s="37">
        <f t="shared" si="18"/>
        <v>0</v>
      </c>
      <c r="AO75" s="37">
        <f t="shared" si="19"/>
        <v>0</v>
      </c>
    </row>
    <row r="76" spans="1:41" hidden="1" x14ac:dyDescent="0.3">
      <c r="A76" t="str">
        <f t="shared" si="11"/>
        <v>305ene</v>
      </c>
      <c r="B76" t="str">
        <f t="shared" si="12"/>
        <v>BALLIVIANene</v>
      </c>
      <c r="C76" s="1" t="s">
        <v>79</v>
      </c>
      <c r="D76" s="1" t="s">
        <v>6</v>
      </c>
      <c r="E76" s="1">
        <v>305</v>
      </c>
      <c r="F76" s="1" t="s">
        <v>119</v>
      </c>
      <c r="G76" s="1" t="s">
        <v>119</v>
      </c>
      <c r="H76" s="1" t="s">
        <v>119</v>
      </c>
      <c r="I76" s="1" t="s">
        <v>124</v>
      </c>
      <c r="J76" s="1" t="s">
        <v>130</v>
      </c>
      <c r="K76" t="s">
        <v>80</v>
      </c>
      <c r="L76" s="6">
        <v>135827.82999999996</v>
      </c>
      <c r="M76" s="6">
        <v>69454.539999999979</v>
      </c>
      <c r="N76" s="6">
        <v>103612.24999999999</v>
      </c>
      <c r="O76" s="6">
        <v>53083.719999999987</v>
      </c>
      <c r="P76" s="6">
        <v>98138.769250000041</v>
      </c>
      <c r="Q76" s="6">
        <v>50735.266751250027</v>
      </c>
      <c r="R76" s="6">
        <v>94913.910000000207</v>
      </c>
      <c r="S76" s="6">
        <v>50819.602668677529</v>
      </c>
      <c r="T76" s="6">
        <v>94913.910000000178</v>
      </c>
      <c r="U76" s="6">
        <v>50530.260000000155</v>
      </c>
      <c r="V76" s="30">
        <v>98138.769250000041</v>
      </c>
      <c r="W76" s="30">
        <v>52247.110315890612</v>
      </c>
      <c r="X76" s="30">
        <v>105008.48309750007</v>
      </c>
      <c r="Y76" s="30">
        <v>56012.902416944809</v>
      </c>
      <c r="Z76" s="30">
        <v>87233.620689655043</v>
      </c>
      <c r="AA76" s="30">
        <v>48534.580870906568</v>
      </c>
      <c r="AB76" s="34">
        <v>0.6869578936805526</v>
      </c>
      <c r="AC76" s="34">
        <v>0.77305954784588771</v>
      </c>
      <c r="AD76" s="34">
        <v>0.86506088264930858</v>
      </c>
      <c r="AE76" s="34">
        <v>0.86506088264930825</v>
      </c>
      <c r="AF76" s="34">
        <v>0.86506088264930825</v>
      </c>
      <c r="AG76" s="34">
        <v>0.9</v>
      </c>
      <c r="AH76" s="34">
        <v>0.99361768009671469</v>
      </c>
      <c r="AI76" s="37">
        <f t="shared" si="13"/>
        <v>93308.000000000146</v>
      </c>
      <c r="AJ76" s="37">
        <f t="shared" si="14"/>
        <v>80098.43913629507</v>
      </c>
      <c r="AK76" s="37">
        <f t="shared" si="15"/>
        <v>82106.310760297187</v>
      </c>
      <c r="AL76" s="37">
        <f t="shared" si="16"/>
        <v>82106.310760297187</v>
      </c>
      <c r="AM76" s="37">
        <f t="shared" si="17"/>
        <v>84896.010349521821</v>
      </c>
      <c r="AN76" s="37">
        <f t="shared" si="18"/>
        <v>94507.634787750067</v>
      </c>
      <c r="AO76" s="37">
        <f t="shared" si="19"/>
        <v>86676.867816091821</v>
      </c>
    </row>
    <row r="77" spans="1:41" hidden="1" x14ac:dyDescent="0.3">
      <c r="A77" t="str">
        <f t="shared" si="11"/>
        <v>305feb</v>
      </c>
      <c r="B77" t="str">
        <f t="shared" si="12"/>
        <v>BALLIVIANfeb</v>
      </c>
      <c r="C77" s="1" t="s">
        <v>79</v>
      </c>
      <c r="D77" s="1" t="s">
        <v>6</v>
      </c>
      <c r="E77" s="1">
        <v>305</v>
      </c>
      <c r="F77" s="1" t="s">
        <v>119</v>
      </c>
      <c r="G77" s="1" t="s">
        <v>119</v>
      </c>
      <c r="H77" s="1" t="s">
        <v>119</v>
      </c>
      <c r="I77" s="1" t="s">
        <v>124</v>
      </c>
      <c r="J77" s="1" t="s">
        <v>130</v>
      </c>
      <c r="K77" t="s">
        <v>81</v>
      </c>
      <c r="L77" s="6">
        <v>190515.53999999998</v>
      </c>
      <c r="M77" s="6">
        <v>80627.089999999953</v>
      </c>
      <c r="N77" s="6">
        <v>121764.35999999999</v>
      </c>
      <c r="O77" s="6">
        <v>57884.799999999988</v>
      </c>
      <c r="P77" s="6">
        <v>178031.03730000049</v>
      </c>
      <c r="Q77" s="6">
        <v>80056.851285000215</v>
      </c>
      <c r="R77" s="6">
        <v>148645.06000000023</v>
      </c>
      <c r="S77" s="6">
        <v>65252.332206180006</v>
      </c>
      <c r="T77" s="6">
        <v>148645.06000000014</v>
      </c>
      <c r="U77" s="6">
        <v>64901.670000000187</v>
      </c>
      <c r="V77" s="30">
        <v>178031.03730000049</v>
      </c>
      <c r="W77" s="30">
        <v>77732.22758026635</v>
      </c>
      <c r="X77" s="30">
        <v>181591.65804600052</v>
      </c>
      <c r="Y77" s="30">
        <v>82697.522403446565</v>
      </c>
      <c r="Z77" s="30">
        <v>127159.05172413799</v>
      </c>
      <c r="AA77" s="30">
        <v>60477.034840622757</v>
      </c>
      <c r="AB77" s="34">
        <v>0.42061959880018124</v>
      </c>
      <c r="AC77" s="34">
        <v>0.5376514407674714</v>
      </c>
      <c r="AD77" s="34">
        <v>0.31825157670040544</v>
      </c>
      <c r="AE77" s="34">
        <v>0.31825157670040538</v>
      </c>
      <c r="AF77" s="34">
        <v>0.31825157670040538</v>
      </c>
      <c r="AG77" s="34">
        <v>0.39</v>
      </c>
      <c r="AH77" s="34">
        <v>0.477691641045978</v>
      </c>
      <c r="AI77" s="37">
        <f t="shared" si="13"/>
        <v>80134.569999999876</v>
      </c>
      <c r="AJ77" s="37">
        <f t="shared" si="14"/>
        <v>65466.783588129059</v>
      </c>
      <c r="AK77" s="37">
        <f t="shared" si="15"/>
        <v>47306.524713726416</v>
      </c>
      <c r="AL77" s="37">
        <f t="shared" si="16"/>
        <v>47306.52471372643</v>
      </c>
      <c r="AM77" s="37">
        <f t="shared" si="17"/>
        <v>56658.658322333838</v>
      </c>
      <c r="AN77" s="37">
        <f t="shared" si="18"/>
        <v>70820.746637940203</v>
      </c>
      <c r="AO77" s="37">
        <f t="shared" si="19"/>
        <v>60742.816091953871</v>
      </c>
    </row>
    <row r="78" spans="1:41" hidden="1" x14ac:dyDescent="0.3">
      <c r="A78" t="str">
        <f t="shared" si="11"/>
        <v>305mar</v>
      </c>
      <c r="B78" t="str">
        <f t="shared" si="12"/>
        <v>BALLIVIANmar</v>
      </c>
      <c r="C78" s="1" t="s">
        <v>79</v>
      </c>
      <c r="D78" s="1" t="s">
        <v>6</v>
      </c>
      <c r="E78" s="1">
        <v>305</v>
      </c>
      <c r="F78" s="1" t="s">
        <v>119</v>
      </c>
      <c r="G78" s="1" t="s">
        <v>119</v>
      </c>
      <c r="H78" s="1" t="s">
        <v>119</v>
      </c>
      <c r="I78" s="1" t="s">
        <v>124</v>
      </c>
      <c r="J78" s="1" t="s">
        <v>130</v>
      </c>
      <c r="K78" t="s">
        <v>82</v>
      </c>
      <c r="L78" s="6">
        <v>150942.49999999997</v>
      </c>
      <c r="M78" s="6">
        <v>72471.689999999988</v>
      </c>
      <c r="N78" s="6">
        <v>185107.82999999996</v>
      </c>
      <c r="O78" s="6">
        <v>84895.269999999975</v>
      </c>
      <c r="P78" s="6">
        <v>126020</v>
      </c>
      <c r="Q78" s="6">
        <v>60760</v>
      </c>
      <c r="R78" s="6">
        <v>134091.3500000003</v>
      </c>
      <c r="S78" s="6">
        <v>67230.985144134611</v>
      </c>
      <c r="T78" s="6">
        <v>134091.3500000005</v>
      </c>
      <c r="U78" s="6">
        <v>66824.070000000618</v>
      </c>
      <c r="V78" s="30">
        <v>134091.35000000076</v>
      </c>
      <c r="W78" s="30">
        <v>66824.070000000749</v>
      </c>
      <c r="X78" s="30">
        <v>140795.91750000083</v>
      </c>
      <c r="Y78" s="30">
        <v>72733.420704556207</v>
      </c>
      <c r="Z78" s="30">
        <v>138695.88467621882</v>
      </c>
      <c r="AA78" s="30">
        <v>72954.035339691109</v>
      </c>
      <c r="AB78" s="34">
        <v>0.56860930486774819</v>
      </c>
      <c r="AC78" s="34">
        <v>0.4551503478289296</v>
      </c>
      <c r="AD78" s="34">
        <v>0.62244942328249575</v>
      </c>
      <c r="AE78" s="34">
        <v>0.62244942328249397</v>
      </c>
      <c r="AF78" s="34">
        <v>0.62244942328249397</v>
      </c>
      <c r="AG78" s="34">
        <v>0.79</v>
      </c>
      <c r="AH78" s="34">
        <v>0.80257925371183414</v>
      </c>
      <c r="AI78" s="37">
        <f t="shared" si="13"/>
        <v>85827.31000000007</v>
      </c>
      <c r="AJ78" s="37">
        <f t="shared" si="14"/>
        <v>84251.89321035835</v>
      </c>
      <c r="AK78" s="37">
        <f t="shared" si="15"/>
        <v>83465.083474671599</v>
      </c>
      <c r="AL78" s="37">
        <f t="shared" si="16"/>
        <v>83465.083474671235</v>
      </c>
      <c r="AM78" s="37">
        <f t="shared" si="17"/>
        <v>83465.083474671526</v>
      </c>
      <c r="AN78" s="37">
        <f t="shared" si="18"/>
        <v>111228.77482500066</v>
      </c>
      <c r="AO78" s="37">
        <f t="shared" si="19"/>
        <v>111314.43961634231</v>
      </c>
    </row>
    <row r="79" spans="1:41" hidden="1" x14ac:dyDescent="0.3">
      <c r="A79" t="str">
        <f t="shared" si="11"/>
        <v>305abr</v>
      </c>
      <c r="B79" t="str">
        <f t="shared" si="12"/>
        <v>BALLIVIANabr</v>
      </c>
      <c r="C79" s="1" t="s">
        <v>79</v>
      </c>
      <c r="D79" s="1" t="s">
        <v>6</v>
      </c>
      <c r="E79" s="1">
        <v>305</v>
      </c>
      <c r="F79" s="1" t="s">
        <v>119</v>
      </c>
      <c r="G79" s="1" t="s">
        <v>119</v>
      </c>
      <c r="H79" s="1" t="s">
        <v>119</v>
      </c>
      <c r="I79" s="1" t="s">
        <v>124</v>
      </c>
      <c r="J79" s="1" t="s">
        <v>130</v>
      </c>
      <c r="K79" t="s">
        <v>83</v>
      </c>
      <c r="L79" s="6">
        <v>115738.35999999999</v>
      </c>
      <c r="M79" s="6">
        <v>60947.519999999975</v>
      </c>
      <c r="N79" s="6">
        <v>97141.309999999969</v>
      </c>
      <c r="O79" s="6">
        <v>53382.109999999964</v>
      </c>
      <c r="P79" s="6">
        <v>102674</v>
      </c>
      <c r="Q79" s="6">
        <v>56851</v>
      </c>
      <c r="R79" s="6">
        <v>113550.52000000021</v>
      </c>
      <c r="S79" s="6">
        <v>62067.616916005463</v>
      </c>
      <c r="T79" s="6">
        <v>113550.52000000014</v>
      </c>
      <c r="U79" s="6">
        <v>61471.54000000011</v>
      </c>
      <c r="V79" s="30">
        <v>113550.52000000028</v>
      </c>
      <c r="W79" s="30">
        <v>61471.54000000019</v>
      </c>
      <c r="X79" s="30">
        <v>121839.70796000031</v>
      </c>
      <c r="Y79" s="30">
        <v>64059.071260570854</v>
      </c>
      <c r="Z79" s="30">
        <v>0</v>
      </c>
      <c r="AA79" s="30">
        <v>0</v>
      </c>
      <c r="AB79" s="34">
        <v>0.80265842716278468</v>
      </c>
      <c r="AC79" s="34">
        <v>0.91491526376950494</v>
      </c>
      <c r="AD79" s="34">
        <v>0.89891498609298948</v>
      </c>
      <c r="AE79" s="34">
        <v>0.8989149860929887</v>
      </c>
      <c r="AF79" s="34">
        <v>0.8989149860929887</v>
      </c>
      <c r="AG79" s="34">
        <v>0.85</v>
      </c>
      <c r="AH79" s="34">
        <v>0</v>
      </c>
      <c r="AI79" s="37">
        <f t="shared" si="13"/>
        <v>92898.370000000141</v>
      </c>
      <c r="AJ79" s="37">
        <f t="shared" si="14"/>
        <v>88876.067261565215</v>
      </c>
      <c r="AK79" s="37">
        <f t="shared" si="15"/>
        <v>102072.26410665184</v>
      </c>
      <c r="AL79" s="37">
        <f t="shared" si="16"/>
        <v>102072.26410665183</v>
      </c>
      <c r="AM79" s="37">
        <f t="shared" si="17"/>
        <v>102072.26410665188</v>
      </c>
      <c r="AN79" s="37">
        <f t="shared" si="18"/>
        <v>103563.75176600026</v>
      </c>
      <c r="AO79" s="37">
        <f t="shared" si="19"/>
        <v>0</v>
      </c>
    </row>
    <row r="80" spans="1:41" hidden="1" x14ac:dyDescent="0.3">
      <c r="A80" t="str">
        <f t="shared" si="11"/>
        <v>305may</v>
      </c>
      <c r="B80" t="str">
        <f t="shared" si="12"/>
        <v>BALLIVIANmay</v>
      </c>
      <c r="C80" s="1" t="s">
        <v>79</v>
      </c>
      <c r="D80" s="1" t="s">
        <v>6</v>
      </c>
      <c r="E80" s="1">
        <v>305</v>
      </c>
      <c r="F80" s="1" t="s">
        <v>119</v>
      </c>
      <c r="G80" s="1" t="s">
        <v>119</v>
      </c>
      <c r="H80" s="1" t="s">
        <v>119</v>
      </c>
      <c r="I80" s="1" t="s">
        <v>124</v>
      </c>
      <c r="J80" s="1" t="s">
        <v>130</v>
      </c>
      <c r="K80" t="s">
        <v>84</v>
      </c>
      <c r="L80" s="6">
        <v>127710.82</v>
      </c>
      <c r="M80" s="6">
        <v>68314.599999999991</v>
      </c>
      <c r="N80" s="6">
        <v>87829.619999999981</v>
      </c>
      <c r="O80" s="6">
        <v>47921.169999999984</v>
      </c>
      <c r="P80" s="6">
        <v>102819</v>
      </c>
      <c r="Q80" s="6">
        <v>54294</v>
      </c>
      <c r="R80" s="6">
        <v>116412.75000000006</v>
      </c>
      <c r="S80" s="6">
        <v>64813.086312459396</v>
      </c>
      <c r="T80" s="6">
        <v>116412.7500000001</v>
      </c>
      <c r="U80" s="6">
        <v>64375.170000000115</v>
      </c>
      <c r="V80" s="30">
        <v>116412.7500000001</v>
      </c>
      <c r="W80" s="30">
        <v>64375.170000000115</v>
      </c>
      <c r="X80" s="30">
        <v>124910.88075000014</v>
      </c>
      <c r="Y80" s="30">
        <v>66629.102410402847</v>
      </c>
      <c r="Z80" s="30">
        <v>0</v>
      </c>
      <c r="AA80" s="30">
        <v>0</v>
      </c>
      <c r="AB80" s="34">
        <v>0.82587990586858773</v>
      </c>
      <c r="AC80" s="34">
        <v>0.90769822639932984</v>
      </c>
      <c r="AD80" s="34">
        <v>0.97284400107625413</v>
      </c>
      <c r="AE80" s="34">
        <v>0.97284400107625402</v>
      </c>
      <c r="AF80" s="34">
        <v>0.97284400107625402</v>
      </c>
      <c r="AG80" s="34">
        <v>0.9</v>
      </c>
      <c r="AH80" s="34">
        <v>0</v>
      </c>
      <c r="AI80" s="37">
        <f t="shared" si="13"/>
        <v>105473.80000000016</v>
      </c>
      <c r="AJ80" s="37">
        <f t="shared" si="14"/>
        <v>79722.790299327098</v>
      </c>
      <c r="AK80" s="37">
        <f t="shared" si="15"/>
        <v>113251.4454862898</v>
      </c>
      <c r="AL80" s="37">
        <f t="shared" si="16"/>
        <v>113251.44548628974</v>
      </c>
      <c r="AM80" s="37">
        <f t="shared" si="17"/>
        <v>113251.44548628978</v>
      </c>
      <c r="AN80" s="37">
        <f t="shared" si="18"/>
        <v>112419.79267500014</v>
      </c>
      <c r="AO80" s="37">
        <f t="shared" si="19"/>
        <v>0</v>
      </c>
    </row>
    <row r="81" spans="1:41" hidden="1" x14ac:dyDescent="0.3">
      <c r="A81" t="str">
        <f t="shared" si="11"/>
        <v>305jun</v>
      </c>
      <c r="B81" t="str">
        <f t="shared" si="12"/>
        <v>BALLIVIANjun</v>
      </c>
      <c r="C81" s="1" t="s">
        <v>79</v>
      </c>
      <c r="D81" s="1" t="s">
        <v>6</v>
      </c>
      <c r="E81" s="1">
        <v>305</v>
      </c>
      <c r="F81" s="1" t="s">
        <v>119</v>
      </c>
      <c r="G81" s="1" t="s">
        <v>119</v>
      </c>
      <c r="H81" s="1" t="s">
        <v>119</v>
      </c>
      <c r="I81" s="1" t="s">
        <v>124</v>
      </c>
      <c r="J81" s="1" t="s">
        <v>130</v>
      </c>
      <c r="K81" t="s">
        <v>85</v>
      </c>
      <c r="L81" s="6">
        <v>110108.99999999999</v>
      </c>
      <c r="M81" s="6">
        <v>58795.769999999975</v>
      </c>
      <c r="N81" s="6">
        <v>62420.279999999984</v>
      </c>
      <c r="O81" s="6">
        <v>34330.779999999992</v>
      </c>
      <c r="P81" s="6">
        <v>93237</v>
      </c>
      <c r="Q81" s="6">
        <v>51771</v>
      </c>
      <c r="R81" s="6">
        <v>104821.81000000026</v>
      </c>
      <c r="S81" s="6">
        <v>58544.498789649995</v>
      </c>
      <c r="T81" s="6">
        <v>104821.81000000019</v>
      </c>
      <c r="U81" s="6">
        <v>58546.610000000204</v>
      </c>
      <c r="V81" s="30">
        <v>104821.81000000019</v>
      </c>
      <c r="W81" s="30">
        <v>58546.610000000204</v>
      </c>
      <c r="X81" s="30">
        <v>113207.55480000022</v>
      </c>
      <c r="Y81" s="30">
        <v>60386.394820937152</v>
      </c>
      <c r="Z81" s="30">
        <v>0</v>
      </c>
      <c r="AA81" s="30">
        <v>0</v>
      </c>
      <c r="AB81" s="34">
        <v>0.84878002706409184</v>
      </c>
      <c r="AC81" s="34">
        <v>0.93677973267195325</v>
      </c>
      <c r="AD81" s="34">
        <v>0.99006846743419696</v>
      </c>
      <c r="AE81" s="34">
        <v>0.99006846743419685</v>
      </c>
      <c r="AF81" s="34">
        <v>0.99006846743419685</v>
      </c>
      <c r="AG81" s="34">
        <v>0.9</v>
      </c>
      <c r="AH81" s="34">
        <v>0</v>
      </c>
      <c r="AI81" s="37">
        <f t="shared" si="13"/>
        <v>93458.32000000008</v>
      </c>
      <c r="AJ81" s="37">
        <f t="shared" si="14"/>
        <v>58474.053211708459</v>
      </c>
      <c r="AK81" s="37">
        <f t="shared" si="15"/>
        <v>103780.76878037877</v>
      </c>
      <c r="AL81" s="37">
        <f t="shared" si="16"/>
        <v>103780.76878037883</v>
      </c>
      <c r="AM81" s="37">
        <f t="shared" si="17"/>
        <v>103780.76878037876</v>
      </c>
      <c r="AN81" s="37">
        <f t="shared" si="18"/>
        <v>101886.79932000019</v>
      </c>
      <c r="AO81" s="37">
        <f t="shared" si="19"/>
        <v>0</v>
      </c>
    </row>
    <row r="82" spans="1:41" hidden="1" x14ac:dyDescent="0.3">
      <c r="A82" t="str">
        <f t="shared" si="11"/>
        <v>305jul</v>
      </c>
      <c r="B82" t="str">
        <f t="shared" si="12"/>
        <v>BALLIVIANjul</v>
      </c>
      <c r="C82" s="1" t="s">
        <v>79</v>
      </c>
      <c r="D82" s="1" t="s">
        <v>6</v>
      </c>
      <c r="E82" s="1">
        <v>305</v>
      </c>
      <c r="F82" s="1" t="s">
        <v>119</v>
      </c>
      <c r="G82" s="1" t="s">
        <v>119</v>
      </c>
      <c r="H82" s="1" t="s">
        <v>119</v>
      </c>
      <c r="I82" s="1" t="s">
        <v>124</v>
      </c>
      <c r="J82" s="1" t="s">
        <v>130</v>
      </c>
      <c r="K82" t="s">
        <v>86</v>
      </c>
      <c r="L82" s="6">
        <v>137226.85999999999</v>
      </c>
      <c r="M82" s="6">
        <v>73495.659999999974</v>
      </c>
      <c r="N82" s="6">
        <v>107678.10999999997</v>
      </c>
      <c r="O82" s="6">
        <v>58772.569999999978</v>
      </c>
      <c r="P82" s="6">
        <v>99268</v>
      </c>
      <c r="Q82" s="6">
        <v>54927</v>
      </c>
      <c r="R82" s="6">
        <v>110063.78999999996</v>
      </c>
      <c r="S82" s="6">
        <v>60118.900000000525</v>
      </c>
      <c r="T82" s="6">
        <v>110063.79000000024</v>
      </c>
      <c r="U82" s="6">
        <v>60118.900000000205</v>
      </c>
      <c r="V82" s="30">
        <v>110063.79000000058</v>
      </c>
      <c r="W82" s="30">
        <v>60118.900000000394</v>
      </c>
      <c r="X82" s="30">
        <v>118868.89320000063</v>
      </c>
      <c r="Y82" s="30">
        <v>63406.22699063045</v>
      </c>
      <c r="Z82" s="30">
        <v>0</v>
      </c>
      <c r="AA82" s="30">
        <v>0</v>
      </c>
      <c r="AB82" s="34">
        <v>0.8776359817604229</v>
      </c>
      <c r="AC82" s="34">
        <v>0.93477240900714909</v>
      </c>
      <c r="AD82" s="34">
        <v>0.93576288804883134</v>
      </c>
      <c r="AE82" s="34">
        <v>0.93576288804883134</v>
      </c>
      <c r="AF82" s="34">
        <v>0.93576288804883134</v>
      </c>
      <c r="AG82" s="34">
        <v>0.9</v>
      </c>
      <c r="AH82" s="34">
        <v>0</v>
      </c>
      <c r="AI82" s="37">
        <f t="shared" si="13"/>
        <v>120435.2300000001</v>
      </c>
      <c r="AJ82" s="37">
        <f t="shared" si="14"/>
        <v>100654.52628203676</v>
      </c>
      <c r="AK82" s="37">
        <f t="shared" si="15"/>
        <v>102993.61000000031</v>
      </c>
      <c r="AL82" s="37">
        <f t="shared" si="16"/>
        <v>102993.61000000004</v>
      </c>
      <c r="AM82" s="37">
        <f t="shared" si="17"/>
        <v>102993.61000000063</v>
      </c>
      <c r="AN82" s="37">
        <f t="shared" si="18"/>
        <v>106982.00388000057</v>
      </c>
      <c r="AO82" s="37">
        <f t="shared" si="19"/>
        <v>0</v>
      </c>
    </row>
    <row r="83" spans="1:41" hidden="1" x14ac:dyDescent="0.3">
      <c r="A83" t="str">
        <f t="shared" si="11"/>
        <v>305ago</v>
      </c>
      <c r="B83" t="str">
        <f t="shared" si="12"/>
        <v>BALLIVIANago</v>
      </c>
      <c r="C83" s="1" t="s">
        <v>79</v>
      </c>
      <c r="D83" s="1" t="s">
        <v>6</v>
      </c>
      <c r="E83" s="1">
        <v>305</v>
      </c>
      <c r="F83" s="1" t="s">
        <v>119</v>
      </c>
      <c r="G83" s="1" t="s">
        <v>119</v>
      </c>
      <c r="H83" s="1" t="s">
        <v>119</v>
      </c>
      <c r="I83" s="1" t="s">
        <v>124</v>
      </c>
      <c r="J83" s="1" t="s">
        <v>130</v>
      </c>
      <c r="K83" t="s">
        <v>87</v>
      </c>
      <c r="L83" s="6">
        <v>310102.00999999995</v>
      </c>
      <c r="M83" s="6">
        <v>111519.78999999991</v>
      </c>
      <c r="N83" s="6">
        <v>180852.11999999994</v>
      </c>
      <c r="O83" s="6">
        <v>78190.629999999946</v>
      </c>
      <c r="P83" s="6">
        <v>193060</v>
      </c>
      <c r="Q83" s="6">
        <v>85214</v>
      </c>
      <c r="R83" s="6">
        <v>193205.75587585563</v>
      </c>
      <c r="S83" s="6">
        <v>87396.623670443296</v>
      </c>
      <c r="T83" s="6">
        <v>222848.35000000044</v>
      </c>
      <c r="U83" s="6">
        <v>100206.73000000053</v>
      </c>
      <c r="V83" s="30">
        <v>222848.35000000047</v>
      </c>
      <c r="W83" s="30">
        <v>100805.45112250022</v>
      </c>
      <c r="X83" s="30">
        <v>230425.19390000051</v>
      </c>
      <c r="Y83" s="30">
        <v>106698.78445789809</v>
      </c>
      <c r="Z83" s="30">
        <v>0</v>
      </c>
      <c r="AA83" s="30">
        <v>0</v>
      </c>
      <c r="AB83" s="34">
        <v>0.33917735650923569</v>
      </c>
      <c r="AC83" s="34">
        <v>0.39166891575250579</v>
      </c>
      <c r="AD83" s="34">
        <v>0.42962050201404212</v>
      </c>
      <c r="AE83" s="34">
        <v>0.37</v>
      </c>
      <c r="AF83" s="34">
        <v>0.37</v>
      </c>
      <c r="AG83" s="34">
        <v>0.44</v>
      </c>
      <c r="AH83" s="34">
        <v>0</v>
      </c>
      <c r="AI83" s="37">
        <f t="shared" si="13"/>
        <v>105179.58000000055</v>
      </c>
      <c r="AJ83" s="37">
        <f t="shared" si="14"/>
        <v>70834.153751942038</v>
      </c>
      <c r="AK83" s="37">
        <f t="shared" si="15"/>
        <v>95740.220000001151</v>
      </c>
      <c r="AL83" s="37">
        <f t="shared" si="16"/>
        <v>71486.129674066586</v>
      </c>
      <c r="AM83" s="37">
        <f t="shared" si="17"/>
        <v>82453.889500000179</v>
      </c>
      <c r="AN83" s="37">
        <f t="shared" si="18"/>
        <v>101387.08531600023</v>
      </c>
      <c r="AO83" s="37">
        <f t="shared" si="19"/>
        <v>0</v>
      </c>
    </row>
    <row r="84" spans="1:41" hidden="1" x14ac:dyDescent="0.3">
      <c r="A84" t="str">
        <f t="shared" si="11"/>
        <v>305sep</v>
      </c>
      <c r="B84" t="str">
        <f t="shared" si="12"/>
        <v>BALLIVIANsep</v>
      </c>
      <c r="C84" s="1" t="s">
        <v>79</v>
      </c>
      <c r="D84" s="1" t="s">
        <v>6</v>
      </c>
      <c r="E84" s="1">
        <v>305</v>
      </c>
      <c r="F84" s="1" t="s">
        <v>119</v>
      </c>
      <c r="G84" s="1" t="s">
        <v>119</v>
      </c>
      <c r="H84" s="1" t="s">
        <v>119</v>
      </c>
      <c r="I84" s="1" t="s">
        <v>124</v>
      </c>
      <c r="J84" s="1" t="s">
        <v>130</v>
      </c>
      <c r="K84" t="s">
        <v>88</v>
      </c>
      <c r="L84" s="6">
        <v>81249.359999999986</v>
      </c>
      <c r="M84" s="6">
        <v>41123.279999999999</v>
      </c>
      <c r="N84" s="6">
        <v>107783.14999999998</v>
      </c>
      <c r="O84" s="6">
        <v>54667.629999999976</v>
      </c>
      <c r="P84" s="6">
        <v>96184</v>
      </c>
      <c r="Q84" s="6">
        <v>51836</v>
      </c>
      <c r="R84" s="6">
        <v>100658.11965095707</v>
      </c>
      <c r="S84" s="6">
        <v>53585.757792774602</v>
      </c>
      <c r="T84" s="6">
        <v>90033.040000000023</v>
      </c>
      <c r="U84" s="6">
        <v>48036.130000000019</v>
      </c>
      <c r="V84" s="30">
        <v>90033.040000000023</v>
      </c>
      <c r="W84" s="30">
        <v>48036.130000000019</v>
      </c>
      <c r="X84" s="30">
        <v>102637.66560000004</v>
      </c>
      <c r="Y84" s="30">
        <v>53021.342129599143</v>
      </c>
      <c r="Z84" s="30">
        <v>0</v>
      </c>
      <c r="AA84" s="30">
        <v>0</v>
      </c>
      <c r="AB84" s="34">
        <v>0.73431310720478327</v>
      </c>
      <c r="AC84" s="34">
        <v>0.72125566401659458</v>
      </c>
      <c r="AD84" s="34">
        <v>0.88393894063779321</v>
      </c>
      <c r="AE84" s="34">
        <v>0.8</v>
      </c>
      <c r="AF84" s="34">
        <v>0.8</v>
      </c>
      <c r="AG84" s="34">
        <v>0.78999999999999992</v>
      </c>
      <c r="AH84" s="34">
        <v>0</v>
      </c>
      <c r="AI84" s="37">
        <f t="shared" si="13"/>
        <v>59662.470000000016</v>
      </c>
      <c r="AJ84" s="37">
        <f t="shared" si="14"/>
        <v>77739.207423050204</v>
      </c>
      <c r="AK84" s="37">
        <f t="shared" si="15"/>
        <v>79583.710000000079</v>
      </c>
      <c r="AL84" s="37">
        <f t="shared" si="16"/>
        <v>80526.49572076567</v>
      </c>
      <c r="AM84" s="37">
        <f t="shared" si="17"/>
        <v>72026.432000000015</v>
      </c>
      <c r="AN84" s="37">
        <f t="shared" si="18"/>
        <v>81083.755824000022</v>
      </c>
      <c r="AO84" s="37">
        <f t="shared" si="19"/>
        <v>0</v>
      </c>
    </row>
    <row r="85" spans="1:41" hidden="1" x14ac:dyDescent="0.3">
      <c r="A85" t="str">
        <f t="shared" si="11"/>
        <v>305oct</v>
      </c>
      <c r="B85" t="str">
        <f t="shared" si="12"/>
        <v>BALLIVIANoct</v>
      </c>
      <c r="C85" s="1" t="s">
        <v>79</v>
      </c>
      <c r="D85" s="1" t="s">
        <v>6</v>
      </c>
      <c r="E85" s="1">
        <v>305</v>
      </c>
      <c r="F85" s="1" t="s">
        <v>119</v>
      </c>
      <c r="G85" s="1" t="s">
        <v>119</v>
      </c>
      <c r="H85" s="1" t="s">
        <v>119</v>
      </c>
      <c r="I85" s="1" t="s">
        <v>124</v>
      </c>
      <c r="J85" s="1" t="s">
        <v>130</v>
      </c>
      <c r="K85" t="s">
        <v>89</v>
      </c>
      <c r="L85" s="6">
        <v>73679.03</v>
      </c>
      <c r="M85" s="6">
        <v>38602.46</v>
      </c>
      <c r="N85" s="6">
        <v>105478.66999999998</v>
      </c>
      <c r="O85" s="6">
        <v>57433.679999999993</v>
      </c>
      <c r="P85" s="6">
        <v>103136</v>
      </c>
      <c r="Q85" s="6">
        <v>57370</v>
      </c>
      <c r="R85" s="6">
        <v>107933.71929249783</v>
      </c>
      <c r="S85" s="6">
        <v>59082.735286248491</v>
      </c>
      <c r="T85" s="6">
        <v>110522.87000000017</v>
      </c>
      <c r="U85" s="6">
        <v>57440.100000000246</v>
      </c>
      <c r="V85" s="30">
        <v>110522.87</v>
      </c>
      <c r="W85" s="30">
        <v>60500.03200195785</v>
      </c>
      <c r="X85" s="30">
        <v>118812.08525</v>
      </c>
      <c r="Y85" s="30">
        <v>63375.924884876411</v>
      </c>
      <c r="Z85" s="30">
        <v>0</v>
      </c>
      <c r="AA85" s="30">
        <v>0</v>
      </c>
      <c r="AB85" s="34">
        <v>0.81724297944747715</v>
      </c>
      <c r="AC85" s="34">
        <v>0.8944304944428767</v>
      </c>
      <c r="AD85" s="34">
        <v>0.71272615341965018</v>
      </c>
      <c r="AE85" s="34">
        <v>0.9</v>
      </c>
      <c r="AF85" s="34">
        <v>0.9</v>
      </c>
      <c r="AG85" s="34">
        <v>0.9</v>
      </c>
      <c r="AH85" s="34">
        <v>0</v>
      </c>
      <c r="AI85" s="37">
        <f t="shared" si="13"/>
        <v>60213.670000000049</v>
      </c>
      <c r="AJ85" s="37">
        <f t="shared" si="14"/>
        <v>94343.338961277012</v>
      </c>
      <c r="AK85" s="37">
        <f t="shared" si="15"/>
        <v>78772.540000000168</v>
      </c>
      <c r="AL85" s="37">
        <f t="shared" si="16"/>
        <v>97140.347363248045</v>
      </c>
      <c r="AM85" s="37">
        <f t="shared" si="17"/>
        <v>99470.582999999999</v>
      </c>
      <c r="AN85" s="37">
        <f t="shared" si="18"/>
        <v>106930.87672500001</v>
      </c>
      <c r="AO85" s="37">
        <f t="shared" si="19"/>
        <v>0</v>
      </c>
    </row>
    <row r="86" spans="1:41" hidden="1" x14ac:dyDescent="0.3">
      <c r="A86" t="str">
        <f t="shared" si="11"/>
        <v>305nov</v>
      </c>
      <c r="B86" t="str">
        <f t="shared" si="12"/>
        <v>BALLIVIANnov</v>
      </c>
      <c r="C86" s="1" t="s">
        <v>79</v>
      </c>
      <c r="D86" s="1" t="s">
        <v>6</v>
      </c>
      <c r="E86" s="1">
        <v>305</v>
      </c>
      <c r="F86" s="1" t="s">
        <v>119</v>
      </c>
      <c r="G86" s="1" t="s">
        <v>119</v>
      </c>
      <c r="H86" s="1" t="s">
        <v>119</v>
      </c>
      <c r="I86" s="1" t="s">
        <v>124</v>
      </c>
      <c r="J86" s="1" t="s">
        <v>130</v>
      </c>
      <c r="K86" t="s">
        <v>90</v>
      </c>
      <c r="L86" s="6">
        <v>110038.84999999999</v>
      </c>
      <c r="M86" s="6">
        <v>52502.960000000014</v>
      </c>
      <c r="N86" s="6">
        <v>110509.34999999998</v>
      </c>
      <c r="O86" s="6">
        <v>58933.099999999955</v>
      </c>
      <c r="P86" s="6">
        <v>128922</v>
      </c>
      <c r="Q86" s="6">
        <v>66011</v>
      </c>
      <c r="R86" s="6">
        <v>133596.99254646007</v>
      </c>
      <c r="S86" s="6">
        <v>66299.583445055454</v>
      </c>
      <c r="T86" s="6">
        <v>170853.73563218393</v>
      </c>
      <c r="U86" s="6">
        <v>68430.868046354852</v>
      </c>
      <c r="V86" s="30">
        <v>162311.04885057473</v>
      </c>
      <c r="W86" s="30">
        <v>80549.380058692725</v>
      </c>
      <c r="X86" s="30">
        <v>174484.37751436786</v>
      </c>
      <c r="Y86" s="30">
        <v>86399.993295884298</v>
      </c>
      <c r="Z86" s="30">
        <v>0</v>
      </c>
      <c r="AA86" s="30">
        <v>0</v>
      </c>
      <c r="AB86" s="34">
        <v>0.52111377027295458</v>
      </c>
      <c r="AC86" s="34">
        <v>0.73730384940169769</v>
      </c>
      <c r="AD86" s="34">
        <v>0.42962050201404212</v>
      </c>
      <c r="AE86" s="34">
        <v>0.6</v>
      </c>
      <c r="AF86" s="34">
        <v>0.6</v>
      </c>
      <c r="AG86" s="34">
        <v>0.65</v>
      </c>
      <c r="AH86" s="34">
        <v>0</v>
      </c>
      <c r="AI86" s="37">
        <f t="shared" si="13"/>
        <v>57342.760000000104</v>
      </c>
      <c r="AJ86" s="37">
        <f t="shared" si="14"/>
        <v>81478.969149879485</v>
      </c>
      <c r="AK86" s="37">
        <f t="shared" si="15"/>
        <v>73402.267673273294</v>
      </c>
      <c r="AL86" s="37">
        <f t="shared" si="16"/>
        <v>80158.195527876043</v>
      </c>
      <c r="AM86" s="37">
        <f t="shared" si="17"/>
        <v>97386.629310344841</v>
      </c>
      <c r="AN86" s="37">
        <f t="shared" si="18"/>
        <v>113414.84538433912</v>
      </c>
      <c r="AO86" s="37">
        <f t="shared" si="19"/>
        <v>0</v>
      </c>
    </row>
    <row r="87" spans="1:41" hidden="1" x14ac:dyDescent="0.3">
      <c r="A87" t="str">
        <f t="shared" si="11"/>
        <v>305dic</v>
      </c>
      <c r="B87" t="str">
        <f t="shared" si="12"/>
        <v>BALLIVIANdic</v>
      </c>
      <c r="C87" s="1" t="s">
        <v>79</v>
      </c>
      <c r="D87" s="1" t="s">
        <v>6</v>
      </c>
      <c r="E87" s="1">
        <v>305</v>
      </c>
      <c r="F87" s="1" t="s">
        <v>119</v>
      </c>
      <c r="G87" s="1" t="s">
        <v>119</v>
      </c>
      <c r="H87" s="1" t="s">
        <v>119</v>
      </c>
      <c r="I87" s="1" t="s">
        <v>124</v>
      </c>
      <c r="J87" s="1" t="s">
        <v>130</v>
      </c>
      <c r="K87" t="s">
        <v>91</v>
      </c>
      <c r="L87" s="6">
        <v>274236.61999999994</v>
      </c>
      <c r="M87" s="6">
        <v>129177.58999999992</v>
      </c>
      <c r="N87" s="6">
        <v>241072.48999999993</v>
      </c>
      <c r="O87" s="6">
        <v>129653.02000000002</v>
      </c>
      <c r="P87" s="6">
        <v>252836</v>
      </c>
      <c r="Q87" s="6">
        <v>141574</v>
      </c>
      <c r="R87" s="6">
        <v>262003.99838440589</v>
      </c>
      <c r="S87" s="6">
        <v>138430.87400410394</v>
      </c>
      <c r="T87" s="6">
        <v>235560.34482758629</v>
      </c>
      <c r="U87" s="6">
        <v>114110.84533174857</v>
      </c>
      <c r="V87" s="30">
        <v>262003.99838440589</v>
      </c>
      <c r="W87" s="30">
        <v>138430.87400410394</v>
      </c>
      <c r="X87" s="30">
        <v>281654.2982632363</v>
      </c>
      <c r="Y87" s="30">
        <v>147222.37765064329</v>
      </c>
      <c r="Z87" s="30">
        <v>0</v>
      </c>
      <c r="AA87" s="30">
        <v>0</v>
      </c>
      <c r="AB87" s="34">
        <v>0.43962111989274177</v>
      </c>
      <c r="AC87" s="34">
        <v>0.82743725903886634</v>
      </c>
      <c r="AD87" s="34">
        <v>0.62244942328249575</v>
      </c>
      <c r="AE87" s="34">
        <v>0.8</v>
      </c>
      <c r="AF87" s="34">
        <v>0.8</v>
      </c>
      <c r="AG87" s="34">
        <v>0.83</v>
      </c>
      <c r="AH87" s="34">
        <v>0</v>
      </c>
      <c r="AI87" s="37">
        <f t="shared" si="13"/>
        <v>120560.21000000024</v>
      </c>
      <c r="AJ87" s="37">
        <f t="shared" si="14"/>
        <v>199472.36035527446</v>
      </c>
      <c r="AK87" s="37">
        <f t="shared" si="15"/>
        <v>146624.40078615691</v>
      </c>
      <c r="AL87" s="37">
        <f t="shared" si="16"/>
        <v>209603.19870752472</v>
      </c>
      <c r="AM87" s="37">
        <f t="shared" si="17"/>
        <v>209603.19870752472</v>
      </c>
      <c r="AN87" s="37">
        <f t="shared" si="18"/>
        <v>233773.0675584861</v>
      </c>
      <c r="AO87" s="37">
        <f t="shared" si="19"/>
        <v>0</v>
      </c>
    </row>
    <row r="88" spans="1:41" hidden="1" x14ac:dyDescent="0.3">
      <c r="A88" t="str">
        <f t="shared" si="11"/>
        <v>205ene</v>
      </c>
      <c r="B88" t="str">
        <f t="shared" si="12"/>
        <v>CALACOTOene</v>
      </c>
      <c r="C88" s="1" t="s">
        <v>79</v>
      </c>
      <c r="D88" s="1" t="s">
        <v>7</v>
      </c>
      <c r="E88" s="1">
        <v>205</v>
      </c>
      <c r="F88" s="1" t="s">
        <v>122</v>
      </c>
      <c r="G88" s="1" t="s">
        <v>122</v>
      </c>
      <c r="H88" s="1" t="s">
        <v>122</v>
      </c>
      <c r="I88" s="1" t="s">
        <v>125</v>
      </c>
      <c r="J88" s="1" t="s">
        <v>129</v>
      </c>
      <c r="K88" t="s">
        <v>80</v>
      </c>
      <c r="L88" s="6">
        <v>48921.109999999993</v>
      </c>
      <c r="M88" s="6">
        <v>25056.009999999995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4">
        <v>0.7002590497231157</v>
      </c>
      <c r="AC88" s="34">
        <v>0</v>
      </c>
      <c r="AD88" s="34">
        <v>0</v>
      </c>
      <c r="AE88" s="34">
        <v>0</v>
      </c>
      <c r="AF88" s="34">
        <v>0</v>
      </c>
      <c r="AG88" s="34">
        <v>0</v>
      </c>
      <c r="AH88" s="34">
        <v>0</v>
      </c>
      <c r="AI88" s="37">
        <f t="shared" si="13"/>
        <v>34257.450000000012</v>
      </c>
      <c r="AJ88" s="37">
        <f t="shared" si="14"/>
        <v>0</v>
      </c>
      <c r="AK88" s="37">
        <f t="shared" si="15"/>
        <v>0</v>
      </c>
      <c r="AL88" s="37">
        <f t="shared" si="16"/>
        <v>0</v>
      </c>
      <c r="AM88" s="37">
        <f t="shared" si="17"/>
        <v>0</v>
      </c>
      <c r="AN88" s="37">
        <f t="shared" si="18"/>
        <v>0</v>
      </c>
      <c r="AO88" s="37">
        <f t="shared" si="19"/>
        <v>0</v>
      </c>
    </row>
    <row r="89" spans="1:41" hidden="1" x14ac:dyDescent="0.3">
      <c r="A89" t="str">
        <f t="shared" si="11"/>
        <v>205feb</v>
      </c>
      <c r="B89" t="str">
        <f t="shared" si="12"/>
        <v>CALACOTOfeb</v>
      </c>
      <c r="C89" s="1" t="s">
        <v>79</v>
      </c>
      <c r="D89" s="1" t="s">
        <v>7</v>
      </c>
      <c r="E89" s="1">
        <v>205</v>
      </c>
      <c r="F89" s="1" t="s">
        <v>122</v>
      </c>
      <c r="G89" s="1" t="s">
        <v>122</v>
      </c>
      <c r="H89" s="1" t="s">
        <v>122</v>
      </c>
      <c r="I89" s="1" t="s">
        <v>125</v>
      </c>
      <c r="J89" s="1" t="s">
        <v>129</v>
      </c>
      <c r="K89" t="s">
        <v>81</v>
      </c>
      <c r="L89" s="6">
        <v>77774.290000000008</v>
      </c>
      <c r="M89" s="6">
        <v>30267.000000000004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4">
        <v>0.28250261108137426</v>
      </c>
      <c r="AC89" s="34">
        <v>0</v>
      </c>
      <c r="AD89" s="34">
        <v>0</v>
      </c>
      <c r="AE89" s="34">
        <v>0</v>
      </c>
      <c r="AF89" s="34">
        <v>0</v>
      </c>
      <c r="AG89" s="34">
        <v>0</v>
      </c>
      <c r="AH89" s="34">
        <v>0</v>
      </c>
      <c r="AI89" s="37">
        <f t="shared" si="13"/>
        <v>21971.440000000017</v>
      </c>
      <c r="AJ89" s="37">
        <f t="shared" si="14"/>
        <v>0</v>
      </c>
      <c r="AK89" s="37">
        <f t="shared" si="15"/>
        <v>0</v>
      </c>
      <c r="AL89" s="37">
        <f t="shared" si="16"/>
        <v>0</v>
      </c>
      <c r="AM89" s="37">
        <f t="shared" si="17"/>
        <v>0</v>
      </c>
      <c r="AN89" s="37">
        <f t="shared" si="18"/>
        <v>0</v>
      </c>
      <c r="AO89" s="37">
        <f t="shared" si="19"/>
        <v>0</v>
      </c>
    </row>
    <row r="90" spans="1:41" hidden="1" x14ac:dyDescent="0.3">
      <c r="A90" t="str">
        <f t="shared" si="11"/>
        <v>205mar</v>
      </c>
      <c r="B90" t="str">
        <f t="shared" si="12"/>
        <v>CALACOTOmar</v>
      </c>
      <c r="C90" s="1" t="s">
        <v>79</v>
      </c>
      <c r="D90" s="1" t="s">
        <v>7</v>
      </c>
      <c r="E90" s="1">
        <v>205</v>
      </c>
      <c r="F90" s="1" t="s">
        <v>122</v>
      </c>
      <c r="G90" s="1" t="s">
        <v>122</v>
      </c>
      <c r="H90" s="1" t="s">
        <v>122</v>
      </c>
      <c r="I90" s="1" t="s">
        <v>125</v>
      </c>
      <c r="J90" s="1" t="s">
        <v>129</v>
      </c>
      <c r="K90" t="s">
        <v>82</v>
      </c>
      <c r="L90" s="6">
        <v>43125.75</v>
      </c>
      <c r="M90" s="6">
        <v>20148.579999999998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4">
        <v>0.50050445499498541</v>
      </c>
      <c r="AC90" s="34">
        <v>0</v>
      </c>
      <c r="AD90" s="34">
        <v>0</v>
      </c>
      <c r="AE90" s="34">
        <v>0</v>
      </c>
      <c r="AF90" s="34">
        <v>0</v>
      </c>
      <c r="AG90" s="34">
        <v>0</v>
      </c>
      <c r="AH90" s="34">
        <v>0</v>
      </c>
      <c r="AI90" s="37">
        <f t="shared" si="13"/>
        <v>21584.629999999994</v>
      </c>
      <c r="AJ90" s="37">
        <f t="shared" si="14"/>
        <v>0</v>
      </c>
      <c r="AK90" s="37">
        <f t="shared" si="15"/>
        <v>0</v>
      </c>
      <c r="AL90" s="37">
        <f t="shared" si="16"/>
        <v>0</v>
      </c>
      <c r="AM90" s="37">
        <f t="shared" si="17"/>
        <v>0</v>
      </c>
      <c r="AN90" s="37">
        <f t="shared" si="18"/>
        <v>0</v>
      </c>
      <c r="AO90" s="37">
        <f t="shared" si="19"/>
        <v>0</v>
      </c>
    </row>
    <row r="91" spans="1:41" hidden="1" x14ac:dyDescent="0.3">
      <c r="A91" t="str">
        <f t="shared" si="11"/>
        <v>205abr</v>
      </c>
      <c r="B91" t="str">
        <f t="shared" si="12"/>
        <v>CALACOTOabr</v>
      </c>
      <c r="C91" s="1" t="s">
        <v>79</v>
      </c>
      <c r="D91" s="1" t="s">
        <v>7</v>
      </c>
      <c r="E91" s="1">
        <v>205</v>
      </c>
      <c r="F91" s="1" t="s">
        <v>122</v>
      </c>
      <c r="G91" s="1" t="s">
        <v>122</v>
      </c>
      <c r="H91" s="1" t="s">
        <v>122</v>
      </c>
      <c r="I91" s="1" t="s">
        <v>125</v>
      </c>
      <c r="J91" s="1" t="s">
        <v>129</v>
      </c>
      <c r="K91" t="s">
        <v>83</v>
      </c>
      <c r="L91" s="6">
        <v>36140.639999999999</v>
      </c>
      <c r="M91" s="6">
        <v>18475.240000000002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4">
        <v>0.69274036098973379</v>
      </c>
      <c r="AC91" s="34">
        <v>0</v>
      </c>
      <c r="AD91" s="34">
        <v>0</v>
      </c>
      <c r="AE91" s="34">
        <v>0</v>
      </c>
      <c r="AF91" s="34">
        <v>0</v>
      </c>
      <c r="AG91" s="34">
        <v>0</v>
      </c>
      <c r="AH91" s="34">
        <v>0</v>
      </c>
      <c r="AI91" s="37">
        <f t="shared" si="13"/>
        <v>25036.080000000013</v>
      </c>
      <c r="AJ91" s="37">
        <f t="shared" si="14"/>
        <v>0</v>
      </c>
      <c r="AK91" s="37">
        <f t="shared" si="15"/>
        <v>0</v>
      </c>
      <c r="AL91" s="37">
        <f t="shared" si="16"/>
        <v>0</v>
      </c>
      <c r="AM91" s="37">
        <f t="shared" si="17"/>
        <v>0</v>
      </c>
      <c r="AN91" s="37">
        <f t="shared" si="18"/>
        <v>0</v>
      </c>
      <c r="AO91" s="37">
        <f t="shared" si="19"/>
        <v>0</v>
      </c>
    </row>
    <row r="92" spans="1:41" hidden="1" x14ac:dyDescent="0.3">
      <c r="A92" t="str">
        <f t="shared" si="11"/>
        <v>205may</v>
      </c>
      <c r="B92" t="str">
        <f t="shared" si="12"/>
        <v>CALACOTOmay</v>
      </c>
      <c r="C92" s="1" t="s">
        <v>79</v>
      </c>
      <c r="D92" s="1" t="s">
        <v>7</v>
      </c>
      <c r="E92" s="1">
        <v>205</v>
      </c>
      <c r="F92" s="1" t="s">
        <v>122</v>
      </c>
      <c r="G92" s="1" t="s">
        <v>122</v>
      </c>
      <c r="H92" s="1" t="s">
        <v>122</v>
      </c>
      <c r="I92" s="1" t="s">
        <v>125</v>
      </c>
      <c r="J92" s="1" t="s">
        <v>129</v>
      </c>
      <c r="K92" t="s">
        <v>84</v>
      </c>
      <c r="L92" s="6">
        <v>38122.699999999997</v>
      </c>
      <c r="M92" s="6">
        <v>20029.12999999999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4">
        <v>0.71706175061052857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I92" s="37">
        <f t="shared" si="13"/>
        <v>27336.329999999994</v>
      </c>
      <c r="AJ92" s="37">
        <f t="shared" si="14"/>
        <v>0</v>
      </c>
      <c r="AK92" s="37">
        <f t="shared" si="15"/>
        <v>0</v>
      </c>
      <c r="AL92" s="37">
        <f t="shared" si="16"/>
        <v>0</v>
      </c>
      <c r="AM92" s="37">
        <f t="shared" si="17"/>
        <v>0</v>
      </c>
      <c r="AN92" s="37">
        <f t="shared" si="18"/>
        <v>0</v>
      </c>
      <c r="AO92" s="37">
        <f t="shared" si="19"/>
        <v>0</v>
      </c>
    </row>
    <row r="93" spans="1:41" hidden="1" x14ac:dyDescent="0.3">
      <c r="A93" t="str">
        <f t="shared" si="11"/>
        <v>205jun</v>
      </c>
      <c r="B93" t="str">
        <f t="shared" si="12"/>
        <v>CALACOTOjun</v>
      </c>
      <c r="C93" s="1" t="s">
        <v>79</v>
      </c>
      <c r="D93" s="1" t="s">
        <v>7</v>
      </c>
      <c r="E93" s="1">
        <v>205</v>
      </c>
      <c r="F93" s="1" t="s">
        <v>122</v>
      </c>
      <c r="G93" s="1" t="s">
        <v>122</v>
      </c>
      <c r="H93" s="1" t="s">
        <v>122</v>
      </c>
      <c r="I93" s="1" t="s">
        <v>125</v>
      </c>
      <c r="J93" s="1" t="s">
        <v>129</v>
      </c>
      <c r="K93" t="s">
        <v>85</v>
      </c>
      <c r="L93" s="6">
        <v>34543.99</v>
      </c>
      <c r="M93" s="6">
        <v>18214.919999999998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4">
        <v>0.73923973461085435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7">
        <f t="shared" si="13"/>
        <v>25536.290000000005</v>
      </c>
      <c r="AJ93" s="37">
        <f t="shared" si="14"/>
        <v>0</v>
      </c>
      <c r="AK93" s="37">
        <f t="shared" si="15"/>
        <v>0</v>
      </c>
      <c r="AL93" s="37">
        <f t="shared" si="16"/>
        <v>0</v>
      </c>
      <c r="AM93" s="37">
        <f t="shared" si="17"/>
        <v>0</v>
      </c>
      <c r="AN93" s="37">
        <f t="shared" si="18"/>
        <v>0</v>
      </c>
      <c r="AO93" s="37">
        <f t="shared" si="19"/>
        <v>0</v>
      </c>
    </row>
    <row r="94" spans="1:41" hidden="1" x14ac:dyDescent="0.3">
      <c r="A94" t="str">
        <f t="shared" si="11"/>
        <v>205jul</v>
      </c>
      <c r="B94" t="str">
        <f t="shared" si="12"/>
        <v>CALACOTOjul</v>
      </c>
      <c r="C94" s="1" t="s">
        <v>79</v>
      </c>
      <c r="D94" s="1" t="s">
        <v>7</v>
      </c>
      <c r="E94" s="1">
        <v>205</v>
      </c>
      <c r="F94" s="1" t="s">
        <v>122</v>
      </c>
      <c r="G94" s="1" t="s">
        <v>122</v>
      </c>
      <c r="H94" s="1" t="s">
        <v>122</v>
      </c>
      <c r="I94" s="1" t="s">
        <v>125</v>
      </c>
      <c r="J94" s="1" t="s">
        <v>129</v>
      </c>
      <c r="K94" t="s">
        <v>86</v>
      </c>
      <c r="L94" s="6">
        <v>32186.21</v>
      </c>
      <c r="M94" s="6">
        <v>17365.759999999998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4">
        <v>0.80798609093770291</v>
      </c>
      <c r="AC94" s="34">
        <v>0</v>
      </c>
      <c r="AD94" s="34">
        <v>0</v>
      </c>
      <c r="AE94" s="34">
        <v>0</v>
      </c>
      <c r="AF94" s="34">
        <v>0</v>
      </c>
      <c r="AG94" s="34">
        <v>0</v>
      </c>
      <c r="AH94" s="34">
        <v>0</v>
      </c>
      <c r="AI94" s="37">
        <f t="shared" si="13"/>
        <v>26006.010000000002</v>
      </c>
      <c r="AJ94" s="37">
        <f t="shared" si="14"/>
        <v>0</v>
      </c>
      <c r="AK94" s="37">
        <f t="shared" si="15"/>
        <v>0</v>
      </c>
      <c r="AL94" s="37">
        <f t="shared" si="16"/>
        <v>0</v>
      </c>
      <c r="AM94" s="37">
        <f t="shared" si="17"/>
        <v>0</v>
      </c>
      <c r="AN94" s="37">
        <f t="shared" si="18"/>
        <v>0</v>
      </c>
      <c r="AO94" s="37">
        <f t="shared" si="19"/>
        <v>0</v>
      </c>
    </row>
    <row r="95" spans="1:41" hidden="1" x14ac:dyDescent="0.3">
      <c r="A95" t="str">
        <f t="shared" si="11"/>
        <v>205ago</v>
      </c>
      <c r="B95" t="str">
        <f t="shared" si="12"/>
        <v>CALACOTOago</v>
      </c>
      <c r="C95" s="1" t="s">
        <v>79</v>
      </c>
      <c r="D95" s="1" t="s">
        <v>7</v>
      </c>
      <c r="E95" s="1">
        <v>205</v>
      </c>
      <c r="F95" s="1" t="s">
        <v>122</v>
      </c>
      <c r="G95" s="1" t="s">
        <v>122</v>
      </c>
      <c r="H95" s="1" t="s">
        <v>122</v>
      </c>
      <c r="I95" s="1" t="s">
        <v>125</v>
      </c>
      <c r="J95" s="1" t="s">
        <v>129</v>
      </c>
      <c r="K95" t="s">
        <v>87</v>
      </c>
      <c r="L95" s="6">
        <v>124969.85999999999</v>
      </c>
      <c r="M95" s="6">
        <v>35660.399999999994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4">
        <v>0.19232429323358416</v>
      </c>
      <c r="AC95" s="34">
        <v>0</v>
      </c>
      <c r="AD95" s="34">
        <v>0</v>
      </c>
      <c r="AE95" s="34">
        <v>0</v>
      </c>
      <c r="AF95" s="34">
        <v>0</v>
      </c>
      <c r="AG95" s="34">
        <v>0</v>
      </c>
      <c r="AH95" s="34">
        <v>0</v>
      </c>
      <c r="AI95" s="37">
        <f t="shared" si="13"/>
        <v>24034.739999999958</v>
      </c>
      <c r="AJ95" s="37">
        <f t="shared" si="14"/>
        <v>0</v>
      </c>
      <c r="AK95" s="37">
        <f t="shared" si="15"/>
        <v>0</v>
      </c>
      <c r="AL95" s="37">
        <f t="shared" si="16"/>
        <v>0</v>
      </c>
      <c r="AM95" s="37">
        <f t="shared" si="17"/>
        <v>0</v>
      </c>
      <c r="AN95" s="37">
        <f t="shared" si="18"/>
        <v>0</v>
      </c>
      <c r="AO95" s="37">
        <f t="shared" si="19"/>
        <v>0</v>
      </c>
    </row>
    <row r="96" spans="1:41" hidden="1" x14ac:dyDescent="0.3">
      <c r="A96" t="str">
        <f t="shared" si="11"/>
        <v>205sep</v>
      </c>
      <c r="B96" t="str">
        <f t="shared" si="12"/>
        <v>CALACOTOsep</v>
      </c>
      <c r="C96" s="1" t="s">
        <v>79</v>
      </c>
      <c r="D96" s="1" t="s">
        <v>7</v>
      </c>
      <c r="E96" s="1">
        <v>205</v>
      </c>
      <c r="F96" s="1" t="s">
        <v>122</v>
      </c>
      <c r="G96" s="1" t="s">
        <v>122</v>
      </c>
      <c r="H96" s="1" t="s">
        <v>122</v>
      </c>
      <c r="I96" s="1" t="s">
        <v>125</v>
      </c>
      <c r="J96" s="1" t="s">
        <v>129</v>
      </c>
      <c r="K96" t="s">
        <v>88</v>
      </c>
      <c r="L96" s="6">
        <v>32128.070000000003</v>
      </c>
      <c r="M96" s="6">
        <v>15881.840000000002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4">
        <v>0.62441379142911535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7">
        <f t="shared" si="13"/>
        <v>20061.210000000021</v>
      </c>
      <c r="AJ96" s="37">
        <f t="shared" si="14"/>
        <v>0</v>
      </c>
      <c r="AK96" s="37">
        <f t="shared" si="15"/>
        <v>0</v>
      </c>
      <c r="AL96" s="37">
        <f t="shared" si="16"/>
        <v>0</v>
      </c>
      <c r="AM96" s="37">
        <f t="shared" si="17"/>
        <v>0</v>
      </c>
      <c r="AN96" s="37">
        <f t="shared" si="18"/>
        <v>0</v>
      </c>
      <c r="AO96" s="37">
        <f t="shared" si="19"/>
        <v>0</v>
      </c>
    </row>
    <row r="97" spans="1:41" hidden="1" x14ac:dyDescent="0.3">
      <c r="A97" t="str">
        <f t="shared" si="11"/>
        <v>205oct</v>
      </c>
      <c r="B97" t="str">
        <f t="shared" si="12"/>
        <v>CALACOTOoct</v>
      </c>
      <c r="C97" s="1" t="s">
        <v>79</v>
      </c>
      <c r="D97" s="1" t="s">
        <v>7</v>
      </c>
      <c r="E97" s="1">
        <v>205</v>
      </c>
      <c r="F97" s="1" t="s">
        <v>122</v>
      </c>
      <c r="G97" s="1" t="s">
        <v>122</v>
      </c>
      <c r="H97" s="1" t="s">
        <v>122</v>
      </c>
      <c r="I97" s="1" t="s">
        <v>125</v>
      </c>
      <c r="J97" s="1" t="s">
        <v>129</v>
      </c>
      <c r="K97" t="s">
        <v>89</v>
      </c>
      <c r="L97" s="6">
        <v>27901.439999999995</v>
      </c>
      <c r="M97" s="6">
        <v>14322.679999999997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4">
        <v>0.71995567253876558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7">
        <f t="shared" si="13"/>
        <v>20087.80000000001</v>
      </c>
      <c r="AJ97" s="37">
        <f t="shared" si="14"/>
        <v>0</v>
      </c>
      <c r="AK97" s="37">
        <f t="shared" si="15"/>
        <v>0</v>
      </c>
      <c r="AL97" s="37">
        <f t="shared" si="16"/>
        <v>0</v>
      </c>
      <c r="AM97" s="37">
        <f t="shared" si="17"/>
        <v>0</v>
      </c>
      <c r="AN97" s="37">
        <f t="shared" si="18"/>
        <v>0</v>
      </c>
      <c r="AO97" s="37">
        <f t="shared" si="19"/>
        <v>0</v>
      </c>
    </row>
    <row r="98" spans="1:41" hidden="1" x14ac:dyDescent="0.3">
      <c r="A98" t="str">
        <f t="shared" si="11"/>
        <v>205nov</v>
      </c>
      <c r="B98" t="str">
        <f t="shared" si="12"/>
        <v>CALACOTOnov</v>
      </c>
      <c r="C98" s="1" t="s">
        <v>79</v>
      </c>
      <c r="D98" s="1" t="s">
        <v>7</v>
      </c>
      <c r="E98" s="1">
        <v>205</v>
      </c>
      <c r="F98" s="1" t="s">
        <v>122</v>
      </c>
      <c r="G98" s="1" t="s">
        <v>122</v>
      </c>
      <c r="H98" s="1" t="s">
        <v>122</v>
      </c>
      <c r="I98" s="1" t="s">
        <v>125</v>
      </c>
      <c r="J98" s="1" t="s">
        <v>129</v>
      </c>
      <c r="K98" t="s">
        <v>90</v>
      </c>
      <c r="L98" s="6">
        <v>51539.55</v>
      </c>
      <c r="M98" s="6">
        <v>23008.91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4">
        <v>0.30698696437978218</v>
      </c>
      <c r="AC98" s="34">
        <v>0</v>
      </c>
      <c r="AD98" s="34">
        <v>0</v>
      </c>
      <c r="AE98" s="34">
        <v>0</v>
      </c>
      <c r="AF98" s="34">
        <v>0</v>
      </c>
      <c r="AG98" s="34">
        <v>0</v>
      </c>
      <c r="AH98" s="34">
        <v>0</v>
      </c>
      <c r="AI98" s="37">
        <f t="shared" si="13"/>
        <v>15821.970000000003</v>
      </c>
      <c r="AJ98" s="37">
        <f t="shared" si="14"/>
        <v>0</v>
      </c>
      <c r="AK98" s="37">
        <f t="shared" si="15"/>
        <v>0</v>
      </c>
      <c r="AL98" s="37">
        <f t="shared" si="16"/>
        <v>0</v>
      </c>
      <c r="AM98" s="37">
        <f t="shared" si="17"/>
        <v>0</v>
      </c>
      <c r="AN98" s="37">
        <f t="shared" si="18"/>
        <v>0</v>
      </c>
      <c r="AO98" s="37">
        <f t="shared" si="19"/>
        <v>0</v>
      </c>
    </row>
    <row r="99" spans="1:41" hidden="1" x14ac:dyDescent="0.3">
      <c r="A99" t="str">
        <f t="shared" si="11"/>
        <v>205dic</v>
      </c>
      <c r="B99" t="str">
        <f t="shared" si="12"/>
        <v>CALACOTOdic</v>
      </c>
      <c r="C99" s="1" t="s">
        <v>79</v>
      </c>
      <c r="D99" s="1" t="s">
        <v>7</v>
      </c>
      <c r="E99" s="1">
        <v>205</v>
      </c>
      <c r="F99" s="1" t="s">
        <v>122</v>
      </c>
      <c r="G99" s="1" t="s">
        <v>122</v>
      </c>
      <c r="H99" s="1" t="s">
        <v>122</v>
      </c>
      <c r="I99" s="1" t="s">
        <v>125</v>
      </c>
      <c r="J99" s="1" t="s">
        <v>129</v>
      </c>
      <c r="K99" t="s">
        <v>91</v>
      </c>
      <c r="L99" s="6">
        <v>98214.51999999999</v>
      </c>
      <c r="M99" s="6">
        <v>47435.209999999992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4">
        <v>0.50034373736184923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7">
        <f t="shared" si="13"/>
        <v>49141.020000000084</v>
      </c>
      <c r="AJ99" s="37">
        <f t="shared" si="14"/>
        <v>0</v>
      </c>
      <c r="AK99" s="37">
        <f t="shared" si="15"/>
        <v>0</v>
      </c>
      <c r="AL99" s="37">
        <f t="shared" si="16"/>
        <v>0</v>
      </c>
      <c r="AM99" s="37">
        <f t="shared" si="17"/>
        <v>0</v>
      </c>
      <c r="AN99" s="37">
        <f t="shared" si="18"/>
        <v>0</v>
      </c>
      <c r="AO99" s="37">
        <f t="shared" si="19"/>
        <v>0</v>
      </c>
    </row>
    <row r="100" spans="1:41" hidden="1" x14ac:dyDescent="0.3">
      <c r="A100" t="str">
        <f t="shared" si="11"/>
        <v>211ene</v>
      </c>
      <c r="B100" t="str">
        <f t="shared" si="12"/>
        <v>CASONAene</v>
      </c>
      <c r="C100" s="1" t="s">
        <v>79</v>
      </c>
      <c r="D100" s="1" t="s">
        <v>8</v>
      </c>
      <c r="E100" s="1">
        <v>211</v>
      </c>
      <c r="F100" s="1" t="s">
        <v>119</v>
      </c>
      <c r="G100" s="1" t="s">
        <v>119</v>
      </c>
      <c r="H100" s="1" t="s">
        <v>119</v>
      </c>
      <c r="I100" s="1" t="s">
        <v>125</v>
      </c>
      <c r="J100" s="1" t="s">
        <v>131</v>
      </c>
      <c r="K100" t="s">
        <v>80</v>
      </c>
      <c r="L100" s="6">
        <v>176554.77</v>
      </c>
      <c r="M100" s="6">
        <v>91532.58</v>
      </c>
      <c r="N100" s="6">
        <v>144928.28</v>
      </c>
      <c r="O100" s="6">
        <v>75178.339999999982</v>
      </c>
      <c r="P100" s="6">
        <v>161725.81395666677</v>
      </c>
      <c r="Q100" s="6">
        <v>83804.151380133393</v>
      </c>
      <c r="R100" s="6">
        <v>157566.82000000041</v>
      </c>
      <c r="S100" s="6">
        <v>83404.83729115632</v>
      </c>
      <c r="T100" s="6">
        <v>157566.82000000044</v>
      </c>
      <c r="U100" s="6">
        <v>83685.950000000434</v>
      </c>
      <c r="V100" s="30">
        <v>161725.81395666677</v>
      </c>
      <c r="W100" s="30">
        <v>85894.850073682697</v>
      </c>
      <c r="X100" s="30">
        <v>169812.10465450014</v>
      </c>
      <c r="Y100" s="30">
        <v>90120.370946009571</v>
      </c>
      <c r="Z100" s="30">
        <v>137723.99425287297</v>
      </c>
      <c r="AA100" s="30">
        <v>76524.800798606069</v>
      </c>
      <c r="AB100" s="34">
        <v>0.79843161416709385</v>
      </c>
      <c r="AC100" s="34">
        <v>0.81097653919322854</v>
      </c>
      <c r="AD100" s="34">
        <v>0.87233341503516371</v>
      </c>
      <c r="AE100" s="34">
        <v>0.87233341503516271</v>
      </c>
      <c r="AF100" s="34">
        <v>0.87233341503516271</v>
      </c>
      <c r="AG100" s="34">
        <v>0.9</v>
      </c>
      <c r="AH100" s="34">
        <v>0.98658298550219647</v>
      </c>
      <c r="AI100" s="37">
        <f t="shared" si="13"/>
        <v>140966.90999999997</v>
      </c>
      <c r="AJ100" s="37">
        <f t="shared" si="14"/>
        <v>117533.4349456272</v>
      </c>
      <c r="AK100" s="37">
        <f t="shared" si="15"/>
        <v>137450.80218683131</v>
      </c>
      <c r="AL100" s="37">
        <f t="shared" si="16"/>
        <v>137450.80218683113</v>
      </c>
      <c r="AM100" s="37">
        <f t="shared" si="17"/>
        <v>141078.83158816051</v>
      </c>
      <c r="AN100" s="37">
        <f t="shared" si="18"/>
        <v>152830.89418905013</v>
      </c>
      <c r="AO100" s="37">
        <f t="shared" si="19"/>
        <v>135876.14942528677</v>
      </c>
    </row>
    <row r="101" spans="1:41" hidden="1" x14ac:dyDescent="0.3">
      <c r="A101" t="str">
        <f t="shared" si="11"/>
        <v>211feb</v>
      </c>
      <c r="B101" t="str">
        <f t="shared" si="12"/>
        <v>CASONAfeb</v>
      </c>
      <c r="C101" s="1" t="s">
        <v>79</v>
      </c>
      <c r="D101" s="1" t="s">
        <v>8</v>
      </c>
      <c r="E101" s="1">
        <v>211</v>
      </c>
      <c r="F101" s="1" t="s">
        <v>119</v>
      </c>
      <c r="G101" s="1" t="s">
        <v>119</v>
      </c>
      <c r="H101" s="1" t="s">
        <v>119</v>
      </c>
      <c r="I101" s="1" t="s">
        <v>125</v>
      </c>
      <c r="J101" s="1" t="s">
        <v>131</v>
      </c>
      <c r="K101" t="s">
        <v>81</v>
      </c>
      <c r="L101" s="6">
        <v>229786.89</v>
      </c>
      <c r="M101" s="6">
        <v>92988.239999999991</v>
      </c>
      <c r="N101" s="6">
        <v>199848.80999999991</v>
      </c>
      <c r="O101" s="6">
        <v>91074.639999999941</v>
      </c>
      <c r="P101" s="6">
        <v>269677.14236000064</v>
      </c>
      <c r="Q101" s="6">
        <v>116773.49400270027</v>
      </c>
      <c r="R101" s="6">
        <v>267256.82000000129</v>
      </c>
      <c r="S101" s="6">
        <v>115041.45647579357</v>
      </c>
      <c r="T101" s="6">
        <v>267256.82000000123</v>
      </c>
      <c r="U101" s="6">
        <v>115197.93000000127</v>
      </c>
      <c r="V101" s="30">
        <v>275070.68520720064</v>
      </c>
      <c r="W101" s="30">
        <v>118566.00531111364</v>
      </c>
      <c r="X101" s="30">
        <v>283322.80576341669</v>
      </c>
      <c r="Y101" s="30">
        <v>129810.65563025718</v>
      </c>
      <c r="Z101" s="30">
        <v>220356.75287356367</v>
      </c>
      <c r="AA101" s="30">
        <v>100222.20204877498</v>
      </c>
      <c r="AB101" s="34">
        <v>0.36067601593807275</v>
      </c>
      <c r="AC101" s="34">
        <v>0.51600777676657394</v>
      </c>
      <c r="AD101" s="34">
        <v>0.27723345557015505</v>
      </c>
      <c r="AE101" s="34">
        <v>0.27723345557015505</v>
      </c>
      <c r="AF101" s="34">
        <v>0.27723345557015505</v>
      </c>
      <c r="AG101" s="34">
        <v>0.4</v>
      </c>
      <c r="AH101" s="34">
        <v>0.43519423505378674</v>
      </c>
      <c r="AI101" s="37">
        <f t="shared" si="13"/>
        <v>82878.62000000017</v>
      </c>
      <c r="AJ101" s="37">
        <f t="shared" si="14"/>
        <v>103123.54013754541</v>
      </c>
      <c r="AK101" s="37">
        <f t="shared" si="15"/>
        <v>74092.531733291267</v>
      </c>
      <c r="AL101" s="37">
        <f t="shared" si="16"/>
        <v>74092.531733291282</v>
      </c>
      <c r="AM101" s="37">
        <f t="shared" si="17"/>
        <v>76258.796586042561</v>
      </c>
      <c r="AN101" s="37">
        <f t="shared" si="18"/>
        <v>113329.12230536668</v>
      </c>
      <c r="AO101" s="37">
        <f t="shared" si="19"/>
        <v>95897.988505746864</v>
      </c>
    </row>
    <row r="102" spans="1:41" hidden="1" x14ac:dyDescent="0.3">
      <c r="A102" t="str">
        <f t="shared" si="11"/>
        <v>211mar</v>
      </c>
      <c r="B102" t="str">
        <f t="shared" si="12"/>
        <v>CASONAmar</v>
      </c>
      <c r="C102" s="1" t="s">
        <v>79</v>
      </c>
      <c r="D102" s="1" t="s">
        <v>8</v>
      </c>
      <c r="E102" s="1">
        <v>211</v>
      </c>
      <c r="F102" s="1" t="s">
        <v>119</v>
      </c>
      <c r="G102" s="1" t="s">
        <v>119</v>
      </c>
      <c r="H102" s="1" t="s">
        <v>119</v>
      </c>
      <c r="I102" s="1" t="s">
        <v>125</v>
      </c>
      <c r="J102" s="1" t="s">
        <v>131</v>
      </c>
      <c r="K102" t="s">
        <v>82</v>
      </c>
      <c r="L102" s="6">
        <v>155700.96999999997</v>
      </c>
      <c r="M102" s="6">
        <v>73452.069999999978</v>
      </c>
      <c r="N102" s="6">
        <v>264480.37999999989</v>
      </c>
      <c r="O102" s="6">
        <v>113949.72999999986</v>
      </c>
      <c r="P102" s="6">
        <v>181771.51140000031</v>
      </c>
      <c r="Q102" s="6">
        <v>87174.03089700015</v>
      </c>
      <c r="R102" s="6">
        <v>187181.10000000053</v>
      </c>
      <c r="S102" s="6">
        <v>92806.376232285038</v>
      </c>
      <c r="T102" s="6">
        <v>187181.10000000027</v>
      </c>
      <c r="U102" s="6">
        <v>89901.20000000023</v>
      </c>
      <c r="V102" s="30">
        <v>187181.10000000053</v>
      </c>
      <c r="W102" s="30">
        <v>89901.200000000346</v>
      </c>
      <c r="X102" s="30">
        <v>190924.72200000056</v>
      </c>
      <c r="Y102" s="30">
        <v>99940.116407165217</v>
      </c>
      <c r="Z102" s="30">
        <v>169392.96693676536</v>
      </c>
      <c r="AA102" s="30">
        <v>85712.841270003264</v>
      </c>
      <c r="AB102" s="34">
        <v>0.55946292434787148</v>
      </c>
      <c r="AC102" s="34">
        <v>0.44728159733558592</v>
      </c>
      <c r="AD102" s="34">
        <v>0.55927577678720963</v>
      </c>
      <c r="AE102" s="34">
        <v>0.55927577678720874</v>
      </c>
      <c r="AF102" s="34">
        <v>0.55927577678720874</v>
      </c>
      <c r="AG102" s="34">
        <v>0.85</v>
      </c>
      <c r="AH102" s="34">
        <v>0.7626859417434303</v>
      </c>
      <c r="AI102" s="37">
        <f t="shared" si="13"/>
        <v>87108.920000000187</v>
      </c>
      <c r="AJ102" s="37">
        <f t="shared" si="14"/>
        <v>118297.2068303227</v>
      </c>
      <c r="AK102" s="37">
        <f t="shared" si="15"/>
        <v>104685.85510238452</v>
      </c>
      <c r="AL102" s="37">
        <f t="shared" si="16"/>
        <v>104685.85510238449</v>
      </c>
      <c r="AM102" s="37">
        <f t="shared" si="17"/>
        <v>104685.85510238449</v>
      </c>
      <c r="AN102" s="37">
        <f t="shared" si="18"/>
        <v>162286.01370000048</v>
      </c>
      <c r="AO102" s="37">
        <f t="shared" si="19"/>
        <v>129193.63451288064</v>
      </c>
    </row>
    <row r="103" spans="1:41" hidden="1" x14ac:dyDescent="0.3">
      <c r="A103" t="str">
        <f t="shared" si="11"/>
        <v>211abr</v>
      </c>
      <c r="B103" t="str">
        <f t="shared" si="12"/>
        <v>CASONAabr</v>
      </c>
      <c r="C103" s="1" t="s">
        <v>79</v>
      </c>
      <c r="D103" s="1" t="s">
        <v>8</v>
      </c>
      <c r="E103" s="1">
        <v>211</v>
      </c>
      <c r="F103" s="1" t="s">
        <v>119</v>
      </c>
      <c r="G103" s="1" t="s">
        <v>119</v>
      </c>
      <c r="H103" s="1" t="s">
        <v>119</v>
      </c>
      <c r="I103" s="1" t="s">
        <v>125</v>
      </c>
      <c r="J103" s="1" t="s">
        <v>131</v>
      </c>
      <c r="K103" t="s">
        <v>83</v>
      </c>
      <c r="L103" s="6">
        <v>134994.70000000001</v>
      </c>
      <c r="M103" s="6">
        <v>70725.66</v>
      </c>
      <c r="N103" s="6">
        <v>157376.70000000007</v>
      </c>
      <c r="O103" s="6">
        <v>87818.070000000065</v>
      </c>
      <c r="P103" s="6">
        <v>160429.92162000039</v>
      </c>
      <c r="Q103" s="6">
        <v>88097.380115300199</v>
      </c>
      <c r="R103" s="6">
        <v>154514.72000000023</v>
      </c>
      <c r="S103" s="6">
        <v>82966.227274293095</v>
      </c>
      <c r="T103" s="6">
        <v>154514.72000000003</v>
      </c>
      <c r="U103" s="6">
        <v>82984.560000000027</v>
      </c>
      <c r="V103" s="30">
        <v>154514.72000000015</v>
      </c>
      <c r="W103" s="30">
        <v>82984.560000000085</v>
      </c>
      <c r="X103" s="30">
        <v>165330.75040000016</v>
      </c>
      <c r="Y103" s="30">
        <v>87262.402723171574</v>
      </c>
      <c r="Z103" s="30">
        <v>0</v>
      </c>
      <c r="AA103" s="30">
        <v>0</v>
      </c>
      <c r="AB103" s="34">
        <v>0.81148282117742476</v>
      </c>
      <c r="AC103" s="34">
        <v>0.92168519563391027</v>
      </c>
      <c r="AD103" s="34">
        <v>0.88083886605406914</v>
      </c>
      <c r="AE103" s="34">
        <v>0.88083886605406858</v>
      </c>
      <c r="AF103" s="34">
        <v>0.88083886605406858</v>
      </c>
      <c r="AG103" s="34">
        <v>0.88</v>
      </c>
      <c r="AH103" s="34">
        <v>0</v>
      </c>
      <c r="AI103" s="37">
        <f t="shared" si="13"/>
        <v>109545.88000000011</v>
      </c>
      <c r="AJ103" s="37">
        <f t="shared" si="14"/>
        <v>145051.77452771927</v>
      </c>
      <c r="AK103" s="37">
        <f t="shared" si="15"/>
        <v>136102.57075346203</v>
      </c>
      <c r="AL103" s="37">
        <f t="shared" si="16"/>
        <v>136102.57075346212</v>
      </c>
      <c r="AM103" s="37">
        <f t="shared" si="17"/>
        <v>136102.57075346203</v>
      </c>
      <c r="AN103" s="37">
        <f t="shared" si="18"/>
        <v>145491.06035200015</v>
      </c>
      <c r="AO103" s="37">
        <f t="shared" si="19"/>
        <v>0</v>
      </c>
    </row>
    <row r="104" spans="1:41" hidden="1" x14ac:dyDescent="0.3">
      <c r="A104" t="str">
        <f t="shared" si="11"/>
        <v>211may</v>
      </c>
      <c r="B104" t="str">
        <f t="shared" si="12"/>
        <v>CASONAmay</v>
      </c>
      <c r="C104" s="1" t="s">
        <v>79</v>
      </c>
      <c r="D104" s="1" t="s">
        <v>8</v>
      </c>
      <c r="E104" s="1">
        <v>211</v>
      </c>
      <c r="F104" s="1" t="s">
        <v>119</v>
      </c>
      <c r="G104" s="1" t="s">
        <v>119</v>
      </c>
      <c r="H104" s="1" t="s">
        <v>119</v>
      </c>
      <c r="I104" s="1" t="s">
        <v>125</v>
      </c>
      <c r="J104" s="1" t="s">
        <v>131</v>
      </c>
      <c r="K104" t="s">
        <v>84</v>
      </c>
      <c r="L104" s="6">
        <v>155327.45999999996</v>
      </c>
      <c r="M104" s="6">
        <v>81521.930000000008</v>
      </c>
      <c r="N104" s="6">
        <v>163107.02000000002</v>
      </c>
      <c r="O104" s="6">
        <v>89875.950000000012</v>
      </c>
      <c r="P104" s="6">
        <v>164749.9112300002</v>
      </c>
      <c r="Q104" s="6">
        <v>86649.893493700132</v>
      </c>
      <c r="R104" s="6">
        <v>137834.11000000016</v>
      </c>
      <c r="S104" s="6">
        <v>75144.501355167507</v>
      </c>
      <c r="T104" s="6">
        <v>137834.11000000019</v>
      </c>
      <c r="U104" s="6">
        <v>75370.470000000205</v>
      </c>
      <c r="V104" s="30">
        <v>144725.8155000002</v>
      </c>
      <c r="W104" s="30">
        <v>79138.993500000215</v>
      </c>
      <c r="X104" s="30">
        <v>154856.62258500021</v>
      </c>
      <c r="Y104" s="30">
        <v>82183.400878287095</v>
      </c>
      <c r="Z104" s="30">
        <v>0</v>
      </c>
      <c r="AA104" s="30">
        <v>0</v>
      </c>
      <c r="AB104" s="34">
        <v>0.78624938565273761</v>
      </c>
      <c r="AC104" s="34">
        <v>0.93403126482313148</v>
      </c>
      <c r="AD104" s="34">
        <v>0.94307255864576078</v>
      </c>
      <c r="AE104" s="34">
        <v>0.94307255864576034</v>
      </c>
      <c r="AF104" s="34">
        <v>0.94307255864576034</v>
      </c>
      <c r="AG104" s="34">
        <v>0.89999999999999991</v>
      </c>
      <c r="AH104" s="34">
        <v>0</v>
      </c>
      <c r="AI104" s="37">
        <f t="shared" si="13"/>
        <v>122126.12000000014</v>
      </c>
      <c r="AJ104" s="37">
        <f t="shared" si="14"/>
        <v>152347.05619213183</v>
      </c>
      <c r="AK104" s="37">
        <f t="shared" si="15"/>
        <v>129987.56678636142</v>
      </c>
      <c r="AL104" s="37">
        <f t="shared" si="16"/>
        <v>129987.56678636133</v>
      </c>
      <c r="AM104" s="37">
        <f t="shared" si="17"/>
        <v>136486.94512567943</v>
      </c>
      <c r="AN104" s="37">
        <f t="shared" si="18"/>
        <v>139370.96032650018</v>
      </c>
      <c r="AO104" s="37">
        <f t="shared" si="19"/>
        <v>0</v>
      </c>
    </row>
    <row r="105" spans="1:41" hidden="1" x14ac:dyDescent="0.3">
      <c r="A105" t="str">
        <f t="shared" si="11"/>
        <v>211jun</v>
      </c>
      <c r="B105" t="str">
        <f t="shared" si="12"/>
        <v>CASONAjun</v>
      </c>
      <c r="C105" s="1" t="s">
        <v>79</v>
      </c>
      <c r="D105" s="1" t="s">
        <v>8</v>
      </c>
      <c r="E105" s="1">
        <v>211</v>
      </c>
      <c r="F105" s="1" t="s">
        <v>119</v>
      </c>
      <c r="G105" s="1" t="s">
        <v>119</v>
      </c>
      <c r="H105" s="1" t="s">
        <v>119</v>
      </c>
      <c r="I105" s="1" t="s">
        <v>125</v>
      </c>
      <c r="J105" s="1" t="s">
        <v>131</v>
      </c>
      <c r="K105" t="s">
        <v>85</v>
      </c>
      <c r="L105" s="6">
        <v>149671.63999999998</v>
      </c>
      <c r="M105" s="6">
        <v>77639.150000000009</v>
      </c>
      <c r="N105" s="6">
        <v>154727.09999999998</v>
      </c>
      <c r="O105" s="6">
        <v>84892.939999999988</v>
      </c>
      <c r="P105" s="6">
        <v>150823.93465000013</v>
      </c>
      <c r="Q105" s="6">
        <v>83484.980591500076</v>
      </c>
      <c r="R105" s="6">
        <v>130458.40000000034</v>
      </c>
      <c r="S105" s="6">
        <v>71764.267871204458</v>
      </c>
      <c r="T105" s="6">
        <v>130458.40000000049</v>
      </c>
      <c r="U105" s="6">
        <v>71763.010000000504</v>
      </c>
      <c r="V105" s="30">
        <v>140895.07200000057</v>
      </c>
      <c r="W105" s="30">
        <v>77504.050800000579</v>
      </c>
      <c r="X105" s="30">
        <v>150757.72704000061</v>
      </c>
      <c r="Y105" s="30">
        <v>80008.090774594064</v>
      </c>
      <c r="Z105" s="30">
        <v>0</v>
      </c>
      <c r="AA105" s="30">
        <v>0</v>
      </c>
      <c r="AB105" s="34">
        <v>0.79578175264198459</v>
      </c>
      <c r="AC105" s="34">
        <v>0.93297310039134196</v>
      </c>
      <c r="AD105" s="34">
        <v>0.95046080808536915</v>
      </c>
      <c r="AE105" s="34">
        <v>0.95046080808536915</v>
      </c>
      <c r="AF105" s="34">
        <v>0.95046080808536915</v>
      </c>
      <c r="AG105" s="34">
        <v>0.9</v>
      </c>
      <c r="AH105" s="34">
        <v>0</v>
      </c>
      <c r="AI105" s="37">
        <f t="shared" si="13"/>
        <v>119105.96000000015</v>
      </c>
      <c r="AJ105" s="37">
        <f t="shared" si="14"/>
        <v>144356.22220156118</v>
      </c>
      <c r="AK105" s="37">
        <f t="shared" si="15"/>
        <v>123995.59628552479</v>
      </c>
      <c r="AL105" s="37">
        <f t="shared" si="16"/>
        <v>123995.59628552465</v>
      </c>
      <c r="AM105" s="37">
        <f t="shared" si="17"/>
        <v>133915.2439883668</v>
      </c>
      <c r="AN105" s="37">
        <f t="shared" si="18"/>
        <v>135681.95433600055</v>
      </c>
      <c r="AO105" s="37">
        <f t="shared" si="19"/>
        <v>0</v>
      </c>
    </row>
    <row r="106" spans="1:41" hidden="1" x14ac:dyDescent="0.3">
      <c r="A106" t="str">
        <f t="shared" si="11"/>
        <v>211jul</v>
      </c>
      <c r="B106" t="str">
        <f t="shared" si="12"/>
        <v>CASONAjul</v>
      </c>
      <c r="C106" s="1" t="s">
        <v>79</v>
      </c>
      <c r="D106" s="1" t="s">
        <v>8</v>
      </c>
      <c r="E106" s="1">
        <v>211</v>
      </c>
      <c r="F106" s="1" t="s">
        <v>119</v>
      </c>
      <c r="G106" s="1" t="s">
        <v>119</v>
      </c>
      <c r="H106" s="1" t="s">
        <v>119</v>
      </c>
      <c r="I106" s="1" t="s">
        <v>125</v>
      </c>
      <c r="J106" s="1" t="s">
        <v>131</v>
      </c>
      <c r="K106" t="s">
        <v>86</v>
      </c>
      <c r="L106" s="6">
        <v>179136.52999999997</v>
      </c>
      <c r="M106" s="6">
        <v>94929.299999999959</v>
      </c>
      <c r="N106" s="6">
        <v>174253.13</v>
      </c>
      <c r="O106" s="6">
        <v>94769.50999999998</v>
      </c>
      <c r="P106" s="6">
        <v>160495.25165000011</v>
      </c>
      <c r="Q106" s="6">
        <v>88449.759005000073</v>
      </c>
      <c r="R106" s="6">
        <v>155783.38000000012</v>
      </c>
      <c r="S106" s="6">
        <v>86026.450000000565</v>
      </c>
      <c r="T106" s="6">
        <v>155783.38000000059</v>
      </c>
      <c r="U106" s="6">
        <v>86026.450000000608</v>
      </c>
      <c r="V106" s="30">
        <v>155783.38000000111</v>
      </c>
      <c r="W106" s="30">
        <v>86026.450000000899</v>
      </c>
      <c r="X106" s="30">
        <v>165130.38280000119</v>
      </c>
      <c r="Y106" s="30">
        <v>87635.751189061644</v>
      </c>
      <c r="Z106" s="30">
        <v>0</v>
      </c>
      <c r="AA106" s="30">
        <v>0</v>
      </c>
      <c r="AB106" s="34">
        <v>0.8782807169481287</v>
      </c>
      <c r="AC106" s="34">
        <v>0.94699087400801396</v>
      </c>
      <c r="AD106" s="34">
        <v>0.94308282436804258</v>
      </c>
      <c r="AE106" s="34">
        <v>0.94308282436804258</v>
      </c>
      <c r="AF106" s="34">
        <v>0.94308282436804258</v>
      </c>
      <c r="AG106" s="34">
        <v>0.9</v>
      </c>
      <c r="AH106" s="34">
        <v>0</v>
      </c>
      <c r="AI106" s="37">
        <f t="shared" si="13"/>
        <v>157332.15999999995</v>
      </c>
      <c r="AJ106" s="37">
        <f t="shared" si="14"/>
        <v>165016.12387733208</v>
      </c>
      <c r="AK106" s="37">
        <f t="shared" si="15"/>
        <v>146916.63000000059</v>
      </c>
      <c r="AL106" s="37">
        <f t="shared" si="16"/>
        <v>146916.63000000015</v>
      </c>
      <c r="AM106" s="37">
        <f t="shared" si="17"/>
        <v>146916.63000000108</v>
      </c>
      <c r="AN106" s="37">
        <f t="shared" si="18"/>
        <v>148617.34452000106</v>
      </c>
      <c r="AO106" s="37">
        <f t="shared" si="19"/>
        <v>0</v>
      </c>
    </row>
    <row r="107" spans="1:41" hidden="1" x14ac:dyDescent="0.3">
      <c r="A107" t="str">
        <f t="shared" si="11"/>
        <v>211ago</v>
      </c>
      <c r="B107" t="str">
        <f t="shared" si="12"/>
        <v>CASONAago</v>
      </c>
      <c r="C107" s="1" t="s">
        <v>79</v>
      </c>
      <c r="D107" s="1" t="s">
        <v>8</v>
      </c>
      <c r="E107" s="1">
        <v>211</v>
      </c>
      <c r="F107" s="1" t="s">
        <v>119</v>
      </c>
      <c r="G107" s="1" t="s">
        <v>119</v>
      </c>
      <c r="H107" s="1" t="s">
        <v>119</v>
      </c>
      <c r="I107" s="1" t="s">
        <v>125</v>
      </c>
      <c r="J107" s="1" t="s">
        <v>131</v>
      </c>
      <c r="K107" t="s">
        <v>87</v>
      </c>
      <c r="L107" s="6">
        <v>424244.14999999991</v>
      </c>
      <c r="M107" s="6">
        <v>145540.39999999997</v>
      </c>
      <c r="N107" s="6">
        <v>272748.00999999989</v>
      </c>
      <c r="O107" s="6">
        <v>112067.11999999994</v>
      </c>
      <c r="P107" s="6">
        <v>291177.54986000044</v>
      </c>
      <c r="Q107" s="6">
        <v>123072.94218150017</v>
      </c>
      <c r="R107" s="6">
        <v>271758.61821887933</v>
      </c>
      <c r="S107" s="6">
        <v>122269.63750903819</v>
      </c>
      <c r="T107" s="6">
        <v>359367.37000000174</v>
      </c>
      <c r="U107" s="6">
        <v>150054.50000000175</v>
      </c>
      <c r="V107" s="30">
        <v>359367.37000000104</v>
      </c>
      <c r="W107" s="30">
        <v>161686.56711040047</v>
      </c>
      <c r="X107" s="30">
        <v>370148.39110000106</v>
      </c>
      <c r="Y107" s="30">
        <v>169591.73194585176</v>
      </c>
      <c r="Z107" s="30">
        <v>0</v>
      </c>
      <c r="AA107" s="30">
        <v>0</v>
      </c>
      <c r="AB107" s="34">
        <v>0.29556320340539827</v>
      </c>
      <c r="AC107" s="34">
        <v>0.37582159707019125</v>
      </c>
      <c r="AD107" s="34">
        <v>0.34608064165648184</v>
      </c>
      <c r="AE107" s="34">
        <v>0.32</v>
      </c>
      <c r="AF107" s="34">
        <v>0.32</v>
      </c>
      <c r="AG107" s="34">
        <v>0.4</v>
      </c>
      <c r="AH107" s="34">
        <v>0</v>
      </c>
      <c r="AI107" s="37">
        <f t="shared" si="13"/>
        <v>125390.96000000027</v>
      </c>
      <c r="AJ107" s="37">
        <f t="shared" si="14"/>
        <v>102504.59271591646</v>
      </c>
      <c r="AK107" s="37">
        <f t="shared" si="15"/>
        <v>124370.09000000292</v>
      </c>
      <c r="AL107" s="37">
        <f t="shared" si="16"/>
        <v>86962.757830041388</v>
      </c>
      <c r="AM107" s="37">
        <f t="shared" si="17"/>
        <v>114997.55840000033</v>
      </c>
      <c r="AN107" s="37">
        <f t="shared" si="18"/>
        <v>148059.35644000044</v>
      </c>
      <c r="AO107" s="37">
        <f t="shared" si="19"/>
        <v>0</v>
      </c>
    </row>
    <row r="108" spans="1:41" hidden="1" x14ac:dyDescent="0.3">
      <c r="A108" t="str">
        <f t="shared" si="11"/>
        <v>211sep</v>
      </c>
      <c r="B108" t="str">
        <f t="shared" si="12"/>
        <v>CASONAsep</v>
      </c>
      <c r="C108" s="1" t="s">
        <v>79</v>
      </c>
      <c r="D108" s="1" t="s">
        <v>8</v>
      </c>
      <c r="E108" s="1">
        <v>211</v>
      </c>
      <c r="F108" s="1" t="s">
        <v>119</v>
      </c>
      <c r="G108" s="1" t="s">
        <v>119</v>
      </c>
      <c r="H108" s="1" t="s">
        <v>119</v>
      </c>
      <c r="I108" s="1" t="s">
        <v>125</v>
      </c>
      <c r="J108" s="1" t="s">
        <v>131</v>
      </c>
      <c r="K108" t="s">
        <v>88</v>
      </c>
      <c r="L108" s="6">
        <v>102432.13999999998</v>
      </c>
      <c r="M108" s="6">
        <v>52209.859999999986</v>
      </c>
      <c r="N108" s="6">
        <v>165338.41</v>
      </c>
      <c r="O108" s="6">
        <v>82690.960000000006</v>
      </c>
      <c r="P108" s="6">
        <v>150942.36665250018</v>
      </c>
      <c r="Q108" s="6">
        <v>79656.053068187597</v>
      </c>
      <c r="R108" s="6">
        <v>155466.2980590339</v>
      </c>
      <c r="S108" s="6">
        <v>83081.189682747703</v>
      </c>
      <c r="T108" s="6">
        <v>127915.93000000028</v>
      </c>
      <c r="U108" s="6">
        <v>67651.420000000304</v>
      </c>
      <c r="V108" s="30">
        <v>136870.04510000031</v>
      </c>
      <c r="W108" s="30">
        <v>72387.019400000325</v>
      </c>
      <c r="X108" s="30">
        <v>143029.19712950033</v>
      </c>
      <c r="Y108" s="30">
        <v>75491.530588772686</v>
      </c>
      <c r="Z108" s="30">
        <v>0</v>
      </c>
      <c r="AA108" s="30">
        <v>0</v>
      </c>
      <c r="AB108" s="34">
        <v>0.75642674262199416</v>
      </c>
      <c r="AC108" s="34">
        <v>0.71120151104630425</v>
      </c>
      <c r="AD108" s="34">
        <v>0.87539870913654116</v>
      </c>
      <c r="AE108" s="34">
        <v>0.8</v>
      </c>
      <c r="AF108" s="34">
        <v>0.8</v>
      </c>
      <c r="AG108" s="34">
        <v>0.88</v>
      </c>
      <c r="AH108" s="34">
        <v>0</v>
      </c>
      <c r="AI108" s="37">
        <f t="shared" si="13"/>
        <v>77482.410000000062</v>
      </c>
      <c r="AJ108" s="37">
        <f t="shared" si="14"/>
        <v>117588.92702599338</v>
      </c>
      <c r="AK108" s="37">
        <f t="shared" si="15"/>
        <v>111977.44000000041</v>
      </c>
      <c r="AL108" s="37">
        <f t="shared" si="16"/>
        <v>124373.03844722713</v>
      </c>
      <c r="AM108" s="37">
        <f t="shared" si="17"/>
        <v>109496.03608000025</v>
      </c>
      <c r="AN108" s="37">
        <f t="shared" si="18"/>
        <v>125865.69347396029</v>
      </c>
      <c r="AO108" s="37">
        <f t="shared" si="19"/>
        <v>0</v>
      </c>
    </row>
    <row r="109" spans="1:41" hidden="1" x14ac:dyDescent="0.3">
      <c r="A109" t="str">
        <f t="shared" si="11"/>
        <v>211oct</v>
      </c>
      <c r="B109" t="str">
        <f t="shared" si="12"/>
        <v>CASONAoct</v>
      </c>
      <c r="C109" s="1" t="s">
        <v>79</v>
      </c>
      <c r="D109" s="1" t="s">
        <v>8</v>
      </c>
      <c r="E109" s="1">
        <v>211</v>
      </c>
      <c r="F109" s="1" t="s">
        <v>119</v>
      </c>
      <c r="G109" s="1" t="s">
        <v>119</v>
      </c>
      <c r="H109" s="1" t="s">
        <v>119</v>
      </c>
      <c r="I109" s="1" t="s">
        <v>125</v>
      </c>
      <c r="J109" s="1" t="s">
        <v>131</v>
      </c>
      <c r="K109" t="s">
        <v>89</v>
      </c>
      <c r="L109" s="6">
        <v>89612.180000000022</v>
      </c>
      <c r="M109" s="6">
        <v>47104.959999999999</v>
      </c>
      <c r="N109" s="6">
        <v>135279.73000000001</v>
      </c>
      <c r="O109" s="6">
        <v>73226.430000000008</v>
      </c>
      <c r="P109" s="6">
        <v>159830.91028750013</v>
      </c>
      <c r="Q109" s="6">
        <v>87952.839355562581</v>
      </c>
      <c r="R109" s="6">
        <v>164621.24245745433</v>
      </c>
      <c r="S109" s="6">
        <v>89372.872530151973</v>
      </c>
      <c r="T109" s="6">
        <v>162556.16000000079</v>
      </c>
      <c r="U109" s="6">
        <v>85156.420000000813</v>
      </c>
      <c r="V109" s="30">
        <v>164621.24245745433</v>
      </c>
      <c r="W109" s="30">
        <v>89372.872530151973</v>
      </c>
      <c r="X109" s="30">
        <v>174498.51700490154</v>
      </c>
      <c r="Y109" s="30">
        <v>92607.479979157913</v>
      </c>
      <c r="Z109" s="30">
        <v>0</v>
      </c>
      <c r="AA109" s="30">
        <v>0</v>
      </c>
      <c r="AB109" s="34">
        <v>0.87271618657195982</v>
      </c>
      <c r="AC109" s="34">
        <v>0.89012330901019576</v>
      </c>
      <c r="AD109" s="34">
        <v>0.72264342366355161</v>
      </c>
      <c r="AE109" s="34">
        <v>0.9</v>
      </c>
      <c r="AF109" s="34">
        <v>0.9</v>
      </c>
      <c r="AG109" s="34">
        <v>0.89999999999999991</v>
      </c>
      <c r="AH109" s="34">
        <v>0</v>
      </c>
      <c r="AI109" s="37">
        <f t="shared" si="13"/>
        <v>78206.000000000058</v>
      </c>
      <c r="AJ109" s="37">
        <f t="shared" si="14"/>
        <v>120415.64090960586</v>
      </c>
      <c r="AK109" s="37">
        <f t="shared" si="15"/>
        <v>117470.14000000065</v>
      </c>
      <c r="AL109" s="37">
        <f t="shared" si="16"/>
        <v>148159.1182117089</v>
      </c>
      <c r="AM109" s="37">
        <f t="shared" si="17"/>
        <v>148159.1182117089</v>
      </c>
      <c r="AN109" s="37">
        <f t="shared" si="18"/>
        <v>157048.66530441138</v>
      </c>
      <c r="AO109" s="37">
        <f t="shared" si="19"/>
        <v>0</v>
      </c>
    </row>
    <row r="110" spans="1:41" hidden="1" x14ac:dyDescent="0.3">
      <c r="A110" t="str">
        <f t="shared" si="11"/>
        <v>211nov</v>
      </c>
      <c r="B110" t="str">
        <f t="shared" si="12"/>
        <v>CASONAnov</v>
      </c>
      <c r="C110" s="1" t="s">
        <v>79</v>
      </c>
      <c r="D110" s="1" t="s">
        <v>8</v>
      </c>
      <c r="E110" s="1">
        <v>211</v>
      </c>
      <c r="F110" s="1" t="s">
        <v>119</v>
      </c>
      <c r="G110" s="1" t="s">
        <v>119</v>
      </c>
      <c r="H110" s="1" t="s">
        <v>119</v>
      </c>
      <c r="I110" s="1" t="s">
        <v>125</v>
      </c>
      <c r="J110" s="1" t="s">
        <v>131</v>
      </c>
      <c r="K110" t="s">
        <v>90</v>
      </c>
      <c r="L110" s="6">
        <v>146048.97999999992</v>
      </c>
      <c r="M110" s="6">
        <v>64762.54999999993</v>
      </c>
      <c r="N110" s="6">
        <v>207269.88</v>
      </c>
      <c r="O110" s="6">
        <v>107760.37000000002</v>
      </c>
      <c r="P110" s="6">
        <v>218251.84760000015</v>
      </c>
      <c r="Q110" s="6">
        <v>108954.52783100006</v>
      </c>
      <c r="R110" s="6">
        <v>224793.12828738164</v>
      </c>
      <c r="S110" s="6">
        <v>110957.88812265158</v>
      </c>
      <c r="T110" s="6">
        <v>279482.04022988508</v>
      </c>
      <c r="U110" s="6">
        <v>115791.73791641822</v>
      </c>
      <c r="V110" s="30">
        <v>273892.39942528738</v>
      </c>
      <c r="W110" s="30">
        <v>135193.28835632186</v>
      </c>
      <c r="X110" s="30">
        <v>295803.79137931042</v>
      </c>
      <c r="Y110" s="30">
        <v>146257.03142363075</v>
      </c>
      <c r="Z110" s="30">
        <v>0</v>
      </c>
      <c r="AA110" s="30">
        <v>0</v>
      </c>
      <c r="AB110" s="34">
        <v>0.38931692641742505</v>
      </c>
      <c r="AC110" s="34">
        <v>0.67643826591830614</v>
      </c>
      <c r="AD110" s="34">
        <v>0.34608064165648184</v>
      </c>
      <c r="AE110" s="34">
        <v>0.6</v>
      </c>
      <c r="AF110" s="34">
        <v>0.6</v>
      </c>
      <c r="AG110" s="34">
        <v>0.65</v>
      </c>
      <c r="AH110" s="34">
        <v>0</v>
      </c>
      <c r="AI110" s="37">
        <f t="shared" si="13"/>
        <v>56859.339999999953</v>
      </c>
      <c r="AJ110" s="37">
        <f t="shared" si="14"/>
        <v>140205.27820429541</v>
      </c>
      <c r="AK110" s="37">
        <f t="shared" si="15"/>
        <v>96723.323814221294</v>
      </c>
      <c r="AL110" s="37">
        <f t="shared" si="16"/>
        <v>134875.87697242899</v>
      </c>
      <c r="AM110" s="37">
        <f t="shared" si="17"/>
        <v>164335.43965517243</v>
      </c>
      <c r="AN110" s="37">
        <f t="shared" si="18"/>
        <v>192272.46439655178</v>
      </c>
      <c r="AO110" s="37">
        <f t="shared" si="19"/>
        <v>0</v>
      </c>
    </row>
    <row r="111" spans="1:41" hidden="1" x14ac:dyDescent="0.3">
      <c r="A111" t="str">
        <f t="shared" si="11"/>
        <v>211dic</v>
      </c>
      <c r="B111" t="str">
        <f t="shared" si="12"/>
        <v>CASONAdic</v>
      </c>
      <c r="C111" s="1" t="s">
        <v>79</v>
      </c>
      <c r="D111" s="1" t="s">
        <v>8</v>
      </c>
      <c r="E111" s="1">
        <v>211</v>
      </c>
      <c r="F111" s="1" t="s">
        <v>119</v>
      </c>
      <c r="G111" s="1" t="s">
        <v>119</v>
      </c>
      <c r="H111" s="1" t="s">
        <v>119</v>
      </c>
      <c r="I111" s="1" t="s">
        <v>125</v>
      </c>
      <c r="J111" s="1" t="s">
        <v>131</v>
      </c>
      <c r="K111" t="s">
        <v>91</v>
      </c>
      <c r="L111" s="6">
        <v>298421.40999999997</v>
      </c>
      <c r="M111" s="6">
        <v>140510.78999999998</v>
      </c>
      <c r="N111" s="6">
        <v>356036.86999999994</v>
      </c>
      <c r="O111" s="6">
        <v>191891.77999999994</v>
      </c>
      <c r="P111" s="6">
        <v>362760.00025000074</v>
      </c>
      <c r="Q111" s="6">
        <v>198931.45648250042</v>
      </c>
      <c r="R111" s="6">
        <v>369858.30655489262</v>
      </c>
      <c r="S111" s="6">
        <v>194101.63928000766</v>
      </c>
      <c r="T111" s="6">
        <v>305103.37643678172</v>
      </c>
      <c r="U111" s="6">
        <v>151803.39657904525</v>
      </c>
      <c r="V111" s="30">
        <v>369858.30655489262</v>
      </c>
      <c r="W111" s="30">
        <v>194101.63928000766</v>
      </c>
      <c r="X111" s="30">
        <v>399446.97107928409</v>
      </c>
      <c r="Y111" s="30">
        <v>209091.71096319886</v>
      </c>
      <c r="Z111" s="30">
        <v>0</v>
      </c>
      <c r="AA111" s="30">
        <v>0</v>
      </c>
      <c r="AB111" s="34">
        <v>0.43770924478910678</v>
      </c>
      <c r="AC111" s="34">
        <v>0.84126118497235469</v>
      </c>
      <c r="AD111" s="34">
        <v>0.55927577678720963</v>
      </c>
      <c r="AE111" s="34">
        <v>0.8</v>
      </c>
      <c r="AF111" s="34">
        <v>0.8</v>
      </c>
      <c r="AG111" s="34">
        <v>0.85</v>
      </c>
      <c r="AH111" s="34">
        <v>0</v>
      </c>
      <c r="AI111" s="37">
        <f t="shared" si="13"/>
        <v>130621.81000000039</v>
      </c>
      <c r="AJ111" s="37">
        <f t="shared" si="14"/>
        <v>299519.99915004813</v>
      </c>
      <c r="AK111" s="37">
        <f t="shared" si="15"/>
        <v>170636.92785708152</v>
      </c>
      <c r="AL111" s="37">
        <f t="shared" si="16"/>
        <v>295886.6452439141</v>
      </c>
      <c r="AM111" s="37">
        <f t="shared" si="17"/>
        <v>295886.6452439141</v>
      </c>
      <c r="AN111" s="37">
        <f t="shared" si="18"/>
        <v>339529.92541739147</v>
      </c>
      <c r="AO111" s="37">
        <f t="shared" si="19"/>
        <v>0</v>
      </c>
    </row>
    <row r="112" spans="1:41" x14ac:dyDescent="0.3">
      <c r="A112" t="str">
        <f t="shared" si="11"/>
        <v>402ene</v>
      </c>
      <c r="B112" t="str">
        <f t="shared" si="12"/>
        <v>COLONene</v>
      </c>
      <c r="C112" s="1" t="s">
        <v>79</v>
      </c>
      <c r="D112" s="1" t="s">
        <v>9</v>
      </c>
      <c r="E112" s="1">
        <v>402</v>
      </c>
      <c r="F112" s="1" t="s">
        <v>119</v>
      </c>
      <c r="G112" s="1" t="s">
        <v>120</v>
      </c>
      <c r="H112" s="1" t="s">
        <v>119</v>
      </c>
      <c r="I112" s="1" t="s">
        <v>127</v>
      </c>
      <c r="J112" s="1" t="s">
        <v>129</v>
      </c>
      <c r="K112" t="s">
        <v>80</v>
      </c>
      <c r="L112" s="6">
        <v>39576.179999999993</v>
      </c>
      <c r="M112" s="6">
        <v>20058.37</v>
      </c>
      <c r="N112" s="6">
        <v>17595.439999999999</v>
      </c>
      <c r="O112" s="6">
        <v>8175.57</v>
      </c>
      <c r="P112" s="6">
        <v>488</v>
      </c>
      <c r="Q112" s="6">
        <v>24700.644933333326</v>
      </c>
      <c r="R112" s="6">
        <v>20503.21</v>
      </c>
      <c r="S112" s="6">
        <v>9248.7707561065381</v>
      </c>
      <c r="T112" s="6">
        <v>20503.210000000006</v>
      </c>
      <c r="U112" s="6">
        <v>9174.0900000000038</v>
      </c>
      <c r="V112" s="30">
        <v>24700.644933333326</v>
      </c>
      <c r="W112" s="30">
        <v>11052.217661353709</v>
      </c>
      <c r="X112" s="30">
        <v>24700.644933333329</v>
      </c>
      <c r="Y112" s="30">
        <v>12119.553829210578</v>
      </c>
      <c r="Z112" s="30">
        <v>19746.982758620696</v>
      </c>
      <c r="AA112" s="30">
        <v>10667.032982358163</v>
      </c>
      <c r="AB112" s="34">
        <v>0.75916346650940048</v>
      </c>
      <c r="AC112" s="34">
        <v>0.55058507387073852</v>
      </c>
      <c r="AD112" s="34">
        <v>0.56078430274138147</v>
      </c>
      <c r="AE112" s="34">
        <v>0.56078430274138102</v>
      </c>
      <c r="AF112" s="34">
        <v>0.56078430274138102</v>
      </c>
      <c r="AG112" s="34">
        <v>0.7</v>
      </c>
      <c r="AH112" s="34">
        <v>0.96581028674539249</v>
      </c>
      <c r="AI112" s="37">
        <f t="shared" si="13"/>
        <v>30044.79</v>
      </c>
      <c r="AJ112" s="37">
        <f t="shared" si="14"/>
        <v>9687.7866321881465</v>
      </c>
      <c r="AK112" s="37">
        <f t="shared" si="15"/>
        <v>11497.878323810124</v>
      </c>
      <c r="AL112" s="37">
        <f t="shared" si="16"/>
        <v>11497.87832381011</v>
      </c>
      <c r="AM112" s="37">
        <f t="shared" si="17"/>
        <v>13851.733946201755</v>
      </c>
      <c r="AN112" s="37">
        <f t="shared" si="18"/>
        <v>17290.451453333328</v>
      </c>
      <c r="AO112" s="37">
        <f t="shared" si="19"/>
        <v>19071.839080459777</v>
      </c>
    </row>
    <row r="113" spans="1:41" x14ac:dyDescent="0.3">
      <c r="A113" t="str">
        <f t="shared" si="11"/>
        <v>402feb</v>
      </c>
      <c r="B113" t="str">
        <f t="shared" si="12"/>
        <v>COLONfeb</v>
      </c>
      <c r="C113" s="1" t="s">
        <v>79</v>
      </c>
      <c r="D113" s="1" t="s">
        <v>9</v>
      </c>
      <c r="E113" s="1">
        <v>402</v>
      </c>
      <c r="F113" s="1" t="s">
        <v>119</v>
      </c>
      <c r="G113" s="1" t="s">
        <v>120</v>
      </c>
      <c r="H113" s="1" t="s">
        <v>119</v>
      </c>
      <c r="I113" s="1" t="s">
        <v>127</v>
      </c>
      <c r="J113" s="1" t="s">
        <v>129</v>
      </c>
      <c r="K113" t="s">
        <v>81</v>
      </c>
      <c r="L113" s="6">
        <v>58222.479999999996</v>
      </c>
      <c r="M113" s="6">
        <v>23955.489999999994</v>
      </c>
      <c r="N113" s="6">
        <v>24341.790000000008</v>
      </c>
      <c r="O113" s="6">
        <v>10071.700000000004</v>
      </c>
      <c r="P113" s="6">
        <v>729</v>
      </c>
      <c r="Q113" s="6">
        <v>39095.044799999981</v>
      </c>
      <c r="R113" s="6">
        <v>34120.409999999989</v>
      </c>
      <c r="S113" s="6">
        <v>12892.678984937756</v>
      </c>
      <c r="T113" s="6">
        <v>34120.409999999996</v>
      </c>
      <c r="U113" s="6">
        <v>12496.799999999992</v>
      </c>
      <c r="V113" s="30">
        <v>39095.044799999981</v>
      </c>
      <c r="W113" s="30">
        <v>14318.789131098938</v>
      </c>
      <c r="X113" s="30">
        <v>39095.044799999989</v>
      </c>
      <c r="Y113" s="30">
        <v>16467.609582661993</v>
      </c>
      <c r="Z113" s="30">
        <v>29871.264367816137</v>
      </c>
      <c r="AA113" s="30">
        <v>13057.526531068521</v>
      </c>
      <c r="AB113" s="34">
        <v>0.39235824375739492</v>
      </c>
      <c r="AC113" s="34">
        <v>0.33097031885022499</v>
      </c>
      <c r="AD113" s="34">
        <v>0.17835911780008756</v>
      </c>
      <c r="AE113" s="34">
        <v>0.17835911780008756</v>
      </c>
      <c r="AF113" s="34">
        <v>0.17835911780008756</v>
      </c>
      <c r="AG113" s="34">
        <v>0.38999999999999996</v>
      </c>
      <c r="AH113" s="34">
        <v>0.38411959365861142</v>
      </c>
      <c r="AI113" s="37">
        <f t="shared" si="13"/>
        <v>22844.070000000051</v>
      </c>
      <c r="AJ113" s="37">
        <f t="shared" si="14"/>
        <v>8056.4099976852203</v>
      </c>
      <c r="AK113" s="37">
        <f t="shared" si="15"/>
        <v>6085.6862265772852</v>
      </c>
      <c r="AL113" s="37">
        <f t="shared" si="16"/>
        <v>6085.6862265772834</v>
      </c>
      <c r="AM113" s="37">
        <f t="shared" si="17"/>
        <v>6972.9577008828974</v>
      </c>
      <c r="AN113" s="37">
        <f t="shared" si="18"/>
        <v>15247.067471999993</v>
      </c>
      <c r="AO113" s="37">
        <f t="shared" si="19"/>
        <v>11474.137931034493</v>
      </c>
    </row>
    <row r="114" spans="1:41" x14ac:dyDescent="0.3">
      <c r="A114" t="str">
        <f t="shared" si="11"/>
        <v>402mar</v>
      </c>
      <c r="B114" t="str">
        <f t="shared" si="12"/>
        <v>COLONmar</v>
      </c>
      <c r="C114" s="1" t="s">
        <v>79</v>
      </c>
      <c r="D114" s="1" t="s">
        <v>9</v>
      </c>
      <c r="E114" s="1">
        <v>402</v>
      </c>
      <c r="F114" s="1" t="s">
        <v>119</v>
      </c>
      <c r="G114" s="1" t="s">
        <v>120</v>
      </c>
      <c r="H114" s="1" t="s">
        <v>119</v>
      </c>
      <c r="I114" s="1" t="s">
        <v>127</v>
      </c>
      <c r="J114" s="1" t="s">
        <v>129</v>
      </c>
      <c r="K114" t="s">
        <v>82</v>
      </c>
      <c r="L114" s="6">
        <v>40761.620000000003</v>
      </c>
      <c r="M114" s="6">
        <v>19205.690000000002</v>
      </c>
      <c r="N114" s="6">
        <v>40478.03</v>
      </c>
      <c r="O114" s="6">
        <v>15584.02</v>
      </c>
      <c r="P114" s="6">
        <v>1264</v>
      </c>
      <c r="Q114" s="6">
        <v>28691.249999999989</v>
      </c>
      <c r="R114" s="6">
        <v>25309.830000000009</v>
      </c>
      <c r="S114" s="6">
        <v>11798.475268902508</v>
      </c>
      <c r="T114" s="6">
        <v>25309.83000000002</v>
      </c>
      <c r="U114" s="6">
        <v>10921.610000000022</v>
      </c>
      <c r="V114" s="30">
        <v>25309.83</v>
      </c>
      <c r="W114" s="30">
        <v>10921.610000000015</v>
      </c>
      <c r="X114" s="30">
        <v>0</v>
      </c>
      <c r="Y114" s="30">
        <v>0</v>
      </c>
      <c r="Z114" s="30">
        <v>31513</v>
      </c>
      <c r="AA114" s="30">
        <f>Z114*0.51</f>
        <v>16071.630000000001</v>
      </c>
      <c r="AB114" s="34">
        <v>0.51388512036567668</v>
      </c>
      <c r="AC114" s="34">
        <v>0.29618066107659818</v>
      </c>
      <c r="AD114" s="34">
        <v>0.46486823747456785</v>
      </c>
      <c r="AE114" s="34">
        <v>0.4648682374745674</v>
      </c>
      <c r="AF114" s="34">
        <v>0.4648682374745674</v>
      </c>
      <c r="AG114" s="34">
        <v>0</v>
      </c>
      <c r="AH114" s="34">
        <v>0.74230117008648466</v>
      </c>
      <c r="AI114" s="37">
        <f t="shared" si="13"/>
        <v>20946.789999999975</v>
      </c>
      <c r="AJ114" s="37">
        <f t="shared" si="14"/>
        <v>11988.809684478374</v>
      </c>
      <c r="AK114" s="37">
        <f t="shared" si="15"/>
        <v>11765.736062880951</v>
      </c>
      <c r="AL114" s="37">
        <f t="shared" si="16"/>
        <v>11765.736062880935</v>
      </c>
      <c r="AM114" s="37">
        <f t="shared" si="17"/>
        <v>11765.736062880931</v>
      </c>
      <c r="AN114" s="37">
        <f t="shared" si="18"/>
        <v>0</v>
      </c>
      <c r="AO114" s="37">
        <f t="shared" si="19"/>
        <v>23392.136772935391</v>
      </c>
    </row>
    <row r="115" spans="1:41" x14ac:dyDescent="0.3">
      <c r="A115" t="str">
        <f t="shared" si="11"/>
        <v>402abr</v>
      </c>
      <c r="B115" t="str">
        <f t="shared" si="12"/>
        <v>COLONabr</v>
      </c>
      <c r="C115" s="1" t="s">
        <v>79</v>
      </c>
      <c r="D115" s="1" t="s">
        <v>9</v>
      </c>
      <c r="E115" s="1">
        <v>402</v>
      </c>
      <c r="F115" s="1" t="s">
        <v>119</v>
      </c>
      <c r="G115" s="1" t="s">
        <v>120</v>
      </c>
      <c r="H115" s="1" t="s">
        <v>119</v>
      </c>
      <c r="I115" s="1" t="s">
        <v>127</v>
      </c>
      <c r="J115" s="1" t="s">
        <v>129</v>
      </c>
      <c r="K115" t="s">
        <v>83</v>
      </c>
      <c r="L115" s="6">
        <v>38640.49</v>
      </c>
      <c r="M115" s="6">
        <v>19993.079999999998</v>
      </c>
      <c r="N115" s="6">
        <v>20820.219999999998</v>
      </c>
      <c r="O115" s="6">
        <v>9592.09</v>
      </c>
      <c r="P115" s="6">
        <v>591</v>
      </c>
      <c r="Q115" s="6">
        <v>23205.348699999995</v>
      </c>
      <c r="R115" s="6">
        <v>22165.960000000014</v>
      </c>
      <c r="S115" s="6">
        <v>10752.413353807904</v>
      </c>
      <c r="T115" s="6">
        <v>22165.96</v>
      </c>
      <c r="U115" s="6">
        <v>10677.560000000003</v>
      </c>
      <c r="V115" s="30">
        <v>22165.960000000006</v>
      </c>
      <c r="W115" s="30">
        <v>10677.560000000007</v>
      </c>
      <c r="X115" s="30">
        <v>14186.214400000004</v>
      </c>
      <c r="Y115" s="30">
        <v>6960.5708481523598</v>
      </c>
      <c r="Z115" s="30">
        <v>0</v>
      </c>
      <c r="AA115" s="30">
        <v>0</v>
      </c>
      <c r="AB115" s="34">
        <v>0.68751638501478629</v>
      </c>
      <c r="AC115" s="34">
        <v>0.51049910629263817</v>
      </c>
      <c r="AD115" s="34">
        <v>0.64090646428071862</v>
      </c>
      <c r="AE115" s="34">
        <v>0.64090646428071851</v>
      </c>
      <c r="AF115" s="34">
        <v>0.64090646428071851</v>
      </c>
      <c r="AG115" s="34">
        <v>0.7</v>
      </c>
      <c r="AH115" s="34">
        <v>0</v>
      </c>
      <c r="AI115" s="37">
        <f t="shared" si="13"/>
        <v>26565.969999999998</v>
      </c>
      <c r="AJ115" s="37">
        <f t="shared" si="14"/>
        <v>10628.70370281611</v>
      </c>
      <c r="AK115" s="37">
        <f t="shared" si="15"/>
        <v>14206.307050987838</v>
      </c>
      <c r="AL115" s="37">
        <f t="shared" si="16"/>
        <v>14206.307050987843</v>
      </c>
      <c r="AM115" s="37">
        <f t="shared" si="17"/>
        <v>14206.30705098784</v>
      </c>
      <c r="AN115" s="37">
        <f t="shared" si="18"/>
        <v>9930.350080000002</v>
      </c>
      <c r="AO115" s="37">
        <f t="shared" si="19"/>
        <v>0</v>
      </c>
    </row>
    <row r="116" spans="1:41" x14ac:dyDescent="0.3">
      <c r="A116" t="str">
        <f t="shared" si="11"/>
        <v>402may</v>
      </c>
      <c r="B116" t="str">
        <f t="shared" si="12"/>
        <v>COLONmay</v>
      </c>
      <c r="C116" s="1" t="s">
        <v>79</v>
      </c>
      <c r="D116" s="1" t="s">
        <v>9</v>
      </c>
      <c r="E116" s="1">
        <v>402</v>
      </c>
      <c r="F116" s="1" t="s">
        <v>119</v>
      </c>
      <c r="G116" s="1" t="s">
        <v>120</v>
      </c>
      <c r="H116" s="1" t="s">
        <v>119</v>
      </c>
      <c r="I116" s="1" t="s">
        <v>127</v>
      </c>
      <c r="J116" s="1" t="s">
        <v>129</v>
      </c>
      <c r="K116" t="s">
        <v>84</v>
      </c>
      <c r="L116" s="6">
        <v>36604.400000000001</v>
      </c>
      <c r="M116" s="6">
        <v>19277.550000000003</v>
      </c>
      <c r="N116" s="6">
        <v>21879.649999999998</v>
      </c>
      <c r="O116" s="6">
        <v>10363.309999999996</v>
      </c>
      <c r="P116" s="6">
        <v>610</v>
      </c>
      <c r="Q116" s="6">
        <v>26109.824499999988</v>
      </c>
      <c r="R116" s="6">
        <v>18454.550000000003</v>
      </c>
      <c r="S116" s="6">
        <v>9282.8381655652847</v>
      </c>
      <c r="T116" s="6">
        <v>18454.550000000003</v>
      </c>
      <c r="U116" s="6">
        <v>9136.4500000000044</v>
      </c>
      <c r="V116" s="30">
        <v>18454.550000000003</v>
      </c>
      <c r="W116" s="30">
        <v>9136.4500000000044</v>
      </c>
      <c r="X116" s="30">
        <v>23651.564803719011</v>
      </c>
      <c r="Y116" s="30">
        <v>11604.814917075615</v>
      </c>
      <c r="Z116" s="30">
        <v>0</v>
      </c>
      <c r="AA116" s="30">
        <v>0</v>
      </c>
      <c r="AB116" s="34">
        <v>0.75996574182338761</v>
      </c>
      <c r="AC116" s="34">
        <v>0.56633435803907628</v>
      </c>
      <c r="AD116" s="34">
        <v>0.73092628446165409</v>
      </c>
      <c r="AE116" s="34">
        <v>0.73092628446165409</v>
      </c>
      <c r="AF116" s="34">
        <v>0.73092628446165409</v>
      </c>
      <c r="AG116" s="34">
        <v>0.7</v>
      </c>
      <c r="AH116" s="34">
        <v>0</v>
      </c>
      <c r="AI116" s="37">
        <f t="shared" si="13"/>
        <v>27818.090000000011</v>
      </c>
      <c r="AJ116" s="37">
        <f t="shared" si="14"/>
        <v>12391.197536869675</v>
      </c>
      <c r="AK116" s="37">
        <f t="shared" si="15"/>
        <v>13488.915662911821</v>
      </c>
      <c r="AL116" s="37">
        <f t="shared" si="16"/>
        <v>13488.915662911821</v>
      </c>
      <c r="AM116" s="37">
        <f t="shared" si="17"/>
        <v>13488.915662911821</v>
      </c>
      <c r="AN116" s="37">
        <f t="shared" si="18"/>
        <v>16556.095362603308</v>
      </c>
      <c r="AO116" s="37">
        <f t="shared" si="19"/>
        <v>0</v>
      </c>
    </row>
    <row r="117" spans="1:41" x14ac:dyDescent="0.3">
      <c r="A117" t="str">
        <f t="shared" si="11"/>
        <v>402jun</v>
      </c>
      <c r="B117" t="str">
        <f t="shared" si="12"/>
        <v>COLONjun</v>
      </c>
      <c r="C117" s="1" t="s">
        <v>79</v>
      </c>
      <c r="D117" s="1" t="s">
        <v>9</v>
      </c>
      <c r="E117" s="1">
        <v>402</v>
      </c>
      <c r="F117" s="1" t="s">
        <v>119</v>
      </c>
      <c r="G117" s="1" t="s">
        <v>120</v>
      </c>
      <c r="H117" s="1" t="s">
        <v>119</v>
      </c>
      <c r="I117" s="1" t="s">
        <v>127</v>
      </c>
      <c r="J117" s="1" t="s">
        <v>129</v>
      </c>
      <c r="K117" t="s">
        <v>85</v>
      </c>
      <c r="L117" s="6">
        <v>36116.559999999998</v>
      </c>
      <c r="M117" s="6">
        <v>18345.3</v>
      </c>
      <c r="N117" s="6">
        <v>19823.7</v>
      </c>
      <c r="O117" s="6">
        <v>9380.15</v>
      </c>
      <c r="P117" s="6">
        <v>513</v>
      </c>
      <c r="Q117" s="6">
        <v>22076.606799999998</v>
      </c>
      <c r="R117" s="6">
        <v>20955.28</v>
      </c>
      <c r="S117" s="6">
        <v>10792.100000000011</v>
      </c>
      <c r="T117" s="6">
        <v>20955.28</v>
      </c>
      <c r="U117" s="6">
        <v>10792.100000000004</v>
      </c>
      <c r="V117" s="30">
        <v>20955.280000000002</v>
      </c>
      <c r="W117" s="30">
        <v>10792.100000000006</v>
      </c>
      <c r="X117" s="30">
        <v>26856.529305785127</v>
      </c>
      <c r="Y117" s="30">
        <v>13177.354415875559</v>
      </c>
      <c r="Z117" s="30">
        <v>0</v>
      </c>
      <c r="AA117" s="30">
        <v>0</v>
      </c>
      <c r="AB117" s="34">
        <v>0.65180958540902034</v>
      </c>
      <c r="AC117" s="34">
        <v>0.59285302753694669</v>
      </c>
      <c r="AD117" s="34">
        <v>0.76520380543710231</v>
      </c>
      <c r="AE117" s="34">
        <v>0.7652038054371022</v>
      </c>
      <c r="AF117" s="34">
        <v>0.7652038054371022</v>
      </c>
      <c r="AG117" s="34">
        <v>0.7</v>
      </c>
      <c r="AH117" s="34">
        <v>0</v>
      </c>
      <c r="AI117" s="37">
        <f t="shared" si="13"/>
        <v>23541.120000000006</v>
      </c>
      <c r="AJ117" s="37">
        <f t="shared" si="14"/>
        <v>11752.540561984171</v>
      </c>
      <c r="AK117" s="37">
        <f t="shared" si="15"/>
        <v>16035.060000000001</v>
      </c>
      <c r="AL117" s="37">
        <f t="shared" si="16"/>
        <v>16035.059999999998</v>
      </c>
      <c r="AM117" s="37">
        <f t="shared" si="17"/>
        <v>16035.060000000001</v>
      </c>
      <c r="AN117" s="37">
        <f t="shared" si="18"/>
        <v>18799.570514049588</v>
      </c>
      <c r="AO117" s="37">
        <f t="shared" si="19"/>
        <v>0</v>
      </c>
    </row>
    <row r="118" spans="1:41" x14ac:dyDescent="0.3">
      <c r="A118" t="str">
        <f t="shared" si="11"/>
        <v>402jul</v>
      </c>
      <c r="B118" t="str">
        <f t="shared" si="12"/>
        <v>COLONjul</v>
      </c>
      <c r="C118" s="1" t="s">
        <v>79</v>
      </c>
      <c r="D118" s="1" t="s">
        <v>9</v>
      </c>
      <c r="E118" s="1">
        <v>402</v>
      </c>
      <c r="F118" s="1" t="s">
        <v>119</v>
      </c>
      <c r="G118" s="1" t="s">
        <v>120</v>
      </c>
      <c r="H118" s="1" t="s">
        <v>119</v>
      </c>
      <c r="I118" s="1" t="s">
        <v>127</v>
      </c>
      <c r="J118" s="1" t="s">
        <v>129</v>
      </c>
      <c r="K118" t="s">
        <v>86</v>
      </c>
      <c r="L118" s="6">
        <v>31177.72</v>
      </c>
      <c r="M118" s="6">
        <v>15913.809999999998</v>
      </c>
      <c r="N118" s="6">
        <v>24422.18</v>
      </c>
      <c r="O118" s="6">
        <v>11649.29</v>
      </c>
      <c r="P118" s="6">
        <v>55</v>
      </c>
      <c r="Q118" s="6">
        <v>2369.9625000000005</v>
      </c>
      <c r="R118" s="6">
        <v>22247.319999999992</v>
      </c>
      <c r="S118" s="6">
        <v>11265.475781015324</v>
      </c>
      <c r="T118" s="6">
        <v>22231.510000000002</v>
      </c>
      <c r="U118" s="6">
        <v>11257.470000000007</v>
      </c>
      <c r="V118" s="30">
        <v>22231.510000000002</v>
      </c>
      <c r="W118" s="30">
        <v>11257.470000000007</v>
      </c>
      <c r="X118" s="30">
        <v>28492.160440082651</v>
      </c>
      <c r="Y118" s="30">
        <v>13979.888909624766</v>
      </c>
      <c r="Z118" s="30">
        <v>0</v>
      </c>
      <c r="AA118" s="30">
        <v>0</v>
      </c>
      <c r="AB118" s="34">
        <v>0.66231494798208501</v>
      </c>
      <c r="AC118" s="34">
        <v>0.60671047087093211</v>
      </c>
      <c r="AD118" s="34">
        <v>0.7175099667094138</v>
      </c>
      <c r="AE118" s="34">
        <v>0.7175099667094138</v>
      </c>
      <c r="AF118" s="34">
        <v>0.7175099667094138</v>
      </c>
      <c r="AG118" s="34">
        <v>0.70000000000000007</v>
      </c>
      <c r="AH118" s="34">
        <v>0</v>
      </c>
      <c r="AI118" s="37">
        <f t="shared" si="13"/>
        <v>20649.470000000012</v>
      </c>
      <c r="AJ118" s="37">
        <f t="shared" si="14"/>
        <v>14817.19232749466</v>
      </c>
      <c r="AK118" s="37">
        <f t="shared" si="15"/>
        <v>15951.330000000002</v>
      </c>
      <c r="AL118" s="37">
        <f t="shared" si="16"/>
        <v>15962.67383257367</v>
      </c>
      <c r="AM118" s="37">
        <f t="shared" si="17"/>
        <v>15951.330000000002</v>
      </c>
      <c r="AN118" s="37">
        <f t="shared" si="18"/>
        <v>19944.512308057856</v>
      </c>
      <c r="AO118" s="37">
        <f t="shared" si="19"/>
        <v>0</v>
      </c>
    </row>
    <row r="119" spans="1:41" x14ac:dyDescent="0.3">
      <c r="A119" t="str">
        <f t="shared" si="11"/>
        <v>402ago</v>
      </c>
      <c r="B119" t="str">
        <f t="shared" si="12"/>
        <v>COLONago</v>
      </c>
      <c r="C119" s="1" t="s">
        <v>79</v>
      </c>
      <c r="D119" s="1" t="s">
        <v>9</v>
      </c>
      <c r="E119" s="1">
        <v>402</v>
      </c>
      <c r="F119" s="1" t="s">
        <v>119</v>
      </c>
      <c r="G119" s="1" t="s">
        <v>120</v>
      </c>
      <c r="H119" s="1" t="s">
        <v>119</v>
      </c>
      <c r="I119" s="1" t="s">
        <v>127</v>
      </c>
      <c r="J119" s="1" t="s">
        <v>129</v>
      </c>
      <c r="K119" t="s">
        <v>87</v>
      </c>
      <c r="L119" s="6">
        <v>75558.990000000005</v>
      </c>
      <c r="M119" s="6">
        <v>26517.789999999994</v>
      </c>
      <c r="N119" s="6">
        <v>54327.139999999985</v>
      </c>
      <c r="O119" s="6">
        <v>17385.139999999992</v>
      </c>
      <c r="P119" s="6">
        <v>0</v>
      </c>
      <c r="Q119" s="6">
        <v>0</v>
      </c>
      <c r="R119" s="6">
        <v>37534.672992469634</v>
      </c>
      <c r="S119" s="6">
        <v>13388.617856413919</v>
      </c>
      <c r="T119" s="6">
        <v>54039.919999999976</v>
      </c>
      <c r="U119" s="6">
        <v>23047.069999999978</v>
      </c>
      <c r="V119" s="30">
        <v>54039.92000000002</v>
      </c>
      <c r="W119" s="30">
        <v>19276.039464000009</v>
      </c>
      <c r="X119" s="30">
        <v>64410.113656363668</v>
      </c>
      <c r="Y119" s="30">
        <v>27130.819526977062</v>
      </c>
      <c r="Z119" s="30">
        <v>0</v>
      </c>
      <c r="AA119" s="30">
        <v>0</v>
      </c>
      <c r="AB119" s="34">
        <v>0.21119419409920706</v>
      </c>
      <c r="AC119" s="34">
        <v>0.1583207150719968</v>
      </c>
      <c r="AD119" s="34">
        <v>0.31493107317701458</v>
      </c>
      <c r="AE119" s="34">
        <v>0.22</v>
      </c>
      <c r="AF119" s="34">
        <v>0.22</v>
      </c>
      <c r="AG119" s="34">
        <v>0.39</v>
      </c>
      <c r="AH119" s="34">
        <v>0</v>
      </c>
      <c r="AI119" s="37">
        <f t="shared" si="13"/>
        <v>15957.620000000046</v>
      </c>
      <c r="AJ119" s="37">
        <f t="shared" si="14"/>
        <v>8601.1116526164769</v>
      </c>
      <c r="AK119" s="37">
        <f t="shared" si="15"/>
        <v>17018.850000000006</v>
      </c>
      <c r="AL119" s="37">
        <f t="shared" si="16"/>
        <v>8257.6280583433199</v>
      </c>
      <c r="AM119" s="37">
        <f t="shared" si="17"/>
        <v>11888.782400000004</v>
      </c>
      <c r="AN119" s="37">
        <f t="shared" si="18"/>
        <v>25119.944325981833</v>
      </c>
      <c r="AO119" s="37">
        <f t="shared" si="19"/>
        <v>0</v>
      </c>
    </row>
    <row r="120" spans="1:41" x14ac:dyDescent="0.3">
      <c r="A120" t="str">
        <f t="shared" si="11"/>
        <v>402sep</v>
      </c>
      <c r="B120" t="str">
        <f t="shared" si="12"/>
        <v>COLONsep</v>
      </c>
      <c r="C120" s="1" t="s">
        <v>79</v>
      </c>
      <c r="D120" s="1" t="s">
        <v>9</v>
      </c>
      <c r="E120" s="1">
        <v>402</v>
      </c>
      <c r="F120" s="1" t="s">
        <v>119</v>
      </c>
      <c r="G120" s="1" t="s">
        <v>120</v>
      </c>
      <c r="H120" s="1" t="s">
        <v>119</v>
      </c>
      <c r="I120" s="1" t="s">
        <v>127</v>
      </c>
      <c r="J120" s="1" t="s">
        <v>129</v>
      </c>
      <c r="K120" t="s">
        <v>88</v>
      </c>
      <c r="L120" s="6">
        <v>31906.879999999997</v>
      </c>
      <c r="M120" s="6">
        <v>14982.149999999998</v>
      </c>
      <c r="N120" s="6">
        <v>24013.050000000003</v>
      </c>
      <c r="O120" s="6">
        <v>9844.4399999999987</v>
      </c>
      <c r="P120" s="6">
        <v>0</v>
      </c>
      <c r="Q120" s="6">
        <v>0</v>
      </c>
      <c r="R120" s="6">
        <v>22824.681000000019</v>
      </c>
      <c r="S120" s="6">
        <v>10873.678028400009</v>
      </c>
      <c r="T120" s="6">
        <v>16383.620000000003</v>
      </c>
      <c r="U120" s="6">
        <v>8395.5599999999977</v>
      </c>
      <c r="V120" s="30">
        <v>16383.620000000003</v>
      </c>
      <c r="W120" s="30">
        <v>8395.5599999999977</v>
      </c>
      <c r="X120" s="30">
        <v>20997.436954545461</v>
      </c>
      <c r="Y120" s="30">
        <v>10208.482335795245</v>
      </c>
      <c r="Z120" s="30">
        <v>0</v>
      </c>
      <c r="AA120" s="30">
        <v>0</v>
      </c>
      <c r="AB120" s="34">
        <v>0.4994349181117051</v>
      </c>
      <c r="AC120" s="34">
        <v>0.3795736948087034</v>
      </c>
      <c r="AD120" s="34">
        <v>0.81514769019300959</v>
      </c>
      <c r="AE120" s="34">
        <v>0.6</v>
      </c>
      <c r="AF120" s="34">
        <v>0.6</v>
      </c>
      <c r="AG120" s="34">
        <v>0.67999999999999994</v>
      </c>
      <c r="AH120" s="34">
        <v>0</v>
      </c>
      <c r="AI120" s="37">
        <f t="shared" si="13"/>
        <v>15935.41</v>
      </c>
      <c r="AJ120" s="37">
        <f t="shared" si="14"/>
        <v>9114.7221121261355</v>
      </c>
      <c r="AK120" s="37">
        <f t="shared" si="15"/>
        <v>13355.069999999998</v>
      </c>
      <c r="AL120" s="37">
        <f t="shared" si="16"/>
        <v>13694.808600000011</v>
      </c>
      <c r="AM120" s="37">
        <f t="shared" si="17"/>
        <v>9830.1720000000005</v>
      </c>
      <c r="AN120" s="37">
        <f t="shared" si="18"/>
        <v>14278.257129090913</v>
      </c>
      <c r="AO120" s="37">
        <f t="shared" si="19"/>
        <v>0</v>
      </c>
    </row>
    <row r="121" spans="1:41" x14ac:dyDescent="0.3">
      <c r="A121" t="str">
        <f t="shared" si="11"/>
        <v>402oct</v>
      </c>
      <c r="B121" t="str">
        <f t="shared" si="12"/>
        <v>COLONoct</v>
      </c>
      <c r="C121" s="1" t="s">
        <v>79</v>
      </c>
      <c r="D121" s="1" t="s">
        <v>9</v>
      </c>
      <c r="E121" s="1">
        <v>402</v>
      </c>
      <c r="F121" s="1" t="s">
        <v>119</v>
      </c>
      <c r="G121" s="1" t="s">
        <v>120</v>
      </c>
      <c r="H121" s="1" t="s">
        <v>119</v>
      </c>
      <c r="I121" s="1" t="s">
        <v>127</v>
      </c>
      <c r="J121" s="1" t="s">
        <v>129</v>
      </c>
      <c r="K121" t="s">
        <v>89</v>
      </c>
      <c r="L121" s="6">
        <v>16997.72</v>
      </c>
      <c r="M121" s="6">
        <v>8429.0400000000009</v>
      </c>
      <c r="N121" s="6">
        <v>19824.68</v>
      </c>
      <c r="O121" s="6">
        <v>8831.6799999999985</v>
      </c>
      <c r="P121" s="6">
        <v>0</v>
      </c>
      <c r="Q121" s="6">
        <v>0</v>
      </c>
      <c r="R121" s="6">
        <v>0</v>
      </c>
      <c r="S121" s="6">
        <v>0</v>
      </c>
      <c r="T121" s="6">
        <v>14915.830000000011</v>
      </c>
      <c r="U121" s="6">
        <v>8000.8200000000079</v>
      </c>
      <c r="V121" s="30">
        <v>21891.750000000004</v>
      </c>
      <c r="W121" s="30">
        <v>11742.688890594762</v>
      </c>
      <c r="X121" s="30">
        <v>28056.720092975207</v>
      </c>
      <c r="Y121" s="30">
        <v>13766.236887970181</v>
      </c>
      <c r="Z121" s="30">
        <v>0</v>
      </c>
      <c r="AA121" s="30">
        <v>0</v>
      </c>
      <c r="AB121" s="34">
        <v>0.54994140390593571</v>
      </c>
      <c r="AC121" s="34">
        <v>0.49095469591180274</v>
      </c>
      <c r="AD121" s="34">
        <v>0.8402636661855224</v>
      </c>
      <c r="AE121" s="34">
        <v>0.6</v>
      </c>
      <c r="AF121" s="34">
        <v>0.6</v>
      </c>
      <c r="AG121" s="34">
        <v>0.70000000000000007</v>
      </c>
      <c r="AH121" s="34">
        <v>0</v>
      </c>
      <c r="AI121" s="37">
        <f t="shared" si="13"/>
        <v>9347.7500000000018</v>
      </c>
      <c r="AJ121" s="37">
        <f t="shared" si="14"/>
        <v>9733.0197409487973</v>
      </c>
      <c r="AK121" s="37">
        <f t="shared" si="15"/>
        <v>12533.23000000001</v>
      </c>
      <c r="AL121" s="37">
        <f t="shared" si="16"/>
        <v>0</v>
      </c>
      <c r="AM121" s="37">
        <f t="shared" si="17"/>
        <v>13135.050000000001</v>
      </c>
      <c r="AN121" s="37">
        <f t="shared" si="18"/>
        <v>19639.704065082646</v>
      </c>
      <c r="AO121" s="37">
        <f t="shared" si="19"/>
        <v>0</v>
      </c>
    </row>
    <row r="122" spans="1:41" x14ac:dyDescent="0.3">
      <c r="A122" t="str">
        <f t="shared" si="11"/>
        <v>402nov</v>
      </c>
      <c r="B122" t="str">
        <f t="shared" si="12"/>
        <v>COLONnov</v>
      </c>
      <c r="C122" s="1" t="s">
        <v>79</v>
      </c>
      <c r="D122" s="1" t="s">
        <v>9</v>
      </c>
      <c r="E122" s="1">
        <v>402</v>
      </c>
      <c r="F122" s="1" t="s">
        <v>119</v>
      </c>
      <c r="G122" s="1" t="s">
        <v>120</v>
      </c>
      <c r="H122" s="1" t="s">
        <v>119</v>
      </c>
      <c r="I122" s="1" t="s">
        <v>127</v>
      </c>
      <c r="J122" s="1" t="s">
        <v>129</v>
      </c>
      <c r="K122" t="s">
        <v>90</v>
      </c>
      <c r="L122" s="6">
        <v>21970.969999999994</v>
      </c>
      <c r="M122" s="6">
        <v>9565.3399999999947</v>
      </c>
      <c r="N122" s="6">
        <v>20032.600000000002</v>
      </c>
      <c r="O122" s="6">
        <v>8834.3000000000029</v>
      </c>
      <c r="P122" s="6">
        <v>0</v>
      </c>
      <c r="Q122" s="6">
        <v>0</v>
      </c>
      <c r="R122" s="6">
        <v>4028.3599999999988</v>
      </c>
      <c r="S122" s="6">
        <v>1699.5650839999994</v>
      </c>
      <c r="T122" s="6">
        <v>14411.063218390804</v>
      </c>
      <c r="U122" s="6">
        <v>5556.7082808420819</v>
      </c>
      <c r="V122" s="30">
        <v>21148.89</v>
      </c>
      <c r="W122" s="30">
        <v>8922.7166909999996</v>
      </c>
      <c r="X122" s="30">
        <v>27104.66212190083</v>
      </c>
      <c r="Y122" s="30">
        <v>12206.281718227747</v>
      </c>
      <c r="Z122" s="30">
        <v>0</v>
      </c>
      <c r="AA122" s="30">
        <v>0</v>
      </c>
      <c r="AB122" s="34">
        <v>0.40381330455596626</v>
      </c>
      <c r="AC122" s="34">
        <v>0.37649961771043339</v>
      </c>
      <c r="AD122" s="34">
        <v>0.31493107317701458</v>
      </c>
      <c r="AE122" s="34">
        <v>0.35</v>
      </c>
      <c r="AF122" s="34">
        <v>0.35</v>
      </c>
      <c r="AG122" s="34">
        <v>0.51999999999999991</v>
      </c>
      <c r="AH122" s="34">
        <v>0</v>
      </c>
      <c r="AI122" s="37">
        <f t="shared" si="13"/>
        <v>8872.1699999999946</v>
      </c>
      <c r="AJ122" s="37">
        <f t="shared" si="14"/>
        <v>7542.2662417460288</v>
      </c>
      <c r="AK122" s="37">
        <f t="shared" si="15"/>
        <v>4538.4916049896174</v>
      </c>
      <c r="AL122" s="37">
        <f t="shared" si="16"/>
        <v>1409.9259999999995</v>
      </c>
      <c r="AM122" s="37">
        <f t="shared" si="17"/>
        <v>7402.1114999999991</v>
      </c>
      <c r="AN122" s="37">
        <f t="shared" si="18"/>
        <v>14094.424303388429</v>
      </c>
      <c r="AO122" s="37">
        <f t="shared" si="19"/>
        <v>0</v>
      </c>
    </row>
    <row r="123" spans="1:41" x14ac:dyDescent="0.3">
      <c r="A123" t="str">
        <f t="shared" si="11"/>
        <v>402dic</v>
      </c>
      <c r="B123" t="str">
        <f t="shared" si="12"/>
        <v>COLONdic</v>
      </c>
      <c r="C123" s="1" t="s">
        <v>79</v>
      </c>
      <c r="D123" s="1" t="s">
        <v>9</v>
      </c>
      <c r="E123" s="1">
        <v>402</v>
      </c>
      <c r="F123" s="1" t="s">
        <v>119</v>
      </c>
      <c r="G123" s="1" t="s">
        <v>120</v>
      </c>
      <c r="H123" s="1" t="s">
        <v>119</v>
      </c>
      <c r="I123" s="1" t="s">
        <v>127</v>
      </c>
      <c r="J123" s="1" t="s">
        <v>129</v>
      </c>
      <c r="K123" t="s">
        <v>91</v>
      </c>
      <c r="L123" s="6">
        <v>62216.039999999994</v>
      </c>
      <c r="M123" s="6">
        <v>28727.88</v>
      </c>
      <c r="N123" s="6">
        <v>46750</v>
      </c>
      <c r="O123" s="6">
        <v>22477.810000000005</v>
      </c>
      <c r="P123" s="6">
        <v>0</v>
      </c>
      <c r="Q123" s="6">
        <v>0</v>
      </c>
      <c r="R123" s="6">
        <v>52594.553000000036</v>
      </c>
      <c r="S123" s="6">
        <v>25476.801473200016</v>
      </c>
      <c r="T123" s="6">
        <v>53921.752873563215</v>
      </c>
      <c r="U123" s="6">
        <v>25464.280253656405</v>
      </c>
      <c r="V123" s="30">
        <v>52594.553000000036</v>
      </c>
      <c r="W123" s="30">
        <v>25476.801473200016</v>
      </c>
      <c r="X123" s="30">
        <v>69106.742370808395</v>
      </c>
      <c r="Y123" s="30">
        <v>33598.146302519606</v>
      </c>
      <c r="Z123" s="30">
        <v>0</v>
      </c>
      <c r="AA123" s="30">
        <v>0</v>
      </c>
      <c r="AB123" s="34">
        <v>0.42690904146261938</v>
      </c>
      <c r="AC123" s="34">
        <v>0.62355649262766866</v>
      </c>
      <c r="AD123" s="34">
        <v>0.46486823747456785</v>
      </c>
      <c r="AE123" s="34">
        <v>0.6</v>
      </c>
      <c r="AF123" s="34">
        <v>0.6</v>
      </c>
      <c r="AG123" s="34">
        <v>0.67999999999999994</v>
      </c>
      <c r="AH123" s="34">
        <v>0</v>
      </c>
      <c r="AI123" s="37">
        <f t="shared" si="13"/>
        <v>26560.589999999982</v>
      </c>
      <c r="AJ123" s="37">
        <f t="shared" si="14"/>
        <v>29151.266030343511</v>
      </c>
      <c r="AK123" s="37">
        <f t="shared" si="15"/>
        <v>25066.510219872547</v>
      </c>
      <c r="AL123" s="37">
        <f t="shared" si="16"/>
        <v>31556.73180000002</v>
      </c>
      <c r="AM123" s="37">
        <f t="shared" si="17"/>
        <v>31556.73180000002</v>
      </c>
      <c r="AN123" s="37">
        <f t="shared" si="18"/>
        <v>46992.584812149704</v>
      </c>
      <c r="AO123" s="37">
        <f t="shared" si="19"/>
        <v>0</v>
      </c>
    </row>
    <row r="124" spans="1:41" hidden="1" x14ac:dyDescent="0.3">
      <c r="A124" t="str">
        <f t="shared" si="11"/>
        <v>101ene</v>
      </c>
      <c r="B124" t="str">
        <f t="shared" si="12"/>
        <v>ELEGANCIAene</v>
      </c>
      <c r="C124" s="1" t="s">
        <v>79</v>
      </c>
      <c r="D124" s="1" t="s">
        <v>10</v>
      </c>
      <c r="E124" s="1">
        <v>101</v>
      </c>
      <c r="F124" s="1" t="s">
        <v>119</v>
      </c>
      <c r="G124" s="1" t="s">
        <v>119</v>
      </c>
      <c r="H124" s="1" t="s">
        <v>119</v>
      </c>
      <c r="I124" s="1" t="s">
        <v>126</v>
      </c>
      <c r="J124" s="1" t="s">
        <v>130</v>
      </c>
      <c r="K124" t="s">
        <v>80</v>
      </c>
      <c r="L124" s="6">
        <v>184192.27999999997</v>
      </c>
      <c r="M124" s="6">
        <v>96747.37000000001</v>
      </c>
      <c r="N124" s="6">
        <v>127888.13999999998</v>
      </c>
      <c r="O124" s="6">
        <v>66100.379999999976</v>
      </c>
      <c r="P124" s="6">
        <v>118946.80936666674</v>
      </c>
      <c r="Q124" s="6">
        <v>60926.214278166706</v>
      </c>
      <c r="R124" s="6">
        <v>120471.05000000031</v>
      </c>
      <c r="S124" s="6">
        <v>63830.858235186453</v>
      </c>
      <c r="T124" s="6">
        <v>120471.05000000025</v>
      </c>
      <c r="U124" s="6">
        <v>63875.020000000346</v>
      </c>
      <c r="V124" s="30">
        <v>118946.80936666674</v>
      </c>
      <c r="W124" s="30">
        <v>63066.851556718815</v>
      </c>
      <c r="X124" s="30">
        <v>124894.14983500008</v>
      </c>
      <c r="Y124" s="30">
        <v>66488.883982145882</v>
      </c>
      <c r="Z124" s="30">
        <v>116317.24137931013</v>
      </c>
      <c r="AA124" s="30">
        <v>64054.929145104004</v>
      </c>
      <c r="AB124" s="34">
        <v>0.79885400191582467</v>
      </c>
      <c r="AC124" s="34">
        <v>0.76944990416956394</v>
      </c>
      <c r="AD124" s="34">
        <v>0.84759883054262697</v>
      </c>
      <c r="AE124" s="34">
        <v>0.84759883054262564</v>
      </c>
      <c r="AF124" s="34">
        <v>0.84759883054262564</v>
      </c>
      <c r="AG124" s="34">
        <v>0.9</v>
      </c>
      <c r="AH124" s="34">
        <v>0.95556889600379447</v>
      </c>
      <c r="AI124" s="37">
        <f t="shared" si="13"/>
        <v>147142.74000000008</v>
      </c>
      <c r="AJ124" s="37">
        <f t="shared" si="14"/>
        <v>98403.51706742376</v>
      </c>
      <c r="AK124" s="37">
        <f t="shared" si="15"/>
        <v>102111.12109424255</v>
      </c>
      <c r="AL124" s="37">
        <f t="shared" si="16"/>
        <v>102111.12109424244</v>
      </c>
      <c r="AM124" s="37">
        <f t="shared" si="17"/>
        <v>100819.17651596337</v>
      </c>
      <c r="AN124" s="37">
        <f t="shared" si="18"/>
        <v>112404.73485150008</v>
      </c>
      <c r="AO124" s="37">
        <f t="shared" si="19"/>
        <v>111149.13793103426</v>
      </c>
    </row>
    <row r="125" spans="1:41" hidden="1" x14ac:dyDescent="0.3">
      <c r="A125" t="str">
        <f t="shared" si="11"/>
        <v>101feb</v>
      </c>
      <c r="B125" t="str">
        <f t="shared" si="12"/>
        <v>ELEGANCIAfeb</v>
      </c>
      <c r="C125" s="1" t="s">
        <v>79</v>
      </c>
      <c r="D125" s="1" t="s">
        <v>10</v>
      </c>
      <c r="E125" s="1">
        <v>101</v>
      </c>
      <c r="F125" s="1" t="s">
        <v>119</v>
      </c>
      <c r="G125" s="1" t="s">
        <v>119</v>
      </c>
      <c r="H125" s="1" t="s">
        <v>119</v>
      </c>
      <c r="I125" s="1" t="s">
        <v>126</v>
      </c>
      <c r="J125" s="1" t="s">
        <v>130</v>
      </c>
      <c r="K125" t="s">
        <v>81</v>
      </c>
      <c r="L125" s="6">
        <v>222471.28999999995</v>
      </c>
      <c r="M125" s="6">
        <v>92564.599999999948</v>
      </c>
      <c r="N125" s="6">
        <v>143465.46999999997</v>
      </c>
      <c r="O125" s="6">
        <v>66400.089999999982</v>
      </c>
      <c r="P125" s="6">
        <v>166417.17350000044</v>
      </c>
      <c r="Q125" s="6">
        <v>72873.211542500198</v>
      </c>
      <c r="R125" s="6">
        <v>155139.09000000014</v>
      </c>
      <c r="S125" s="6">
        <v>66469.130477665443</v>
      </c>
      <c r="T125" s="6">
        <v>155139.09000000029</v>
      </c>
      <c r="U125" s="6">
        <v>66560.440000000352</v>
      </c>
      <c r="V125" s="30">
        <v>166417.17350000044</v>
      </c>
      <c r="W125" s="30">
        <v>71399.15730920175</v>
      </c>
      <c r="X125" s="30">
        <v>172241.77457250046</v>
      </c>
      <c r="Y125" s="30">
        <v>78288.126245289459</v>
      </c>
      <c r="Z125" s="30">
        <v>156973.41954023045</v>
      </c>
      <c r="AA125" s="30">
        <v>71560.188634507329</v>
      </c>
      <c r="AB125" s="34">
        <v>0.38709174563603266</v>
      </c>
      <c r="AC125" s="34">
        <v>0.52802517453335007</v>
      </c>
      <c r="AD125" s="34">
        <v>0.29507105007492018</v>
      </c>
      <c r="AE125" s="34">
        <v>0.29507105007492057</v>
      </c>
      <c r="AF125" s="34">
        <v>0.29507105007492057</v>
      </c>
      <c r="AG125" s="34">
        <v>0.39</v>
      </c>
      <c r="AH125" s="34">
        <v>0.437229013258156</v>
      </c>
      <c r="AI125" s="37">
        <f t="shared" si="13"/>
        <v>86116.800000000032</v>
      </c>
      <c r="AJ125" s="37">
        <f t="shared" si="14"/>
        <v>75753.37983625909</v>
      </c>
      <c r="AK125" s="37">
        <f t="shared" si="15"/>
        <v>45777.054193967633</v>
      </c>
      <c r="AL125" s="37">
        <f t="shared" si="16"/>
        <v>45777.054193967648</v>
      </c>
      <c r="AM125" s="37">
        <f t="shared" si="17"/>
        <v>49104.890135145375</v>
      </c>
      <c r="AN125" s="37">
        <f t="shared" si="18"/>
        <v>67174.292083275184</v>
      </c>
      <c r="AO125" s="37">
        <f t="shared" si="19"/>
        <v>68633.333333333503</v>
      </c>
    </row>
    <row r="126" spans="1:41" hidden="1" x14ac:dyDescent="0.3">
      <c r="A126" t="str">
        <f t="shared" si="11"/>
        <v>101mar</v>
      </c>
      <c r="B126" t="str">
        <f t="shared" si="12"/>
        <v>ELEGANCIAmar</v>
      </c>
      <c r="C126" s="1" t="s">
        <v>79</v>
      </c>
      <c r="D126" s="1" t="s">
        <v>10</v>
      </c>
      <c r="E126" s="1">
        <v>101</v>
      </c>
      <c r="F126" s="1" t="s">
        <v>119</v>
      </c>
      <c r="G126" s="1" t="s">
        <v>119</v>
      </c>
      <c r="H126" s="1" t="s">
        <v>119</v>
      </c>
      <c r="I126" s="1" t="s">
        <v>126</v>
      </c>
      <c r="J126" s="1" t="s">
        <v>130</v>
      </c>
      <c r="K126" t="s">
        <v>82</v>
      </c>
      <c r="L126" s="6">
        <v>175453.88999999996</v>
      </c>
      <c r="M126" s="6">
        <v>82866.859999999971</v>
      </c>
      <c r="N126" s="6">
        <v>169492.65999999997</v>
      </c>
      <c r="O126" s="6">
        <v>76154.969999999972</v>
      </c>
      <c r="P126" s="6">
        <v>127973.44559000016</v>
      </c>
      <c r="Q126" s="6">
        <v>62133.869524800073</v>
      </c>
      <c r="R126" s="6">
        <v>147056.85000000024</v>
      </c>
      <c r="S126" s="6">
        <v>70577.271645035697</v>
      </c>
      <c r="T126" s="6">
        <v>147056.85000000024</v>
      </c>
      <c r="U126" s="6">
        <v>70452.780000000261</v>
      </c>
      <c r="V126" s="30">
        <v>147056.85000000073</v>
      </c>
      <c r="W126" s="30">
        <v>70452.780000000494</v>
      </c>
      <c r="X126" s="30">
        <v>142645.14450000072</v>
      </c>
      <c r="Y126" s="30">
        <v>73544.048931629572</v>
      </c>
      <c r="Z126" s="30">
        <v>123326.53737835212</v>
      </c>
      <c r="AA126" s="30">
        <v>63143.18713771629</v>
      </c>
      <c r="AB126" s="34">
        <v>0.5324234760483213</v>
      </c>
      <c r="AC126" s="34">
        <v>0.43598738671194537</v>
      </c>
      <c r="AD126" s="34">
        <v>0.52191111344246899</v>
      </c>
      <c r="AE126" s="34">
        <v>0.52191111344246843</v>
      </c>
      <c r="AF126" s="34">
        <v>0.52191111344246843</v>
      </c>
      <c r="AG126" s="34">
        <v>0.79</v>
      </c>
      <c r="AH126" s="34">
        <v>0.74741762034111503</v>
      </c>
      <c r="AI126" s="37">
        <f t="shared" si="13"/>
        <v>93415.769999999771</v>
      </c>
      <c r="AJ126" s="37">
        <f t="shared" si="14"/>
        <v>73896.661900256266</v>
      </c>
      <c r="AK126" s="37">
        <f t="shared" si="15"/>
        <v>76750.604322842264</v>
      </c>
      <c r="AL126" s="37">
        <f t="shared" si="16"/>
        <v>76750.604322842191</v>
      </c>
      <c r="AM126" s="37">
        <f t="shared" si="17"/>
        <v>76750.604322842453</v>
      </c>
      <c r="AN126" s="37">
        <f t="shared" si="18"/>
        <v>112689.66415500057</v>
      </c>
      <c r="AO126" s="37">
        <f t="shared" si="19"/>
        <v>92176.427092237514</v>
      </c>
    </row>
    <row r="127" spans="1:41" hidden="1" x14ac:dyDescent="0.3">
      <c r="A127" t="str">
        <f t="shared" si="11"/>
        <v>101abr</v>
      </c>
      <c r="B127" t="str">
        <f t="shared" si="12"/>
        <v>ELEGANCIAabr</v>
      </c>
      <c r="C127" s="1" t="s">
        <v>79</v>
      </c>
      <c r="D127" s="1" t="s">
        <v>10</v>
      </c>
      <c r="E127" s="1">
        <v>101</v>
      </c>
      <c r="F127" s="1" t="s">
        <v>119</v>
      </c>
      <c r="G127" s="1" t="s">
        <v>119</v>
      </c>
      <c r="H127" s="1" t="s">
        <v>119</v>
      </c>
      <c r="I127" s="1" t="s">
        <v>126</v>
      </c>
      <c r="J127" s="1" t="s">
        <v>130</v>
      </c>
      <c r="K127" t="s">
        <v>83</v>
      </c>
      <c r="L127" s="6">
        <v>142722.31999999998</v>
      </c>
      <c r="M127" s="6">
        <v>75545.349999999977</v>
      </c>
      <c r="N127" s="6">
        <v>105008.55999999995</v>
      </c>
      <c r="O127" s="6">
        <v>56227.399999999951</v>
      </c>
      <c r="P127" s="6">
        <v>110487.1597100002</v>
      </c>
      <c r="Q127" s="6">
        <v>59670.384197200117</v>
      </c>
      <c r="R127" s="6">
        <v>112061.14000000014</v>
      </c>
      <c r="S127" s="6">
        <v>58259.960911908725</v>
      </c>
      <c r="T127" s="6">
        <v>112061.14000000014</v>
      </c>
      <c r="U127" s="6">
        <v>57850.210000000101</v>
      </c>
      <c r="V127" s="30">
        <v>114302.36280000015</v>
      </c>
      <c r="W127" s="30">
        <v>59007.214200000104</v>
      </c>
      <c r="X127" s="30">
        <v>121160.50456800015</v>
      </c>
      <c r="Y127" s="30">
        <v>63576.645158727217</v>
      </c>
      <c r="Z127" s="30">
        <v>0</v>
      </c>
      <c r="AA127" s="30">
        <v>0</v>
      </c>
      <c r="AB127" s="34">
        <v>0.80652423531231965</v>
      </c>
      <c r="AC127" s="34">
        <v>0.85582980741218195</v>
      </c>
      <c r="AD127" s="34">
        <v>0.79767417145347164</v>
      </c>
      <c r="AE127" s="34">
        <v>0.79767417145347019</v>
      </c>
      <c r="AF127" s="34">
        <v>0.79767417145347019</v>
      </c>
      <c r="AG127" s="34">
        <v>0.85</v>
      </c>
      <c r="AH127" s="34">
        <v>0</v>
      </c>
      <c r="AI127" s="37">
        <f t="shared" si="13"/>
        <v>115109.01000000017</v>
      </c>
      <c r="AJ127" s="37">
        <f t="shared" si="14"/>
        <v>89869.455681430511</v>
      </c>
      <c r="AK127" s="37">
        <f t="shared" si="15"/>
        <v>89388.277001631606</v>
      </c>
      <c r="AL127" s="37">
        <f t="shared" si="16"/>
        <v>89388.277001631446</v>
      </c>
      <c r="AM127" s="37">
        <f t="shared" si="17"/>
        <v>91176.042541664065</v>
      </c>
      <c r="AN127" s="37">
        <f t="shared" si="18"/>
        <v>102986.42888280013</v>
      </c>
      <c r="AO127" s="37">
        <f t="shared" si="19"/>
        <v>0</v>
      </c>
    </row>
    <row r="128" spans="1:41" hidden="1" x14ac:dyDescent="0.3">
      <c r="A128" t="str">
        <f t="shared" si="11"/>
        <v>101may</v>
      </c>
      <c r="B128" t="str">
        <f t="shared" si="12"/>
        <v>ELEGANCIAmay</v>
      </c>
      <c r="C128" s="1" t="s">
        <v>79</v>
      </c>
      <c r="D128" s="1" t="s">
        <v>10</v>
      </c>
      <c r="E128" s="1">
        <v>101</v>
      </c>
      <c r="F128" s="1" t="s">
        <v>119</v>
      </c>
      <c r="G128" s="1" t="s">
        <v>119</v>
      </c>
      <c r="H128" s="1" t="s">
        <v>119</v>
      </c>
      <c r="I128" s="1" t="s">
        <v>126</v>
      </c>
      <c r="J128" s="1" t="s">
        <v>130</v>
      </c>
      <c r="K128" t="s">
        <v>84</v>
      </c>
      <c r="L128" s="6">
        <v>142144.21999999997</v>
      </c>
      <c r="M128" s="6">
        <v>74575.869999999981</v>
      </c>
      <c r="N128" s="6">
        <v>109594.16999999998</v>
      </c>
      <c r="O128" s="6">
        <v>59737.499999999985</v>
      </c>
      <c r="P128" s="6">
        <v>119314.02867500008</v>
      </c>
      <c r="Q128" s="6">
        <v>62089.01617687504</v>
      </c>
      <c r="R128" s="6">
        <v>122843.78000000029</v>
      </c>
      <c r="S128" s="6">
        <v>67250.038507052726</v>
      </c>
      <c r="T128" s="6">
        <v>122843.78000000032</v>
      </c>
      <c r="U128" s="6">
        <v>66668.06000000026</v>
      </c>
      <c r="V128" s="30">
        <v>122843.78000000032</v>
      </c>
      <c r="W128" s="30">
        <v>66668.06000000026</v>
      </c>
      <c r="X128" s="30">
        <v>126529.09340000033</v>
      </c>
      <c r="Y128" s="30">
        <v>67359.2656065396</v>
      </c>
      <c r="Z128" s="30">
        <v>0</v>
      </c>
      <c r="AA128" s="30">
        <v>0</v>
      </c>
      <c r="AB128" s="34">
        <v>0.79149887346808889</v>
      </c>
      <c r="AC128" s="34">
        <v>0.88782649984038275</v>
      </c>
      <c r="AD128" s="34">
        <v>0.90422377357371919</v>
      </c>
      <c r="AE128" s="34">
        <v>0.9042237735737183</v>
      </c>
      <c r="AF128" s="34">
        <v>0.9042237735737183</v>
      </c>
      <c r="AG128" s="34">
        <v>0.9</v>
      </c>
      <c r="AH128" s="34">
        <v>0</v>
      </c>
      <c r="AI128" s="37">
        <f t="shared" si="13"/>
        <v>112506.99000000017</v>
      </c>
      <c r="AJ128" s="37">
        <f t="shared" si="14"/>
        <v>97300.608354011871</v>
      </c>
      <c r="AK128" s="37">
        <f t="shared" si="15"/>
        <v>111078.26631166006</v>
      </c>
      <c r="AL128" s="37">
        <f t="shared" si="16"/>
        <v>111078.26631165993</v>
      </c>
      <c r="AM128" s="37">
        <f t="shared" si="17"/>
        <v>111078.26631165996</v>
      </c>
      <c r="AN128" s="37">
        <f t="shared" si="18"/>
        <v>113876.18406000031</v>
      </c>
      <c r="AO128" s="37">
        <f t="shared" si="19"/>
        <v>0</v>
      </c>
    </row>
    <row r="129" spans="1:41" hidden="1" x14ac:dyDescent="0.3">
      <c r="A129" t="str">
        <f t="shared" si="11"/>
        <v>101jun</v>
      </c>
      <c r="B129" t="str">
        <f t="shared" si="12"/>
        <v>ELEGANCIAjun</v>
      </c>
      <c r="C129" s="1" t="s">
        <v>79</v>
      </c>
      <c r="D129" s="1" t="s">
        <v>10</v>
      </c>
      <c r="E129" s="1">
        <v>101</v>
      </c>
      <c r="F129" s="1" t="s">
        <v>119</v>
      </c>
      <c r="G129" s="1" t="s">
        <v>119</v>
      </c>
      <c r="H129" s="1" t="s">
        <v>119</v>
      </c>
      <c r="I129" s="1" t="s">
        <v>126</v>
      </c>
      <c r="J129" s="1" t="s">
        <v>130</v>
      </c>
      <c r="K129" t="s">
        <v>85</v>
      </c>
      <c r="L129" s="6">
        <v>136098.87999999998</v>
      </c>
      <c r="M129" s="6">
        <v>71815.600000000006</v>
      </c>
      <c r="N129" s="6">
        <v>93187.829999999987</v>
      </c>
      <c r="O129" s="6">
        <v>50335.82</v>
      </c>
      <c r="P129" s="6">
        <v>108981.66592500008</v>
      </c>
      <c r="Q129" s="6">
        <v>59587.891014125053</v>
      </c>
      <c r="R129" s="6">
        <v>101039.94000000029</v>
      </c>
      <c r="S129" s="6">
        <v>55178.920000000682</v>
      </c>
      <c r="T129" s="6">
        <v>101039.94000000026</v>
      </c>
      <c r="U129" s="6">
        <v>55178.920000000275</v>
      </c>
      <c r="V129" s="30">
        <v>113164.73280000032</v>
      </c>
      <c r="W129" s="30">
        <v>61800.390400000324</v>
      </c>
      <c r="X129" s="30">
        <v>119954.61676800034</v>
      </c>
      <c r="Y129" s="30">
        <v>63859.264889085047</v>
      </c>
      <c r="Z129" s="30">
        <v>0</v>
      </c>
      <c r="AA129" s="30">
        <v>0</v>
      </c>
      <c r="AB129" s="34">
        <v>0.80476701939060902</v>
      </c>
      <c r="AC129" s="34">
        <v>0.90102066074981213</v>
      </c>
      <c r="AD129" s="34">
        <v>0.9233981136568381</v>
      </c>
      <c r="AE129" s="34">
        <v>0.9233981136568381</v>
      </c>
      <c r="AF129" s="34">
        <v>0.9233981136568381</v>
      </c>
      <c r="AG129" s="34">
        <v>0.89999999999999991</v>
      </c>
      <c r="AH129" s="34">
        <v>0</v>
      </c>
      <c r="AI129" s="37">
        <f t="shared" si="13"/>
        <v>109527.89000000014</v>
      </c>
      <c r="AJ129" s="37">
        <f t="shared" si="14"/>
        <v>83964.160160441155</v>
      </c>
      <c r="AK129" s="37">
        <f t="shared" si="15"/>
        <v>93300.090000000346</v>
      </c>
      <c r="AL129" s="37">
        <f t="shared" si="16"/>
        <v>93300.090000000375</v>
      </c>
      <c r="AM129" s="37">
        <f t="shared" si="17"/>
        <v>104496.10080000041</v>
      </c>
      <c r="AN129" s="37">
        <f t="shared" si="18"/>
        <v>107959.1550912003</v>
      </c>
      <c r="AO129" s="37">
        <f t="shared" si="19"/>
        <v>0</v>
      </c>
    </row>
    <row r="130" spans="1:41" hidden="1" x14ac:dyDescent="0.3">
      <c r="A130" t="str">
        <f t="shared" si="11"/>
        <v>101jul</v>
      </c>
      <c r="B130" t="str">
        <f t="shared" si="12"/>
        <v>ELEGANCIAjul</v>
      </c>
      <c r="C130" s="1" t="s">
        <v>79</v>
      </c>
      <c r="D130" s="1" t="s">
        <v>10</v>
      </c>
      <c r="E130" s="1">
        <v>101</v>
      </c>
      <c r="F130" s="1" t="s">
        <v>119</v>
      </c>
      <c r="G130" s="1" t="s">
        <v>119</v>
      </c>
      <c r="H130" s="1" t="s">
        <v>119</v>
      </c>
      <c r="I130" s="1" t="s">
        <v>126</v>
      </c>
      <c r="J130" s="1" t="s">
        <v>130</v>
      </c>
      <c r="K130" t="s">
        <v>86</v>
      </c>
      <c r="L130" s="6">
        <v>162218.91999999998</v>
      </c>
      <c r="M130" s="6">
        <v>86552.789999999979</v>
      </c>
      <c r="N130" s="6">
        <v>106292.26999999997</v>
      </c>
      <c r="O130" s="6">
        <v>57801.979999999974</v>
      </c>
      <c r="P130" s="6">
        <v>115795.13635000009</v>
      </c>
      <c r="Q130" s="6">
        <v>63559.754897500039</v>
      </c>
      <c r="R130" s="6">
        <v>121890.86999999997</v>
      </c>
      <c r="S130" s="6">
        <v>65766.300000000585</v>
      </c>
      <c r="T130" s="6">
        <v>121890.87000000024</v>
      </c>
      <c r="U130" s="6">
        <v>65766.300000000309</v>
      </c>
      <c r="V130" s="30">
        <v>121890.87000000068</v>
      </c>
      <c r="W130" s="30">
        <v>65766.300000000541</v>
      </c>
      <c r="X130" s="30">
        <v>129204.32220000072</v>
      </c>
      <c r="Y130" s="30">
        <v>68783.455430834103</v>
      </c>
      <c r="Z130" s="30">
        <v>0</v>
      </c>
      <c r="AA130" s="30">
        <v>0</v>
      </c>
      <c r="AB130" s="34">
        <v>0.87284880210027294</v>
      </c>
      <c r="AC130" s="34">
        <v>0.92341007033588429</v>
      </c>
      <c r="AD130" s="34">
        <v>0.90502086005293192</v>
      </c>
      <c r="AE130" s="34">
        <v>0.90502086005293192</v>
      </c>
      <c r="AF130" s="34">
        <v>0.90502086005293192</v>
      </c>
      <c r="AG130" s="34">
        <v>0.9</v>
      </c>
      <c r="AH130" s="34">
        <v>0</v>
      </c>
      <c r="AI130" s="37">
        <f t="shared" si="13"/>
        <v>141592.59</v>
      </c>
      <c r="AJ130" s="37">
        <f t="shared" si="14"/>
        <v>98151.352516860774</v>
      </c>
      <c r="AK130" s="37">
        <f t="shared" si="15"/>
        <v>110313.78000000033</v>
      </c>
      <c r="AL130" s="37">
        <f t="shared" si="16"/>
        <v>110313.78000000009</v>
      </c>
      <c r="AM130" s="37">
        <f t="shared" si="17"/>
        <v>110313.78000000073</v>
      </c>
      <c r="AN130" s="37">
        <f t="shared" si="18"/>
        <v>116283.88998000065</v>
      </c>
      <c r="AO130" s="37">
        <f t="shared" si="19"/>
        <v>0</v>
      </c>
    </row>
    <row r="131" spans="1:41" hidden="1" x14ac:dyDescent="0.3">
      <c r="A131" t="str">
        <f t="shared" si="11"/>
        <v>101ago</v>
      </c>
      <c r="B131" t="str">
        <f t="shared" si="12"/>
        <v>ELEGANCIAago</v>
      </c>
      <c r="C131" s="1" t="s">
        <v>79</v>
      </c>
      <c r="D131" s="1" t="s">
        <v>10</v>
      </c>
      <c r="E131" s="1">
        <v>101</v>
      </c>
      <c r="F131" s="1" t="s">
        <v>119</v>
      </c>
      <c r="G131" s="1" t="s">
        <v>119</v>
      </c>
      <c r="H131" s="1" t="s">
        <v>119</v>
      </c>
      <c r="I131" s="1" t="s">
        <v>126</v>
      </c>
      <c r="J131" s="1" t="s">
        <v>130</v>
      </c>
      <c r="K131" t="s">
        <v>87</v>
      </c>
      <c r="L131" s="6">
        <v>364380.30999999994</v>
      </c>
      <c r="M131" s="6">
        <v>125024.10999999993</v>
      </c>
      <c r="N131" s="6">
        <v>176175.66999999995</v>
      </c>
      <c r="O131" s="6">
        <v>72906.709999999963</v>
      </c>
      <c r="P131" s="6">
        <v>185435.14030000006</v>
      </c>
      <c r="Q131" s="6">
        <v>78418.353629000019</v>
      </c>
      <c r="R131" s="6">
        <v>203299.41857455921</v>
      </c>
      <c r="S131" s="6">
        <v>91661.608852711521</v>
      </c>
      <c r="T131" s="6">
        <v>246967.59000000113</v>
      </c>
      <c r="U131" s="6">
        <v>109386.72000000108</v>
      </c>
      <c r="V131" s="30">
        <v>246967.59000000046</v>
      </c>
      <c r="W131" s="30">
        <v>111350.27730330022</v>
      </c>
      <c r="X131" s="30">
        <v>255611.45565000054</v>
      </c>
      <c r="Y131" s="30">
        <v>118132.29605145907</v>
      </c>
      <c r="Z131" s="30">
        <v>0</v>
      </c>
      <c r="AA131" s="30">
        <v>0</v>
      </c>
      <c r="AB131" s="34">
        <v>0.25823489200061472</v>
      </c>
      <c r="AC131" s="34">
        <v>0.38329994317493238</v>
      </c>
      <c r="AD131" s="34">
        <v>0.38397313590824317</v>
      </c>
      <c r="AE131" s="34">
        <v>0.37</v>
      </c>
      <c r="AF131" s="34">
        <v>0.37</v>
      </c>
      <c r="AG131" s="34">
        <v>0.43999999999999995</v>
      </c>
      <c r="AH131" s="34">
        <v>0</v>
      </c>
      <c r="AI131" s="37">
        <f t="shared" si="13"/>
        <v>94095.710000000501</v>
      </c>
      <c r="AJ131" s="37">
        <f t="shared" si="14"/>
        <v>67528.124299805626</v>
      </c>
      <c r="AK131" s="37">
        <f t="shared" si="15"/>
        <v>94828.920000001715</v>
      </c>
      <c r="AL131" s="37">
        <f t="shared" si="16"/>
        <v>75220.784872586912</v>
      </c>
      <c r="AM131" s="37">
        <f t="shared" si="17"/>
        <v>91378.008300000176</v>
      </c>
      <c r="AN131" s="37">
        <f t="shared" si="18"/>
        <v>112469.04048600023</v>
      </c>
      <c r="AO131" s="37">
        <f t="shared" si="19"/>
        <v>0</v>
      </c>
    </row>
    <row r="132" spans="1:41" hidden="1" x14ac:dyDescent="0.3">
      <c r="A132" t="str">
        <f t="shared" si="11"/>
        <v>101sep</v>
      </c>
      <c r="B132" t="str">
        <f t="shared" si="12"/>
        <v>ELEGANCIAsep</v>
      </c>
      <c r="C132" s="1" t="s">
        <v>79</v>
      </c>
      <c r="D132" s="1" t="s">
        <v>10</v>
      </c>
      <c r="E132" s="1">
        <v>101</v>
      </c>
      <c r="F132" s="1" t="s">
        <v>119</v>
      </c>
      <c r="G132" s="1" t="s">
        <v>119</v>
      </c>
      <c r="H132" s="1" t="s">
        <v>119</v>
      </c>
      <c r="I132" s="1" t="s">
        <v>126</v>
      </c>
      <c r="J132" s="1" t="s">
        <v>130</v>
      </c>
      <c r="K132" t="s">
        <v>88</v>
      </c>
      <c r="L132" s="6">
        <v>128255.26999999999</v>
      </c>
      <c r="M132" s="6">
        <v>65226.319999999978</v>
      </c>
      <c r="N132" s="6">
        <v>122310.29999999999</v>
      </c>
      <c r="O132" s="6">
        <v>61008.149999999994</v>
      </c>
      <c r="P132" s="6">
        <v>109237.64375000002</v>
      </c>
      <c r="Q132" s="6">
        <v>57530.294932250021</v>
      </c>
      <c r="R132" s="6">
        <v>113750.25081331252</v>
      </c>
      <c r="S132" s="6">
        <v>60014.632329103697</v>
      </c>
      <c r="T132" s="6">
        <v>110107.60000000031</v>
      </c>
      <c r="U132" s="6">
        <v>57700.780000000319</v>
      </c>
      <c r="V132" s="30">
        <v>112309.75200000031</v>
      </c>
      <c r="W132" s="30">
        <v>58854.795600000318</v>
      </c>
      <c r="X132" s="30">
        <v>117925.23960000034</v>
      </c>
      <c r="Y132" s="30">
        <v>60799.12233827576</v>
      </c>
      <c r="Z132" s="30">
        <v>0</v>
      </c>
      <c r="AA132" s="30">
        <v>0</v>
      </c>
      <c r="AB132" s="34">
        <v>0.73779330861024406</v>
      </c>
      <c r="AC132" s="34">
        <v>0.70266588502100735</v>
      </c>
      <c r="AD132" s="34">
        <v>0.82952048723249061</v>
      </c>
      <c r="AE132" s="34">
        <v>0.8</v>
      </c>
      <c r="AF132" s="34">
        <v>0.8</v>
      </c>
      <c r="AG132" s="34">
        <v>0.79</v>
      </c>
      <c r="AH132" s="34">
        <v>0</v>
      </c>
      <c r="AI132" s="37">
        <f t="shared" si="13"/>
        <v>94625.880000000165</v>
      </c>
      <c r="AJ132" s="37">
        <f t="shared" si="14"/>
        <v>85943.275196684903</v>
      </c>
      <c r="AK132" s="37">
        <f t="shared" si="15"/>
        <v>91336.510000000446</v>
      </c>
      <c r="AL132" s="37">
        <f t="shared" si="16"/>
        <v>91000.200650650018</v>
      </c>
      <c r="AM132" s="37">
        <f t="shared" si="17"/>
        <v>89847.801600000254</v>
      </c>
      <c r="AN132" s="37">
        <f t="shared" si="18"/>
        <v>93160.939284000269</v>
      </c>
      <c r="AO132" s="37">
        <f t="shared" si="19"/>
        <v>0</v>
      </c>
    </row>
    <row r="133" spans="1:41" hidden="1" x14ac:dyDescent="0.3">
      <c r="A133" t="str">
        <f t="shared" ref="A133:A196" si="20">CONCATENATE(E133,K133)</f>
        <v>101oct</v>
      </c>
      <c r="B133" t="str">
        <f t="shared" ref="B133:B196" si="21">CONCATENATE(D133,K133)</f>
        <v>ELEGANCIAoct</v>
      </c>
      <c r="C133" s="1" t="s">
        <v>79</v>
      </c>
      <c r="D133" s="1" t="s">
        <v>10</v>
      </c>
      <c r="E133" s="1">
        <v>101</v>
      </c>
      <c r="F133" s="1" t="s">
        <v>119</v>
      </c>
      <c r="G133" s="1" t="s">
        <v>119</v>
      </c>
      <c r="H133" s="1" t="s">
        <v>119</v>
      </c>
      <c r="I133" s="1" t="s">
        <v>126</v>
      </c>
      <c r="J133" s="1" t="s">
        <v>130</v>
      </c>
      <c r="K133" t="s">
        <v>89</v>
      </c>
      <c r="L133" s="6">
        <v>86888.239999999991</v>
      </c>
      <c r="M133" s="6">
        <v>45294.32999999998</v>
      </c>
      <c r="N133" s="6">
        <v>103284.38999999998</v>
      </c>
      <c r="O133" s="6">
        <v>55580.319999999978</v>
      </c>
      <c r="P133" s="6">
        <v>116415.56315000003</v>
      </c>
      <c r="Q133" s="6">
        <v>63300.244576750032</v>
      </c>
      <c r="R133" s="6">
        <v>121224.69006372654</v>
      </c>
      <c r="S133" s="6">
        <v>65921.9864566545</v>
      </c>
      <c r="T133" s="6">
        <v>122257.95000000046</v>
      </c>
      <c r="U133" s="6">
        <v>63561.690000000468</v>
      </c>
      <c r="V133" s="30">
        <v>122257.95000000001</v>
      </c>
      <c r="W133" s="30">
        <v>66483.87321000002</v>
      </c>
      <c r="X133" s="30">
        <v>129593.42700000003</v>
      </c>
      <c r="Y133" s="30">
        <v>68990.599992354633</v>
      </c>
      <c r="Z133" s="30">
        <v>0</v>
      </c>
      <c r="AA133" s="30">
        <v>0</v>
      </c>
      <c r="AB133" s="34">
        <v>0.81098178533711907</v>
      </c>
      <c r="AC133" s="34">
        <v>0.84333097531808532</v>
      </c>
      <c r="AD133" s="34">
        <v>0.70051771684377262</v>
      </c>
      <c r="AE133" s="34">
        <v>0.89999999999999991</v>
      </c>
      <c r="AF133" s="34">
        <v>0.89999999999999991</v>
      </c>
      <c r="AG133" s="34">
        <v>0.89999999999999991</v>
      </c>
      <c r="AH133" s="34">
        <v>0</v>
      </c>
      <c r="AI133" s="37">
        <f t="shared" ref="AI133:AI196" si="22">L133*AB133</f>
        <v>70464.780000000072</v>
      </c>
      <c r="AJ133" s="37">
        <f t="shared" ref="AJ133:AJ196" si="23">N133*AC133</f>
        <v>87102.925353833489</v>
      </c>
      <c r="AK133" s="37">
        <f t="shared" ref="AK133:AK196" si="24">T133*AD133</f>
        <v>85643.860000000437</v>
      </c>
      <c r="AL133" s="37">
        <f t="shared" ref="AL133:AL196" si="25">R133*AE133</f>
        <v>109102.22105735388</v>
      </c>
      <c r="AM133" s="37">
        <f t="shared" ref="AM133:AM196" si="26">V133*AF133</f>
        <v>110032.155</v>
      </c>
      <c r="AN133" s="37">
        <f t="shared" ref="AN133:AN196" si="27">X133*AG133</f>
        <v>116634.08430000002</v>
      </c>
      <c r="AO133" s="37">
        <f t="shared" ref="AO133:AO196" si="28">Z133*AH133</f>
        <v>0</v>
      </c>
    </row>
    <row r="134" spans="1:41" hidden="1" x14ac:dyDescent="0.3">
      <c r="A134" t="str">
        <f t="shared" si="20"/>
        <v>101nov</v>
      </c>
      <c r="B134" t="str">
        <f t="shared" si="21"/>
        <v>ELEGANCIAnov</v>
      </c>
      <c r="C134" s="1" t="s">
        <v>79</v>
      </c>
      <c r="D134" s="1" t="s">
        <v>10</v>
      </c>
      <c r="E134" s="1">
        <v>101</v>
      </c>
      <c r="F134" s="1" t="s">
        <v>119</v>
      </c>
      <c r="G134" s="1" t="s">
        <v>119</v>
      </c>
      <c r="H134" s="1" t="s">
        <v>119</v>
      </c>
      <c r="I134" s="1" t="s">
        <v>126</v>
      </c>
      <c r="J134" s="1" t="s">
        <v>130</v>
      </c>
      <c r="K134" t="s">
        <v>90</v>
      </c>
      <c r="L134" s="6">
        <v>130168.70999999998</v>
      </c>
      <c r="M134" s="6">
        <v>61143.129999999961</v>
      </c>
      <c r="N134" s="6">
        <v>112447.40999999997</v>
      </c>
      <c r="O134" s="6">
        <v>58052.189999999988</v>
      </c>
      <c r="P134" s="6">
        <v>144939.41755000019</v>
      </c>
      <c r="Q134" s="6">
        <v>72508.615749000091</v>
      </c>
      <c r="R134" s="6">
        <v>150926.86488899071</v>
      </c>
      <c r="S134" s="6">
        <v>74859.724984939385</v>
      </c>
      <c r="T134" s="6">
        <v>184777.01149425289</v>
      </c>
      <c r="U134" s="6">
        <v>76553.99509889372</v>
      </c>
      <c r="V134" s="30">
        <v>181081.47126436784</v>
      </c>
      <c r="W134" s="30">
        <v>89816.409747126439</v>
      </c>
      <c r="X134" s="30">
        <v>191946.3595402299</v>
      </c>
      <c r="Y134" s="30">
        <v>94861.110919495288</v>
      </c>
      <c r="Z134" s="30">
        <v>0</v>
      </c>
      <c r="AA134" s="30">
        <v>0</v>
      </c>
      <c r="AB134" s="34">
        <v>0.48009825095447378</v>
      </c>
      <c r="AC134" s="34">
        <v>0.67518812024833963</v>
      </c>
      <c r="AD134" s="34">
        <v>0.38397313590824317</v>
      </c>
      <c r="AE134" s="34">
        <v>0.6</v>
      </c>
      <c r="AF134" s="34">
        <v>0.6</v>
      </c>
      <c r="AG134" s="34">
        <v>0.65</v>
      </c>
      <c r="AH134" s="34">
        <v>0</v>
      </c>
      <c r="AI134" s="37">
        <f t="shared" si="22"/>
        <v>62493.770000000113</v>
      </c>
      <c r="AJ134" s="37">
        <f t="shared" si="23"/>
        <v>75923.155384694328</v>
      </c>
      <c r="AK134" s="37">
        <f t="shared" si="24"/>
        <v>70949.408547201776</v>
      </c>
      <c r="AL134" s="37">
        <f t="shared" si="25"/>
        <v>90556.11893339442</v>
      </c>
      <c r="AM134" s="37">
        <f t="shared" si="26"/>
        <v>108648.8827586207</v>
      </c>
      <c r="AN134" s="37">
        <f t="shared" si="27"/>
        <v>124765.13370114943</v>
      </c>
      <c r="AO134" s="37">
        <f t="shared" si="28"/>
        <v>0</v>
      </c>
    </row>
    <row r="135" spans="1:41" hidden="1" x14ac:dyDescent="0.3">
      <c r="A135" t="str">
        <f t="shared" si="20"/>
        <v>101dic</v>
      </c>
      <c r="B135" t="str">
        <f t="shared" si="21"/>
        <v>ELEGANCIAdic</v>
      </c>
      <c r="C135" s="1" t="s">
        <v>79</v>
      </c>
      <c r="D135" s="1" t="s">
        <v>10</v>
      </c>
      <c r="E135" s="1">
        <v>101</v>
      </c>
      <c r="F135" s="1" t="s">
        <v>119</v>
      </c>
      <c r="G135" s="1" t="s">
        <v>119</v>
      </c>
      <c r="H135" s="1" t="s">
        <v>119</v>
      </c>
      <c r="I135" s="1" t="s">
        <v>126</v>
      </c>
      <c r="J135" s="1" t="s">
        <v>130</v>
      </c>
      <c r="K135" t="s">
        <v>91</v>
      </c>
      <c r="L135" s="6">
        <v>329098.03999999992</v>
      </c>
      <c r="M135" s="6">
        <v>152019.14999999991</v>
      </c>
      <c r="N135" s="6">
        <v>278893.5799999999</v>
      </c>
      <c r="O135" s="6">
        <v>147880.08999999994</v>
      </c>
      <c r="P135" s="6">
        <v>283808.43895000091</v>
      </c>
      <c r="Q135" s="6">
        <v>153276.88779650049</v>
      </c>
      <c r="R135" s="6">
        <v>295532.56556302548</v>
      </c>
      <c r="S135" s="6">
        <v>156041.19461727751</v>
      </c>
      <c r="T135" s="6">
        <v>247261.7816091954</v>
      </c>
      <c r="U135" s="6">
        <v>122649.24665340426</v>
      </c>
      <c r="V135" s="30">
        <v>295532.56556302548</v>
      </c>
      <c r="W135" s="30">
        <v>156041.19461727751</v>
      </c>
      <c r="X135" s="30">
        <v>314742.18232462212</v>
      </c>
      <c r="Y135" s="30">
        <v>164194.17632770652</v>
      </c>
      <c r="Z135" s="30">
        <v>0</v>
      </c>
      <c r="AA135" s="30">
        <v>0</v>
      </c>
      <c r="AB135" s="34">
        <v>0.43195711527178909</v>
      </c>
      <c r="AC135" s="34">
        <v>0.79181986742280763</v>
      </c>
      <c r="AD135" s="34">
        <v>0.52191111344246899</v>
      </c>
      <c r="AE135" s="34">
        <v>0.8</v>
      </c>
      <c r="AF135" s="34">
        <v>0.8</v>
      </c>
      <c r="AG135" s="34">
        <v>0.83</v>
      </c>
      <c r="AH135" s="34">
        <v>0</v>
      </c>
      <c r="AI135" s="37">
        <f t="shared" si="22"/>
        <v>142156.23999999982</v>
      </c>
      <c r="AJ135" s="37">
        <f t="shared" si="23"/>
        <v>220833.47754067212</v>
      </c>
      <c r="AK135" s="37">
        <f t="shared" si="24"/>
        <v>129048.67175142377</v>
      </c>
      <c r="AL135" s="37">
        <f t="shared" si="25"/>
        <v>236426.05245042039</v>
      </c>
      <c r="AM135" s="37">
        <f t="shared" si="26"/>
        <v>236426.05245042039</v>
      </c>
      <c r="AN135" s="37">
        <f t="shared" si="27"/>
        <v>261236.01132943635</v>
      </c>
      <c r="AO135" s="37">
        <f t="shared" si="28"/>
        <v>0</v>
      </c>
    </row>
    <row r="136" spans="1:41" hidden="1" x14ac:dyDescent="0.3">
      <c r="A136" t="str">
        <f t="shared" si="20"/>
        <v>412ene</v>
      </c>
      <c r="B136" t="str">
        <f t="shared" si="21"/>
        <v>EQUIPETROLene</v>
      </c>
      <c r="C136" s="1" t="s">
        <v>79</v>
      </c>
      <c r="D136" s="1" t="s">
        <v>11</v>
      </c>
      <c r="E136" s="1">
        <v>412</v>
      </c>
      <c r="F136" s="1" t="s">
        <v>119</v>
      </c>
      <c r="G136" s="1" t="s">
        <v>119</v>
      </c>
      <c r="H136" s="1" t="s">
        <v>119</v>
      </c>
      <c r="I136" s="1" t="s">
        <v>127</v>
      </c>
      <c r="J136" s="1" t="s">
        <v>133</v>
      </c>
      <c r="K136" t="s">
        <v>80</v>
      </c>
      <c r="L136" s="6">
        <v>42878.869999999995</v>
      </c>
      <c r="M136" s="6">
        <v>21849.509999999995</v>
      </c>
      <c r="N136" s="6">
        <v>35725.599999999991</v>
      </c>
      <c r="O136" s="6">
        <v>18774.97</v>
      </c>
      <c r="P136" s="6">
        <v>52455.215916666675</v>
      </c>
      <c r="Q136" s="6">
        <v>27428.384919833337</v>
      </c>
      <c r="R136" s="6">
        <v>36931.470000000052</v>
      </c>
      <c r="S136" s="6">
        <v>19181.503194349061</v>
      </c>
      <c r="T136" s="6">
        <v>36931.470000000023</v>
      </c>
      <c r="U136" s="6">
        <v>19315.669999999998</v>
      </c>
      <c r="V136" s="30">
        <v>52455.215916666675</v>
      </c>
      <c r="W136" s="30">
        <v>27434.803987631152</v>
      </c>
      <c r="X136" s="30">
        <v>53766.596314583352</v>
      </c>
      <c r="Y136" s="30">
        <v>28719.617608439949</v>
      </c>
      <c r="Z136" s="30">
        <v>39147.557471264336</v>
      </c>
      <c r="AA136" s="30">
        <v>21589.208605752945</v>
      </c>
      <c r="AB136" s="34">
        <v>0.71675396296590854</v>
      </c>
      <c r="AC136" s="34">
        <v>0.81164129085024406</v>
      </c>
      <c r="AD136" s="34">
        <v>0.86408847293878965</v>
      </c>
      <c r="AE136" s="34">
        <v>0.86408847293878943</v>
      </c>
      <c r="AF136" s="34">
        <v>0.86408847293878943</v>
      </c>
      <c r="AG136" s="34">
        <v>0.88</v>
      </c>
      <c r="AH136" s="34">
        <v>0.95644610172975064</v>
      </c>
      <c r="AI136" s="37">
        <f t="shared" si="22"/>
        <v>30733.600000000002</v>
      </c>
      <c r="AJ136" s="37">
        <f t="shared" si="23"/>
        <v>28996.372100399472</v>
      </c>
      <c r="AK136" s="37">
        <f t="shared" si="24"/>
        <v>31912.057515684741</v>
      </c>
      <c r="AL136" s="37">
        <f t="shared" si="25"/>
        <v>31912.057515684759</v>
      </c>
      <c r="AM136" s="37">
        <f t="shared" si="26"/>
        <v>45325.947419106989</v>
      </c>
      <c r="AN136" s="37">
        <f t="shared" si="27"/>
        <v>47314.604756833352</v>
      </c>
      <c r="AO136" s="37">
        <f t="shared" si="28"/>
        <v>37442.52873563215</v>
      </c>
    </row>
    <row r="137" spans="1:41" hidden="1" x14ac:dyDescent="0.3">
      <c r="A137" t="str">
        <f t="shared" si="20"/>
        <v>412feb</v>
      </c>
      <c r="B137" t="str">
        <f t="shared" si="21"/>
        <v>EQUIPETROLfeb</v>
      </c>
      <c r="C137" s="1" t="s">
        <v>79</v>
      </c>
      <c r="D137" s="1" t="s">
        <v>11</v>
      </c>
      <c r="E137" s="1">
        <v>412</v>
      </c>
      <c r="F137" s="1" t="s">
        <v>119</v>
      </c>
      <c r="G137" s="1" t="s">
        <v>119</v>
      </c>
      <c r="H137" s="1" t="s">
        <v>119</v>
      </c>
      <c r="I137" s="1" t="s">
        <v>127</v>
      </c>
      <c r="J137" s="1" t="s">
        <v>133</v>
      </c>
      <c r="K137" t="s">
        <v>81</v>
      </c>
      <c r="L137" s="6">
        <v>90872.83</v>
      </c>
      <c r="M137" s="6">
        <v>39185.770000000004</v>
      </c>
      <c r="N137" s="6">
        <v>62284.37999999999</v>
      </c>
      <c r="O137" s="6">
        <v>29304.829999999991</v>
      </c>
      <c r="P137" s="6">
        <v>94779.165800000177</v>
      </c>
      <c r="Q137" s="6">
        <v>41414.682372000083</v>
      </c>
      <c r="R137" s="6">
        <v>76323.640000000116</v>
      </c>
      <c r="S137" s="6">
        <v>35061.819761756116</v>
      </c>
      <c r="T137" s="6">
        <v>76323.64000000013</v>
      </c>
      <c r="U137" s="6">
        <v>34735.830000000104</v>
      </c>
      <c r="V137" s="30">
        <v>94779.165800000177</v>
      </c>
      <c r="W137" s="30">
        <v>43135.167436597942</v>
      </c>
      <c r="X137" s="30">
        <v>94779.165800000177</v>
      </c>
      <c r="Y137" s="30">
        <v>43253.615999867732</v>
      </c>
      <c r="Z137" s="30">
        <v>79645.545977011512</v>
      </c>
      <c r="AA137" s="30">
        <v>36979.378179513209</v>
      </c>
      <c r="AB137" s="34">
        <v>0.396053033673542</v>
      </c>
      <c r="AC137" s="34">
        <v>0.55803129465410939</v>
      </c>
      <c r="AD137" s="34">
        <v>0.32486286209406767</v>
      </c>
      <c r="AE137" s="34">
        <v>0.32486286209406745</v>
      </c>
      <c r="AF137" s="34">
        <v>0.32486286209406745</v>
      </c>
      <c r="AG137" s="34">
        <v>0.39999999999999997</v>
      </c>
      <c r="AH137" s="34">
        <v>0.4222371751275853</v>
      </c>
      <c r="AI137" s="37">
        <f t="shared" si="22"/>
        <v>35990.460000000057</v>
      </c>
      <c r="AJ137" s="37">
        <f t="shared" si="23"/>
        <v>34756.633208128515</v>
      </c>
      <c r="AK137" s="37">
        <f t="shared" si="24"/>
        <v>24794.716135837309</v>
      </c>
      <c r="AL137" s="37">
        <f t="shared" si="25"/>
        <v>24794.716135837287</v>
      </c>
      <c r="AM137" s="37">
        <f t="shared" si="26"/>
        <v>30790.23106867621</v>
      </c>
      <c r="AN137" s="37">
        <f t="shared" si="27"/>
        <v>37911.666320000069</v>
      </c>
      <c r="AO137" s="37">
        <f t="shared" si="28"/>
        <v>33629.310344827558</v>
      </c>
    </row>
    <row r="138" spans="1:41" hidden="1" x14ac:dyDescent="0.3">
      <c r="A138" t="str">
        <f t="shared" si="20"/>
        <v>412mar</v>
      </c>
      <c r="B138" t="str">
        <f t="shared" si="21"/>
        <v>EQUIPETROLmar</v>
      </c>
      <c r="C138" s="1" t="s">
        <v>79</v>
      </c>
      <c r="D138" s="1" t="s">
        <v>11</v>
      </c>
      <c r="E138" s="1">
        <v>412</v>
      </c>
      <c r="F138" s="1" t="s">
        <v>119</v>
      </c>
      <c r="G138" s="1" t="s">
        <v>119</v>
      </c>
      <c r="H138" s="1" t="s">
        <v>119</v>
      </c>
      <c r="I138" s="1" t="s">
        <v>127</v>
      </c>
      <c r="J138" s="1" t="s">
        <v>133</v>
      </c>
      <c r="K138" t="s">
        <v>82</v>
      </c>
      <c r="L138" s="6">
        <v>57294.55999999999</v>
      </c>
      <c r="M138" s="6">
        <v>27126.299999999992</v>
      </c>
      <c r="N138" s="6">
        <v>95374.809999999983</v>
      </c>
      <c r="O138" s="6">
        <v>43503.409999999982</v>
      </c>
      <c r="P138" s="6">
        <v>58293.049609999995</v>
      </c>
      <c r="Q138" s="6">
        <v>28283.778563799999</v>
      </c>
      <c r="R138" s="6">
        <v>52417.840000000026</v>
      </c>
      <c r="S138" s="6">
        <v>26084.624829164502</v>
      </c>
      <c r="T138" s="6">
        <v>52417.840000000011</v>
      </c>
      <c r="U138" s="6">
        <v>26012.720000000023</v>
      </c>
      <c r="V138" s="30">
        <v>52417.84000000004</v>
      </c>
      <c r="W138" s="30">
        <v>26012.720000000038</v>
      </c>
      <c r="X138" s="30">
        <v>53728.286000000044</v>
      </c>
      <c r="Y138" s="30">
        <v>28437.9288702337</v>
      </c>
      <c r="Z138" s="30">
        <v>58210.066177626737</v>
      </c>
      <c r="AA138" s="30">
        <v>30152.814280010651</v>
      </c>
      <c r="AB138" s="34">
        <v>0.49766365253524969</v>
      </c>
      <c r="AC138" s="34">
        <v>0.49751993127255717</v>
      </c>
      <c r="AD138" s="34">
        <v>0.59889589529231035</v>
      </c>
      <c r="AE138" s="34">
        <v>0.59889589529231002</v>
      </c>
      <c r="AF138" s="34">
        <v>0.59889589529231002</v>
      </c>
      <c r="AG138" s="34">
        <v>0.85000000000000009</v>
      </c>
      <c r="AH138" s="34">
        <v>0.73826226584327326</v>
      </c>
      <c r="AI138" s="37">
        <f t="shared" si="22"/>
        <v>28513.420000000009</v>
      </c>
      <c r="AJ138" s="37">
        <f t="shared" si="23"/>
        <v>47450.868916333187</v>
      </c>
      <c r="AK138" s="37">
        <f t="shared" si="24"/>
        <v>31392.829216089085</v>
      </c>
      <c r="AL138" s="37">
        <f t="shared" si="25"/>
        <v>31392.829216089074</v>
      </c>
      <c r="AM138" s="37">
        <f t="shared" si="26"/>
        <v>31392.829216089085</v>
      </c>
      <c r="AN138" s="37">
        <f t="shared" si="27"/>
        <v>45669.043100000039</v>
      </c>
      <c r="AO138" s="37">
        <f t="shared" si="28"/>
        <v>42974.295351181601</v>
      </c>
    </row>
    <row r="139" spans="1:41" hidden="1" x14ac:dyDescent="0.3">
      <c r="A139" t="str">
        <f t="shared" si="20"/>
        <v>412abr</v>
      </c>
      <c r="B139" t="str">
        <f t="shared" si="21"/>
        <v>EQUIPETROLabr</v>
      </c>
      <c r="C139" s="1" t="s">
        <v>79</v>
      </c>
      <c r="D139" s="1" t="s">
        <v>11</v>
      </c>
      <c r="E139" s="1">
        <v>412</v>
      </c>
      <c r="F139" s="1" t="s">
        <v>119</v>
      </c>
      <c r="G139" s="1" t="s">
        <v>119</v>
      </c>
      <c r="H139" s="1" t="s">
        <v>119</v>
      </c>
      <c r="I139" s="1" t="s">
        <v>127</v>
      </c>
      <c r="J139" s="1" t="s">
        <v>133</v>
      </c>
      <c r="K139" t="s">
        <v>83</v>
      </c>
      <c r="L139" s="6">
        <v>46334.44</v>
      </c>
      <c r="M139" s="6">
        <v>23602.98</v>
      </c>
      <c r="N139" s="6">
        <v>45970.689999999988</v>
      </c>
      <c r="O139" s="6">
        <v>25035.099999999984</v>
      </c>
      <c r="P139" s="6">
        <v>53085.621749999984</v>
      </c>
      <c r="Q139" s="6">
        <v>28963.448720399992</v>
      </c>
      <c r="R139" s="6">
        <v>51189.710000000057</v>
      </c>
      <c r="S139" s="6">
        <v>27560.084836635924</v>
      </c>
      <c r="T139" s="6">
        <v>51189.710000000036</v>
      </c>
      <c r="U139" s="6">
        <v>27554.050000000025</v>
      </c>
      <c r="V139" s="30">
        <v>51189.710000000065</v>
      </c>
      <c r="W139" s="30">
        <v>27554.050000000039</v>
      </c>
      <c r="X139" s="30">
        <v>52469.452750000077</v>
      </c>
      <c r="Y139" s="30">
        <v>28026.743785069884</v>
      </c>
      <c r="Z139" s="30">
        <v>0</v>
      </c>
      <c r="AA139" s="30">
        <v>0</v>
      </c>
      <c r="AB139" s="34">
        <v>0.6838187749760225</v>
      </c>
      <c r="AC139" s="34">
        <v>0.91497817752415023</v>
      </c>
      <c r="AD139" s="34">
        <v>0.84803383292157664</v>
      </c>
      <c r="AE139" s="34">
        <v>0.84803383292157619</v>
      </c>
      <c r="AF139" s="34">
        <v>0.84803383292157619</v>
      </c>
      <c r="AG139" s="34">
        <v>0.88000000000000012</v>
      </c>
      <c r="AH139" s="34">
        <v>0</v>
      </c>
      <c r="AI139" s="37">
        <f t="shared" si="22"/>
        <v>31684.360000000019</v>
      </c>
      <c r="AJ139" s="37">
        <f t="shared" si="23"/>
        <v>42062.17815572767</v>
      </c>
      <c r="AK139" s="37">
        <f t="shared" si="24"/>
        <v>43410.605977443993</v>
      </c>
      <c r="AL139" s="37">
        <f t="shared" si="25"/>
        <v>43410.605977443985</v>
      </c>
      <c r="AM139" s="37">
        <f t="shared" si="26"/>
        <v>43410.605977443993</v>
      </c>
      <c r="AN139" s="37">
        <f t="shared" si="27"/>
        <v>46173.118420000072</v>
      </c>
      <c r="AO139" s="37">
        <f t="shared" si="28"/>
        <v>0</v>
      </c>
    </row>
    <row r="140" spans="1:41" hidden="1" x14ac:dyDescent="0.3">
      <c r="A140" t="str">
        <f t="shared" si="20"/>
        <v>412may</v>
      </c>
      <c r="B140" t="str">
        <f t="shared" si="21"/>
        <v>EQUIPETROLmay</v>
      </c>
      <c r="C140" s="1" t="s">
        <v>79</v>
      </c>
      <c r="D140" s="1" t="s">
        <v>11</v>
      </c>
      <c r="E140" s="1">
        <v>412</v>
      </c>
      <c r="F140" s="1" t="s">
        <v>119</v>
      </c>
      <c r="G140" s="1" t="s">
        <v>119</v>
      </c>
      <c r="H140" s="1" t="s">
        <v>119</v>
      </c>
      <c r="I140" s="1" t="s">
        <v>127</v>
      </c>
      <c r="J140" s="1" t="s">
        <v>133</v>
      </c>
      <c r="K140" t="s">
        <v>84</v>
      </c>
      <c r="L140" s="6">
        <v>44216.1</v>
      </c>
      <c r="M140" s="6">
        <v>23106.629999999994</v>
      </c>
      <c r="N140" s="6">
        <v>54336.32999999998</v>
      </c>
      <c r="O140" s="6">
        <v>29261.269999999979</v>
      </c>
      <c r="P140" s="6">
        <v>54487.133614999992</v>
      </c>
      <c r="Q140" s="6">
        <v>27313.282074300005</v>
      </c>
      <c r="R140" s="6">
        <v>52432.580000000031</v>
      </c>
      <c r="S140" s="6">
        <v>28805.56289512966</v>
      </c>
      <c r="T140" s="6">
        <v>52432.58</v>
      </c>
      <c r="U140" s="6">
        <v>28834.480000000007</v>
      </c>
      <c r="V140" s="30">
        <v>52432.58</v>
      </c>
      <c r="W140" s="30">
        <v>28834.480000000003</v>
      </c>
      <c r="X140" s="30">
        <v>53743.394500000009</v>
      </c>
      <c r="Y140" s="30">
        <v>28707.224277109155</v>
      </c>
      <c r="Z140" s="30">
        <v>0</v>
      </c>
      <c r="AA140" s="30">
        <v>0</v>
      </c>
      <c r="AB140" s="34">
        <v>0.75110808054079858</v>
      </c>
      <c r="AC140" s="34">
        <v>0.89682602371784292</v>
      </c>
      <c r="AD140" s="34">
        <v>0.92712124108678373</v>
      </c>
      <c r="AE140" s="34">
        <v>0.92712124108678384</v>
      </c>
      <c r="AF140" s="34">
        <v>0.92712124108678384</v>
      </c>
      <c r="AG140" s="34">
        <v>0.88</v>
      </c>
      <c r="AH140" s="34">
        <v>0</v>
      </c>
      <c r="AI140" s="37">
        <f t="shared" si="22"/>
        <v>33211.07</v>
      </c>
      <c r="AJ140" s="37">
        <f t="shared" si="23"/>
        <v>48730.234777320526</v>
      </c>
      <c r="AK140" s="37">
        <f t="shared" si="24"/>
        <v>48611.358642982079</v>
      </c>
      <c r="AL140" s="37">
        <f t="shared" si="25"/>
        <v>48611.358642982108</v>
      </c>
      <c r="AM140" s="37">
        <f t="shared" si="26"/>
        <v>48611.358642982079</v>
      </c>
      <c r="AN140" s="37">
        <f t="shared" si="27"/>
        <v>47294.187160000009</v>
      </c>
      <c r="AO140" s="37">
        <f t="shared" si="28"/>
        <v>0</v>
      </c>
    </row>
    <row r="141" spans="1:41" hidden="1" x14ac:dyDescent="0.3">
      <c r="A141" t="str">
        <f t="shared" si="20"/>
        <v>412jun</v>
      </c>
      <c r="B141" t="str">
        <f t="shared" si="21"/>
        <v>EQUIPETROLjun</v>
      </c>
      <c r="C141" s="1" t="s">
        <v>79</v>
      </c>
      <c r="D141" s="1" t="s">
        <v>11</v>
      </c>
      <c r="E141" s="1">
        <v>412</v>
      </c>
      <c r="F141" s="1" t="s">
        <v>119</v>
      </c>
      <c r="G141" s="1" t="s">
        <v>119</v>
      </c>
      <c r="H141" s="1" t="s">
        <v>119</v>
      </c>
      <c r="I141" s="1" t="s">
        <v>127</v>
      </c>
      <c r="J141" s="1" t="s">
        <v>133</v>
      </c>
      <c r="K141" t="s">
        <v>85</v>
      </c>
      <c r="L141" s="6">
        <v>38408.089999999989</v>
      </c>
      <c r="M141" s="6">
        <v>19445.339999999993</v>
      </c>
      <c r="N141" s="6">
        <v>53099.119999999981</v>
      </c>
      <c r="O141" s="6">
        <v>29011.249999999996</v>
      </c>
      <c r="P141" s="6">
        <v>48032.612124999978</v>
      </c>
      <c r="Q141" s="6">
        <v>26276.565301999995</v>
      </c>
      <c r="R141" s="6">
        <v>50943.139999999992</v>
      </c>
      <c r="S141" s="6">
        <v>28473.130313505335</v>
      </c>
      <c r="T141" s="6">
        <v>50943.139999999978</v>
      </c>
      <c r="U141" s="6">
        <v>28475.159999999985</v>
      </c>
      <c r="V141" s="30">
        <v>50943.139999999978</v>
      </c>
      <c r="W141" s="30">
        <v>28475.159999999985</v>
      </c>
      <c r="X141" s="30">
        <v>52216.718499999966</v>
      </c>
      <c r="Y141" s="30">
        <v>27891.744891442868</v>
      </c>
      <c r="Z141" s="30">
        <v>0</v>
      </c>
      <c r="AA141" s="30">
        <v>0</v>
      </c>
      <c r="AB141" s="34">
        <v>0.76163381204324465</v>
      </c>
      <c r="AC141" s="34">
        <v>0.91191998650062867</v>
      </c>
      <c r="AD141" s="34">
        <v>0.94348542298784355</v>
      </c>
      <c r="AE141" s="34">
        <v>0.94348542298784366</v>
      </c>
      <c r="AF141" s="34">
        <v>0.94348542298784366</v>
      </c>
      <c r="AG141" s="34">
        <v>0.88</v>
      </c>
      <c r="AH141" s="34">
        <v>0</v>
      </c>
      <c r="AI141" s="37">
        <f t="shared" si="22"/>
        <v>29252.900000000016</v>
      </c>
      <c r="AJ141" s="37">
        <f t="shared" si="23"/>
        <v>48422.148793595246</v>
      </c>
      <c r="AK141" s="37">
        <f t="shared" si="24"/>
        <v>48064.109991228914</v>
      </c>
      <c r="AL141" s="37">
        <f t="shared" si="25"/>
        <v>48064.109991228928</v>
      </c>
      <c r="AM141" s="37">
        <f t="shared" si="26"/>
        <v>48064.109991228914</v>
      </c>
      <c r="AN141" s="37">
        <f t="shared" si="27"/>
        <v>45950.712279999971</v>
      </c>
      <c r="AO141" s="37">
        <f t="shared" si="28"/>
        <v>0</v>
      </c>
    </row>
    <row r="142" spans="1:41" hidden="1" x14ac:dyDescent="0.3">
      <c r="A142" t="str">
        <f t="shared" si="20"/>
        <v>412jul</v>
      </c>
      <c r="B142" t="str">
        <f t="shared" si="21"/>
        <v>EQUIPETROLjul</v>
      </c>
      <c r="C142" s="1" t="s">
        <v>79</v>
      </c>
      <c r="D142" s="1" t="s">
        <v>11</v>
      </c>
      <c r="E142" s="1">
        <v>412</v>
      </c>
      <c r="F142" s="1" t="s">
        <v>119</v>
      </c>
      <c r="G142" s="1" t="s">
        <v>119</v>
      </c>
      <c r="H142" s="1" t="s">
        <v>119</v>
      </c>
      <c r="I142" s="1" t="s">
        <v>127</v>
      </c>
      <c r="J142" s="1" t="s">
        <v>133</v>
      </c>
      <c r="K142" t="s">
        <v>86</v>
      </c>
      <c r="L142" s="6">
        <v>37061.47</v>
      </c>
      <c r="M142" s="6">
        <v>19920.760000000006</v>
      </c>
      <c r="N142" s="6">
        <v>48348.689999999995</v>
      </c>
      <c r="O142" s="6">
        <v>26369.229999999985</v>
      </c>
      <c r="P142" s="6">
        <v>50820.215449999982</v>
      </c>
      <c r="Q142" s="6">
        <v>27828.610882999994</v>
      </c>
      <c r="R142" s="6">
        <v>45723.619999999966</v>
      </c>
      <c r="S142" s="6">
        <v>25532.819999999963</v>
      </c>
      <c r="T142" s="6">
        <v>45723.619999999966</v>
      </c>
      <c r="U142" s="6">
        <v>25532.819999999967</v>
      </c>
      <c r="V142" s="30">
        <v>45723.620000000054</v>
      </c>
      <c r="W142" s="30">
        <v>25532.820000000014</v>
      </c>
      <c r="X142" s="30">
        <v>46866.710500000052</v>
      </c>
      <c r="Y142" s="30">
        <v>25034.019193816424</v>
      </c>
      <c r="Z142" s="30">
        <v>0</v>
      </c>
      <c r="AA142" s="30">
        <v>0</v>
      </c>
      <c r="AB142" s="34">
        <v>0.81742359382938679</v>
      </c>
      <c r="AC142" s="34">
        <v>0.92959100768643554</v>
      </c>
      <c r="AD142" s="34">
        <v>0.93350198431357789</v>
      </c>
      <c r="AE142" s="34">
        <v>0.93350198431357789</v>
      </c>
      <c r="AF142" s="34">
        <v>0.93350198431357789</v>
      </c>
      <c r="AG142" s="34">
        <v>0.88</v>
      </c>
      <c r="AH142" s="34">
        <v>0</v>
      </c>
      <c r="AI142" s="37">
        <f t="shared" si="22"/>
        <v>30294.920000000006</v>
      </c>
      <c r="AJ142" s="37">
        <f t="shared" si="23"/>
        <v>44944.507457419088</v>
      </c>
      <c r="AK142" s="37">
        <f t="shared" si="24"/>
        <v>42683.089999999967</v>
      </c>
      <c r="AL142" s="37">
        <f t="shared" si="25"/>
        <v>42683.089999999967</v>
      </c>
      <c r="AM142" s="37">
        <f t="shared" si="26"/>
        <v>42683.090000000047</v>
      </c>
      <c r="AN142" s="37">
        <f t="shared" si="27"/>
        <v>41242.705240000047</v>
      </c>
      <c r="AO142" s="37">
        <f t="shared" si="28"/>
        <v>0</v>
      </c>
    </row>
    <row r="143" spans="1:41" hidden="1" x14ac:dyDescent="0.3">
      <c r="A143" t="str">
        <f t="shared" si="20"/>
        <v>412ago</v>
      </c>
      <c r="B143" t="str">
        <f t="shared" si="21"/>
        <v>EQUIPETROLago</v>
      </c>
      <c r="C143" s="1" t="s">
        <v>79</v>
      </c>
      <c r="D143" s="1" t="s">
        <v>11</v>
      </c>
      <c r="E143" s="1">
        <v>412</v>
      </c>
      <c r="F143" s="1" t="s">
        <v>119</v>
      </c>
      <c r="G143" s="1" t="s">
        <v>119</v>
      </c>
      <c r="H143" s="1" t="s">
        <v>119</v>
      </c>
      <c r="I143" s="1" t="s">
        <v>127</v>
      </c>
      <c r="J143" s="1" t="s">
        <v>133</v>
      </c>
      <c r="K143" t="s">
        <v>87</v>
      </c>
      <c r="L143" s="6">
        <v>122414.06</v>
      </c>
      <c r="M143" s="6">
        <v>46406.009999999987</v>
      </c>
      <c r="N143" s="6">
        <v>87056.56</v>
      </c>
      <c r="O143" s="6">
        <v>37098.409999999989</v>
      </c>
      <c r="P143" s="6">
        <v>93525.56269999998</v>
      </c>
      <c r="Q143" s="6">
        <v>40470.572985500003</v>
      </c>
      <c r="R143" s="6">
        <v>86867.540054057346</v>
      </c>
      <c r="S143" s="6">
        <v>38360.705687871727</v>
      </c>
      <c r="T143" s="6">
        <v>115859.30999999998</v>
      </c>
      <c r="U143" s="6">
        <v>52655.509999999966</v>
      </c>
      <c r="V143" s="30">
        <v>115859.31000000011</v>
      </c>
      <c r="W143" s="30">
        <v>51163.471296000054</v>
      </c>
      <c r="X143" s="30">
        <v>117597.19965000011</v>
      </c>
      <c r="Y143" s="30">
        <v>53666.901089362364</v>
      </c>
      <c r="Z143" s="30">
        <v>0</v>
      </c>
      <c r="AA143" s="30">
        <v>0</v>
      </c>
      <c r="AB143" s="34">
        <v>0.31840705226180693</v>
      </c>
      <c r="AC143" s="34">
        <v>0.37585030080124437</v>
      </c>
      <c r="AD143" s="34">
        <v>0.39539023665858231</v>
      </c>
      <c r="AE143" s="34">
        <v>0.37</v>
      </c>
      <c r="AF143" s="34">
        <v>0.37</v>
      </c>
      <c r="AG143" s="34">
        <v>0.4</v>
      </c>
      <c r="AH143" s="34">
        <v>0</v>
      </c>
      <c r="AI143" s="37">
        <f t="shared" si="22"/>
        <v>38977.499999999971</v>
      </c>
      <c r="AJ143" s="37">
        <f t="shared" si="23"/>
        <v>32720.234262721577</v>
      </c>
      <c r="AK143" s="37">
        <f t="shared" si="24"/>
        <v>45809.640000000043</v>
      </c>
      <c r="AL143" s="37">
        <f t="shared" si="25"/>
        <v>32140.989820001218</v>
      </c>
      <c r="AM143" s="37">
        <f t="shared" si="26"/>
        <v>42867.944700000044</v>
      </c>
      <c r="AN143" s="37">
        <f t="shared" si="27"/>
        <v>47038.879860000045</v>
      </c>
      <c r="AO143" s="37">
        <f t="shared" si="28"/>
        <v>0</v>
      </c>
    </row>
    <row r="144" spans="1:41" hidden="1" x14ac:dyDescent="0.3">
      <c r="A144" t="str">
        <f t="shared" si="20"/>
        <v>412sep</v>
      </c>
      <c r="B144" t="str">
        <f t="shared" si="21"/>
        <v>EQUIPETROLsep</v>
      </c>
      <c r="C144" s="1" t="s">
        <v>79</v>
      </c>
      <c r="D144" s="1" t="s">
        <v>11</v>
      </c>
      <c r="E144" s="1">
        <v>412</v>
      </c>
      <c r="F144" s="1" t="s">
        <v>119</v>
      </c>
      <c r="G144" s="1" t="s">
        <v>119</v>
      </c>
      <c r="H144" s="1" t="s">
        <v>119</v>
      </c>
      <c r="I144" s="1" t="s">
        <v>127</v>
      </c>
      <c r="J144" s="1" t="s">
        <v>133</v>
      </c>
      <c r="K144" t="s">
        <v>88</v>
      </c>
      <c r="L144" s="6">
        <v>33048.299999999996</v>
      </c>
      <c r="M144" s="6">
        <v>16869.45</v>
      </c>
      <c r="N144" s="6">
        <v>52120.479999999996</v>
      </c>
      <c r="O144" s="6">
        <v>26383.359999999997</v>
      </c>
      <c r="P144" s="6">
        <v>48588.145399999979</v>
      </c>
      <c r="Q144" s="6">
        <v>25764.400963999993</v>
      </c>
      <c r="R144" s="6">
        <v>49064.309224919976</v>
      </c>
      <c r="S144" s="6">
        <v>26004.083889207588</v>
      </c>
      <c r="T144" s="6">
        <v>44763.28999999995</v>
      </c>
      <c r="U144" s="6">
        <v>24134.059999999954</v>
      </c>
      <c r="V144" s="30">
        <v>44763.28999999995</v>
      </c>
      <c r="W144" s="30">
        <v>24134.059999999954</v>
      </c>
      <c r="X144" s="30">
        <v>45882.372249999949</v>
      </c>
      <c r="Y144" s="30">
        <v>24285.152860507809</v>
      </c>
      <c r="Z144" s="30">
        <v>0</v>
      </c>
      <c r="AA144" s="30">
        <v>0</v>
      </c>
      <c r="AB144" s="34">
        <v>0.68765685375647179</v>
      </c>
      <c r="AC144" s="34">
        <v>0.70440330878168134</v>
      </c>
      <c r="AD144" s="34">
        <v>0.86053773080575591</v>
      </c>
      <c r="AE144" s="34">
        <v>0.79999999999999993</v>
      </c>
      <c r="AF144" s="34">
        <v>0.79999999999999993</v>
      </c>
      <c r="AG144" s="34">
        <v>0.85</v>
      </c>
      <c r="AH144" s="34">
        <v>0</v>
      </c>
      <c r="AI144" s="37">
        <f t="shared" si="22"/>
        <v>22725.890000000003</v>
      </c>
      <c r="AJ144" s="37">
        <f t="shared" si="23"/>
        <v>36713.838567289444</v>
      </c>
      <c r="AK144" s="37">
        <f t="shared" si="24"/>
        <v>38520.499999999942</v>
      </c>
      <c r="AL144" s="37">
        <f t="shared" si="25"/>
        <v>39251.447379935977</v>
      </c>
      <c r="AM144" s="37">
        <f t="shared" si="26"/>
        <v>35810.631999999954</v>
      </c>
      <c r="AN144" s="37">
        <f t="shared" si="27"/>
        <v>39000.016412499957</v>
      </c>
      <c r="AO144" s="37">
        <f t="shared" si="28"/>
        <v>0</v>
      </c>
    </row>
    <row r="145" spans="1:41" hidden="1" x14ac:dyDescent="0.3">
      <c r="A145" t="str">
        <f t="shared" si="20"/>
        <v>412oct</v>
      </c>
      <c r="B145" t="str">
        <f t="shared" si="21"/>
        <v>EQUIPETROLoct</v>
      </c>
      <c r="C145" s="1" t="s">
        <v>79</v>
      </c>
      <c r="D145" s="1" t="s">
        <v>11</v>
      </c>
      <c r="E145" s="1">
        <v>412</v>
      </c>
      <c r="F145" s="1" t="s">
        <v>119</v>
      </c>
      <c r="G145" s="1" t="s">
        <v>119</v>
      </c>
      <c r="H145" s="1" t="s">
        <v>119</v>
      </c>
      <c r="I145" s="1" t="s">
        <v>127</v>
      </c>
      <c r="J145" s="1" t="s">
        <v>133</v>
      </c>
      <c r="K145" t="s">
        <v>89</v>
      </c>
      <c r="L145" s="6">
        <v>27908.229999999996</v>
      </c>
      <c r="M145" s="6">
        <v>14769.92</v>
      </c>
      <c r="N145" s="6">
        <v>43521.719999999994</v>
      </c>
      <c r="O145" s="6">
        <v>23701.309999999994</v>
      </c>
      <c r="P145" s="6">
        <v>51520.716199999988</v>
      </c>
      <c r="Q145" s="6">
        <v>27977.207693499997</v>
      </c>
      <c r="R145" s="6">
        <v>52025.619218759988</v>
      </c>
      <c r="S145" s="6">
        <v>28405.988093442957</v>
      </c>
      <c r="T145" s="6">
        <v>34183.26999999996</v>
      </c>
      <c r="U145" s="6">
        <v>18212.619999999981</v>
      </c>
      <c r="V145" s="30">
        <v>52025.619218759988</v>
      </c>
      <c r="W145" s="30">
        <v>28405.988093442957</v>
      </c>
      <c r="X145" s="30">
        <v>52025.619218759995</v>
      </c>
      <c r="Y145" s="30">
        <v>27789.668534398646</v>
      </c>
      <c r="Z145" s="30">
        <v>0</v>
      </c>
      <c r="AA145" s="30">
        <v>0</v>
      </c>
      <c r="AB145" s="34">
        <v>0.82142149466304404</v>
      </c>
      <c r="AC145" s="34">
        <v>0.85958234217749319</v>
      </c>
      <c r="AD145" s="34">
        <v>0.79675818024431255</v>
      </c>
      <c r="AE145" s="34">
        <v>0.9</v>
      </c>
      <c r="AF145" s="34">
        <v>0.9</v>
      </c>
      <c r="AG145" s="34">
        <v>0.88</v>
      </c>
      <c r="AH145" s="34">
        <v>0</v>
      </c>
      <c r="AI145" s="37">
        <f t="shared" si="22"/>
        <v>22924.420000000002</v>
      </c>
      <c r="AJ145" s="37">
        <f t="shared" si="23"/>
        <v>37410.502013193043</v>
      </c>
      <c r="AK145" s="37">
        <f t="shared" si="24"/>
        <v>27235.79999999997</v>
      </c>
      <c r="AL145" s="37">
        <f t="shared" si="25"/>
        <v>46823.057296883992</v>
      </c>
      <c r="AM145" s="37">
        <f t="shared" si="26"/>
        <v>46823.057296883992</v>
      </c>
      <c r="AN145" s="37">
        <f t="shared" si="27"/>
        <v>45782.544912508798</v>
      </c>
      <c r="AO145" s="37">
        <f t="shared" si="28"/>
        <v>0</v>
      </c>
    </row>
    <row r="146" spans="1:41" hidden="1" x14ac:dyDescent="0.3">
      <c r="A146" t="str">
        <f t="shared" si="20"/>
        <v>412nov</v>
      </c>
      <c r="B146" t="str">
        <f t="shared" si="21"/>
        <v>EQUIPETROLnov</v>
      </c>
      <c r="C146" s="1" t="s">
        <v>79</v>
      </c>
      <c r="D146" s="1" t="s">
        <v>11</v>
      </c>
      <c r="E146" s="1">
        <v>412</v>
      </c>
      <c r="F146" s="1" t="s">
        <v>119</v>
      </c>
      <c r="G146" s="1" t="s">
        <v>119</v>
      </c>
      <c r="H146" s="1" t="s">
        <v>119</v>
      </c>
      <c r="I146" s="1" t="s">
        <v>127</v>
      </c>
      <c r="J146" s="1" t="s">
        <v>133</v>
      </c>
      <c r="K146" t="s">
        <v>90</v>
      </c>
      <c r="L146" s="6">
        <v>31650.990000000005</v>
      </c>
      <c r="M146" s="6">
        <v>15439.99</v>
      </c>
      <c r="N146" s="6">
        <v>38497.149999999994</v>
      </c>
      <c r="O146" s="6">
        <v>19926.459999999995</v>
      </c>
      <c r="P146" s="6">
        <v>63918.263350000052</v>
      </c>
      <c r="Q146" s="6">
        <v>31911.605954250022</v>
      </c>
      <c r="R146" s="6">
        <v>64544.662330830055</v>
      </c>
      <c r="S146" s="6">
        <v>30774.894999339769</v>
      </c>
      <c r="T146" s="6">
        <v>25451.005747126434</v>
      </c>
      <c r="U146" s="6">
        <v>10019.920212443481</v>
      </c>
      <c r="V146" s="30">
        <v>64544.662330830055</v>
      </c>
      <c r="W146" s="30">
        <v>30774.894999339769</v>
      </c>
      <c r="X146" s="30">
        <v>61317.429214288568</v>
      </c>
      <c r="Y146" s="30">
        <v>29970.437472643342</v>
      </c>
      <c r="Z146" s="30">
        <v>0</v>
      </c>
      <c r="AA146" s="30">
        <v>0</v>
      </c>
      <c r="AB146" s="34">
        <v>0.52147373589262125</v>
      </c>
      <c r="AC146" s="34">
        <v>0.61633569089478635</v>
      </c>
      <c r="AD146" s="34">
        <v>0.39539023665858231</v>
      </c>
      <c r="AE146" s="34">
        <v>0.47999999999999993</v>
      </c>
      <c r="AF146" s="34">
        <v>0.47999999999999993</v>
      </c>
      <c r="AG146" s="34">
        <v>0.6</v>
      </c>
      <c r="AH146" s="34">
        <v>0</v>
      </c>
      <c r="AI146" s="37">
        <f t="shared" si="22"/>
        <v>16505.16</v>
      </c>
      <c r="AJ146" s="37">
        <f t="shared" si="23"/>
        <v>23727.167542730222</v>
      </c>
      <c r="AK146" s="37">
        <f t="shared" si="24"/>
        <v>10063.07918555526</v>
      </c>
      <c r="AL146" s="37">
        <f t="shared" si="25"/>
        <v>30981.437918798423</v>
      </c>
      <c r="AM146" s="37">
        <f t="shared" si="26"/>
        <v>30981.437918798423</v>
      </c>
      <c r="AN146" s="37">
        <f t="shared" si="27"/>
        <v>36790.457528573141</v>
      </c>
      <c r="AO146" s="37">
        <f t="shared" si="28"/>
        <v>0</v>
      </c>
    </row>
    <row r="147" spans="1:41" hidden="1" x14ac:dyDescent="0.3">
      <c r="A147" t="str">
        <f t="shared" si="20"/>
        <v>412dic</v>
      </c>
      <c r="B147" t="str">
        <f t="shared" si="21"/>
        <v>EQUIPETROLdic</v>
      </c>
      <c r="C147" s="1" t="s">
        <v>79</v>
      </c>
      <c r="D147" s="1" t="s">
        <v>11</v>
      </c>
      <c r="E147" s="1">
        <v>412</v>
      </c>
      <c r="F147" s="1" t="s">
        <v>119</v>
      </c>
      <c r="G147" s="1" t="s">
        <v>119</v>
      </c>
      <c r="H147" s="1" t="s">
        <v>119</v>
      </c>
      <c r="I147" s="1" t="s">
        <v>127</v>
      </c>
      <c r="J147" s="1" t="s">
        <v>133</v>
      </c>
      <c r="K147" t="s">
        <v>91</v>
      </c>
      <c r="L147" s="6">
        <v>88233.290000000008</v>
      </c>
      <c r="M147" s="6">
        <v>41709.169999999984</v>
      </c>
      <c r="N147" s="6">
        <v>100462.68</v>
      </c>
      <c r="O147" s="6">
        <v>53348.789999999986</v>
      </c>
      <c r="P147" s="6">
        <v>104646.89695000011</v>
      </c>
      <c r="Q147" s="6">
        <v>57331.496631250062</v>
      </c>
      <c r="R147" s="6">
        <v>104605.03819122011</v>
      </c>
      <c r="S147" s="6">
        <v>55231.460164964235</v>
      </c>
      <c r="T147" s="6">
        <v>129268.9224137931</v>
      </c>
      <c r="U147" s="6">
        <v>61593.478428853472</v>
      </c>
      <c r="V147" s="30">
        <v>104605.03819122011</v>
      </c>
      <c r="W147" s="30">
        <v>55231.460164964235</v>
      </c>
      <c r="X147" s="30">
        <v>97282.685517834689</v>
      </c>
      <c r="Y147" s="30">
        <v>51490.905387554973</v>
      </c>
      <c r="Z147" s="30">
        <v>0</v>
      </c>
      <c r="AA147" s="30">
        <v>0</v>
      </c>
      <c r="AB147" s="34">
        <v>0.48897995303133379</v>
      </c>
      <c r="AC147" s="34">
        <v>0.81397766928247073</v>
      </c>
      <c r="AD147" s="34">
        <v>0.59889589529231035</v>
      </c>
      <c r="AE147" s="34">
        <v>0.8</v>
      </c>
      <c r="AF147" s="34">
        <v>0.8</v>
      </c>
      <c r="AG147" s="34">
        <v>0.85</v>
      </c>
      <c r="AH147" s="34">
        <v>0</v>
      </c>
      <c r="AI147" s="37">
        <f t="shared" si="22"/>
        <v>43144.310000000056</v>
      </c>
      <c r="AJ147" s="37">
        <f t="shared" si="23"/>
        <v>81774.378116270687</v>
      </c>
      <c r="AK147" s="37">
        <f t="shared" si="24"/>
        <v>77418.627022480825</v>
      </c>
      <c r="AL147" s="37">
        <f t="shared" si="25"/>
        <v>83684.030552976095</v>
      </c>
      <c r="AM147" s="37">
        <f t="shared" si="26"/>
        <v>83684.030552976095</v>
      </c>
      <c r="AN147" s="37">
        <f t="shared" si="27"/>
        <v>82690.282690159482</v>
      </c>
      <c r="AO147" s="37">
        <f t="shared" si="28"/>
        <v>0</v>
      </c>
    </row>
    <row r="148" spans="1:41" hidden="1" x14ac:dyDescent="0.3">
      <c r="A148" t="str">
        <f t="shared" si="20"/>
        <v>403ene</v>
      </c>
      <c r="B148" t="str">
        <f t="shared" si="21"/>
        <v>ESPANAene</v>
      </c>
      <c r="C148" s="1" t="s">
        <v>79</v>
      </c>
      <c r="D148" s="1" t="s">
        <v>12</v>
      </c>
      <c r="E148" s="1">
        <v>403</v>
      </c>
      <c r="F148" s="1" t="s">
        <v>119</v>
      </c>
      <c r="G148" s="1" t="s">
        <v>119</v>
      </c>
      <c r="H148" s="1" t="s">
        <v>119</v>
      </c>
      <c r="I148" s="1" t="s">
        <v>127</v>
      </c>
      <c r="J148" s="1" t="s">
        <v>134</v>
      </c>
      <c r="K148" t="s">
        <v>80</v>
      </c>
      <c r="L148" s="6">
        <v>64275.38</v>
      </c>
      <c r="M148" s="6">
        <v>32638.550000000003</v>
      </c>
      <c r="N148" s="6">
        <v>39899.61</v>
      </c>
      <c r="O148" s="6">
        <v>18896.079999999998</v>
      </c>
      <c r="P148" s="6">
        <v>57460.804033333327</v>
      </c>
      <c r="Q148" s="6">
        <v>26649.738788166665</v>
      </c>
      <c r="R148" s="6">
        <v>41134.299999999988</v>
      </c>
      <c r="S148" s="6">
        <v>19536.282747498804</v>
      </c>
      <c r="T148" s="6">
        <v>41134.299999999996</v>
      </c>
      <c r="U148" s="6">
        <v>19560.88</v>
      </c>
      <c r="V148" s="30">
        <v>57460.804033333327</v>
      </c>
      <c r="W148" s="30">
        <v>27324.736105866621</v>
      </c>
      <c r="X148" s="30">
        <v>60908.452275333337</v>
      </c>
      <c r="Y148" s="30">
        <v>32375.79930762378</v>
      </c>
      <c r="Z148" s="30">
        <v>44620.689655172493</v>
      </c>
      <c r="AA148" s="30">
        <v>24598.634019372948</v>
      </c>
      <c r="AB148" s="34">
        <v>0.68289117855079207</v>
      </c>
      <c r="AC148" s="34">
        <v>0.55055160301521822</v>
      </c>
      <c r="AD148" s="34">
        <v>0.70686072291575763</v>
      </c>
      <c r="AE148" s="34">
        <v>0.70686072291575708</v>
      </c>
      <c r="AF148" s="34">
        <v>0.70686072291575708</v>
      </c>
      <c r="AG148" s="34">
        <v>0.88</v>
      </c>
      <c r="AH148" s="34">
        <v>0.96811888201957763</v>
      </c>
      <c r="AI148" s="37">
        <f t="shared" si="22"/>
        <v>43893.090000000011</v>
      </c>
      <c r="AJ148" s="37">
        <f t="shared" si="23"/>
        <v>21966.794245182031</v>
      </c>
      <c r="AK148" s="37">
        <f t="shared" si="24"/>
        <v>29076.221034633647</v>
      </c>
      <c r="AL148" s="37">
        <f t="shared" si="25"/>
        <v>29076.221034633618</v>
      </c>
      <c r="AM148" s="37">
        <f t="shared" si="26"/>
        <v>40616.785478322643</v>
      </c>
      <c r="AN148" s="37">
        <f t="shared" si="27"/>
        <v>53599.43800229334</v>
      </c>
      <c r="AO148" s="37">
        <f t="shared" si="28"/>
        <v>43198.132183908128</v>
      </c>
    </row>
    <row r="149" spans="1:41" hidden="1" x14ac:dyDescent="0.3">
      <c r="A149" t="str">
        <f t="shared" si="20"/>
        <v>403feb</v>
      </c>
      <c r="B149" t="str">
        <f t="shared" si="21"/>
        <v>ESPANAfeb</v>
      </c>
      <c r="C149" s="1" t="s">
        <v>79</v>
      </c>
      <c r="D149" s="1" t="s">
        <v>12</v>
      </c>
      <c r="E149" s="1">
        <v>403</v>
      </c>
      <c r="F149" s="1" t="s">
        <v>119</v>
      </c>
      <c r="G149" s="1" t="s">
        <v>119</v>
      </c>
      <c r="H149" s="1" t="s">
        <v>119</v>
      </c>
      <c r="I149" s="1" t="s">
        <v>127</v>
      </c>
      <c r="J149" s="1" t="s">
        <v>134</v>
      </c>
      <c r="K149" t="s">
        <v>81</v>
      </c>
      <c r="L149" s="6">
        <v>106328.05000000002</v>
      </c>
      <c r="M149" s="6">
        <v>45828.85000000002</v>
      </c>
      <c r="N149" s="6">
        <v>58945.74</v>
      </c>
      <c r="O149" s="6">
        <v>24158.510000000002</v>
      </c>
      <c r="P149" s="6">
        <v>91307.573100000009</v>
      </c>
      <c r="Q149" s="6">
        <v>33740.606110500004</v>
      </c>
      <c r="R149" s="6">
        <v>77123.990000000005</v>
      </c>
      <c r="S149" s="6">
        <v>31473.052738288519</v>
      </c>
      <c r="T149" s="6">
        <v>77123.990000000049</v>
      </c>
      <c r="U149" s="6">
        <v>31526.400000000067</v>
      </c>
      <c r="V149" s="30">
        <v>91307.573100000009</v>
      </c>
      <c r="W149" s="30">
        <v>37324.301719605588</v>
      </c>
      <c r="X149" s="30">
        <v>94959.876024000027</v>
      </c>
      <c r="Y149" s="30">
        <v>41481.738800117688</v>
      </c>
      <c r="Z149" s="30">
        <v>68960.488505747067</v>
      </c>
      <c r="AA149" s="30">
        <v>32072.960852801982</v>
      </c>
      <c r="AB149" s="34">
        <v>0.32713879357328579</v>
      </c>
      <c r="AC149" s="34">
        <v>0.3606834475874815</v>
      </c>
      <c r="AD149" s="34">
        <v>0.24181457663271091</v>
      </c>
      <c r="AE149" s="34">
        <v>0.24181457663271044</v>
      </c>
      <c r="AF149" s="34">
        <v>0.24181457663271044</v>
      </c>
      <c r="AG149" s="34">
        <v>0.40000000000000008</v>
      </c>
      <c r="AH149" s="34">
        <v>0.45822091194149533</v>
      </c>
      <c r="AI149" s="37">
        <f t="shared" si="22"/>
        <v>34784.030000000013</v>
      </c>
      <c r="AJ149" s="37">
        <f t="shared" si="23"/>
        <v>21260.752723795311</v>
      </c>
      <c r="AK149" s="37">
        <f t="shared" si="24"/>
        <v>18649.704990075443</v>
      </c>
      <c r="AL149" s="37">
        <f t="shared" si="25"/>
        <v>18649.704990075395</v>
      </c>
      <c r="AM149" s="37">
        <f t="shared" si="26"/>
        <v>22079.502132536763</v>
      </c>
      <c r="AN149" s="37">
        <f t="shared" si="27"/>
        <v>37983.950409600016</v>
      </c>
      <c r="AO149" s="37">
        <f t="shared" si="28"/>
        <v>31599.137931034427</v>
      </c>
    </row>
    <row r="150" spans="1:41" hidden="1" x14ac:dyDescent="0.3">
      <c r="A150" t="str">
        <f t="shared" si="20"/>
        <v>403mar</v>
      </c>
      <c r="B150" t="str">
        <f t="shared" si="21"/>
        <v>ESPANAmar</v>
      </c>
      <c r="C150" s="1" t="s">
        <v>79</v>
      </c>
      <c r="D150" s="1" t="s">
        <v>12</v>
      </c>
      <c r="E150" s="1">
        <v>403</v>
      </c>
      <c r="F150" s="1" t="s">
        <v>119</v>
      </c>
      <c r="G150" s="1" t="s">
        <v>119</v>
      </c>
      <c r="H150" s="1" t="s">
        <v>119</v>
      </c>
      <c r="I150" s="1" t="s">
        <v>127</v>
      </c>
      <c r="J150" s="1" t="s">
        <v>134</v>
      </c>
      <c r="K150" t="s">
        <v>82</v>
      </c>
      <c r="L150" s="6">
        <v>70023.329999999987</v>
      </c>
      <c r="M150" s="6">
        <v>33447.469999999994</v>
      </c>
      <c r="N150" s="6">
        <v>98046.69</v>
      </c>
      <c r="O150" s="6">
        <v>38560.799999999988</v>
      </c>
      <c r="P150" s="6">
        <v>66000.83924999999</v>
      </c>
      <c r="Q150" s="6">
        <v>28182.85657249999</v>
      </c>
      <c r="R150" s="6">
        <v>63137.77000000007</v>
      </c>
      <c r="S150" s="6">
        <v>30340.561448451397</v>
      </c>
      <c r="T150" s="6">
        <v>63137.770000000091</v>
      </c>
      <c r="U150" s="6">
        <v>30133.360000000073</v>
      </c>
      <c r="V150" s="30">
        <v>63137.77000000015</v>
      </c>
      <c r="W150" s="30">
        <v>30133.360000000102</v>
      </c>
      <c r="X150" s="30">
        <v>66926.036200000162</v>
      </c>
      <c r="Y150" s="30">
        <v>35178.259573902098</v>
      </c>
      <c r="Z150" s="30">
        <v>60003.039019582793</v>
      </c>
      <c r="AA150" s="30">
        <v>30781.559017045973</v>
      </c>
      <c r="AB150" s="34">
        <v>0.44932053359930213</v>
      </c>
      <c r="AC150" s="34">
        <v>0.28355409393190339</v>
      </c>
      <c r="AD150" s="34">
        <v>0.55944624369700213</v>
      </c>
      <c r="AE150" s="34">
        <v>0.55944624369700202</v>
      </c>
      <c r="AF150" s="34">
        <v>0.55944624369700202</v>
      </c>
      <c r="AG150" s="34">
        <v>0.85</v>
      </c>
      <c r="AH150" s="34">
        <v>0.80205346973276681</v>
      </c>
      <c r="AI150" s="37">
        <f t="shared" si="22"/>
        <v>31462.920000000016</v>
      </c>
      <c r="AJ150" s="37">
        <f t="shared" si="23"/>
        <v>27801.540345972215</v>
      </c>
      <c r="AK150" s="37">
        <f t="shared" si="24"/>
        <v>35322.188261905321</v>
      </c>
      <c r="AL150" s="37">
        <f t="shared" si="25"/>
        <v>35322.188261905299</v>
      </c>
      <c r="AM150" s="37">
        <f t="shared" si="26"/>
        <v>35322.18826190535</v>
      </c>
      <c r="AN150" s="37">
        <f t="shared" si="27"/>
        <v>56887.130770000134</v>
      </c>
      <c r="AO150" s="37">
        <f t="shared" si="28"/>
        <v>48125.645640166971</v>
      </c>
    </row>
    <row r="151" spans="1:41" hidden="1" x14ac:dyDescent="0.3">
      <c r="A151" t="str">
        <f t="shared" si="20"/>
        <v>403abr</v>
      </c>
      <c r="B151" t="str">
        <f t="shared" si="21"/>
        <v>ESPANAabr</v>
      </c>
      <c r="C151" s="1" t="s">
        <v>79</v>
      </c>
      <c r="D151" s="1" t="s">
        <v>12</v>
      </c>
      <c r="E151" s="1">
        <v>403</v>
      </c>
      <c r="F151" s="1" t="s">
        <v>119</v>
      </c>
      <c r="G151" s="1" t="s">
        <v>119</v>
      </c>
      <c r="H151" s="1" t="s">
        <v>119</v>
      </c>
      <c r="I151" s="1" t="s">
        <v>127</v>
      </c>
      <c r="J151" s="1" t="s">
        <v>134</v>
      </c>
      <c r="K151" t="s">
        <v>83</v>
      </c>
      <c r="L151" s="6">
        <v>53633.41</v>
      </c>
      <c r="M151" s="6">
        <v>27522.589999999997</v>
      </c>
      <c r="N151" s="6">
        <v>60066.369999999995</v>
      </c>
      <c r="O151" s="6">
        <v>27806.460000000006</v>
      </c>
      <c r="P151" s="6">
        <v>54627.02954999997</v>
      </c>
      <c r="Q151" s="6">
        <v>25718.247300599985</v>
      </c>
      <c r="R151" s="6">
        <v>55591.510000000024</v>
      </c>
      <c r="S151" s="6">
        <v>28267.510595663844</v>
      </c>
      <c r="T151" s="6">
        <v>55591.510000000009</v>
      </c>
      <c r="U151" s="6">
        <v>28105.08</v>
      </c>
      <c r="V151" s="30">
        <v>55591.510000000053</v>
      </c>
      <c r="W151" s="30">
        <v>28105.08000000002</v>
      </c>
      <c r="X151" s="30">
        <v>59482.915700000056</v>
      </c>
      <c r="Y151" s="30">
        <v>31618.057412294769</v>
      </c>
      <c r="Z151" s="30">
        <v>0</v>
      </c>
      <c r="AA151" s="30">
        <v>0</v>
      </c>
      <c r="AB151" s="34">
        <v>0.65887811347441849</v>
      </c>
      <c r="AC151" s="34">
        <v>0.51086585018039454</v>
      </c>
      <c r="AD151" s="34">
        <v>0.7477641170788305</v>
      </c>
      <c r="AE151" s="34">
        <v>0.74776411707883017</v>
      </c>
      <c r="AF151" s="34">
        <v>0.74776411707883017</v>
      </c>
      <c r="AG151" s="34">
        <v>0.88</v>
      </c>
      <c r="AH151" s="34">
        <v>0</v>
      </c>
      <c r="AI151" s="37">
        <f t="shared" si="22"/>
        <v>35337.880000000012</v>
      </c>
      <c r="AJ151" s="37">
        <f t="shared" si="23"/>
        <v>30685.857177300142</v>
      </c>
      <c r="AK151" s="37">
        <f t="shared" si="24"/>
        <v>41569.336392228986</v>
      </c>
      <c r="AL151" s="37">
        <f t="shared" si="25"/>
        <v>41569.336392228979</v>
      </c>
      <c r="AM151" s="37">
        <f t="shared" si="26"/>
        <v>41569.336392229001</v>
      </c>
      <c r="AN151" s="37">
        <f t="shared" si="27"/>
        <v>52344.965816000047</v>
      </c>
      <c r="AO151" s="37">
        <f t="shared" si="28"/>
        <v>0</v>
      </c>
    </row>
    <row r="152" spans="1:41" hidden="1" x14ac:dyDescent="0.3">
      <c r="A152" t="str">
        <f t="shared" si="20"/>
        <v>403may</v>
      </c>
      <c r="B152" t="str">
        <f t="shared" si="21"/>
        <v>ESPANAmay</v>
      </c>
      <c r="C152" s="1" t="s">
        <v>79</v>
      </c>
      <c r="D152" s="1" t="s">
        <v>12</v>
      </c>
      <c r="E152" s="1">
        <v>403</v>
      </c>
      <c r="F152" s="1" t="s">
        <v>119</v>
      </c>
      <c r="G152" s="1" t="s">
        <v>119</v>
      </c>
      <c r="H152" s="1" t="s">
        <v>119</v>
      </c>
      <c r="I152" s="1" t="s">
        <v>127</v>
      </c>
      <c r="J152" s="1" t="s">
        <v>134</v>
      </c>
      <c r="K152" t="s">
        <v>84</v>
      </c>
      <c r="L152" s="6">
        <v>59761.31</v>
      </c>
      <c r="M152" s="6">
        <v>31295.449999999997</v>
      </c>
      <c r="N152" s="6">
        <v>58758.960000000006</v>
      </c>
      <c r="O152" s="6">
        <v>28670.799999999996</v>
      </c>
      <c r="P152" s="6">
        <v>60609.146849999983</v>
      </c>
      <c r="Q152" s="6">
        <v>27497.69647974999</v>
      </c>
      <c r="R152" s="6">
        <v>54861.140000000029</v>
      </c>
      <c r="S152" s="6">
        <v>29108.393186881749</v>
      </c>
      <c r="T152" s="6">
        <v>54861.140000000021</v>
      </c>
      <c r="U152" s="6">
        <v>29124.180000000011</v>
      </c>
      <c r="V152" s="30">
        <v>54861.140000000021</v>
      </c>
      <c r="W152" s="30">
        <v>29124.180000000008</v>
      </c>
      <c r="X152" s="30">
        <v>58701.419800000025</v>
      </c>
      <c r="Y152" s="30">
        <v>31202.654402154938</v>
      </c>
      <c r="Z152" s="30">
        <v>0</v>
      </c>
      <c r="AA152" s="30">
        <v>0</v>
      </c>
      <c r="AB152" s="34">
        <v>0.7219599101826929</v>
      </c>
      <c r="AC152" s="34">
        <v>0.57246100790891441</v>
      </c>
      <c r="AD152" s="34">
        <v>0.80900894825432057</v>
      </c>
      <c r="AE152" s="34">
        <v>0.80900894825432046</v>
      </c>
      <c r="AF152" s="34">
        <v>0.80900894825432046</v>
      </c>
      <c r="AG152" s="34">
        <v>0.88</v>
      </c>
      <c r="AH152" s="34">
        <v>0</v>
      </c>
      <c r="AI152" s="37">
        <f t="shared" si="22"/>
        <v>43145.270000000062</v>
      </c>
      <c r="AJ152" s="37">
        <f t="shared" si="23"/>
        <v>33637.213465279587</v>
      </c>
      <c r="AK152" s="37">
        <f t="shared" si="24"/>
        <v>44383.153171433056</v>
      </c>
      <c r="AL152" s="37">
        <f t="shared" si="25"/>
        <v>44383.153171433056</v>
      </c>
      <c r="AM152" s="37">
        <f t="shared" si="26"/>
        <v>44383.153171433049</v>
      </c>
      <c r="AN152" s="37">
        <f t="shared" si="27"/>
        <v>51657.249424000023</v>
      </c>
      <c r="AO152" s="37">
        <f t="shared" si="28"/>
        <v>0</v>
      </c>
    </row>
    <row r="153" spans="1:41" hidden="1" x14ac:dyDescent="0.3">
      <c r="A153" t="str">
        <f t="shared" si="20"/>
        <v>403jun</v>
      </c>
      <c r="B153" t="str">
        <f t="shared" si="21"/>
        <v>ESPANAjun</v>
      </c>
      <c r="C153" s="1" t="s">
        <v>79</v>
      </c>
      <c r="D153" s="1" t="s">
        <v>12</v>
      </c>
      <c r="E153" s="1">
        <v>403</v>
      </c>
      <c r="F153" s="1" t="s">
        <v>119</v>
      </c>
      <c r="G153" s="1" t="s">
        <v>119</v>
      </c>
      <c r="H153" s="1" t="s">
        <v>119</v>
      </c>
      <c r="I153" s="1" t="s">
        <v>127</v>
      </c>
      <c r="J153" s="1" t="s">
        <v>134</v>
      </c>
      <c r="K153" t="s">
        <v>85</v>
      </c>
      <c r="L153" s="6">
        <v>55900.12999999999</v>
      </c>
      <c r="M153" s="6">
        <v>29602.869999999995</v>
      </c>
      <c r="N153" s="6">
        <v>52913.439999999981</v>
      </c>
      <c r="O153" s="6">
        <v>26091.689999999988</v>
      </c>
      <c r="P153" s="6">
        <v>52675.85334999999</v>
      </c>
      <c r="Q153" s="6">
        <v>25982.142848750002</v>
      </c>
      <c r="R153" s="6">
        <v>63614.539999999979</v>
      </c>
      <c r="S153" s="6">
        <v>34141.320152725879</v>
      </c>
      <c r="T153" s="6">
        <v>63614.539999999979</v>
      </c>
      <c r="U153" s="6">
        <v>34127.879999999976</v>
      </c>
      <c r="V153" s="30">
        <v>63614.539999999964</v>
      </c>
      <c r="W153" s="30">
        <v>34127.879999999968</v>
      </c>
      <c r="X153" s="30">
        <v>68067.557799999966</v>
      </c>
      <c r="Y153" s="30">
        <v>36181.21144715658</v>
      </c>
      <c r="Z153" s="30">
        <v>0</v>
      </c>
      <c r="AA153" s="30">
        <v>0</v>
      </c>
      <c r="AB153" s="34">
        <v>0.72741226183195029</v>
      </c>
      <c r="AC153" s="34">
        <v>0.61242650435057289</v>
      </c>
      <c r="AD153" s="34">
        <v>0.8150665591505275</v>
      </c>
      <c r="AE153" s="34">
        <v>0.81506655915052761</v>
      </c>
      <c r="AF153" s="34">
        <v>0.81506655915052761</v>
      </c>
      <c r="AG153" s="34">
        <v>0.88000000000000012</v>
      </c>
      <c r="AH153" s="34">
        <v>0</v>
      </c>
      <c r="AI153" s="37">
        <f t="shared" si="22"/>
        <v>40662.440000000053</v>
      </c>
      <c r="AJ153" s="37">
        <f t="shared" si="23"/>
        <v>32405.593092363764</v>
      </c>
      <c r="AK153" s="37">
        <f t="shared" si="24"/>
        <v>51850.084229743581</v>
      </c>
      <c r="AL153" s="37">
        <f t="shared" si="25"/>
        <v>51850.084229743588</v>
      </c>
      <c r="AM153" s="37">
        <f t="shared" si="26"/>
        <v>51850.084229743574</v>
      </c>
      <c r="AN153" s="37">
        <f t="shared" si="27"/>
        <v>59899.450863999977</v>
      </c>
      <c r="AO153" s="37">
        <f t="shared" si="28"/>
        <v>0</v>
      </c>
    </row>
    <row r="154" spans="1:41" hidden="1" x14ac:dyDescent="0.3">
      <c r="A154" t="str">
        <f t="shared" si="20"/>
        <v>403jul</v>
      </c>
      <c r="B154" t="str">
        <f t="shared" si="21"/>
        <v>ESPANAjul</v>
      </c>
      <c r="C154" s="1" t="s">
        <v>79</v>
      </c>
      <c r="D154" s="1" t="s">
        <v>12</v>
      </c>
      <c r="E154" s="1">
        <v>403</v>
      </c>
      <c r="F154" s="1" t="s">
        <v>119</v>
      </c>
      <c r="G154" s="1" t="s">
        <v>119</v>
      </c>
      <c r="H154" s="1" t="s">
        <v>119</v>
      </c>
      <c r="I154" s="1" t="s">
        <v>127</v>
      </c>
      <c r="J154" s="1" t="s">
        <v>134</v>
      </c>
      <c r="K154" t="s">
        <v>86</v>
      </c>
      <c r="L154" s="6">
        <v>61790.380000000005</v>
      </c>
      <c r="M154" s="6">
        <v>33036.339999999997</v>
      </c>
      <c r="N154" s="6">
        <v>53927.299999999996</v>
      </c>
      <c r="O154" s="6">
        <v>26304.720000000001</v>
      </c>
      <c r="P154" s="6">
        <v>55702.629700000012</v>
      </c>
      <c r="Q154" s="6">
        <v>27262.655867500005</v>
      </c>
      <c r="R154" s="6">
        <v>51661.50999999998</v>
      </c>
      <c r="S154" s="6">
        <v>26956.350000000017</v>
      </c>
      <c r="T154" s="6">
        <v>51661.50999999998</v>
      </c>
      <c r="U154" s="6">
        <v>26956.349999999966</v>
      </c>
      <c r="V154" s="30">
        <v>51661.510000000024</v>
      </c>
      <c r="W154" s="30">
        <v>26956.349999999988</v>
      </c>
      <c r="X154" s="30">
        <v>55277.815700000036</v>
      </c>
      <c r="Y154" s="30">
        <v>29382.842617260085</v>
      </c>
      <c r="Z154" s="30">
        <v>0</v>
      </c>
      <c r="AA154" s="30">
        <v>0</v>
      </c>
      <c r="AB154" s="34">
        <v>0.75268787795122871</v>
      </c>
      <c r="AC154" s="34">
        <v>0.625368708064726</v>
      </c>
      <c r="AD154" s="34">
        <v>0.81327316990928078</v>
      </c>
      <c r="AE154" s="34">
        <v>0.81327316990928078</v>
      </c>
      <c r="AF154" s="34">
        <v>0.81327316990928078</v>
      </c>
      <c r="AG154" s="34">
        <v>0.88000000000000012</v>
      </c>
      <c r="AH154" s="34">
        <v>0</v>
      </c>
      <c r="AI154" s="37">
        <f t="shared" si="22"/>
        <v>46508.870000000046</v>
      </c>
      <c r="AJ154" s="37">
        <f t="shared" si="23"/>
        <v>33724.445930418893</v>
      </c>
      <c r="AK154" s="37">
        <f t="shared" si="24"/>
        <v>42014.919999999991</v>
      </c>
      <c r="AL154" s="37">
        <f t="shared" si="25"/>
        <v>42014.919999999991</v>
      </c>
      <c r="AM154" s="37">
        <f t="shared" si="26"/>
        <v>42014.920000000027</v>
      </c>
      <c r="AN154" s="37">
        <f t="shared" si="27"/>
        <v>48644.477816000035</v>
      </c>
      <c r="AO154" s="37">
        <f t="shared" si="28"/>
        <v>0</v>
      </c>
    </row>
    <row r="155" spans="1:41" hidden="1" x14ac:dyDescent="0.3">
      <c r="A155" t="str">
        <f t="shared" si="20"/>
        <v>403ago</v>
      </c>
      <c r="B155" t="str">
        <f t="shared" si="21"/>
        <v>ESPANAago</v>
      </c>
      <c r="C155" s="1" t="s">
        <v>79</v>
      </c>
      <c r="D155" s="1" t="s">
        <v>12</v>
      </c>
      <c r="E155" s="1">
        <v>403</v>
      </c>
      <c r="F155" s="1" t="s">
        <v>119</v>
      </c>
      <c r="G155" s="1" t="s">
        <v>119</v>
      </c>
      <c r="H155" s="1" t="s">
        <v>119</v>
      </c>
      <c r="I155" s="1" t="s">
        <v>127</v>
      </c>
      <c r="J155" s="1" t="s">
        <v>134</v>
      </c>
      <c r="K155" t="s">
        <v>87</v>
      </c>
      <c r="L155" s="6">
        <v>160288.19</v>
      </c>
      <c r="M155" s="6">
        <v>65662.579999999973</v>
      </c>
      <c r="N155" s="6">
        <v>113980.59000000001</v>
      </c>
      <c r="O155" s="6">
        <v>41172.759999999995</v>
      </c>
      <c r="P155" s="6">
        <v>120026.25019999995</v>
      </c>
      <c r="Q155" s="6">
        <v>42937.074750999986</v>
      </c>
      <c r="R155" s="6">
        <v>99731.790244123375</v>
      </c>
      <c r="S155" s="6">
        <v>41249.068444969431</v>
      </c>
      <c r="T155" s="6">
        <v>124377.05000000008</v>
      </c>
      <c r="U155" s="6">
        <v>54208.570000000065</v>
      </c>
      <c r="V155" s="30">
        <v>124377.04999999996</v>
      </c>
      <c r="W155" s="30">
        <v>51442.347879999987</v>
      </c>
      <c r="X155" s="30">
        <v>129352.13199999997</v>
      </c>
      <c r="Y155" s="30">
        <v>56505.458700327392</v>
      </c>
      <c r="Z155" s="30">
        <v>0</v>
      </c>
      <c r="AA155" s="30">
        <v>0</v>
      </c>
      <c r="AB155" s="34">
        <v>0.25995502226333705</v>
      </c>
      <c r="AC155" s="34">
        <v>0.19920610959591437</v>
      </c>
      <c r="AD155" s="34">
        <v>0.35965766996403215</v>
      </c>
      <c r="AE155" s="34">
        <v>0.27</v>
      </c>
      <c r="AF155" s="34">
        <v>0.27</v>
      </c>
      <c r="AG155" s="34">
        <v>0.4</v>
      </c>
      <c r="AH155" s="34">
        <v>0</v>
      </c>
      <c r="AI155" s="37">
        <f t="shared" si="22"/>
        <v>41667.72</v>
      </c>
      <c r="AJ155" s="37">
        <f t="shared" si="23"/>
        <v>22705.629903346984</v>
      </c>
      <c r="AK155" s="37">
        <f t="shared" si="24"/>
        <v>44733.159999999953</v>
      </c>
      <c r="AL155" s="37">
        <f t="shared" si="25"/>
        <v>26927.583365913313</v>
      </c>
      <c r="AM155" s="37">
        <f t="shared" si="26"/>
        <v>33581.803499999995</v>
      </c>
      <c r="AN155" s="37">
        <f t="shared" si="27"/>
        <v>51740.852799999993</v>
      </c>
      <c r="AO155" s="37">
        <f t="shared" si="28"/>
        <v>0</v>
      </c>
    </row>
    <row r="156" spans="1:41" hidden="1" x14ac:dyDescent="0.3">
      <c r="A156" t="str">
        <f t="shared" si="20"/>
        <v>403sep</v>
      </c>
      <c r="B156" t="str">
        <f t="shared" si="21"/>
        <v>ESPANAsep</v>
      </c>
      <c r="C156" s="1" t="s">
        <v>79</v>
      </c>
      <c r="D156" s="1" t="s">
        <v>12</v>
      </c>
      <c r="E156" s="1">
        <v>403</v>
      </c>
      <c r="F156" s="1" t="s">
        <v>119</v>
      </c>
      <c r="G156" s="1" t="s">
        <v>119</v>
      </c>
      <c r="H156" s="1" t="s">
        <v>119</v>
      </c>
      <c r="I156" s="1" t="s">
        <v>127</v>
      </c>
      <c r="J156" s="1" t="s">
        <v>134</v>
      </c>
      <c r="K156" t="s">
        <v>88</v>
      </c>
      <c r="L156" s="6">
        <v>45348.939999999995</v>
      </c>
      <c r="M156" s="6">
        <v>22566.229999999996</v>
      </c>
      <c r="N156" s="6">
        <v>52734.889999999992</v>
      </c>
      <c r="O156" s="6">
        <v>23771.99</v>
      </c>
      <c r="P156" s="6">
        <v>52671.10870499997</v>
      </c>
      <c r="Q156" s="6">
        <v>24548.087830449986</v>
      </c>
      <c r="R156" s="6">
        <v>50788.11656879622</v>
      </c>
      <c r="S156" s="6">
        <v>25394.05828439811</v>
      </c>
      <c r="T156" s="6">
        <v>51987.230000000025</v>
      </c>
      <c r="U156" s="6">
        <v>27690.690000000046</v>
      </c>
      <c r="V156" s="30">
        <v>51987.230000000025</v>
      </c>
      <c r="W156" s="30">
        <v>27690.690000000042</v>
      </c>
      <c r="X156" s="30">
        <v>55106.463800000027</v>
      </c>
      <c r="Y156" s="30">
        <v>28965.55059623022</v>
      </c>
      <c r="Z156" s="30">
        <v>0</v>
      </c>
      <c r="AA156" s="30">
        <v>0</v>
      </c>
      <c r="AB156" s="34">
        <v>0.57549261349879377</v>
      </c>
      <c r="AC156" s="34">
        <v>0.48926149808870889</v>
      </c>
      <c r="AD156" s="34">
        <v>0.8570968293559782</v>
      </c>
      <c r="AE156" s="34">
        <v>0.7</v>
      </c>
      <c r="AF156" s="34">
        <v>0.7</v>
      </c>
      <c r="AG156" s="34">
        <v>0.84999999999999987</v>
      </c>
      <c r="AH156" s="34">
        <v>0</v>
      </c>
      <c r="AI156" s="37">
        <f t="shared" si="22"/>
        <v>26097.979999999985</v>
      </c>
      <c r="AJ156" s="37">
        <f t="shared" si="23"/>
        <v>25801.151282943269</v>
      </c>
      <c r="AK156" s="37">
        <f t="shared" si="24"/>
        <v>44558.090000000011</v>
      </c>
      <c r="AL156" s="37">
        <f t="shared" si="25"/>
        <v>35551.681598157353</v>
      </c>
      <c r="AM156" s="37">
        <f t="shared" si="26"/>
        <v>36391.061000000016</v>
      </c>
      <c r="AN156" s="37">
        <f t="shared" si="27"/>
        <v>46840.494230000018</v>
      </c>
      <c r="AO156" s="37">
        <f t="shared" si="28"/>
        <v>0</v>
      </c>
    </row>
    <row r="157" spans="1:41" hidden="1" x14ac:dyDescent="0.3">
      <c r="A157" t="str">
        <f t="shared" si="20"/>
        <v>403oct</v>
      </c>
      <c r="B157" t="str">
        <f t="shared" si="21"/>
        <v>ESPANAoct</v>
      </c>
      <c r="C157" s="1" t="s">
        <v>79</v>
      </c>
      <c r="D157" s="1" t="s">
        <v>12</v>
      </c>
      <c r="E157" s="1">
        <v>403</v>
      </c>
      <c r="F157" s="1" t="s">
        <v>119</v>
      </c>
      <c r="G157" s="1" t="s">
        <v>119</v>
      </c>
      <c r="H157" s="1" t="s">
        <v>119</v>
      </c>
      <c r="I157" s="1" t="s">
        <v>127</v>
      </c>
      <c r="J157" s="1" t="s">
        <v>134</v>
      </c>
      <c r="K157" t="s">
        <v>89</v>
      </c>
      <c r="L157" s="6">
        <v>32800.699999999997</v>
      </c>
      <c r="M157" s="6">
        <v>16921.919999999998</v>
      </c>
      <c r="N157" s="6">
        <v>53211.059999999983</v>
      </c>
      <c r="O157" s="6">
        <v>25679.299999999988</v>
      </c>
      <c r="P157" s="6">
        <v>56474.04149499999</v>
      </c>
      <c r="Q157" s="6">
        <v>27580.055496049994</v>
      </c>
      <c r="R157" s="6">
        <v>56747.940596250737</v>
      </c>
      <c r="S157" s="6">
        <v>29622.424991242886</v>
      </c>
      <c r="T157" s="6">
        <v>33945.320000000014</v>
      </c>
      <c r="U157" s="6">
        <v>18138.750000000029</v>
      </c>
      <c r="V157" s="30">
        <v>56747.940596250737</v>
      </c>
      <c r="W157" s="30">
        <v>29622.424991242886</v>
      </c>
      <c r="X157" s="30">
        <v>60436.556735007034</v>
      </c>
      <c r="Y157" s="30">
        <v>32124.963918822508</v>
      </c>
      <c r="Z157" s="30">
        <v>0</v>
      </c>
      <c r="AA157" s="30">
        <v>0</v>
      </c>
      <c r="AB157" s="34">
        <v>0.68307566606810255</v>
      </c>
      <c r="AC157" s="34">
        <v>0.60444022093617022</v>
      </c>
      <c r="AD157" s="34">
        <v>0.81060157924568121</v>
      </c>
      <c r="AE157" s="34">
        <v>0.8</v>
      </c>
      <c r="AF157" s="34">
        <v>0.8</v>
      </c>
      <c r="AG157" s="34">
        <v>0.88</v>
      </c>
      <c r="AH157" s="34">
        <v>0</v>
      </c>
      <c r="AI157" s="37">
        <f t="shared" si="22"/>
        <v>22405.360000000008</v>
      </c>
      <c r="AJ157" s="37">
        <f t="shared" si="23"/>
        <v>32162.9048626478</v>
      </c>
      <c r="AK157" s="37">
        <f t="shared" si="24"/>
        <v>27516.130000000019</v>
      </c>
      <c r="AL157" s="37">
        <f t="shared" si="25"/>
        <v>45398.35247700059</v>
      </c>
      <c r="AM157" s="37">
        <f t="shared" si="26"/>
        <v>45398.35247700059</v>
      </c>
      <c r="AN157" s="37">
        <f t="shared" si="27"/>
        <v>53184.169926806193</v>
      </c>
      <c r="AO157" s="37">
        <f t="shared" si="28"/>
        <v>0</v>
      </c>
    </row>
    <row r="158" spans="1:41" hidden="1" x14ac:dyDescent="0.3">
      <c r="A158" t="str">
        <f t="shared" si="20"/>
        <v>403nov</v>
      </c>
      <c r="B158" t="str">
        <f t="shared" si="21"/>
        <v>ESPANAnov</v>
      </c>
      <c r="C158" s="1" t="s">
        <v>79</v>
      </c>
      <c r="D158" s="1" t="s">
        <v>12</v>
      </c>
      <c r="E158" s="1">
        <v>403</v>
      </c>
      <c r="F158" s="1" t="s">
        <v>119</v>
      </c>
      <c r="G158" s="1" t="s">
        <v>119</v>
      </c>
      <c r="H158" s="1" t="s">
        <v>119</v>
      </c>
      <c r="I158" s="1" t="s">
        <v>127</v>
      </c>
      <c r="J158" s="1" t="s">
        <v>134</v>
      </c>
      <c r="K158" t="s">
        <v>90</v>
      </c>
      <c r="L158" s="6">
        <v>51694.25</v>
      </c>
      <c r="M158" s="6">
        <v>23174.639999999999</v>
      </c>
      <c r="N158" s="6">
        <v>44792.969999999994</v>
      </c>
      <c r="O158" s="6">
        <v>20557.389999999992</v>
      </c>
      <c r="P158" s="6">
        <v>73951.458599999998</v>
      </c>
      <c r="Q158" s="6">
        <v>33035.192611999999</v>
      </c>
      <c r="R158" s="6">
        <v>73559.515869420007</v>
      </c>
      <c r="S158" s="6">
        <v>34205.174879280305</v>
      </c>
      <c r="T158" s="6">
        <v>30655.028735632175</v>
      </c>
      <c r="U158" s="6">
        <v>11827.76979657321</v>
      </c>
      <c r="V158" s="30">
        <v>73559.515869420007</v>
      </c>
      <c r="W158" s="30">
        <v>34205.174879280305</v>
      </c>
      <c r="X158" s="30">
        <v>78340.884400932307</v>
      </c>
      <c r="Y158" s="30">
        <v>37313.654948105788</v>
      </c>
      <c r="Z158" s="30">
        <v>0</v>
      </c>
      <c r="AA158" s="30">
        <v>0</v>
      </c>
      <c r="AB158" s="34">
        <v>0.41957393714001046</v>
      </c>
      <c r="AC158" s="34">
        <v>0.45904461163713556</v>
      </c>
      <c r="AD158" s="34">
        <v>0.35965766996403215</v>
      </c>
      <c r="AE158" s="34">
        <v>0.5</v>
      </c>
      <c r="AF158" s="34">
        <v>0.5</v>
      </c>
      <c r="AG158" s="34">
        <v>0.6</v>
      </c>
      <c r="AH158" s="34">
        <v>0</v>
      </c>
      <c r="AI158" s="37">
        <f t="shared" si="22"/>
        <v>21689.559999999987</v>
      </c>
      <c r="AJ158" s="37">
        <f t="shared" si="23"/>
        <v>20561.971517723861</v>
      </c>
      <c r="AK158" s="37">
        <f t="shared" si="24"/>
        <v>11025.316207737918</v>
      </c>
      <c r="AL158" s="37">
        <f t="shared" si="25"/>
        <v>36779.757934710004</v>
      </c>
      <c r="AM158" s="37">
        <f t="shared" si="26"/>
        <v>36779.757934710004</v>
      </c>
      <c r="AN158" s="37">
        <f t="shared" si="27"/>
        <v>47004.53064055938</v>
      </c>
      <c r="AO158" s="37">
        <f t="shared" si="28"/>
        <v>0</v>
      </c>
    </row>
    <row r="159" spans="1:41" hidden="1" x14ac:dyDescent="0.3">
      <c r="A159" t="str">
        <f t="shared" si="20"/>
        <v>403dic</v>
      </c>
      <c r="B159" t="str">
        <f t="shared" si="21"/>
        <v>ESPANAdic</v>
      </c>
      <c r="C159" s="1" t="s">
        <v>79</v>
      </c>
      <c r="D159" s="1" t="s">
        <v>12</v>
      </c>
      <c r="E159" s="1">
        <v>403</v>
      </c>
      <c r="F159" s="1" t="s">
        <v>119</v>
      </c>
      <c r="G159" s="1" t="s">
        <v>119</v>
      </c>
      <c r="H159" s="1" t="s">
        <v>119</v>
      </c>
      <c r="I159" s="1" t="s">
        <v>127</v>
      </c>
      <c r="J159" s="1" t="s">
        <v>134</v>
      </c>
      <c r="K159" t="s">
        <v>91</v>
      </c>
      <c r="L159" s="6">
        <v>126269.83999999998</v>
      </c>
      <c r="M159" s="6">
        <v>60306.929999999964</v>
      </c>
      <c r="N159" s="6">
        <v>116754.80999999998</v>
      </c>
      <c r="O159" s="6">
        <v>58783.039999999994</v>
      </c>
      <c r="P159" s="6">
        <v>120161.65920000001</v>
      </c>
      <c r="Q159" s="6">
        <v>61788.477752500003</v>
      </c>
      <c r="R159" s="6">
        <v>119524.80240624001</v>
      </c>
      <c r="S159" s="6">
        <v>58985.489987479443</v>
      </c>
      <c r="T159" s="6">
        <v>145647.29885057476</v>
      </c>
      <c r="U159" s="6">
        <v>69938.728461794919</v>
      </c>
      <c r="V159" s="30">
        <v>119524.80240624001</v>
      </c>
      <c r="W159" s="30">
        <v>58985.489987479443</v>
      </c>
      <c r="X159" s="30">
        <v>127891.53857467683</v>
      </c>
      <c r="Y159" s="30">
        <v>67223.490239896841</v>
      </c>
      <c r="Z159" s="30">
        <v>0</v>
      </c>
      <c r="AA159" s="30">
        <v>0</v>
      </c>
      <c r="AB159" s="34">
        <v>0.43550866937029514</v>
      </c>
      <c r="AC159" s="34">
        <v>0.68084573017485794</v>
      </c>
      <c r="AD159" s="34">
        <v>0.55944624369700213</v>
      </c>
      <c r="AE159" s="34">
        <v>0.65</v>
      </c>
      <c r="AF159" s="34">
        <v>0.65</v>
      </c>
      <c r="AG159" s="34">
        <v>0.85000000000000009</v>
      </c>
      <c r="AH159" s="34">
        <v>0</v>
      </c>
      <c r="AI159" s="37">
        <f t="shared" si="22"/>
        <v>54991.610000000059</v>
      </c>
      <c r="AJ159" s="37">
        <f t="shared" si="23"/>
        <v>79492.013865876797</v>
      </c>
      <c r="AK159" s="37">
        <f t="shared" si="24"/>
        <v>81481.834246568746</v>
      </c>
      <c r="AL159" s="37">
        <f t="shared" si="25"/>
        <v>77691.121564056011</v>
      </c>
      <c r="AM159" s="37">
        <f t="shared" si="26"/>
        <v>77691.121564056011</v>
      </c>
      <c r="AN159" s="37">
        <f t="shared" si="27"/>
        <v>108707.80778847531</v>
      </c>
      <c r="AO159" s="37">
        <f t="shared" si="28"/>
        <v>0</v>
      </c>
    </row>
    <row r="160" spans="1:41" hidden="1" x14ac:dyDescent="0.3">
      <c r="A160" t="str">
        <f t="shared" si="20"/>
        <v>311ene</v>
      </c>
      <c r="B160" t="str">
        <f t="shared" si="21"/>
        <v>ESTEBAN ARCEene</v>
      </c>
      <c r="C160" s="1" t="s">
        <v>79</v>
      </c>
      <c r="D160" s="1" t="s">
        <v>13</v>
      </c>
      <c r="E160" s="1">
        <v>311</v>
      </c>
      <c r="F160" s="1" t="s">
        <v>119</v>
      </c>
      <c r="G160" s="1" t="s">
        <v>119</v>
      </c>
      <c r="H160" s="1" t="s">
        <v>119</v>
      </c>
      <c r="I160" s="1" t="s">
        <v>124</v>
      </c>
      <c r="J160" s="1" t="s">
        <v>129</v>
      </c>
      <c r="K160" t="s">
        <v>80</v>
      </c>
      <c r="L160" s="6">
        <v>0</v>
      </c>
      <c r="M160" s="6">
        <v>0</v>
      </c>
      <c r="N160" s="6">
        <v>32841.960000000006</v>
      </c>
      <c r="O160" s="6">
        <v>14938.620000000006</v>
      </c>
      <c r="P160" s="6">
        <v>34247.699429999993</v>
      </c>
      <c r="Q160" s="6">
        <v>15603.638314199996</v>
      </c>
      <c r="R160" s="6">
        <v>26355.550000000021</v>
      </c>
      <c r="S160" s="6">
        <v>11849.980751396723</v>
      </c>
      <c r="T160" s="6">
        <v>26355.550000000014</v>
      </c>
      <c r="U160" s="6">
        <v>11841.53000000001</v>
      </c>
      <c r="V160" s="30">
        <v>34247.699429999993</v>
      </c>
      <c r="W160" s="30">
        <v>15387.467164651391</v>
      </c>
      <c r="X160" s="30">
        <v>36302.561395799996</v>
      </c>
      <c r="Y160" s="30">
        <v>17506.572560817942</v>
      </c>
      <c r="Z160" s="30">
        <v>31946.695402298847</v>
      </c>
      <c r="AA160" s="30">
        <v>17710.18167699578</v>
      </c>
      <c r="AB160" s="34">
        <v>0</v>
      </c>
      <c r="AC160" s="34">
        <v>0.47979579051572308</v>
      </c>
      <c r="AD160" s="34">
        <v>0.58648322709261391</v>
      </c>
      <c r="AE160" s="34">
        <v>0.5864832270926138</v>
      </c>
      <c r="AF160" s="34">
        <v>0.5864832270926138</v>
      </c>
      <c r="AG160" s="34">
        <v>0.7</v>
      </c>
      <c r="AH160" s="34">
        <v>0.96362025464472523</v>
      </c>
      <c r="AI160" s="37">
        <f t="shared" si="22"/>
        <v>0</v>
      </c>
      <c r="AJ160" s="37">
        <f t="shared" si="23"/>
        <v>15757.43416028576</v>
      </c>
      <c r="AK160" s="37">
        <f t="shared" si="24"/>
        <v>15457.088015800749</v>
      </c>
      <c r="AL160" s="37">
        <f t="shared" si="25"/>
        <v>15457.088015800749</v>
      </c>
      <c r="AM160" s="37">
        <f t="shared" si="26"/>
        <v>20085.701282204267</v>
      </c>
      <c r="AN160" s="37">
        <f t="shared" si="27"/>
        <v>25411.792977059995</v>
      </c>
      <c r="AO160" s="37">
        <f t="shared" si="28"/>
        <v>30784.482758620688</v>
      </c>
    </row>
    <row r="161" spans="1:41" hidden="1" x14ac:dyDescent="0.3">
      <c r="A161" t="str">
        <f t="shared" si="20"/>
        <v>311feb</v>
      </c>
      <c r="B161" t="str">
        <f t="shared" si="21"/>
        <v>ESTEBAN ARCEfeb</v>
      </c>
      <c r="C161" s="1" t="s">
        <v>79</v>
      </c>
      <c r="D161" s="1" t="s">
        <v>13</v>
      </c>
      <c r="E161" s="1">
        <v>311</v>
      </c>
      <c r="F161" s="1" t="s">
        <v>119</v>
      </c>
      <c r="G161" s="1" t="s">
        <v>119</v>
      </c>
      <c r="H161" s="1" t="s">
        <v>119</v>
      </c>
      <c r="I161" s="1" t="s">
        <v>124</v>
      </c>
      <c r="J161" s="1" t="s">
        <v>129</v>
      </c>
      <c r="K161" t="s">
        <v>81</v>
      </c>
      <c r="L161" s="6">
        <v>0</v>
      </c>
      <c r="M161" s="6">
        <v>0</v>
      </c>
      <c r="N161" s="6">
        <v>36055.17</v>
      </c>
      <c r="O161" s="6">
        <v>14918.630000000003</v>
      </c>
      <c r="P161" s="6">
        <v>53695.029719999991</v>
      </c>
      <c r="Q161" s="6">
        <v>20567.328747299998</v>
      </c>
      <c r="R161" s="6">
        <v>49501.989999999947</v>
      </c>
      <c r="S161" s="6">
        <v>17663.966036902664</v>
      </c>
      <c r="T161" s="6">
        <v>49501.989999999962</v>
      </c>
      <c r="U161" s="6">
        <v>17513.329999999969</v>
      </c>
      <c r="V161" s="30">
        <v>53695.029719999991</v>
      </c>
      <c r="W161" s="30">
        <v>18996.787297766543</v>
      </c>
      <c r="X161" s="30">
        <v>57453.68180039998</v>
      </c>
      <c r="Y161" s="30">
        <v>23417.637081792243</v>
      </c>
      <c r="Z161" s="30">
        <v>44102.011494252889</v>
      </c>
      <c r="AA161" s="30">
        <v>19143.410173225682</v>
      </c>
      <c r="AB161" s="34">
        <v>0</v>
      </c>
      <c r="AC161" s="34">
        <v>0.35197902999890579</v>
      </c>
      <c r="AD161" s="34">
        <v>0.22720171625496169</v>
      </c>
      <c r="AE161" s="34">
        <v>0.22720171625496122</v>
      </c>
      <c r="AF161" s="34">
        <v>0.22720171625496122</v>
      </c>
      <c r="AG161" s="34">
        <v>0.38999999999999996</v>
      </c>
      <c r="AH161" s="34">
        <v>0.37191725036650908</v>
      </c>
      <c r="AI161" s="37">
        <f t="shared" si="22"/>
        <v>0</v>
      </c>
      <c r="AJ161" s="37">
        <f t="shared" si="23"/>
        <v>12690.663763045648</v>
      </c>
      <c r="AK161" s="37">
        <f t="shared" si="24"/>
        <v>11246.937086035943</v>
      </c>
      <c r="AL161" s="37">
        <f t="shared" si="25"/>
        <v>11246.937086035916</v>
      </c>
      <c r="AM161" s="37">
        <f t="shared" si="26"/>
        <v>12199.602906745147</v>
      </c>
      <c r="AN161" s="37">
        <f t="shared" si="27"/>
        <v>22406.93590215599</v>
      </c>
      <c r="AO161" s="37">
        <f t="shared" si="28"/>
        <v>16402.298850574713</v>
      </c>
    </row>
    <row r="162" spans="1:41" hidden="1" x14ac:dyDescent="0.3">
      <c r="A162" t="str">
        <f t="shared" si="20"/>
        <v>311mar</v>
      </c>
      <c r="B162" t="str">
        <f t="shared" si="21"/>
        <v>ESTEBAN ARCEmar</v>
      </c>
      <c r="C162" s="1" t="s">
        <v>79</v>
      </c>
      <c r="D162" s="1" t="s">
        <v>13</v>
      </c>
      <c r="E162" s="1">
        <v>311</v>
      </c>
      <c r="F162" s="1" t="s">
        <v>119</v>
      </c>
      <c r="G162" s="1" t="s">
        <v>119</v>
      </c>
      <c r="H162" s="1" t="s">
        <v>119</v>
      </c>
      <c r="I162" s="1" t="s">
        <v>124</v>
      </c>
      <c r="J162" s="1" t="s">
        <v>129</v>
      </c>
      <c r="K162" t="s">
        <v>82</v>
      </c>
      <c r="L162" s="6">
        <v>0</v>
      </c>
      <c r="M162" s="6">
        <v>0</v>
      </c>
      <c r="N162" s="6">
        <v>56281.97</v>
      </c>
      <c r="O162" s="6">
        <v>22229.410000000003</v>
      </c>
      <c r="P162" s="6">
        <v>38903.263149999992</v>
      </c>
      <c r="Q162" s="6">
        <v>15555.909241249998</v>
      </c>
      <c r="R162" s="6">
        <v>39650.869999999981</v>
      </c>
      <c r="S162" s="6">
        <v>17411.903825750836</v>
      </c>
      <c r="T162" s="6">
        <v>39650.87000000001</v>
      </c>
      <c r="U162" s="6">
        <v>17287.55999999999</v>
      </c>
      <c r="V162" s="30">
        <v>39650.869999999966</v>
      </c>
      <c r="W162" s="30">
        <v>17287.559999999972</v>
      </c>
      <c r="X162" s="30">
        <v>40840.396099999962</v>
      </c>
      <c r="Y162" s="30">
        <v>19498.210849742449</v>
      </c>
      <c r="Z162" s="30">
        <v>47660.621258661457</v>
      </c>
      <c r="AA162" s="30">
        <v>23401.365038002776</v>
      </c>
      <c r="AB162" s="34">
        <v>0</v>
      </c>
      <c r="AC162" s="34">
        <v>0.2614931700340285</v>
      </c>
      <c r="AD162" s="34">
        <v>0.45046257750603808</v>
      </c>
      <c r="AE162" s="34">
        <v>0.4504625775060378</v>
      </c>
      <c r="AF162" s="34">
        <v>0.4504625775060378</v>
      </c>
      <c r="AG162" s="34">
        <v>0.67999999999999994</v>
      </c>
      <c r="AH162" s="34">
        <v>0.66002435714827556</v>
      </c>
      <c r="AI162" s="37">
        <f t="shared" si="22"/>
        <v>0</v>
      </c>
      <c r="AJ162" s="37">
        <f t="shared" si="23"/>
        <v>14717.350751060092</v>
      </c>
      <c r="AK162" s="37">
        <f t="shared" si="24"/>
        <v>17861.233100556845</v>
      </c>
      <c r="AL162" s="37">
        <f t="shared" si="25"/>
        <v>17861.233100556819</v>
      </c>
      <c r="AM162" s="37">
        <f t="shared" si="26"/>
        <v>17861.233100556812</v>
      </c>
      <c r="AN162" s="37">
        <f t="shared" si="27"/>
        <v>27771.469347999973</v>
      </c>
      <c r="AO162" s="37">
        <f t="shared" si="28"/>
        <v>31457.170907535463</v>
      </c>
    </row>
    <row r="163" spans="1:41" hidden="1" x14ac:dyDescent="0.3">
      <c r="A163" t="str">
        <f t="shared" si="20"/>
        <v>311abr</v>
      </c>
      <c r="B163" t="str">
        <f t="shared" si="21"/>
        <v>ESTEBAN ARCEabr</v>
      </c>
      <c r="C163" s="1" t="s">
        <v>79</v>
      </c>
      <c r="D163" s="1" t="s">
        <v>13</v>
      </c>
      <c r="E163" s="1">
        <v>311</v>
      </c>
      <c r="F163" s="1" t="s">
        <v>119</v>
      </c>
      <c r="G163" s="1" t="s">
        <v>119</v>
      </c>
      <c r="H163" s="1" t="s">
        <v>119</v>
      </c>
      <c r="I163" s="1" t="s">
        <v>124</v>
      </c>
      <c r="J163" s="1" t="s">
        <v>129</v>
      </c>
      <c r="K163" t="s">
        <v>83</v>
      </c>
      <c r="L163" s="6">
        <v>0</v>
      </c>
      <c r="M163" s="6">
        <v>0</v>
      </c>
      <c r="N163" s="6">
        <v>28703.459999999995</v>
      </c>
      <c r="O163" s="6">
        <v>12976.209999999995</v>
      </c>
      <c r="P163" s="6">
        <v>31889.75598999998</v>
      </c>
      <c r="Q163" s="6">
        <v>14559.355856749989</v>
      </c>
      <c r="R163" s="6">
        <v>30498.910000000014</v>
      </c>
      <c r="S163" s="6">
        <v>13847.41683669295</v>
      </c>
      <c r="T163" s="6">
        <v>30498.910000000025</v>
      </c>
      <c r="U163" s="6">
        <v>13819.960000000025</v>
      </c>
      <c r="V163" s="30">
        <v>34463.768300000018</v>
      </c>
      <c r="W163" s="30">
        <v>15616.554800000022</v>
      </c>
      <c r="X163" s="30">
        <v>36531.594398000016</v>
      </c>
      <c r="Y163" s="30">
        <v>17617.021595752994</v>
      </c>
      <c r="Z163" s="30">
        <v>0</v>
      </c>
      <c r="AA163" s="30">
        <v>0</v>
      </c>
      <c r="AB163" s="34">
        <v>0</v>
      </c>
      <c r="AC163" s="34">
        <v>0.51895624763419101</v>
      </c>
      <c r="AD163" s="34">
        <v>0.57595518049572492</v>
      </c>
      <c r="AE163" s="34">
        <v>0.57595518049572492</v>
      </c>
      <c r="AF163" s="34">
        <v>0.57595518049572492</v>
      </c>
      <c r="AG163" s="34">
        <v>0.70000000000000007</v>
      </c>
      <c r="AH163" s="34">
        <v>0</v>
      </c>
      <c r="AI163" s="37">
        <f t="shared" si="22"/>
        <v>0</v>
      </c>
      <c r="AJ163" s="37">
        <f t="shared" si="23"/>
        <v>14895.839895718094</v>
      </c>
      <c r="AK163" s="37">
        <f t="shared" si="24"/>
        <v>17566.005213972883</v>
      </c>
      <c r="AL163" s="37">
        <f t="shared" si="25"/>
        <v>17566.00521397288</v>
      </c>
      <c r="AM163" s="37">
        <f t="shared" si="26"/>
        <v>19849.585891789353</v>
      </c>
      <c r="AN163" s="37">
        <f t="shared" si="27"/>
        <v>25572.116078600015</v>
      </c>
      <c r="AO163" s="37">
        <f t="shared" si="28"/>
        <v>0</v>
      </c>
    </row>
    <row r="164" spans="1:41" hidden="1" x14ac:dyDescent="0.3">
      <c r="A164" t="str">
        <f t="shared" si="20"/>
        <v>311may</v>
      </c>
      <c r="B164" t="str">
        <f t="shared" si="21"/>
        <v>ESTEBAN ARCEmay</v>
      </c>
      <c r="C164" s="1" t="s">
        <v>79</v>
      </c>
      <c r="D164" s="1" t="s">
        <v>13</v>
      </c>
      <c r="E164" s="1">
        <v>311</v>
      </c>
      <c r="F164" s="1" t="s">
        <v>119</v>
      </c>
      <c r="G164" s="1" t="s">
        <v>119</v>
      </c>
      <c r="H164" s="1" t="s">
        <v>119</v>
      </c>
      <c r="I164" s="1" t="s">
        <v>124</v>
      </c>
      <c r="J164" s="1" t="s">
        <v>129</v>
      </c>
      <c r="K164" t="s">
        <v>84</v>
      </c>
      <c r="L164" s="6">
        <v>0</v>
      </c>
      <c r="M164" s="6">
        <v>0</v>
      </c>
      <c r="N164" s="6">
        <v>24551.379999999997</v>
      </c>
      <c r="O164" s="6">
        <v>11434.399999999998</v>
      </c>
      <c r="P164" s="6">
        <v>36903.350209999982</v>
      </c>
      <c r="Q164" s="6">
        <v>15984.21914949999</v>
      </c>
      <c r="R164" s="6">
        <v>34525.729999999996</v>
      </c>
      <c r="S164" s="6">
        <v>16051.431946346856</v>
      </c>
      <c r="T164" s="6">
        <v>34525.73000000001</v>
      </c>
      <c r="U164" s="6">
        <v>15997.69000000001</v>
      </c>
      <c r="V164" s="30">
        <v>35216.244600000013</v>
      </c>
      <c r="W164" s="30">
        <v>16317.643800000011</v>
      </c>
      <c r="X164" s="30">
        <v>36977.056830000016</v>
      </c>
      <c r="Y164" s="30">
        <v>17831.841710066707</v>
      </c>
      <c r="Z164" s="30">
        <v>0</v>
      </c>
      <c r="AA164" s="30">
        <v>0</v>
      </c>
      <c r="AB164" s="34">
        <v>0</v>
      </c>
      <c r="AC164" s="34">
        <v>0.51880667059239582</v>
      </c>
      <c r="AD164" s="34">
        <v>0.62744149624252021</v>
      </c>
      <c r="AE164" s="34">
        <v>0.62744149624252066</v>
      </c>
      <c r="AF164" s="34">
        <v>0.62744149624252066</v>
      </c>
      <c r="AG164" s="34">
        <v>0.7</v>
      </c>
      <c r="AH164" s="34">
        <v>0</v>
      </c>
      <c r="AI164" s="37">
        <f t="shared" si="22"/>
        <v>0</v>
      </c>
      <c r="AJ164" s="37">
        <f t="shared" si="23"/>
        <v>12737.419716248734</v>
      </c>
      <c r="AK164" s="37">
        <f t="shared" si="24"/>
        <v>21662.875690065273</v>
      </c>
      <c r="AL164" s="37">
        <f t="shared" si="25"/>
        <v>21662.875690065281</v>
      </c>
      <c r="AM164" s="37">
        <f t="shared" si="26"/>
        <v>22096.133203866597</v>
      </c>
      <c r="AN164" s="37">
        <f t="shared" si="27"/>
        <v>25883.939781000008</v>
      </c>
      <c r="AO164" s="37">
        <f t="shared" si="28"/>
        <v>0</v>
      </c>
    </row>
    <row r="165" spans="1:41" hidden="1" x14ac:dyDescent="0.3">
      <c r="A165" t="str">
        <f t="shared" si="20"/>
        <v>311jun</v>
      </c>
      <c r="B165" t="str">
        <f t="shared" si="21"/>
        <v>ESTEBAN ARCEjun</v>
      </c>
      <c r="C165" s="1" t="s">
        <v>79</v>
      </c>
      <c r="D165" s="1" t="s">
        <v>13</v>
      </c>
      <c r="E165" s="1">
        <v>311</v>
      </c>
      <c r="F165" s="1" t="s">
        <v>119</v>
      </c>
      <c r="G165" s="1" t="s">
        <v>119</v>
      </c>
      <c r="H165" s="1" t="s">
        <v>119</v>
      </c>
      <c r="I165" s="1" t="s">
        <v>124</v>
      </c>
      <c r="J165" s="1" t="s">
        <v>129</v>
      </c>
      <c r="K165" t="s">
        <v>85</v>
      </c>
      <c r="L165" s="6">
        <v>0</v>
      </c>
      <c r="M165" s="6">
        <v>0</v>
      </c>
      <c r="N165" s="6">
        <v>19872.32</v>
      </c>
      <c r="O165" s="6">
        <v>9490.6400000000012</v>
      </c>
      <c r="P165" s="6">
        <v>31168.211749999988</v>
      </c>
      <c r="Q165" s="6">
        <v>14322.261177499995</v>
      </c>
      <c r="R165" s="6">
        <v>34484.159999999996</v>
      </c>
      <c r="S165" s="6">
        <v>15340.289999999975</v>
      </c>
      <c r="T165" s="6">
        <v>34484.160000000011</v>
      </c>
      <c r="U165" s="6">
        <v>15340.290000000012</v>
      </c>
      <c r="V165" s="30">
        <v>35173.843200000003</v>
      </c>
      <c r="W165" s="30">
        <v>15647.095800000008</v>
      </c>
      <c r="X165" s="30">
        <v>36932.535360000002</v>
      </c>
      <c r="Y165" s="30">
        <v>17810.3716452806</v>
      </c>
      <c r="Z165" s="30">
        <v>0</v>
      </c>
      <c r="AA165" s="30">
        <v>0</v>
      </c>
      <c r="AB165" s="34">
        <v>0</v>
      </c>
      <c r="AC165" s="34">
        <v>0.5877832371728362</v>
      </c>
      <c r="AD165" s="34">
        <v>0.62685302469307613</v>
      </c>
      <c r="AE165" s="34">
        <v>0.62685302469307613</v>
      </c>
      <c r="AF165" s="34">
        <v>0.62685302469307613</v>
      </c>
      <c r="AG165" s="34">
        <v>0.7</v>
      </c>
      <c r="AH165" s="34">
        <v>0</v>
      </c>
      <c r="AI165" s="37">
        <f t="shared" si="22"/>
        <v>0</v>
      </c>
      <c r="AJ165" s="37">
        <f t="shared" si="23"/>
        <v>11680.616579734497</v>
      </c>
      <c r="AK165" s="37">
        <f t="shared" si="24"/>
        <v>21616.499999999996</v>
      </c>
      <c r="AL165" s="37">
        <f t="shared" si="25"/>
        <v>21616.499999999985</v>
      </c>
      <c r="AM165" s="37">
        <f t="shared" si="26"/>
        <v>22048.829999999991</v>
      </c>
      <c r="AN165" s="37">
        <f t="shared" si="27"/>
        <v>25852.774752000001</v>
      </c>
      <c r="AO165" s="37">
        <f t="shared" si="28"/>
        <v>0</v>
      </c>
    </row>
    <row r="166" spans="1:41" hidden="1" x14ac:dyDescent="0.3">
      <c r="A166" t="str">
        <f t="shared" si="20"/>
        <v>311jul</v>
      </c>
      <c r="B166" t="str">
        <f t="shared" si="21"/>
        <v>ESTEBAN ARCEjul</v>
      </c>
      <c r="C166" s="1" t="s">
        <v>79</v>
      </c>
      <c r="D166" s="1" t="s">
        <v>13</v>
      </c>
      <c r="E166" s="1">
        <v>311</v>
      </c>
      <c r="F166" s="1" t="s">
        <v>119</v>
      </c>
      <c r="G166" s="1" t="s">
        <v>119</v>
      </c>
      <c r="H166" s="1" t="s">
        <v>119</v>
      </c>
      <c r="I166" s="1" t="s">
        <v>124</v>
      </c>
      <c r="J166" s="1" t="s">
        <v>129</v>
      </c>
      <c r="K166" t="s">
        <v>86</v>
      </c>
      <c r="L166" s="6">
        <v>0</v>
      </c>
      <c r="M166" s="6">
        <v>0</v>
      </c>
      <c r="N166" s="6">
        <v>39912.629999999997</v>
      </c>
      <c r="O166" s="6">
        <v>18778.769999999997</v>
      </c>
      <c r="P166" s="6">
        <v>33764.825499999992</v>
      </c>
      <c r="Q166" s="6">
        <v>16020.558759999996</v>
      </c>
      <c r="R166" s="6">
        <v>36938.569999999992</v>
      </c>
      <c r="S166" s="6">
        <v>18752.830000000005</v>
      </c>
      <c r="T166" s="6">
        <v>36938.569999999992</v>
      </c>
      <c r="U166" s="6">
        <v>18752.829999999987</v>
      </c>
      <c r="V166" s="30">
        <v>37677.341399999968</v>
      </c>
      <c r="W166" s="30">
        <v>19127.886599999973</v>
      </c>
      <c r="X166" s="30">
        <v>39561.208469999969</v>
      </c>
      <c r="Y166" s="30">
        <v>19078.024801683208</v>
      </c>
      <c r="Z166" s="30">
        <v>0</v>
      </c>
      <c r="AA166" s="30">
        <v>0</v>
      </c>
      <c r="AB166" s="34">
        <v>0</v>
      </c>
      <c r="AC166" s="34">
        <v>0.57202346291382622</v>
      </c>
      <c r="AD166" s="34">
        <v>0.76664120998728436</v>
      </c>
      <c r="AE166" s="34">
        <v>0.76664120998728436</v>
      </c>
      <c r="AF166" s="34">
        <v>0.76664120998728436</v>
      </c>
      <c r="AG166" s="34">
        <v>0.70000000000000007</v>
      </c>
      <c r="AH166" s="34">
        <v>0</v>
      </c>
      <c r="AI166" s="37">
        <f t="shared" si="22"/>
        <v>0</v>
      </c>
      <c r="AJ166" s="37">
        <f t="shared" si="23"/>
        <v>22830.960826598268</v>
      </c>
      <c r="AK166" s="37">
        <f t="shared" si="24"/>
        <v>28318.629999999997</v>
      </c>
      <c r="AL166" s="37">
        <f t="shared" si="25"/>
        <v>28318.629999999997</v>
      </c>
      <c r="AM166" s="37">
        <f t="shared" si="26"/>
        <v>28885.002599999978</v>
      </c>
      <c r="AN166" s="37">
        <f t="shared" si="27"/>
        <v>27692.845928999981</v>
      </c>
      <c r="AO166" s="37">
        <f t="shared" si="28"/>
        <v>0</v>
      </c>
    </row>
    <row r="167" spans="1:41" hidden="1" x14ac:dyDescent="0.3">
      <c r="A167" t="str">
        <f t="shared" si="20"/>
        <v>311ago</v>
      </c>
      <c r="B167" t="str">
        <f t="shared" si="21"/>
        <v>ESTEBAN ARCEago</v>
      </c>
      <c r="C167" s="1" t="s">
        <v>79</v>
      </c>
      <c r="D167" s="1" t="s">
        <v>13</v>
      </c>
      <c r="E167" s="1">
        <v>311</v>
      </c>
      <c r="F167" s="1" t="s">
        <v>119</v>
      </c>
      <c r="G167" s="1" t="s">
        <v>119</v>
      </c>
      <c r="H167" s="1" t="s">
        <v>119</v>
      </c>
      <c r="I167" s="1" t="s">
        <v>124</v>
      </c>
      <c r="J167" s="1" t="s">
        <v>129</v>
      </c>
      <c r="K167" t="s">
        <v>87</v>
      </c>
      <c r="L167" s="6">
        <v>0</v>
      </c>
      <c r="M167" s="6">
        <v>0</v>
      </c>
      <c r="N167" s="6">
        <v>69921.049999999988</v>
      </c>
      <c r="O167" s="6">
        <v>25228.589999999989</v>
      </c>
      <c r="P167" s="6">
        <v>75669.200400000031</v>
      </c>
      <c r="Q167" s="6">
        <v>27106.659282500004</v>
      </c>
      <c r="R167" s="6">
        <v>69045.085553623867</v>
      </c>
      <c r="S167" s="6">
        <v>25644.725676326976</v>
      </c>
      <c r="T167" s="6">
        <v>83338.309999999954</v>
      </c>
      <c r="U167" s="6">
        <v>32467.499999999971</v>
      </c>
      <c r="V167" s="30">
        <v>85005.076200000025</v>
      </c>
      <c r="W167" s="30">
        <v>31572.585402204008</v>
      </c>
      <c r="X167" s="30">
        <v>90955.431534000032</v>
      </c>
      <c r="Y167" s="30">
        <v>37072.668270080925</v>
      </c>
      <c r="Z167" s="30">
        <v>0</v>
      </c>
      <c r="AA167" s="30">
        <v>0</v>
      </c>
      <c r="AB167" s="34">
        <v>0</v>
      </c>
      <c r="AC167" s="34">
        <v>0.25113632029225114</v>
      </c>
      <c r="AD167" s="34">
        <v>0.32682604194877618</v>
      </c>
      <c r="AE167" s="34">
        <v>0.27</v>
      </c>
      <c r="AF167" s="34">
        <v>0.27</v>
      </c>
      <c r="AG167" s="34">
        <v>0.39</v>
      </c>
      <c r="AH167" s="34">
        <v>0</v>
      </c>
      <c r="AI167" s="37">
        <f t="shared" si="22"/>
        <v>0</v>
      </c>
      <c r="AJ167" s="37">
        <f t="shared" si="23"/>
        <v>17559.715207970505</v>
      </c>
      <c r="AK167" s="37">
        <f t="shared" si="24"/>
        <v>27237.130000000099</v>
      </c>
      <c r="AL167" s="37">
        <f t="shared" si="25"/>
        <v>18642.173099478445</v>
      </c>
      <c r="AM167" s="37">
        <f t="shared" si="26"/>
        <v>22951.370574000008</v>
      </c>
      <c r="AN167" s="37">
        <f t="shared" si="27"/>
        <v>35472.618298260015</v>
      </c>
      <c r="AO167" s="37">
        <f t="shared" si="28"/>
        <v>0</v>
      </c>
    </row>
    <row r="168" spans="1:41" hidden="1" x14ac:dyDescent="0.3">
      <c r="A168" t="str">
        <f t="shared" si="20"/>
        <v>311sep</v>
      </c>
      <c r="B168" t="str">
        <f t="shared" si="21"/>
        <v>ESTEBAN ARCEsep</v>
      </c>
      <c r="C168" s="1" t="s">
        <v>79</v>
      </c>
      <c r="D168" s="1" t="s">
        <v>13</v>
      </c>
      <c r="E168" s="1">
        <v>311</v>
      </c>
      <c r="F168" s="1" t="s">
        <v>119</v>
      </c>
      <c r="G168" s="1" t="s">
        <v>119</v>
      </c>
      <c r="H168" s="1" t="s">
        <v>119</v>
      </c>
      <c r="I168" s="1" t="s">
        <v>124</v>
      </c>
      <c r="J168" s="1" t="s">
        <v>129</v>
      </c>
      <c r="K168" t="s">
        <v>88</v>
      </c>
      <c r="L168" s="6">
        <v>0</v>
      </c>
      <c r="M168" s="6">
        <v>0</v>
      </c>
      <c r="N168" s="6">
        <v>42263.259999999995</v>
      </c>
      <c r="O168" s="6">
        <v>18132.909999999996</v>
      </c>
      <c r="P168" s="6">
        <v>31994.676209999991</v>
      </c>
      <c r="Q168" s="6">
        <v>14344.337359099995</v>
      </c>
      <c r="R168" s="6">
        <v>32308.224036857991</v>
      </c>
      <c r="S168" s="6">
        <v>14493.469302934496</v>
      </c>
      <c r="T168" s="6">
        <v>30020.729999999996</v>
      </c>
      <c r="U168" s="6">
        <v>14568.779999999995</v>
      </c>
      <c r="V168" s="30">
        <v>31521.766499999998</v>
      </c>
      <c r="W168" s="30">
        <v>15297.218999999996</v>
      </c>
      <c r="X168" s="30">
        <v>35619.596144999996</v>
      </c>
      <c r="Y168" s="30">
        <v>17005.672381759392</v>
      </c>
      <c r="Z168" s="30">
        <v>0</v>
      </c>
      <c r="AA168" s="30">
        <v>0</v>
      </c>
      <c r="AB168" s="34">
        <v>0</v>
      </c>
      <c r="AC168" s="34">
        <v>0.46314216448381362</v>
      </c>
      <c r="AD168" s="34">
        <v>0.69736745242370868</v>
      </c>
      <c r="AE168" s="34">
        <v>0.55000000000000004</v>
      </c>
      <c r="AF168" s="34">
        <v>0.55000000000000004</v>
      </c>
      <c r="AG168" s="34">
        <v>0.68</v>
      </c>
      <c r="AH168" s="34">
        <v>0</v>
      </c>
      <c r="AI168" s="37">
        <f t="shared" si="22"/>
        <v>0</v>
      </c>
      <c r="AJ168" s="37">
        <f t="shared" si="23"/>
        <v>19573.897714542178</v>
      </c>
      <c r="AK168" s="37">
        <f t="shared" si="24"/>
        <v>20935.48</v>
      </c>
      <c r="AL168" s="37">
        <f t="shared" si="25"/>
        <v>17769.523220271898</v>
      </c>
      <c r="AM168" s="37">
        <f t="shared" si="26"/>
        <v>17336.971575</v>
      </c>
      <c r="AN168" s="37">
        <f t="shared" si="27"/>
        <v>24221.325378599999</v>
      </c>
      <c r="AO168" s="37">
        <f t="shared" si="28"/>
        <v>0</v>
      </c>
    </row>
    <row r="169" spans="1:41" hidden="1" x14ac:dyDescent="0.3">
      <c r="A169" t="str">
        <f t="shared" si="20"/>
        <v>311oct</v>
      </c>
      <c r="B169" t="str">
        <f t="shared" si="21"/>
        <v>ESTEBAN ARCEoct</v>
      </c>
      <c r="C169" s="1" t="s">
        <v>79</v>
      </c>
      <c r="D169" s="1" t="s">
        <v>13</v>
      </c>
      <c r="E169" s="1">
        <v>311</v>
      </c>
      <c r="F169" s="1" t="s">
        <v>119</v>
      </c>
      <c r="G169" s="1" t="s">
        <v>119</v>
      </c>
      <c r="H169" s="1" t="s">
        <v>119</v>
      </c>
      <c r="I169" s="1" t="s">
        <v>124</v>
      </c>
      <c r="J169" s="1" t="s">
        <v>129</v>
      </c>
      <c r="K169" t="s">
        <v>89</v>
      </c>
      <c r="L169" s="6">
        <v>0</v>
      </c>
      <c r="M169" s="6">
        <v>0</v>
      </c>
      <c r="N169" s="6">
        <v>37954.709999999992</v>
      </c>
      <c r="O169" s="6">
        <v>17063.759999999995</v>
      </c>
      <c r="P169" s="6">
        <v>34003.840964999989</v>
      </c>
      <c r="Q169" s="6">
        <v>15584.893985149994</v>
      </c>
      <c r="R169" s="6">
        <v>34337.078606456991</v>
      </c>
      <c r="S169" s="6">
        <v>16389.087618861922</v>
      </c>
      <c r="T169" s="6">
        <v>39113.930000000037</v>
      </c>
      <c r="U169" s="6">
        <v>19913.700000000055</v>
      </c>
      <c r="V169" s="30">
        <v>39113.929999999993</v>
      </c>
      <c r="W169" s="30">
        <v>18669.078788999996</v>
      </c>
      <c r="X169" s="30">
        <v>41069.626499999991</v>
      </c>
      <c r="Y169" s="30">
        <v>19805.44536593289</v>
      </c>
      <c r="Z169" s="30">
        <v>0</v>
      </c>
      <c r="AA169" s="30">
        <v>0</v>
      </c>
      <c r="AB169" s="34">
        <v>0</v>
      </c>
      <c r="AC169" s="34">
        <v>0.55573888718053244</v>
      </c>
      <c r="AD169" s="34">
        <v>0.56419030253416147</v>
      </c>
      <c r="AE169" s="34">
        <v>0.65</v>
      </c>
      <c r="AF169" s="34">
        <v>0.65</v>
      </c>
      <c r="AG169" s="34">
        <v>0.70000000000000007</v>
      </c>
      <c r="AH169" s="34">
        <v>0</v>
      </c>
      <c r="AI169" s="37">
        <f t="shared" si="22"/>
        <v>0</v>
      </c>
      <c r="AJ169" s="37">
        <f t="shared" si="23"/>
        <v>21092.908298659822</v>
      </c>
      <c r="AK169" s="37">
        <f t="shared" si="24"/>
        <v>22067.700000000033</v>
      </c>
      <c r="AL169" s="37">
        <f t="shared" si="25"/>
        <v>22319.101094197045</v>
      </c>
      <c r="AM169" s="37">
        <f t="shared" si="26"/>
        <v>25424.054499999995</v>
      </c>
      <c r="AN169" s="37">
        <f t="shared" si="27"/>
        <v>28748.738549999998</v>
      </c>
      <c r="AO169" s="37">
        <f t="shared" si="28"/>
        <v>0</v>
      </c>
    </row>
    <row r="170" spans="1:41" hidden="1" x14ac:dyDescent="0.3">
      <c r="A170" t="str">
        <f t="shared" si="20"/>
        <v>311nov</v>
      </c>
      <c r="B170" t="str">
        <f t="shared" si="21"/>
        <v>ESTEBAN ARCEnov</v>
      </c>
      <c r="C170" s="1" t="s">
        <v>79</v>
      </c>
      <c r="D170" s="1" t="s">
        <v>13</v>
      </c>
      <c r="E170" s="1">
        <v>311</v>
      </c>
      <c r="F170" s="1" t="s">
        <v>119</v>
      </c>
      <c r="G170" s="1" t="s">
        <v>119</v>
      </c>
      <c r="H170" s="1" t="s">
        <v>119</v>
      </c>
      <c r="I170" s="1" t="s">
        <v>124</v>
      </c>
      <c r="J170" s="1" t="s">
        <v>129</v>
      </c>
      <c r="K170" t="s">
        <v>90</v>
      </c>
      <c r="L170" s="6">
        <v>0</v>
      </c>
      <c r="M170" s="6">
        <v>0</v>
      </c>
      <c r="N170" s="6">
        <v>33359.58</v>
      </c>
      <c r="O170" s="6">
        <v>14751.999999999996</v>
      </c>
      <c r="P170" s="6">
        <v>40645.603574999986</v>
      </c>
      <c r="Q170" s="6">
        <v>17165.137449499995</v>
      </c>
      <c r="R170" s="6">
        <v>40629.345333569981</v>
      </c>
      <c r="S170" s="6">
        <v>16442.696056495774</v>
      </c>
      <c r="T170" s="6">
        <v>44616.666666666657</v>
      </c>
      <c r="U170" s="6">
        <v>18099.177546582941</v>
      </c>
      <c r="V170" s="30">
        <v>44616.666666666657</v>
      </c>
      <c r="W170" s="30">
        <v>18056.364999999998</v>
      </c>
      <c r="X170" s="30">
        <v>46847.499999999993</v>
      </c>
      <c r="Y170" s="30">
        <v>20561.182721872559</v>
      </c>
      <c r="Z170" s="30">
        <v>0</v>
      </c>
      <c r="AA170" s="30">
        <v>0</v>
      </c>
      <c r="AB170" s="34">
        <v>0</v>
      </c>
      <c r="AC170" s="34">
        <v>0.45334830283297772</v>
      </c>
      <c r="AD170" s="34">
        <v>0.32682604194877618</v>
      </c>
      <c r="AE170" s="34">
        <v>0.35</v>
      </c>
      <c r="AF170" s="34">
        <v>0.35</v>
      </c>
      <c r="AG170" s="34">
        <v>0.52</v>
      </c>
      <c r="AH170" s="34">
        <v>0</v>
      </c>
      <c r="AI170" s="37">
        <f t="shared" si="22"/>
        <v>0</v>
      </c>
      <c r="AJ170" s="37">
        <f t="shared" si="23"/>
        <v>15123.508976220948</v>
      </c>
      <c r="AK170" s="37">
        <f t="shared" si="24"/>
        <v>14581.888571614561</v>
      </c>
      <c r="AL170" s="37">
        <f t="shared" si="25"/>
        <v>14220.270866749494</v>
      </c>
      <c r="AM170" s="37">
        <f t="shared" si="26"/>
        <v>15615.833333333328</v>
      </c>
      <c r="AN170" s="37">
        <f t="shared" si="27"/>
        <v>24360.699999999997</v>
      </c>
      <c r="AO170" s="37">
        <f t="shared" si="28"/>
        <v>0</v>
      </c>
    </row>
    <row r="171" spans="1:41" hidden="1" x14ac:dyDescent="0.3">
      <c r="A171" t="str">
        <f t="shared" si="20"/>
        <v>311dic</v>
      </c>
      <c r="B171" t="str">
        <f t="shared" si="21"/>
        <v>ESTEBAN ARCEdic</v>
      </c>
      <c r="C171" s="1" t="s">
        <v>79</v>
      </c>
      <c r="D171" s="1" t="s">
        <v>13</v>
      </c>
      <c r="E171" s="1">
        <v>311</v>
      </c>
      <c r="F171" s="1" t="s">
        <v>119</v>
      </c>
      <c r="G171" s="1" t="s">
        <v>119</v>
      </c>
      <c r="H171" s="1" t="s">
        <v>119</v>
      </c>
      <c r="I171" s="1" t="s">
        <v>124</v>
      </c>
      <c r="J171" s="1" t="s">
        <v>129</v>
      </c>
      <c r="K171" t="s">
        <v>91</v>
      </c>
      <c r="L171" s="6">
        <v>0</v>
      </c>
      <c r="M171" s="6">
        <v>0</v>
      </c>
      <c r="N171" s="6">
        <v>72635.799999999988</v>
      </c>
      <c r="O171" s="6">
        <v>34724.859999999986</v>
      </c>
      <c r="P171" s="6">
        <v>74788.409150000036</v>
      </c>
      <c r="Q171" s="6">
        <v>36849.741793250018</v>
      </c>
      <c r="R171" s="6">
        <v>74758.493786340026</v>
      </c>
      <c r="S171" s="6">
        <v>35076.685284550746</v>
      </c>
      <c r="T171" s="6">
        <v>74281.321839080469</v>
      </c>
      <c r="U171" s="6">
        <v>36289.488516287434</v>
      </c>
      <c r="V171" s="30">
        <v>74758.493786340026</v>
      </c>
      <c r="W171" s="30">
        <v>35076.685284550746</v>
      </c>
      <c r="X171" s="30">
        <v>79991.588351383834</v>
      </c>
      <c r="Y171" s="30">
        <v>38189.954183159491</v>
      </c>
      <c r="Z171" s="30">
        <v>0</v>
      </c>
      <c r="AA171" s="30">
        <v>0</v>
      </c>
      <c r="AB171" s="34">
        <v>0</v>
      </c>
      <c r="AC171" s="34">
        <v>0.61169035612199363</v>
      </c>
      <c r="AD171" s="34">
        <v>0.45046257750603808</v>
      </c>
      <c r="AE171" s="34">
        <v>0.6</v>
      </c>
      <c r="AF171" s="34">
        <v>0.6</v>
      </c>
      <c r="AG171" s="34">
        <v>0.68</v>
      </c>
      <c r="AH171" s="34">
        <v>0</v>
      </c>
      <c r="AI171" s="37">
        <f t="shared" si="22"/>
        <v>0</v>
      </c>
      <c r="AJ171" s="37">
        <f t="shared" si="23"/>
        <v>44430.618369205898</v>
      </c>
      <c r="AK171" s="37">
        <f t="shared" si="24"/>
        <v>33460.955696187746</v>
      </c>
      <c r="AL171" s="37">
        <f t="shared" si="25"/>
        <v>44855.096271804017</v>
      </c>
      <c r="AM171" s="37">
        <f t="shared" si="26"/>
        <v>44855.096271804017</v>
      </c>
      <c r="AN171" s="37">
        <f t="shared" si="27"/>
        <v>54394.28007894101</v>
      </c>
      <c r="AO171" s="37">
        <f t="shared" si="28"/>
        <v>0</v>
      </c>
    </row>
    <row r="172" spans="1:41" hidden="1" x14ac:dyDescent="0.3">
      <c r="A172" t="str">
        <f t="shared" si="20"/>
        <v>413ene</v>
      </c>
      <c r="B172" t="str">
        <f t="shared" si="21"/>
        <v>FAIR PLAY LAS BRISASene</v>
      </c>
      <c r="C172" s="1" t="s">
        <v>79</v>
      </c>
      <c r="D172" s="1" t="s">
        <v>14</v>
      </c>
      <c r="E172" s="1">
        <v>413</v>
      </c>
      <c r="F172" s="1" t="s">
        <v>119</v>
      </c>
      <c r="G172" s="1" t="s">
        <v>119</v>
      </c>
      <c r="H172" s="1" t="s">
        <v>119</v>
      </c>
      <c r="I172" s="1" t="s">
        <v>127</v>
      </c>
      <c r="J172" s="1" t="s">
        <v>130</v>
      </c>
      <c r="K172" t="s">
        <v>80</v>
      </c>
      <c r="L172" s="6">
        <v>113652.45</v>
      </c>
      <c r="M172" s="6">
        <v>60163.049999999981</v>
      </c>
      <c r="N172" s="6">
        <v>77482.739999999976</v>
      </c>
      <c r="O172" s="6">
        <v>41439.819999999978</v>
      </c>
      <c r="P172" s="6">
        <v>105478.7076833334</v>
      </c>
      <c r="Q172" s="6">
        <v>55990.42332333338</v>
      </c>
      <c r="R172" s="6">
        <v>79863.210000000079</v>
      </c>
      <c r="S172" s="6">
        <v>41840.567913876373</v>
      </c>
      <c r="T172" s="6">
        <v>79863.210000000021</v>
      </c>
      <c r="U172" s="6">
        <v>42047.450000000004</v>
      </c>
      <c r="V172" s="30">
        <v>105478.7076833334</v>
      </c>
      <c r="W172" s="30">
        <v>55533.839516087275</v>
      </c>
      <c r="X172" s="30">
        <v>116026.57845166676</v>
      </c>
      <c r="Y172" s="30">
        <v>62115.702287470049</v>
      </c>
      <c r="Z172" s="30">
        <v>108129.31034482748</v>
      </c>
      <c r="AA172" s="30">
        <v>60202.874177290061</v>
      </c>
      <c r="AB172" s="34">
        <v>0.82414167050512388</v>
      </c>
      <c r="AC172" s="34">
        <v>0.88852833314086577</v>
      </c>
      <c r="AD172" s="34">
        <v>0.85996886597409039</v>
      </c>
      <c r="AE172" s="34">
        <v>0.85996886597409006</v>
      </c>
      <c r="AF172" s="34">
        <v>0.85996886597409006</v>
      </c>
      <c r="AG172" s="34">
        <v>0.9</v>
      </c>
      <c r="AH172" s="34">
        <v>0.97674400063780586</v>
      </c>
      <c r="AI172" s="37">
        <f t="shared" si="22"/>
        <v>93665.720000000059</v>
      </c>
      <c r="AJ172" s="37">
        <f t="shared" si="23"/>
        <v>68845.609819387071</v>
      </c>
      <c r="AK172" s="37">
        <f t="shared" si="24"/>
        <v>68679.874136750659</v>
      </c>
      <c r="AL172" s="37">
        <f t="shared" si="25"/>
        <v>68679.874136750674</v>
      </c>
      <c r="AM172" s="37">
        <f t="shared" si="26"/>
        <v>90708.40463084876</v>
      </c>
      <c r="AN172" s="37">
        <f t="shared" si="27"/>
        <v>104423.92060650009</v>
      </c>
      <c r="AO172" s="37">
        <f t="shared" si="28"/>
        <v>105614.65517241368</v>
      </c>
    </row>
    <row r="173" spans="1:41" hidden="1" x14ac:dyDescent="0.3">
      <c r="A173" t="str">
        <f t="shared" si="20"/>
        <v>413feb</v>
      </c>
      <c r="B173" t="str">
        <f t="shared" si="21"/>
        <v>FAIR PLAY LAS BRISASfeb</v>
      </c>
      <c r="C173" s="1" t="s">
        <v>79</v>
      </c>
      <c r="D173" s="1" t="s">
        <v>14</v>
      </c>
      <c r="E173" s="1">
        <v>413</v>
      </c>
      <c r="F173" s="1" t="s">
        <v>119</v>
      </c>
      <c r="G173" s="1" t="s">
        <v>119</v>
      </c>
      <c r="H173" s="1" t="s">
        <v>119</v>
      </c>
      <c r="I173" s="1" t="s">
        <v>127</v>
      </c>
      <c r="J173" s="1" t="s">
        <v>130</v>
      </c>
      <c r="K173" t="s">
        <v>81</v>
      </c>
      <c r="L173" s="6">
        <v>186993.06999999995</v>
      </c>
      <c r="M173" s="6">
        <v>78054.849999999948</v>
      </c>
      <c r="N173" s="6">
        <v>112654.69</v>
      </c>
      <c r="O173" s="6">
        <v>48446.50999999998</v>
      </c>
      <c r="P173" s="6">
        <v>158514.81670000023</v>
      </c>
      <c r="Q173" s="6">
        <v>67172.22290500009</v>
      </c>
      <c r="R173" s="6">
        <v>156474.53000000026</v>
      </c>
      <c r="S173" s="6">
        <v>67084.403194584476</v>
      </c>
      <c r="T173" s="6">
        <v>156474.53000000038</v>
      </c>
      <c r="U173" s="6">
        <v>67127.220000000438</v>
      </c>
      <c r="V173" s="30">
        <v>158514.81670000023</v>
      </c>
      <c r="W173" s="30">
        <v>68002.498386674386</v>
      </c>
      <c r="X173" s="30">
        <v>164062.83528450027</v>
      </c>
      <c r="Y173" s="30">
        <v>75086.218237758265</v>
      </c>
      <c r="Z173" s="30">
        <v>161177.87356321851</v>
      </c>
      <c r="AA173" s="30">
        <v>73531.597531349093</v>
      </c>
      <c r="AB173" s="34">
        <v>0.37041067885563894</v>
      </c>
      <c r="AC173" s="34">
        <v>0.48490040569028625</v>
      </c>
      <c r="AD173" s="34">
        <v>0.26055391938639866</v>
      </c>
      <c r="AE173" s="34">
        <v>0.26055391938639899</v>
      </c>
      <c r="AF173" s="34">
        <v>0.26055391938639899</v>
      </c>
      <c r="AG173" s="34">
        <v>0.38999999999999996</v>
      </c>
      <c r="AH173" s="34">
        <v>0.42109809430931289</v>
      </c>
      <c r="AI173" s="37">
        <f t="shared" si="22"/>
        <v>69264.23</v>
      </c>
      <c r="AJ173" s="37">
        <f t="shared" si="23"/>
        <v>54626.304883913435</v>
      </c>
      <c r="AK173" s="37">
        <f t="shared" si="24"/>
        <v>40770.052075644715</v>
      </c>
      <c r="AL173" s="37">
        <f t="shared" si="25"/>
        <v>40770.052075644737</v>
      </c>
      <c r="AM173" s="37">
        <f t="shared" si="26"/>
        <v>41301.656772001676</v>
      </c>
      <c r="AN173" s="37">
        <f t="shared" si="27"/>
        <v>63984.5057609551</v>
      </c>
      <c r="AO173" s="37">
        <f t="shared" si="28"/>
        <v>67871.695402298705</v>
      </c>
    </row>
    <row r="174" spans="1:41" hidden="1" x14ac:dyDescent="0.3">
      <c r="A174" t="str">
        <f t="shared" si="20"/>
        <v>413mar</v>
      </c>
      <c r="B174" t="str">
        <f t="shared" si="21"/>
        <v>FAIR PLAY LAS BRISASmar</v>
      </c>
      <c r="C174" s="1" t="s">
        <v>79</v>
      </c>
      <c r="D174" s="1" t="s">
        <v>14</v>
      </c>
      <c r="E174" s="1">
        <v>413</v>
      </c>
      <c r="F174" s="1" t="s">
        <v>119</v>
      </c>
      <c r="G174" s="1" t="s">
        <v>119</v>
      </c>
      <c r="H174" s="1" t="s">
        <v>119</v>
      </c>
      <c r="I174" s="1" t="s">
        <v>127</v>
      </c>
      <c r="J174" s="1" t="s">
        <v>130</v>
      </c>
      <c r="K174" t="s">
        <v>82</v>
      </c>
      <c r="L174" s="6">
        <v>171021.19</v>
      </c>
      <c r="M174" s="6">
        <v>84480.889999999985</v>
      </c>
      <c r="N174" s="6">
        <v>154824.17999999996</v>
      </c>
      <c r="O174" s="6">
        <v>70193.919999999969</v>
      </c>
      <c r="P174" s="6">
        <v>126646.83438000016</v>
      </c>
      <c r="Q174" s="6">
        <v>60401.59043390007</v>
      </c>
      <c r="R174" s="6">
        <v>131580.32000000021</v>
      </c>
      <c r="S174" s="6">
        <v>65351.841105882893</v>
      </c>
      <c r="T174" s="6">
        <v>131580.32000000024</v>
      </c>
      <c r="U174" s="6">
        <v>65306.690000000162</v>
      </c>
      <c r="V174" s="30">
        <v>131580.32000000024</v>
      </c>
      <c r="W174" s="30">
        <v>65306.690000000162</v>
      </c>
      <c r="X174" s="30">
        <v>138159.33600000024</v>
      </c>
      <c r="Y174" s="30">
        <v>71649.54816468533</v>
      </c>
      <c r="Z174" s="30">
        <v>138660.37056584377</v>
      </c>
      <c r="AA174" s="30">
        <v>72242.053064804611</v>
      </c>
      <c r="AB174" s="34">
        <v>0.58603854879035844</v>
      </c>
      <c r="AC174" s="34">
        <v>0.48537746948384658</v>
      </c>
      <c r="AD174" s="34">
        <v>0.60174123809880675</v>
      </c>
      <c r="AE174" s="34">
        <v>0.60174123809880653</v>
      </c>
      <c r="AF174" s="34">
        <v>0.60174123809880653</v>
      </c>
      <c r="AG174" s="34">
        <v>0.79000000000000015</v>
      </c>
      <c r="AH174" s="34">
        <v>0.79253133983420776</v>
      </c>
      <c r="AI174" s="37">
        <f t="shared" si="22"/>
        <v>100225.01000000015</v>
      </c>
      <c r="AJ174" s="37">
        <f t="shared" si="23"/>
        <v>75148.16870331156</v>
      </c>
      <c r="AK174" s="37">
        <f t="shared" si="24"/>
        <v>79177.304666237324</v>
      </c>
      <c r="AL174" s="37">
        <f t="shared" si="25"/>
        <v>79177.30466623728</v>
      </c>
      <c r="AM174" s="37">
        <f t="shared" si="26"/>
        <v>79177.304666237294</v>
      </c>
      <c r="AN174" s="37">
        <f t="shared" si="27"/>
        <v>109145.87544000021</v>
      </c>
      <c r="AO174" s="37">
        <f t="shared" si="28"/>
        <v>109892.68926645591</v>
      </c>
    </row>
    <row r="175" spans="1:41" hidden="1" x14ac:dyDescent="0.3">
      <c r="A175" t="str">
        <f t="shared" si="20"/>
        <v>413abr</v>
      </c>
      <c r="B175" t="str">
        <f t="shared" si="21"/>
        <v>FAIR PLAY LAS BRISASabr</v>
      </c>
      <c r="C175" s="1" t="s">
        <v>79</v>
      </c>
      <c r="D175" s="1" t="s">
        <v>14</v>
      </c>
      <c r="E175" s="1">
        <v>413</v>
      </c>
      <c r="F175" s="1" t="s">
        <v>119</v>
      </c>
      <c r="G175" s="1" t="s">
        <v>119</v>
      </c>
      <c r="H175" s="1" t="s">
        <v>119</v>
      </c>
      <c r="I175" s="1" t="s">
        <v>127</v>
      </c>
      <c r="J175" s="1" t="s">
        <v>130</v>
      </c>
      <c r="K175" t="s">
        <v>83</v>
      </c>
      <c r="L175" s="6">
        <v>118049.61999999997</v>
      </c>
      <c r="M175" s="6">
        <v>63700.609999999971</v>
      </c>
      <c r="N175" s="6">
        <v>116950.53999999996</v>
      </c>
      <c r="O175" s="6">
        <v>64126.619999999966</v>
      </c>
      <c r="P175" s="6">
        <v>116602.97988000032</v>
      </c>
      <c r="Q175" s="6">
        <v>64305.633605400173</v>
      </c>
      <c r="R175" s="6">
        <v>117591.31000000019</v>
      </c>
      <c r="S175" s="6">
        <v>64340.522461145607</v>
      </c>
      <c r="T175" s="6">
        <v>117591.31000000008</v>
      </c>
      <c r="U175" s="6">
        <v>63687.259999999995</v>
      </c>
      <c r="V175" s="30">
        <v>117591.31000000006</v>
      </c>
      <c r="W175" s="30">
        <v>63687.25999999998</v>
      </c>
      <c r="X175" s="30">
        <v>125822.70170000006</v>
      </c>
      <c r="Y175" s="30">
        <v>66401.779979899438</v>
      </c>
      <c r="Z175" s="30">
        <v>0</v>
      </c>
      <c r="AA175" s="30">
        <v>0</v>
      </c>
      <c r="AB175" s="34">
        <v>0.83663454401632242</v>
      </c>
      <c r="AC175" s="34">
        <v>0.91775466779751569</v>
      </c>
      <c r="AD175" s="34">
        <v>0.8863806674200666</v>
      </c>
      <c r="AE175" s="34">
        <v>0.8863806674200656</v>
      </c>
      <c r="AF175" s="34">
        <v>0.8863806674200656</v>
      </c>
      <c r="AG175" s="34">
        <v>0.85000000000000009</v>
      </c>
      <c r="AH175" s="34">
        <v>0</v>
      </c>
      <c r="AI175" s="37">
        <f t="shared" si="22"/>
        <v>98764.390000000101</v>
      </c>
      <c r="AJ175" s="37">
        <f t="shared" si="23"/>
        <v>107331.90398644004</v>
      </c>
      <c r="AK175" s="37">
        <f t="shared" si="24"/>
        <v>104230.66384060003</v>
      </c>
      <c r="AL175" s="37">
        <f t="shared" si="25"/>
        <v>104230.6638406</v>
      </c>
      <c r="AM175" s="37">
        <f t="shared" si="26"/>
        <v>104230.66384059988</v>
      </c>
      <c r="AN175" s="37">
        <f t="shared" si="27"/>
        <v>106949.29644500006</v>
      </c>
      <c r="AO175" s="37">
        <f t="shared" si="28"/>
        <v>0</v>
      </c>
    </row>
    <row r="176" spans="1:41" hidden="1" x14ac:dyDescent="0.3">
      <c r="A176" t="str">
        <f t="shared" si="20"/>
        <v>413may</v>
      </c>
      <c r="B176" t="str">
        <f t="shared" si="21"/>
        <v>FAIR PLAY LAS BRISASmay</v>
      </c>
      <c r="C176" s="1" t="s">
        <v>79</v>
      </c>
      <c r="D176" s="1" t="s">
        <v>14</v>
      </c>
      <c r="E176" s="1">
        <v>413</v>
      </c>
      <c r="F176" s="1" t="s">
        <v>119</v>
      </c>
      <c r="G176" s="1" t="s">
        <v>119</v>
      </c>
      <c r="H176" s="1" t="s">
        <v>119</v>
      </c>
      <c r="I176" s="1" t="s">
        <v>127</v>
      </c>
      <c r="J176" s="1" t="s">
        <v>130</v>
      </c>
      <c r="K176" t="s">
        <v>84</v>
      </c>
      <c r="L176" s="6">
        <v>134617.96</v>
      </c>
      <c r="M176" s="6">
        <v>72573.219999999987</v>
      </c>
      <c r="N176" s="6">
        <v>126459.80999999997</v>
      </c>
      <c r="O176" s="6">
        <v>69097.919999999984</v>
      </c>
      <c r="P176" s="6">
        <v>113029.55294000015</v>
      </c>
      <c r="Q176" s="6">
        <v>57833.363082700082</v>
      </c>
      <c r="R176" s="6">
        <v>127137.16000000019</v>
      </c>
      <c r="S176" s="6">
        <v>71689.723422395444</v>
      </c>
      <c r="T176" s="6">
        <v>127137.16000000012</v>
      </c>
      <c r="U176" s="6">
        <v>70469.940000000075</v>
      </c>
      <c r="V176" s="30">
        <v>127137.16000000012</v>
      </c>
      <c r="W176" s="30">
        <v>70469.940000000075</v>
      </c>
      <c r="X176" s="30">
        <v>136036.76120000015</v>
      </c>
      <c r="Y176" s="30">
        <v>72828.30426970571</v>
      </c>
      <c r="Z176" s="30">
        <v>0</v>
      </c>
      <c r="AA176" s="30">
        <v>0</v>
      </c>
      <c r="AB176" s="34">
        <v>0.85277685087487665</v>
      </c>
      <c r="AC176" s="34">
        <v>0.93158648180641512</v>
      </c>
      <c r="AD176" s="34">
        <v>0.94355809976382155</v>
      </c>
      <c r="AE176" s="34">
        <v>0.94355809976382099</v>
      </c>
      <c r="AF176" s="34">
        <v>0.94355809976382099</v>
      </c>
      <c r="AG176" s="34">
        <v>0.9</v>
      </c>
      <c r="AH176" s="34">
        <v>0</v>
      </c>
      <c r="AI176" s="37">
        <f t="shared" si="22"/>
        <v>114799.0800000001</v>
      </c>
      <c r="AJ176" s="37">
        <f t="shared" si="23"/>
        <v>117808.24948780768</v>
      </c>
      <c r="AK176" s="37">
        <f t="shared" si="24"/>
        <v>119961.29709896905</v>
      </c>
      <c r="AL176" s="37">
        <f t="shared" si="25"/>
        <v>119961.29709896905</v>
      </c>
      <c r="AM176" s="37">
        <f t="shared" si="26"/>
        <v>119961.29709896898</v>
      </c>
      <c r="AN176" s="37">
        <f t="shared" si="27"/>
        <v>122433.08508000014</v>
      </c>
      <c r="AO176" s="37">
        <f t="shared" si="28"/>
        <v>0</v>
      </c>
    </row>
    <row r="177" spans="1:41" hidden="1" x14ac:dyDescent="0.3">
      <c r="A177" t="str">
        <f t="shared" si="20"/>
        <v>413jun</v>
      </c>
      <c r="B177" t="str">
        <f t="shared" si="21"/>
        <v>FAIR PLAY LAS BRISASjun</v>
      </c>
      <c r="C177" s="1" t="s">
        <v>79</v>
      </c>
      <c r="D177" s="1" t="s">
        <v>14</v>
      </c>
      <c r="E177" s="1">
        <v>413</v>
      </c>
      <c r="F177" s="1" t="s">
        <v>119</v>
      </c>
      <c r="G177" s="1" t="s">
        <v>119</v>
      </c>
      <c r="H177" s="1" t="s">
        <v>119</v>
      </c>
      <c r="I177" s="1" t="s">
        <v>127</v>
      </c>
      <c r="J177" s="1" t="s">
        <v>130</v>
      </c>
      <c r="K177" t="s">
        <v>85</v>
      </c>
      <c r="L177" s="6">
        <v>127612.72</v>
      </c>
      <c r="M177" s="6">
        <v>68701.78</v>
      </c>
      <c r="N177" s="6">
        <v>115679.51999999999</v>
      </c>
      <c r="O177" s="6">
        <v>63062.76999999999</v>
      </c>
      <c r="P177" s="6">
        <v>104242.31160000015</v>
      </c>
      <c r="Q177" s="6">
        <v>56780.395127000083</v>
      </c>
      <c r="R177" s="6">
        <v>118591.62000000045</v>
      </c>
      <c r="S177" s="6">
        <v>65889.097163563332</v>
      </c>
      <c r="T177" s="6">
        <v>118591.62000000021</v>
      </c>
      <c r="U177" s="6">
        <v>65891.210000000225</v>
      </c>
      <c r="V177" s="30">
        <v>118591.62000000023</v>
      </c>
      <c r="W177" s="30">
        <v>65891.210000000239</v>
      </c>
      <c r="X177" s="30">
        <v>128078.94960000025</v>
      </c>
      <c r="Y177" s="30">
        <v>68568.029918762215</v>
      </c>
      <c r="Z177" s="30">
        <v>0</v>
      </c>
      <c r="AA177" s="30">
        <v>0</v>
      </c>
      <c r="AB177" s="34">
        <v>0.87416270102228133</v>
      </c>
      <c r="AC177" s="34">
        <v>0.91665567037764994</v>
      </c>
      <c r="AD177" s="34">
        <v>0.95610423885656382</v>
      </c>
      <c r="AE177" s="34">
        <v>0.95610423885656382</v>
      </c>
      <c r="AF177" s="34">
        <v>0.95610423885656382</v>
      </c>
      <c r="AG177" s="34">
        <v>0.89999999999999991</v>
      </c>
      <c r="AH177" s="34">
        <v>0</v>
      </c>
      <c r="AI177" s="37">
        <f t="shared" si="22"/>
        <v>111554.2800000001</v>
      </c>
      <c r="AJ177" s="37">
        <f t="shared" si="23"/>
        <v>106038.28795456476</v>
      </c>
      <c r="AK177" s="37">
        <f t="shared" si="24"/>
        <v>113385.95057486705</v>
      </c>
      <c r="AL177" s="37">
        <f t="shared" si="25"/>
        <v>113385.95057486728</v>
      </c>
      <c r="AM177" s="37">
        <f t="shared" si="26"/>
        <v>113385.95057486706</v>
      </c>
      <c r="AN177" s="37">
        <f t="shared" si="27"/>
        <v>115271.05464000022</v>
      </c>
      <c r="AO177" s="37">
        <f t="shared" si="28"/>
        <v>0</v>
      </c>
    </row>
    <row r="178" spans="1:41" hidden="1" x14ac:dyDescent="0.3">
      <c r="A178" t="str">
        <f t="shared" si="20"/>
        <v>413jul</v>
      </c>
      <c r="B178" t="str">
        <f t="shared" si="21"/>
        <v>FAIR PLAY LAS BRISASjul</v>
      </c>
      <c r="C178" s="1" t="s">
        <v>79</v>
      </c>
      <c r="D178" s="1" t="s">
        <v>14</v>
      </c>
      <c r="E178" s="1">
        <v>413</v>
      </c>
      <c r="F178" s="1" t="s">
        <v>119</v>
      </c>
      <c r="G178" s="1" t="s">
        <v>119</v>
      </c>
      <c r="H178" s="1" t="s">
        <v>119</v>
      </c>
      <c r="I178" s="1" t="s">
        <v>127</v>
      </c>
      <c r="J178" s="1" t="s">
        <v>130</v>
      </c>
      <c r="K178" t="s">
        <v>86</v>
      </c>
      <c r="L178" s="6">
        <v>124910.83000000003</v>
      </c>
      <c r="M178" s="6">
        <v>68025.94</v>
      </c>
      <c r="N178" s="6">
        <v>116468.86999999997</v>
      </c>
      <c r="O178" s="6">
        <v>64109.089999999982</v>
      </c>
      <c r="P178" s="6">
        <v>110658.3802000001</v>
      </c>
      <c r="Q178" s="6">
        <v>61046.067263000063</v>
      </c>
      <c r="R178" s="6">
        <v>113713.79999999999</v>
      </c>
      <c r="S178" s="6">
        <v>62916.770000000484</v>
      </c>
      <c r="T178" s="6">
        <v>113713.8000000001</v>
      </c>
      <c r="U178" s="6">
        <v>62916.770000000091</v>
      </c>
      <c r="V178" s="30">
        <v>113713.80000000048</v>
      </c>
      <c r="W178" s="30">
        <v>62916.770000000302</v>
      </c>
      <c r="X178" s="30">
        <v>122810.90400000055</v>
      </c>
      <c r="Y178" s="30">
        <v>65747.742045990788</v>
      </c>
      <c r="Z178" s="30">
        <v>0</v>
      </c>
      <c r="AA178" s="30">
        <v>0</v>
      </c>
      <c r="AB178" s="34">
        <v>0.91798805595959998</v>
      </c>
      <c r="AC178" s="34">
        <v>0.94152855791033041</v>
      </c>
      <c r="AD178" s="34">
        <v>0.94320108904987843</v>
      </c>
      <c r="AE178" s="34">
        <v>0.94320108904987843</v>
      </c>
      <c r="AF178" s="34">
        <v>0.94320108904987843</v>
      </c>
      <c r="AG178" s="34">
        <v>0.9</v>
      </c>
      <c r="AH178" s="34">
        <v>0</v>
      </c>
      <c r="AI178" s="37">
        <f t="shared" si="22"/>
        <v>114666.65000000011</v>
      </c>
      <c r="AJ178" s="37">
        <f t="shared" si="23"/>
        <v>109658.76721254572</v>
      </c>
      <c r="AK178" s="37">
        <f t="shared" si="24"/>
        <v>107254.98000000017</v>
      </c>
      <c r="AL178" s="37">
        <f t="shared" si="25"/>
        <v>107254.98000000005</v>
      </c>
      <c r="AM178" s="37">
        <f t="shared" si="26"/>
        <v>107254.98000000052</v>
      </c>
      <c r="AN178" s="37">
        <f t="shared" si="27"/>
        <v>110529.81360000049</v>
      </c>
      <c r="AO178" s="37">
        <f t="shared" si="28"/>
        <v>0</v>
      </c>
    </row>
    <row r="179" spans="1:41" hidden="1" x14ac:dyDescent="0.3">
      <c r="A179" t="str">
        <f t="shared" si="20"/>
        <v>413ago</v>
      </c>
      <c r="B179" t="str">
        <f t="shared" si="21"/>
        <v>FAIR PLAY LAS BRISASago</v>
      </c>
      <c r="C179" s="1" t="s">
        <v>79</v>
      </c>
      <c r="D179" s="1" t="s">
        <v>14</v>
      </c>
      <c r="E179" s="1">
        <v>413</v>
      </c>
      <c r="F179" s="1" t="s">
        <v>119</v>
      </c>
      <c r="G179" s="1" t="s">
        <v>119</v>
      </c>
      <c r="H179" s="1" t="s">
        <v>119</v>
      </c>
      <c r="I179" s="1" t="s">
        <v>127</v>
      </c>
      <c r="J179" s="1" t="s">
        <v>130</v>
      </c>
      <c r="K179" t="s">
        <v>87</v>
      </c>
      <c r="L179" s="6">
        <v>294431.77999999997</v>
      </c>
      <c r="M179" s="6">
        <v>110532.7699999999</v>
      </c>
      <c r="N179" s="6">
        <v>210868.24999999994</v>
      </c>
      <c r="O179" s="6">
        <v>87432.139999999956</v>
      </c>
      <c r="P179" s="6">
        <v>222889.73328000045</v>
      </c>
      <c r="Q179" s="6">
        <v>93739.278717000183</v>
      </c>
      <c r="R179" s="6">
        <v>198890.16105272394</v>
      </c>
      <c r="S179" s="6">
        <v>88426.565604041069</v>
      </c>
      <c r="T179" s="6">
        <v>243138.04000000059</v>
      </c>
      <c r="U179" s="6">
        <v>107393.44000000058</v>
      </c>
      <c r="V179" s="30">
        <v>243138.04000000015</v>
      </c>
      <c r="W179" s="30">
        <v>108099.17258400009</v>
      </c>
      <c r="X179" s="30">
        <v>252863.56160000016</v>
      </c>
      <c r="Y179" s="30">
        <v>117653.39913859352</v>
      </c>
      <c r="Z179" s="30">
        <v>0</v>
      </c>
      <c r="AA179" s="30">
        <v>0</v>
      </c>
      <c r="AB179" s="34">
        <v>0.31119629817134592</v>
      </c>
      <c r="AC179" s="34">
        <v>0.35665973183336847</v>
      </c>
      <c r="AD179" s="34">
        <v>0.38506977353277227</v>
      </c>
      <c r="AE179" s="34">
        <v>0.32</v>
      </c>
      <c r="AF179" s="34">
        <v>0.32</v>
      </c>
      <c r="AG179" s="34">
        <v>0.44</v>
      </c>
      <c r="AH179" s="34">
        <v>0</v>
      </c>
      <c r="AI179" s="37">
        <f t="shared" si="22"/>
        <v>91626.080000000118</v>
      </c>
      <c r="AJ179" s="37">
        <f t="shared" si="23"/>
        <v>75208.213497171673</v>
      </c>
      <c r="AK179" s="37">
        <f t="shared" si="24"/>
        <v>93625.110000002358</v>
      </c>
      <c r="AL179" s="37">
        <f t="shared" si="25"/>
        <v>63644.851536871662</v>
      </c>
      <c r="AM179" s="37">
        <f t="shared" si="26"/>
        <v>77804.172800000044</v>
      </c>
      <c r="AN179" s="37">
        <f t="shared" si="27"/>
        <v>111259.96710400007</v>
      </c>
      <c r="AO179" s="37">
        <f t="shared" si="28"/>
        <v>0</v>
      </c>
    </row>
    <row r="180" spans="1:41" hidden="1" x14ac:dyDescent="0.3">
      <c r="A180" t="str">
        <f t="shared" si="20"/>
        <v>413sep</v>
      </c>
      <c r="B180" t="str">
        <f t="shared" si="21"/>
        <v>FAIR PLAY LAS BRISASsep</v>
      </c>
      <c r="C180" s="1" t="s">
        <v>79</v>
      </c>
      <c r="D180" s="1" t="s">
        <v>14</v>
      </c>
      <c r="E180" s="1">
        <v>413</v>
      </c>
      <c r="F180" s="1" t="s">
        <v>119</v>
      </c>
      <c r="G180" s="1" t="s">
        <v>119</v>
      </c>
      <c r="H180" s="1" t="s">
        <v>119</v>
      </c>
      <c r="I180" s="1" t="s">
        <v>127</v>
      </c>
      <c r="J180" s="1" t="s">
        <v>130</v>
      </c>
      <c r="K180" t="s">
        <v>88</v>
      </c>
      <c r="L180" s="6">
        <v>101336.37999999999</v>
      </c>
      <c r="M180" s="6">
        <v>52175.179999999993</v>
      </c>
      <c r="N180" s="6">
        <v>96459.469999999987</v>
      </c>
      <c r="O180" s="6">
        <v>49144.62999999999</v>
      </c>
      <c r="P180" s="6">
        <v>103031.54421000005</v>
      </c>
      <c r="Q180" s="6">
        <v>55293.288378450037</v>
      </c>
      <c r="R180" s="6">
        <v>106982.2887727325</v>
      </c>
      <c r="S180" s="6">
        <v>56914.577627093691</v>
      </c>
      <c r="T180" s="6">
        <v>110291.6500000003</v>
      </c>
      <c r="U180" s="6">
        <v>59485.860000000306</v>
      </c>
      <c r="V180" s="30">
        <v>110291.6500000003</v>
      </c>
      <c r="W180" s="30">
        <v>59485.860000000299</v>
      </c>
      <c r="X180" s="30">
        <v>119114.98200000032</v>
      </c>
      <c r="Y180" s="30">
        <v>61773.130119448695</v>
      </c>
      <c r="Z180" s="30">
        <v>0</v>
      </c>
      <c r="AA180" s="30">
        <v>0</v>
      </c>
      <c r="AB180" s="34">
        <v>0.78118046056115253</v>
      </c>
      <c r="AC180" s="34">
        <v>0.71242728247411968</v>
      </c>
      <c r="AD180" s="34">
        <v>0.83173005390707422</v>
      </c>
      <c r="AE180" s="34">
        <v>0.8</v>
      </c>
      <c r="AF180" s="34">
        <v>0.8</v>
      </c>
      <c r="AG180" s="34">
        <v>0.79</v>
      </c>
      <c r="AH180" s="34">
        <v>0</v>
      </c>
      <c r="AI180" s="37">
        <f t="shared" si="22"/>
        <v>79161.999999999956</v>
      </c>
      <c r="AJ180" s="37">
        <f t="shared" si="23"/>
        <v>68720.358080993858</v>
      </c>
      <c r="AK180" s="37">
        <f t="shared" si="24"/>
        <v>91732.880000000412</v>
      </c>
      <c r="AL180" s="37">
        <f t="shared" si="25"/>
        <v>85585.831018186</v>
      </c>
      <c r="AM180" s="37">
        <f t="shared" si="26"/>
        <v>88233.32000000024</v>
      </c>
      <c r="AN180" s="37">
        <f t="shared" si="27"/>
        <v>94100.835780000256</v>
      </c>
      <c r="AO180" s="37">
        <f t="shared" si="28"/>
        <v>0</v>
      </c>
    </row>
    <row r="181" spans="1:41" hidden="1" x14ac:dyDescent="0.3">
      <c r="A181" t="str">
        <f t="shared" si="20"/>
        <v>413oct</v>
      </c>
      <c r="B181" t="str">
        <f t="shared" si="21"/>
        <v>FAIR PLAY LAS BRISASoct</v>
      </c>
      <c r="C181" s="1" t="s">
        <v>79</v>
      </c>
      <c r="D181" s="1" t="s">
        <v>14</v>
      </c>
      <c r="E181" s="1">
        <v>413</v>
      </c>
      <c r="F181" s="1" t="s">
        <v>119</v>
      </c>
      <c r="G181" s="1" t="s">
        <v>119</v>
      </c>
      <c r="H181" s="1" t="s">
        <v>119</v>
      </c>
      <c r="I181" s="1" t="s">
        <v>127</v>
      </c>
      <c r="J181" s="1" t="s">
        <v>130</v>
      </c>
      <c r="K181" t="s">
        <v>89</v>
      </c>
      <c r="L181" s="6">
        <v>73520.239999999991</v>
      </c>
      <c r="M181" s="6">
        <v>39592.609999999986</v>
      </c>
      <c r="N181" s="6">
        <v>101269.28999999996</v>
      </c>
      <c r="O181" s="6">
        <v>55284.44999999999</v>
      </c>
      <c r="P181" s="6">
        <v>109798.79515500007</v>
      </c>
      <c r="Q181" s="6">
        <v>60801.649111800041</v>
      </c>
      <c r="R181" s="6">
        <v>106707.95907138682</v>
      </c>
      <c r="S181" s="6">
        <v>58262.545652977213</v>
      </c>
      <c r="T181" s="6">
        <v>87377.830000000598</v>
      </c>
      <c r="U181" s="6">
        <v>47290.620000000621</v>
      </c>
      <c r="V181" s="30">
        <v>122237.90999999995</v>
      </c>
      <c r="W181" s="30">
        <v>66741.898859999972</v>
      </c>
      <c r="X181" s="30">
        <v>130794.56369999996</v>
      </c>
      <c r="Y181" s="30">
        <v>70021.854371868074</v>
      </c>
      <c r="Z181" s="30">
        <v>0</v>
      </c>
      <c r="AA181" s="30">
        <v>0</v>
      </c>
      <c r="AB181" s="34">
        <v>0.87844639788988788</v>
      </c>
      <c r="AC181" s="34">
        <v>0.88578373025122981</v>
      </c>
      <c r="AD181" s="34">
        <v>0.84825807644799633</v>
      </c>
      <c r="AE181" s="34">
        <v>0.89999999999999991</v>
      </c>
      <c r="AF181" s="34">
        <v>0.89999999999999991</v>
      </c>
      <c r="AG181" s="34">
        <v>0.89999999999999991</v>
      </c>
      <c r="AH181" s="34">
        <v>0</v>
      </c>
      <c r="AI181" s="37">
        <f t="shared" si="22"/>
        <v>64583.59000000004</v>
      </c>
      <c r="AJ181" s="37">
        <f t="shared" si="23"/>
        <v>89702.689456093532</v>
      </c>
      <c r="AK181" s="37">
        <f t="shared" si="24"/>
        <v>74118.950000000536</v>
      </c>
      <c r="AL181" s="37">
        <f t="shared" si="25"/>
        <v>96037.163164248137</v>
      </c>
      <c r="AM181" s="37">
        <f t="shared" si="26"/>
        <v>110014.11899999993</v>
      </c>
      <c r="AN181" s="37">
        <f t="shared" si="27"/>
        <v>117715.10732999996</v>
      </c>
      <c r="AO181" s="37">
        <f t="shared" si="28"/>
        <v>0</v>
      </c>
    </row>
    <row r="182" spans="1:41" hidden="1" x14ac:dyDescent="0.3">
      <c r="A182" t="str">
        <f t="shared" si="20"/>
        <v>413nov</v>
      </c>
      <c r="B182" t="str">
        <f t="shared" si="21"/>
        <v>FAIR PLAY LAS BRISASnov</v>
      </c>
      <c r="C182" s="1" t="s">
        <v>79</v>
      </c>
      <c r="D182" s="1" t="s">
        <v>14</v>
      </c>
      <c r="E182" s="1">
        <v>413</v>
      </c>
      <c r="F182" s="1" t="s">
        <v>119</v>
      </c>
      <c r="G182" s="1" t="s">
        <v>119</v>
      </c>
      <c r="H182" s="1" t="s">
        <v>119</v>
      </c>
      <c r="I182" s="1" t="s">
        <v>127</v>
      </c>
      <c r="J182" s="1" t="s">
        <v>130</v>
      </c>
      <c r="K182" t="s">
        <v>90</v>
      </c>
      <c r="L182" s="6">
        <v>108872.21999999996</v>
      </c>
      <c r="M182" s="6">
        <v>53394.769999999968</v>
      </c>
      <c r="N182" s="6">
        <v>102587.80999999997</v>
      </c>
      <c r="O182" s="6">
        <v>53668.50999999998</v>
      </c>
      <c r="P182" s="6">
        <v>144424.68465500028</v>
      </c>
      <c r="Q182" s="6">
        <v>71076.712285250134</v>
      </c>
      <c r="R182" s="6">
        <v>149962.64918809629</v>
      </c>
      <c r="S182" s="6">
        <v>74381.473997295761</v>
      </c>
      <c r="T182" s="6">
        <v>54834.770114942541</v>
      </c>
      <c r="U182" s="6">
        <v>21390.113561973238</v>
      </c>
      <c r="V182" s="30">
        <v>149962.64918809629</v>
      </c>
      <c r="W182" s="30">
        <v>74381.473997295761</v>
      </c>
      <c r="X182" s="30">
        <v>160460.03463126303</v>
      </c>
      <c r="Y182" s="30">
        <v>79792.627820136768</v>
      </c>
      <c r="Z182" s="30">
        <v>0</v>
      </c>
      <c r="AA182" s="30">
        <v>0</v>
      </c>
      <c r="AB182" s="34">
        <v>0.53747714522584422</v>
      </c>
      <c r="AC182" s="34">
        <v>0.64851102326830956</v>
      </c>
      <c r="AD182" s="34">
        <v>0.38506977353277227</v>
      </c>
      <c r="AE182" s="34">
        <v>0.6</v>
      </c>
      <c r="AF182" s="34">
        <v>0.6</v>
      </c>
      <c r="AG182" s="34">
        <v>0.65</v>
      </c>
      <c r="AH182" s="34">
        <v>0</v>
      </c>
      <c r="AI182" s="37">
        <f t="shared" si="22"/>
        <v>58516.330000000038</v>
      </c>
      <c r="AJ182" s="37">
        <f t="shared" si="23"/>
        <v>66529.325637954898</v>
      </c>
      <c r="AK182" s="37">
        <f t="shared" si="24"/>
        <v>21115.212509882553</v>
      </c>
      <c r="AL182" s="37">
        <f t="shared" si="25"/>
        <v>89977.589512857769</v>
      </c>
      <c r="AM182" s="37">
        <f t="shared" si="26"/>
        <v>89977.589512857769</v>
      </c>
      <c r="AN182" s="37">
        <f t="shared" si="27"/>
        <v>104299.02251032097</v>
      </c>
      <c r="AO182" s="37">
        <f t="shared" si="28"/>
        <v>0</v>
      </c>
    </row>
    <row r="183" spans="1:41" hidden="1" x14ac:dyDescent="0.3">
      <c r="A183" t="str">
        <f t="shared" si="20"/>
        <v>413dic</v>
      </c>
      <c r="B183" t="str">
        <f t="shared" si="21"/>
        <v>FAIR PLAY LAS BRISASdic</v>
      </c>
      <c r="C183" s="1" t="s">
        <v>79</v>
      </c>
      <c r="D183" s="1" t="s">
        <v>14</v>
      </c>
      <c r="E183" s="1">
        <v>413</v>
      </c>
      <c r="F183" s="1" t="s">
        <v>119</v>
      </c>
      <c r="G183" s="1" t="s">
        <v>119</v>
      </c>
      <c r="H183" s="1" t="s">
        <v>119</v>
      </c>
      <c r="I183" s="1" t="s">
        <v>127</v>
      </c>
      <c r="J183" s="1" t="s">
        <v>130</v>
      </c>
      <c r="K183" t="s">
        <v>91</v>
      </c>
      <c r="L183" s="6">
        <v>234707.94999999992</v>
      </c>
      <c r="M183" s="6">
        <v>115814.28999999995</v>
      </c>
      <c r="N183" s="6">
        <v>216928.40999999995</v>
      </c>
      <c r="O183" s="6">
        <v>117217.81999999998</v>
      </c>
      <c r="P183" s="6">
        <v>223548.6808000005</v>
      </c>
      <c r="Q183" s="6">
        <v>123050.27357500029</v>
      </c>
      <c r="R183" s="6">
        <v>232120.65496527651</v>
      </c>
      <c r="S183" s="6">
        <v>122559.70582166601</v>
      </c>
      <c r="T183" s="6">
        <v>260479.31034482762</v>
      </c>
      <c r="U183" s="6">
        <v>123703.49943774495</v>
      </c>
      <c r="V183" s="30">
        <v>232120.65496527651</v>
      </c>
      <c r="W183" s="30">
        <v>122559.70582166601</v>
      </c>
      <c r="X183" s="30">
        <v>248369.10081284586</v>
      </c>
      <c r="Y183" s="30">
        <v>130317.82253775994</v>
      </c>
      <c r="Z183" s="30">
        <v>0</v>
      </c>
      <c r="AA183" s="30">
        <v>0</v>
      </c>
      <c r="AB183" s="34">
        <v>0.5600899756484613</v>
      </c>
      <c r="AC183" s="34">
        <v>0.85313740188021059</v>
      </c>
      <c r="AD183" s="34">
        <v>0.60174123809880675</v>
      </c>
      <c r="AE183" s="34">
        <v>0.8</v>
      </c>
      <c r="AF183" s="34">
        <v>0.8</v>
      </c>
      <c r="AG183" s="34">
        <v>0.83</v>
      </c>
      <c r="AH183" s="34">
        <v>0</v>
      </c>
      <c r="AI183" s="37">
        <f t="shared" si="22"/>
        <v>131457.57000000024</v>
      </c>
      <c r="AJ183" s="37">
        <f t="shared" si="23"/>
        <v>185069.74010140504</v>
      </c>
      <c r="AK183" s="37">
        <f t="shared" si="24"/>
        <v>156741.14270601989</v>
      </c>
      <c r="AL183" s="37">
        <f t="shared" si="25"/>
        <v>185696.52397222121</v>
      </c>
      <c r="AM183" s="37">
        <f t="shared" si="26"/>
        <v>185696.52397222121</v>
      </c>
      <c r="AN183" s="37">
        <f t="shared" si="27"/>
        <v>206146.35367466207</v>
      </c>
      <c r="AO183" s="37">
        <f t="shared" si="28"/>
        <v>0</v>
      </c>
    </row>
    <row r="184" spans="1:41" hidden="1" x14ac:dyDescent="0.3">
      <c r="A184" t="str">
        <f t="shared" si="20"/>
        <v>404ene</v>
      </c>
      <c r="B184" t="str">
        <f t="shared" si="21"/>
        <v>FLORIDAene</v>
      </c>
      <c r="C184" s="1" t="s">
        <v>79</v>
      </c>
      <c r="D184" s="1" t="s">
        <v>15</v>
      </c>
      <c r="E184" s="1">
        <v>404</v>
      </c>
      <c r="F184" s="1" t="s">
        <v>120</v>
      </c>
      <c r="G184" s="1" t="s">
        <v>120</v>
      </c>
      <c r="H184" s="1" t="s">
        <v>120</v>
      </c>
      <c r="I184" s="1" t="s">
        <v>127</v>
      </c>
      <c r="J184" s="1" t="s">
        <v>133</v>
      </c>
      <c r="K184" t="s">
        <v>80</v>
      </c>
      <c r="L184" s="6">
        <v>57905.36</v>
      </c>
      <c r="M184" s="6">
        <v>30545.14</v>
      </c>
      <c r="N184" s="6">
        <v>20789.12</v>
      </c>
      <c r="O184" s="6">
        <v>10988.120000000003</v>
      </c>
      <c r="P184" s="6">
        <v>29404.465983333321</v>
      </c>
      <c r="Q184" s="6">
        <v>15183.30946516666</v>
      </c>
      <c r="R184" s="6">
        <v>19622.639999999992</v>
      </c>
      <c r="S184" s="6">
        <v>10285.088919733262</v>
      </c>
      <c r="T184" s="6">
        <v>19622.639999999992</v>
      </c>
      <c r="U184" s="6">
        <v>10389.739999999994</v>
      </c>
      <c r="V184" s="30">
        <v>31462.778602166654</v>
      </c>
      <c r="W184" s="30">
        <v>16658.823142761365</v>
      </c>
      <c r="X184" s="30">
        <v>35867.56760646998</v>
      </c>
      <c r="Y184" s="30">
        <v>18981.417596862171</v>
      </c>
      <c r="Z184" s="30">
        <v>32964.224137931</v>
      </c>
      <c r="AA184" s="30">
        <v>18504.402570977978</v>
      </c>
      <c r="AB184" s="34">
        <v>0.76975654758039669</v>
      </c>
      <c r="AC184" s="34">
        <v>0.76717610934929648</v>
      </c>
      <c r="AD184" s="34">
        <v>0.88176549291584627</v>
      </c>
      <c r="AE184" s="34">
        <v>0.88176549291584605</v>
      </c>
      <c r="AF184" s="34">
        <v>0.88176549291584605</v>
      </c>
      <c r="AG184" s="34">
        <v>0.87999999999999989</v>
      </c>
      <c r="AH184" s="34">
        <v>0.97440624850172819</v>
      </c>
      <c r="AI184" s="37">
        <f t="shared" si="22"/>
        <v>44573.03</v>
      </c>
      <c r="AJ184" s="37">
        <f t="shared" si="23"/>
        <v>15948.916198395646</v>
      </c>
      <c r="AK184" s="37">
        <f t="shared" si="24"/>
        <v>17302.566831910193</v>
      </c>
      <c r="AL184" s="37">
        <f t="shared" si="25"/>
        <v>17302.56683191019</v>
      </c>
      <c r="AM184" s="37">
        <f t="shared" si="26"/>
        <v>27742.792482641613</v>
      </c>
      <c r="AN184" s="37">
        <f t="shared" si="27"/>
        <v>31563.459493693579</v>
      </c>
      <c r="AO184" s="37">
        <f t="shared" si="28"/>
        <v>32120.545977011461</v>
      </c>
    </row>
    <row r="185" spans="1:41" hidden="1" x14ac:dyDescent="0.3">
      <c r="A185" t="str">
        <f t="shared" si="20"/>
        <v>404feb</v>
      </c>
      <c r="B185" t="str">
        <f t="shared" si="21"/>
        <v>FLORIDAfeb</v>
      </c>
      <c r="C185" s="1" t="s">
        <v>79</v>
      </c>
      <c r="D185" s="1" t="s">
        <v>15</v>
      </c>
      <c r="E185" s="1">
        <v>404</v>
      </c>
      <c r="F185" s="1" t="s">
        <v>120</v>
      </c>
      <c r="G185" s="1" t="s">
        <v>120</v>
      </c>
      <c r="H185" s="1" t="s">
        <v>120</v>
      </c>
      <c r="I185" s="1" t="s">
        <v>127</v>
      </c>
      <c r="J185" s="1" t="s">
        <v>133</v>
      </c>
      <c r="K185" t="s">
        <v>81</v>
      </c>
      <c r="L185" s="6">
        <v>96968.150000000009</v>
      </c>
      <c r="M185" s="6">
        <v>42265.169999999991</v>
      </c>
      <c r="N185" s="6">
        <v>44468.640000000007</v>
      </c>
      <c r="O185" s="6">
        <v>20301.900000000005</v>
      </c>
      <c r="P185" s="6">
        <v>62335.834900000016</v>
      </c>
      <c r="Q185" s="6">
        <v>25997.354039500009</v>
      </c>
      <c r="R185" s="6">
        <v>39888.809999999939</v>
      </c>
      <c r="S185" s="6">
        <v>17219.246725880446</v>
      </c>
      <c r="T185" s="6">
        <v>39888.809999999969</v>
      </c>
      <c r="U185" s="6">
        <v>17328.159999999974</v>
      </c>
      <c r="V185" s="30">
        <v>66699.343343000015</v>
      </c>
      <c r="W185" s="30">
        <v>28974.965493892607</v>
      </c>
      <c r="X185" s="30">
        <v>74703.264544160018</v>
      </c>
      <c r="Y185" s="30">
        <v>33518.617296561992</v>
      </c>
      <c r="Z185" s="30">
        <v>53516.810344827609</v>
      </c>
      <c r="AA185" s="30">
        <v>24851.83953895175</v>
      </c>
      <c r="AB185" s="34">
        <v>0.40008796702835009</v>
      </c>
      <c r="AC185" s="34">
        <v>0.49941667392364136</v>
      </c>
      <c r="AD185" s="34">
        <v>0.23880593275605233</v>
      </c>
      <c r="AE185" s="34">
        <v>0.23880593275605178</v>
      </c>
      <c r="AF185" s="34">
        <v>0.23880593275605178</v>
      </c>
      <c r="AG185" s="34">
        <v>0.40000000000000008</v>
      </c>
      <c r="AH185" s="34">
        <v>0.40704795195408044</v>
      </c>
      <c r="AI185" s="37">
        <f t="shared" si="22"/>
        <v>38795.79000000011</v>
      </c>
      <c r="AJ185" s="37">
        <f t="shared" si="23"/>
        <v>22208.3802827078</v>
      </c>
      <c r="AK185" s="37">
        <f t="shared" si="24"/>
        <v>9525.6844785789399</v>
      </c>
      <c r="AL185" s="37">
        <f t="shared" si="25"/>
        <v>9525.6844785789108</v>
      </c>
      <c r="AM185" s="37">
        <f t="shared" si="26"/>
        <v>15928.198901241271</v>
      </c>
      <c r="AN185" s="37">
        <f t="shared" si="27"/>
        <v>29881.305817664012</v>
      </c>
      <c r="AO185" s="37">
        <f t="shared" si="28"/>
        <v>21783.908045977023</v>
      </c>
    </row>
    <row r="186" spans="1:41" hidden="1" x14ac:dyDescent="0.3">
      <c r="A186" t="str">
        <f t="shared" si="20"/>
        <v>404mar</v>
      </c>
      <c r="B186" t="str">
        <f t="shared" si="21"/>
        <v>FLORIDAmar</v>
      </c>
      <c r="C186" s="1" t="s">
        <v>79</v>
      </c>
      <c r="D186" s="1" t="s">
        <v>15</v>
      </c>
      <c r="E186" s="1">
        <v>404</v>
      </c>
      <c r="F186" s="1" t="s">
        <v>120</v>
      </c>
      <c r="G186" s="1" t="s">
        <v>120</v>
      </c>
      <c r="H186" s="1" t="s">
        <v>120</v>
      </c>
      <c r="I186" s="1" t="s">
        <v>127</v>
      </c>
      <c r="J186" s="1" t="s">
        <v>133</v>
      </c>
      <c r="K186" t="s">
        <v>82</v>
      </c>
      <c r="L186" s="6">
        <v>61975.209999999992</v>
      </c>
      <c r="M186" s="6">
        <v>29548.070000000003</v>
      </c>
      <c r="N186" s="6">
        <v>62443.349999999991</v>
      </c>
      <c r="O186" s="6">
        <v>27515.139999999996</v>
      </c>
      <c r="P186" s="6">
        <v>32851.443625</v>
      </c>
      <c r="Q186" s="6">
        <v>15500.780681875001</v>
      </c>
      <c r="R186" s="6">
        <v>28552.469999999998</v>
      </c>
      <c r="S186" s="6">
        <v>13547.395129480687</v>
      </c>
      <c r="T186" s="6">
        <v>28552.470000000008</v>
      </c>
      <c r="U186" s="6">
        <v>13742.380000000019</v>
      </c>
      <c r="V186" s="30">
        <v>30551.14290000001</v>
      </c>
      <c r="W186" s="30">
        <v>14704.346600000021</v>
      </c>
      <c r="X186" s="30">
        <v>34522.791477000021</v>
      </c>
      <c r="Y186" s="30">
        <v>18096.018598109946</v>
      </c>
      <c r="Z186" s="30">
        <v>32222.488346542672</v>
      </c>
      <c r="AA186" s="30">
        <v>15885.686754845538</v>
      </c>
      <c r="AB186" s="34">
        <v>0.50774220853789798</v>
      </c>
      <c r="AC186" s="34">
        <v>0.38756800727967128</v>
      </c>
      <c r="AD186" s="34">
        <v>0.52997588746176005</v>
      </c>
      <c r="AE186" s="34">
        <v>0.52997588746175994</v>
      </c>
      <c r="AF186" s="34">
        <v>0.52997588746175994</v>
      </c>
      <c r="AG186" s="34">
        <v>0.85000000000000009</v>
      </c>
      <c r="AH186" s="34">
        <v>0.60989340439706841</v>
      </c>
      <c r="AI186" s="37">
        <f t="shared" si="22"/>
        <v>31467.430000000015</v>
      </c>
      <c r="AJ186" s="37">
        <f t="shared" si="23"/>
        <v>24201.044727367058</v>
      </c>
      <c r="AK186" s="37">
        <f t="shared" si="24"/>
        <v>15132.120627475284</v>
      </c>
      <c r="AL186" s="37">
        <f t="shared" si="25"/>
        <v>15132.120627475275</v>
      </c>
      <c r="AM186" s="37">
        <f t="shared" si="26"/>
        <v>16191.369071398551</v>
      </c>
      <c r="AN186" s="37">
        <f t="shared" si="27"/>
        <v>29344.372755450022</v>
      </c>
      <c r="AO186" s="37">
        <f t="shared" si="28"/>
        <v>19652.283115817772</v>
      </c>
    </row>
    <row r="187" spans="1:41" hidden="1" x14ac:dyDescent="0.3">
      <c r="A187" t="str">
        <f t="shared" si="20"/>
        <v>404abr</v>
      </c>
      <c r="B187" t="str">
        <f t="shared" si="21"/>
        <v>FLORIDAabr</v>
      </c>
      <c r="C187" s="1" t="s">
        <v>79</v>
      </c>
      <c r="D187" s="1" t="s">
        <v>15</v>
      </c>
      <c r="E187" s="1">
        <v>404</v>
      </c>
      <c r="F187" s="1" t="s">
        <v>120</v>
      </c>
      <c r="G187" s="1" t="s">
        <v>120</v>
      </c>
      <c r="H187" s="1" t="s">
        <v>120</v>
      </c>
      <c r="I187" s="1" t="s">
        <v>127</v>
      </c>
      <c r="J187" s="1" t="s">
        <v>133</v>
      </c>
      <c r="K187" t="s">
        <v>83</v>
      </c>
      <c r="L187" s="6">
        <v>43162.130000000005</v>
      </c>
      <c r="M187" s="6">
        <v>22433.049999999996</v>
      </c>
      <c r="N187" s="6">
        <v>26856.27</v>
      </c>
      <c r="O187" s="6">
        <v>14720.809999999998</v>
      </c>
      <c r="P187" s="6">
        <v>30628.381174999984</v>
      </c>
      <c r="Q187" s="6">
        <v>16728.106868124993</v>
      </c>
      <c r="R187" s="6">
        <v>31541.330000000024</v>
      </c>
      <c r="S187" s="6">
        <v>16049.907897812913</v>
      </c>
      <c r="T187" s="6">
        <v>31541.330000000016</v>
      </c>
      <c r="U187" s="6">
        <v>16109.400000000016</v>
      </c>
      <c r="V187" s="30">
        <v>33749.223100000032</v>
      </c>
      <c r="W187" s="30">
        <v>17237.058000000023</v>
      </c>
      <c r="X187" s="30">
        <v>38136.622103000045</v>
      </c>
      <c r="Y187" s="30">
        <v>20182.220266873886</v>
      </c>
      <c r="Z187" s="30">
        <v>0</v>
      </c>
      <c r="AA187" s="30">
        <v>0</v>
      </c>
      <c r="AB187" s="34">
        <v>0.70543159014626944</v>
      </c>
      <c r="AC187" s="34">
        <v>0.89580318219402055</v>
      </c>
      <c r="AD187" s="34">
        <v>0.7352010515813312</v>
      </c>
      <c r="AE187" s="34">
        <v>0.7352010515813312</v>
      </c>
      <c r="AF187" s="34">
        <v>0.7352010515813312</v>
      </c>
      <c r="AG187" s="34">
        <v>0.88</v>
      </c>
      <c r="AH187" s="34">
        <v>0</v>
      </c>
      <c r="AI187" s="37">
        <f t="shared" si="22"/>
        <v>30447.930000000004</v>
      </c>
      <c r="AJ187" s="37">
        <f t="shared" si="23"/>
        <v>24057.932127861808</v>
      </c>
      <c r="AK187" s="37">
        <f t="shared" si="24"/>
        <v>23189.218984273801</v>
      </c>
      <c r="AL187" s="37">
        <f t="shared" si="25"/>
        <v>23189.218984273808</v>
      </c>
      <c r="AM187" s="37">
        <f t="shared" si="26"/>
        <v>24812.464313172979</v>
      </c>
      <c r="AN187" s="37">
        <f t="shared" si="27"/>
        <v>33560.227450640043</v>
      </c>
      <c r="AO187" s="37">
        <f t="shared" si="28"/>
        <v>0</v>
      </c>
    </row>
    <row r="188" spans="1:41" hidden="1" x14ac:dyDescent="0.3">
      <c r="A188" t="str">
        <f t="shared" si="20"/>
        <v>404may</v>
      </c>
      <c r="B188" t="str">
        <f t="shared" si="21"/>
        <v>FLORIDAmay</v>
      </c>
      <c r="C188" s="1" t="s">
        <v>79</v>
      </c>
      <c r="D188" s="1" t="s">
        <v>15</v>
      </c>
      <c r="E188" s="1">
        <v>404</v>
      </c>
      <c r="F188" s="1" t="s">
        <v>120</v>
      </c>
      <c r="G188" s="1" t="s">
        <v>120</v>
      </c>
      <c r="H188" s="1" t="s">
        <v>120</v>
      </c>
      <c r="I188" s="1" t="s">
        <v>127</v>
      </c>
      <c r="J188" s="1" t="s">
        <v>133</v>
      </c>
      <c r="K188" t="s">
        <v>84</v>
      </c>
      <c r="L188" s="6">
        <v>47194.75</v>
      </c>
      <c r="M188" s="6">
        <v>24248.45</v>
      </c>
      <c r="N188" s="6">
        <v>31512.219999999994</v>
      </c>
      <c r="O188" s="6">
        <v>17507.669999999998</v>
      </c>
      <c r="P188" s="6">
        <v>31204.414249999987</v>
      </c>
      <c r="Q188" s="6">
        <v>16017.529221499995</v>
      </c>
      <c r="R188" s="6">
        <v>26199.359999999997</v>
      </c>
      <c r="S188" s="6">
        <v>14158.503261109359</v>
      </c>
      <c r="T188" s="6">
        <v>26199.359999999993</v>
      </c>
      <c r="U188" s="6">
        <v>14186.340000000004</v>
      </c>
      <c r="V188" s="30">
        <v>28033.315199999994</v>
      </c>
      <c r="W188" s="30">
        <v>15179.383800000005</v>
      </c>
      <c r="X188" s="30">
        <v>31677.646175999995</v>
      </c>
      <c r="Y188" s="30">
        <v>16764.076035193331</v>
      </c>
      <c r="Z188" s="30">
        <v>0</v>
      </c>
      <c r="AA188" s="30">
        <v>0</v>
      </c>
      <c r="AB188" s="34">
        <v>0.71849284083505072</v>
      </c>
      <c r="AC188" s="34">
        <v>0.93020620044631053</v>
      </c>
      <c r="AD188" s="34">
        <v>0.88871554663838959</v>
      </c>
      <c r="AE188" s="34">
        <v>0.88871554663838948</v>
      </c>
      <c r="AF188" s="34">
        <v>0.88871554663838948</v>
      </c>
      <c r="AG188" s="34">
        <v>0.88</v>
      </c>
      <c r="AH188" s="34">
        <v>0</v>
      </c>
      <c r="AI188" s="37">
        <f t="shared" si="22"/>
        <v>33909.090000000011</v>
      </c>
      <c r="AJ188" s="37">
        <f t="shared" si="23"/>
        <v>29312.862433828232</v>
      </c>
      <c r="AK188" s="37">
        <f t="shared" si="24"/>
        <v>23283.778543975954</v>
      </c>
      <c r="AL188" s="37">
        <f t="shared" si="25"/>
        <v>23283.778543975954</v>
      </c>
      <c r="AM188" s="37">
        <f t="shared" si="26"/>
        <v>24913.643042054267</v>
      </c>
      <c r="AN188" s="37">
        <f t="shared" si="27"/>
        <v>27876.328634879996</v>
      </c>
      <c r="AO188" s="37">
        <f t="shared" si="28"/>
        <v>0</v>
      </c>
    </row>
    <row r="189" spans="1:41" hidden="1" x14ac:dyDescent="0.3">
      <c r="A189" t="str">
        <f t="shared" si="20"/>
        <v>404jun</v>
      </c>
      <c r="B189" t="str">
        <f t="shared" si="21"/>
        <v>FLORIDAjun</v>
      </c>
      <c r="C189" s="1" t="s">
        <v>79</v>
      </c>
      <c r="D189" s="1" t="s">
        <v>15</v>
      </c>
      <c r="E189" s="1">
        <v>404</v>
      </c>
      <c r="F189" s="1" t="s">
        <v>120</v>
      </c>
      <c r="G189" s="1" t="s">
        <v>120</v>
      </c>
      <c r="H189" s="1" t="s">
        <v>120</v>
      </c>
      <c r="I189" s="1" t="s">
        <v>127</v>
      </c>
      <c r="J189" s="1" t="s">
        <v>133</v>
      </c>
      <c r="K189" t="s">
        <v>85</v>
      </c>
      <c r="L189" s="6">
        <v>41270.089999999997</v>
      </c>
      <c r="M189" s="6">
        <v>21722.820000000003</v>
      </c>
      <c r="N189" s="6">
        <v>27114.92</v>
      </c>
      <c r="O189" s="6">
        <v>15080.739999999994</v>
      </c>
      <c r="P189" s="6">
        <v>27617.667349999989</v>
      </c>
      <c r="Q189" s="6">
        <v>15237.897918499995</v>
      </c>
      <c r="R189" s="6">
        <v>0</v>
      </c>
      <c r="S189" s="6">
        <v>0</v>
      </c>
      <c r="T189" s="6">
        <v>0</v>
      </c>
      <c r="U189" s="6">
        <v>0</v>
      </c>
      <c r="V189" s="30">
        <v>29012.964400000015</v>
      </c>
      <c r="W189" s="30">
        <v>0</v>
      </c>
      <c r="X189" s="30">
        <v>30639.859600000014</v>
      </c>
      <c r="Y189" s="30">
        <v>16214.870675309376</v>
      </c>
      <c r="Z189" s="30">
        <v>0</v>
      </c>
      <c r="AA189" s="30">
        <v>0</v>
      </c>
      <c r="AB189" s="34">
        <v>0.75713743294477909</v>
      </c>
      <c r="AC189" s="34">
        <v>0.94002020159585997</v>
      </c>
      <c r="AD189" s="34">
        <v>0</v>
      </c>
      <c r="AE189" s="34">
        <v>0</v>
      </c>
      <c r="AF189" s="34">
        <v>0</v>
      </c>
      <c r="AG189" s="34">
        <v>0.88</v>
      </c>
      <c r="AH189" s="34">
        <v>0</v>
      </c>
      <c r="AI189" s="37">
        <f t="shared" si="22"/>
        <v>31247.129999999994</v>
      </c>
      <c r="AJ189" s="37">
        <f t="shared" si="23"/>
        <v>25488.572564655613</v>
      </c>
      <c r="AK189" s="37">
        <f t="shared" si="24"/>
        <v>0</v>
      </c>
      <c r="AL189" s="37">
        <f t="shared" si="25"/>
        <v>0</v>
      </c>
      <c r="AM189" s="37">
        <f t="shared" si="26"/>
        <v>0</v>
      </c>
      <c r="AN189" s="37">
        <f t="shared" si="27"/>
        <v>26963.076448000014</v>
      </c>
      <c r="AO189" s="37">
        <f t="shared" si="28"/>
        <v>0</v>
      </c>
    </row>
    <row r="190" spans="1:41" hidden="1" x14ac:dyDescent="0.3">
      <c r="A190" t="str">
        <f t="shared" si="20"/>
        <v>404jul</v>
      </c>
      <c r="B190" t="str">
        <f t="shared" si="21"/>
        <v>FLORIDAjul</v>
      </c>
      <c r="C190" s="1" t="s">
        <v>79</v>
      </c>
      <c r="D190" s="1" t="s">
        <v>15</v>
      </c>
      <c r="E190" s="1">
        <v>404</v>
      </c>
      <c r="F190" s="1" t="s">
        <v>120</v>
      </c>
      <c r="G190" s="1" t="s">
        <v>120</v>
      </c>
      <c r="H190" s="1" t="s">
        <v>120</v>
      </c>
      <c r="I190" s="1" t="s">
        <v>127</v>
      </c>
      <c r="J190" s="1" t="s">
        <v>133</v>
      </c>
      <c r="K190" t="s">
        <v>86</v>
      </c>
      <c r="L190" s="6">
        <v>39675.55999999999</v>
      </c>
      <c r="M190" s="6">
        <v>20994.829999999994</v>
      </c>
      <c r="N190" s="6">
        <v>27589.609999999997</v>
      </c>
      <c r="O190" s="6">
        <v>15334.380000000001</v>
      </c>
      <c r="P190" s="6">
        <v>3285.5501999999969</v>
      </c>
      <c r="Q190" s="6">
        <v>1823.4803609999985</v>
      </c>
      <c r="R190" s="6">
        <v>0</v>
      </c>
      <c r="S190" s="6">
        <v>0</v>
      </c>
      <c r="T190" s="6">
        <v>0</v>
      </c>
      <c r="U190" s="6">
        <v>0</v>
      </c>
      <c r="V190" s="30">
        <v>29796.77880000004</v>
      </c>
      <c r="W190" s="30">
        <v>0</v>
      </c>
      <c r="X190" s="30">
        <v>31176.259300000049</v>
      </c>
      <c r="Y190" s="30">
        <v>16498.737895307186</v>
      </c>
      <c r="Z190" s="30">
        <v>0</v>
      </c>
      <c r="AA190" s="30">
        <v>0</v>
      </c>
      <c r="AB190" s="34">
        <v>0.80640752140612526</v>
      </c>
      <c r="AC190" s="34">
        <v>0.92883811015185547</v>
      </c>
      <c r="AD190" s="34">
        <v>0</v>
      </c>
      <c r="AE190" s="34">
        <v>0</v>
      </c>
      <c r="AF190" s="34">
        <v>0</v>
      </c>
      <c r="AG190" s="34">
        <v>0.88</v>
      </c>
      <c r="AH190" s="34">
        <v>0</v>
      </c>
      <c r="AI190" s="37">
        <f t="shared" si="22"/>
        <v>31994.67</v>
      </c>
      <c r="AJ190" s="37">
        <f t="shared" si="23"/>
        <v>25626.281212226731</v>
      </c>
      <c r="AK190" s="37">
        <f t="shared" si="24"/>
        <v>0</v>
      </c>
      <c r="AL190" s="37">
        <f t="shared" si="25"/>
        <v>0</v>
      </c>
      <c r="AM190" s="37">
        <f t="shared" si="26"/>
        <v>0</v>
      </c>
      <c r="AN190" s="37">
        <f t="shared" si="27"/>
        <v>27435.108184000044</v>
      </c>
      <c r="AO190" s="37">
        <f t="shared" si="28"/>
        <v>0</v>
      </c>
    </row>
    <row r="191" spans="1:41" hidden="1" x14ac:dyDescent="0.3">
      <c r="A191" t="str">
        <f t="shared" si="20"/>
        <v>404ago</v>
      </c>
      <c r="B191" t="str">
        <f t="shared" si="21"/>
        <v>FLORIDAago</v>
      </c>
      <c r="C191" s="1" t="s">
        <v>79</v>
      </c>
      <c r="D191" s="1" t="s">
        <v>15</v>
      </c>
      <c r="E191" s="1">
        <v>404</v>
      </c>
      <c r="F191" s="1" t="s">
        <v>120</v>
      </c>
      <c r="G191" s="1" t="s">
        <v>120</v>
      </c>
      <c r="H191" s="1" t="s">
        <v>120</v>
      </c>
      <c r="I191" s="1" t="s">
        <v>127</v>
      </c>
      <c r="J191" s="1" t="s">
        <v>133</v>
      </c>
      <c r="K191" t="s">
        <v>87</v>
      </c>
      <c r="L191" s="6">
        <v>113658.72</v>
      </c>
      <c r="M191" s="6">
        <v>45074.759999999995</v>
      </c>
      <c r="N191" s="6">
        <v>60138.239999999991</v>
      </c>
      <c r="O191" s="6">
        <v>25927.179999999993</v>
      </c>
      <c r="P191" s="6">
        <v>56846.708600000034</v>
      </c>
      <c r="Q191" s="6">
        <v>24679.270482000014</v>
      </c>
      <c r="R191" s="6">
        <v>0</v>
      </c>
      <c r="S191" s="6">
        <v>0</v>
      </c>
      <c r="T191" s="6">
        <v>43377.35</v>
      </c>
      <c r="U191" s="6">
        <v>18814.560000000005</v>
      </c>
      <c r="V191" s="30">
        <v>46847.538000000059</v>
      </c>
      <c r="W191" s="30">
        <v>20319.724800000033</v>
      </c>
      <c r="X191" s="30">
        <v>52469.242560000072</v>
      </c>
      <c r="Y191" s="30">
        <v>23542.431136586947</v>
      </c>
      <c r="Z191" s="30">
        <v>0</v>
      </c>
      <c r="AA191" s="30">
        <v>0</v>
      </c>
      <c r="AB191" s="34">
        <v>0.2855946292550185</v>
      </c>
      <c r="AC191" s="34">
        <v>0.33196206443573989</v>
      </c>
      <c r="AD191" s="34">
        <v>0.35690216207306319</v>
      </c>
      <c r="AE191" s="34">
        <v>0</v>
      </c>
      <c r="AF191" s="34">
        <v>0</v>
      </c>
      <c r="AG191" s="34">
        <v>0.4</v>
      </c>
      <c r="AH191" s="34">
        <v>0</v>
      </c>
      <c r="AI191" s="37">
        <f t="shared" si="22"/>
        <v>32460.319999999956</v>
      </c>
      <c r="AJ191" s="37">
        <f t="shared" si="23"/>
        <v>19963.614301931986</v>
      </c>
      <c r="AK191" s="37">
        <f t="shared" si="24"/>
        <v>15481.469999999987</v>
      </c>
      <c r="AL191" s="37">
        <f t="shared" si="25"/>
        <v>0</v>
      </c>
      <c r="AM191" s="37">
        <f t="shared" si="26"/>
        <v>0</v>
      </c>
      <c r="AN191" s="37">
        <f t="shared" si="27"/>
        <v>20987.69702400003</v>
      </c>
      <c r="AO191" s="37">
        <f t="shared" si="28"/>
        <v>0</v>
      </c>
    </row>
    <row r="192" spans="1:41" hidden="1" x14ac:dyDescent="0.3">
      <c r="A192" t="str">
        <f t="shared" si="20"/>
        <v>404sep</v>
      </c>
      <c r="B192" t="str">
        <f t="shared" si="21"/>
        <v>FLORIDAsep</v>
      </c>
      <c r="C192" s="1" t="s">
        <v>79</v>
      </c>
      <c r="D192" s="1" t="s">
        <v>15</v>
      </c>
      <c r="E192" s="1">
        <v>404</v>
      </c>
      <c r="F192" s="1" t="s">
        <v>120</v>
      </c>
      <c r="G192" s="1" t="s">
        <v>120</v>
      </c>
      <c r="H192" s="1" t="s">
        <v>120</v>
      </c>
      <c r="I192" s="1" t="s">
        <v>127</v>
      </c>
      <c r="J192" s="1" t="s">
        <v>133</v>
      </c>
      <c r="K192" t="s">
        <v>88</v>
      </c>
      <c r="L192" s="6">
        <v>34599.289999999994</v>
      </c>
      <c r="M192" s="6">
        <v>17377.519999999997</v>
      </c>
      <c r="N192" s="6">
        <v>26133.85</v>
      </c>
      <c r="O192" s="6">
        <v>13183.499999999998</v>
      </c>
      <c r="P192" s="6">
        <v>28933.791939999981</v>
      </c>
      <c r="Q192" s="6">
        <v>15480.689563299991</v>
      </c>
      <c r="R192" s="6">
        <v>33123.405012911979</v>
      </c>
      <c r="S192" s="6">
        <v>17290.417416740056</v>
      </c>
      <c r="T192" s="6">
        <v>24453.45</v>
      </c>
      <c r="U192" s="6">
        <v>13281.760000000002</v>
      </c>
      <c r="V192" s="30">
        <v>26409.726000000002</v>
      </c>
      <c r="W192" s="30">
        <v>14344.300800000003</v>
      </c>
      <c r="X192" s="30">
        <v>29578.893120000004</v>
      </c>
      <c r="Y192" s="30">
        <v>15504.545754002267</v>
      </c>
      <c r="Z192" s="30">
        <v>0</v>
      </c>
      <c r="AA192" s="30">
        <v>0</v>
      </c>
      <c r="AB192" s="34">
        <v>0.68839620697418913</v>
      </c>
      <c r="AC192" s="34">
        <v>0.65035827704091886</v>
      </c>
      <c r="AD192" s="34">
        <v>0.89180585970486781</v>
      </c>
      <c r="AE192" s="34">
        <v>0.8</v>
      </c>
      <c r="AF192" s="34">
        <v>0.8</v>
      </c>
      <c r="AG192" s="34">
        <v>0.85000000000000009</v>
      </c>
      <c r="AH192" s="34">
        <v>0</v>
      </c>
      <c r="AI192" s="37">
        <f t="shared" si="22"/>
        <v>23818.01999999999</v>
      </c>
      <c r="AJ192" s="37">
        <f t="shared" si="23"/>
        <v>16996.365658445815</v>
      </c>
      <c r="AK192" s="37">
        <f t="shared" si="24"/>
        <v>21807.73</v>
      </c>
      <c r="AL192" s="37">
        <f t="shared" si="25"/>
        <v>26498.724010329584</v>
      </c>
      <c r="AM192" s="37">
        <f t="shared" si="26"/>
        <v>21127.780800000004</v>
      </c>
      <c r="AN192" s="37">
        <f t="shared" si="27"/>
        <v>25142.059152000005</v>
      </c>
      <c r="AO192" s="37">
        <f t="shared" si="28"/>
        <v>0</v>
      </c>
    </row>
    <row r="193" spans="1:41" hidden="1" x14ac:dyDescent="0.3">
      <c r="A193" t="str">
        <f t="shared" si="20"/>
        <v>404oct</v>
      </c>
      <c r="B193" t="str">
        <f t="shared" si="21"/>
        <v>FLORIDAoct</v>
      </c>
      <c r="C193" s="1" t="s">
        <v>79</v>
      </c>
      <c r="D193" s="1" t="s">
        <v>15</v>
      </c>
      <c r="E193" s="1">
        <v>404</v>
      </c>
      <c r="F193" s="1" t="s">
        <v>120</v>
      </c>
      <c r="G193" s="1" t="s">
        <v>120</v>
      </c>
      <c r="H193" s="1" t="s">
        <v>120</v>
      </c>
      <c r="I193" s="1" t="s">
        <v>127</v>
      </c>
      <c r="J193" s="1" t="s">
        <v>133</v>
      </c>
      <c r="K193" t="s">
        <v>89</v>
      </c>
      <c r="L193" s="6">
        <v>26143.08</v>
      </c>
      <c r="M193" s="6">
        <v>13883.62</v>
      </c>
      <c r="N193" s="6">
        <v>21151.23</v>
      </c>
      <c r="O193" s="6">
        <v>11547.609999999999</v>
      </c>
      <c r="P193" s="6">
        <v>29753.913059999981</v>
      </c>
      <c r="Q193" s="6">
        <v>16443.597597699991</v>
      </c>
      <c r="R193" s="6">
        <v>34062.279671087977</v>
      </c>
      <c r="S193" s="6">
        <v>18376.599882551967</v>
      </c>
      <c r="T193" s="6">
        <v>20914.389999999989</v>
      </c>
      <c r="U193" s="6">
        <v>11124.919999999991</v>
      </c>
      <c r="V193" s="30">
        <v>37090.764000000003</v>
      </c>
      <c r="W193" s="30">
        <v>20010.467178000006</v>
      </c>
      <c r="X193" s="30">
        <v>42283.470960000006</v>
      </c>
      <c r="Y193" s="30">
        <v>22376.767461414849</v>
      </c>
      <c r="Z193" s="30">
        <v>0</v>
      </c>
      <c r="AA193" s="30">
        <v>0</v>
      </c>
      <c r="AB193" s="34">
        <v>0.80596203660777543</v>
      </c>
      <c r="AC193" s="34">
        <v>0.8276484415702271</v>
      </c>
      <c r="AD193" s="34">
        <v>0.86706377761914155</v>
      </c>
      <c r="AE193" s="34">
        <v>0.9</v>
      </c>
      <c r="AF193" s="34">
        <v>0.9</v>
      </c>
      <c r="AG193" s="34">
        <v>0.88000000000000012</v>
      </c>
      <c r="AH193" s="34">
        <v>0</v>
      </c>
      <c r="AI193" s="37">
        <f t="shared" si="22"/>
        <v>21070.33</v>
      </c>
      <c r="AJ193" s="37">
        <f t="shared" si="23"/>
        <v>17505.782546793434</v>
      </c>
      <c r="AK193" s="37">
        <f t="shared" si="24"/>
        <v>18134.10999999999</v>
      </c>
      <c r="AL193" s="37">
        <f t="shared" si="25"/>
        <v>30656.051703979181</v>
      </c>
      <c r="AM193" s="37">
        <f t="shared" si="26"/>
        <v>33381.687600000005</v>
      </c>
      <c r="AN193" s="37">
        <f t="shared" si="27"/>
        <v>37209.454444800009</v>
      </c>
      <c r="AO193" s="37">
        <f t="shared" si="28"/>
        <v>0</v>
      </c>
    </row>
    <row r="194" spans="1:41" hidden="1" x14ac:dyDescent="0.3">
      <c r="A194" t="str">
        <f t="shared" si="20"/>
        <v>404nov</v>
      </c>
      <c r="B194" t="str">
        <f t="shared" si="21"/>
        <v>FLORIDAnov</v>
      </c>
      <c r="C194" s="1" t="s">
        <v>79</v>
      </c>
      <c r="D194" s="1" t="s">
        <v>15</v>
      </c>
      <c r="E194" s="1">
        <v>404</v>
      </c>
      <c r="F194" s="1" t="s">
        <v>120</v>
      </c>
      <c r="G194" s="1" t="s">
        <v>120</v>
      </c>
      <c r="H194" s="1" t="s">
        <v>120</v>
      </c>
      <c r="I194" s="1" t="s">
        <v>127</v>
      </c>
      <c r="J194" s="1" t="s">
        <v>133</v>
      </c>
      <c r="K194" t="s">
        <v>90</v>
      </c>
      <c r="L194" s="6">
        <v>39446.619999999995</v>
      </c>
      <c r="M194" s="6">
        <v>19267.930000000004</v>
      </c>
      <c r="N194" s="6">
        <v>21287.56</v>
      </c>
      <c r="O194" s="6">
        <v>10949.740000000002</v>
      </c>
      <c r="P194" s="6">
        <v>37545.907549999989</v>
      </c>
      <c r="Q194" s="6">
        <v>18560.481231249993</v>
      </c>
      <c r="R194" s="6">
        <v>40992.621863089989</v>
      </c>
      <c r="S194" s="6">
        <v>19446.899811849893</v>
      </c>
      <c r="T194" s="6">
        <v>27054.597701149414</v>
      </c>
      <c r="U194" s="6">
        <v>10793.130924960813</v>
      </c>
      <c r="V194" s="30">
        <v>44272.031612137202</v>
      </c>
      <c r="W194" s="30">
        <v>21002.651796797891</v>
      </c>
      <c r="X194" s="30">
        <v>50470.116037836407</v>
      </c>
      <c r="Y194" s="30">
        <v>24338.678592048353</v>
      </c>
      <c r="Z194" s="30">
        <v>0</v>
      </c>
      <c r="AA194" s="30">
        <v>0</v>
      </c>
      <c r="AB194" s="34">
        <v>0.50439581388722332</v>
      </c>
      <c r="AC194" s="34">
        <v>0.58351733857806731</v>
      </c>
      <c r="AD194" s="34">
        <v>0.35690216207306319</v>
      </c>
      <c r="AE194" s="34">
        <v>0.48</v>
      </c>
      <c r="AF194" s="34">
        <v>0.48</v>
      </c>
      <c r="AG194" s="34">
        <v>0.6</v>
      </c>
      <c r="AH194" s="34">
        <v>0</v>
      </c>
      <c r="AI194" s="37">
        <f t="shared" si="22"/>
        <v>19896.710000000017</v>
      </c>
      <c r="AJ194" s="37">
        <f t="shared" si="23"/>
        <v>12421.660356020924</v>
      </c>
      <c r="AK194" s="37">
        <f t="shared" si="24"/>
        <v>9655.8444135571517</v>
      </c>
      <c r="AL194" s="37">
        <f t="shared" si="25"/>
        <v>19676.458494283193</v>
      </c>
      <c r="AM194" s="37">
        <f t="shared" si="26"/>
        <v>21250.575173825855</v>
      </c>
      <c r="AN194" s="37">
        <f t="shared" si="27"/>
        <v>30282.069622701842</v>
      </c>
      <c r="AO194" s="37">
        <f t="shared" si="28"/>
        <v>0</v>
      </c>
    </row>
    <row r="195" spans="1:41" hidden="1" x14ac:dyDescent="0.3">
      <c r="A195" t="str">
        <f t="shared" si="20"/>
        <v>404dic</v>
      </c>
      <c r="B195" t="str">
        <f t="shared" si="21"/>
        <v>FLORIDAdic</v>
      </c>
      <c r="C195" s="1" t="s">
        <v>79</v>
      </c>
      <c r="D195" s="1" t="s">
        <v>15</v>
      </c>
      <c r="E195" s="1">
        <v>404</v>
      </c>
      <c r="F195" s="1" t="s">
        <v>120</v>
      </c>
      <c r="G195" s="1" t="s">
        <v>120</v>
      </c>
      <c r="H195" s="1" t="s">
        <v>120</v>
      </c>
      <c r="I195" s="1" t="s">
        <v>127</v>
      </c>
      <c r="J195" s="1" t="s">
        <v>133</v>
      </c>
      <c r="K195" t="s">
        <v>91</v>
      </c>
      <c r="L195" s="6">
        <v>83204.649999999994</v>
      </c>
      <c r="M195" s="6">
        <v>40607.78</v>
      </c>
      <c r="N195" s="6">
        <v>62037.03</v>
      </c>
      <c r="O195" s="6">
        <v>32903.1</v>
      </c>
      <c r="P195" s="6">
        <v>65246.640550000018</v>
      </c>
      <c r="Q195" s="6">
        <v>35767.113506250011</v>
      </c>
      <c r="R195" s="6">
        <v>71236.282152490021</v>
      </c>
      <c r="S195" s="6">
        <v>37327.811847904777</v>
      </c>
      <c r="T195" s="6">
        <v>90573.448275862072</v>
      </c>
      <c r="U195" s="6">
        <v>43117.013339023324</v>
      </c>
      <c r="V195" s="30">
        <v>76935.184724689228</v>
      </c>
      <c r="W195" s="30">
        <v>40314.036795737164</v>
      </c>
      <c r="X195" s="30">
        <v>88475.462433392633</v>
      </c>
      <c r="Y195" s="30">
        <v>46376.713619398775</v>
      </c>
      <c r="Z195" s="30">
        <v>0</v>
      </c>
      <c r="AA195" s="30">
        <v>0</v>
      </c>
      <c r="AB195" s="34">
        <v>0.53223599882939288</v>
      </c>
      <c r="AC195" s="34">
        <v>0.78870362239574487</v>
      </c>
      <c r="AD195" s="34">
        <v>0.52997588746176005</v>
      </c>
      <c r="AE195" s="34">
        <v>0.8</v>
      </c>
      <c r="AF195" s="34">
        <v>0.8</v>
      </c>
      <c r="AG195" s="34">
        <v>0.85</v>
      </c>
      <c r="AH195" s="34">
        <v>0</v>
      </c>
      <c r="AI195" s="37">
        <f t="shared" si="22"/>
        <v>44284.510000000038</v>
      </c>
      <c r="AJ195" s="37">
        <f t="shared" si="23"/>
        <v>48928.830283673495</v>
      </c>
      <c r="AK195" s="37">
        <f t="shared" si="24"/>
        <v>48001.743630471821</v>
      </c>
      <c r="AL195" s="37">
        <f t="shared" si="25"/>
        <v>56989.025721992017</v>
      </c>
      <c r="AM195" s="37">
        <f t="shared" si="26"/>
        <v>61548.147779751387</v>
      </c>
      <c r="AN195" s="37">
        <f t="shared" si="27"/>
        <v>75204.143068383739</v>
      </c>
      <c r="AO195" s="37">
        <f t="shared" si="28"/>
        <v>0</v>
      </c>
    </row>
    <row r="196" spans="1:41" hidden="1" x14ac:dyDescent="0.3">
      <c r="A196" t="str">
        <f t="shared" si="20"/>
        <v>FP-SMXLsep</v>
      </c>
      <c r="B196" t="str">
        <f t="shared" si="21"/>
        <v>FORMATO XL - SAN MARTIN  1000sep</v>
      </c>
      <c r="C196" s="1" t="s">
        <v>79</v>
      </c>
      <c r="D196" s="1" t="s">
        <v>16</v>
      </c>
      <c r="E196" s="1" t="s">
        <v>108</v>
      </c>
      <c r="F196" s="1" t="s">
        <v>121</v>
      </c>
      <c r="G196" s="1" t="s">
        <v>121</v>
      </c>
      <c r="H196" s="1" t="s">
        <v>303</v>
      </c>
      <c r="I196" s="1" t="s">
        <v>127</v>
      </c>
      <c r="J196" s="1" t="s">
        <v>135</v>
      </c>
      <c r="K196" t="s">
        <v>88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4">
        <v>0</v>
      </c>
      <c r="AC196" s="34">
        <v>0</v>
      </c>
      <c r="AD196" s="34">
        <v>0</v>
      </c>
      <c r="AE196" s="34">
        <v>0</v>
      </c>
      <c r="AF196" s="34">
        <v>0</v>
      </c>
      <c r="AG196" s="34">
        <v>0</v>
      </c>
      <c r="AH196" s="34">
        <v>0</v>
      </c>
      <c r="AI196" s="37">
        <f t="shared" si="22"/>
        <v>0</v>
      </c>
      <c r="AJ196" s="37">
        <f t="shared" si="23"/>
        <v>0</v>
      </c>
      <c r="AK196" s="37">
        <f t="shared" si="24"/>
        <v>0</v>
      </c>
      <c r="AL196" s="37">
        <f t="shared" si="25"/>
        <v>0</v>
      </c>
      <c r="AM196" s="37">
        <f t="shared" si="26"/>
        <v>0</v>
      </c>
      <c r="AN196" s="37">
        <f t="shared" si="27"/>
        <v>0</v>
      </c>
      <c r="AO196" s="37">
        <f t="shared" si="28"/>
        <v>0</v>
      </c>
    </row>
    <row r="197" spans="1:41" hidden="1" x14ac:dyDescent="0.3">
      <c r="A197" t="str">
        <f t="shared" ref="A197:A260" si="29">CONCATENATE(E197,K197)</f>
        <v>FP-SMXLoct</v>
      </c>
      <c r="B197" t="str">
        <f t="shared" ref="B197:B260" si="30">CONCATENATE(D197,K197)</f>
        <v>FORMATO XL - SAN MARTIN  1000oct</v>
      </c>
      <c r="C197" s="1" t="s">
        <v>79</v>
      </c>
      <c r="D197" s="1" t="s">
        <v>16</v>
      </c>
      <c r="E197" s="1" t="s">
        <v>108</v>
      </c>
      <c r="F197" s="1" t="s">
        <v>121</v>
      </c>
      <c r="G197" s="1" t="s">
        <v>121</v>
      </c>
      <c r="H197" s="1" t="s">
        <v>303</v>
      </c>
      <c r="I197" s="1" t="s">
        <v>127</v>
      </c>
      <c r="J197" s="1" t="s">
        <v>135</v>
      </c>
      <c r="K197" t="s">
        <v>89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4">
        <v>0</v>
      </c>
      <c r="AC197" s="34">
        <v>0</v>
      </c>
      <c r="AD197" s="34">
        <v>0</v>
      </c>
      <c r="AE197" s="34">
        <v>0</v>
      </c>
      <c r="AF197" s="34">
        <v>0</v>
      </c>
      <c r="AG197" s="34">
        <v>0</v>
      </c>
      <c r="AH197" s="34">
        <v>0</v>
      </c>
      <c r="AI197" s="37">
        <f t="shared" ref="AI197:AI260" si="31">L197*AB197</f>
        <v>0</v>
      </c>
      <c r="AJ197" s="37">
        <f t="shared" ref="AJ197:AJ260" si="32">N197*AC197</f>
        <v>0</v>
      </c>
      <c r="AK197" s="37">
        <f t="shared" ref="AK197:AK260" si="33">T197*AD197</f>
        <v>0</v>
      </c>
      <c r="AL197" s="37">
        <f t="shared" ref="AL197:AL260" si="34">R197*AE197</f>
        <v>0</v>
      </c>
      <c r="AM197" s="37">
        <f t="shared" ref="AM197:AM260" si="35">V197*AF197</f>
        <v>0</v>
      </c>
      <c r="AN197" s="37">
        <f t="shared" ref="AN197:AN260" si="36">X197*AG197</f>
        <v>0</v>
      </c>
      <c r="AO197" s="37">
        <f t="shared" ref="AO197:AO260" si="37">Z197*AH197</f>
        <v>0</v>
      </c>
    </row>
    <row r="198" spans="1:41" hidden="1" x14ac:dyDescent="0.3">
      <c r="A198" t="str">
        <f t="shared" si="29"/>
        <v>FP-SMXLnov</v>
      </c>
      <c r="B198" t="str">
        <f t="shared" si="30"/>
        <v>FORMATO XL - SAN MARTIN  1000nov</v>
      </c>
      <c r="C198" s="1" t="s">
        <v>79</v>
      </c>
      <c r="D198" s="1" t="s">
        <v>16</v>
      </c>
      <c r="E198" s="1" t="s">
        <v>108</v>
      </c>
      <c r="F198" s="1" t="s">
        <v>121</v>
      </c>
      <c r="G198" s="1" t="s">
        <v>121</v>
      </c>
      <c r="H198" s="1" t="s">
        <v>303</v>
      </c>
      <c r="I198" s="1" t="s">
        <v>127</v>
      </c>
      <c r="J198" s="1" t="s">
        <v>135</v>
      </c>
      <c r="K198" t="s">
        <v>90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30">
        <v>0</v>
      </c>
      <c r="W198" s="30">
        <v>0</v>
      </c>
      <c r="X198" s="30">
        <v>264022.40301724139</v>
      </c>
      <c r="Y198" s="30">
        <v>131411.4763696077</v>
      </c>
      <c r="Z198" s="30">
        <v>0</v>
      </c>
      <c r="AA198" s="30">
        <v>0</v>
      </c>
      <c r="AB198" s="34">
        <v>0</v>
      </c>
      <c r="AC198" s="34">
        <v>0</v>
      </c>
      <c r="AD198" s="34">
        <v>0</v>
      </c>
      <c r="AE198" s="34">
        <v>0</v>
      </c>
      <c r="AF198" s="34">
        <v>0</v>
      </c>
      <c r="AG198" s="34">
        <v>0.65000000000000013</v>
      </c>
      <c r="AH198" s="34">
        <v>0</v>
      </c>
      <c r="AI198" s="37">
        <f t="shared" si="31"/>
        <v>0</v>
      </c>
      <c r="AJ198" s="37">
        <f t="shared" si="32"/>
        <v>0</v>
      </c>
      <c r="AK198" s="37">
        <f t="shared" si="33"/>
        <v>0</v>
      </c>
      <c r="AL198" s="37">
        <f t="shared" si="34"/>
        <v>0</v>
      </c>
      <c r="AM198" s="37">
        <f t="shared" si="35"/>
        <v>0</v>
      </c>
      <c r="AN198" s="37">
        <f t="shared" si="36"/>
        <v>171614.56196120693</v>
      </c>
      <c r="AO198" s="37">
        <f t="shared" si="37"/>
        <v>0</v>
      </c>
    </row>
    <row r="199" spans="1:41" hidden="1" x14ac:dyDescent="0.3">
      <c r="A199" t="str">
        <f t="shared" si="29"/>
        <v>FP-SMXLdic</v>
      </c>
      <c r="B199" t="str">
        <f t="shared" si="30"/>
        <v>FORMATO XL - SAN MARTIN  1000dic</v>
      </c>
      <c r="C199" s="1" t="s">
        <v>79</v>
      </c>
      <c r="D199" s="1" t="s">
        <v>16</v>
      </c>
      <c r="E199" s="1" t="s">
        <v>108</v>
      </c>
      <c r="F199" s="1" t="s">
        <v>121</v>
      </c>
      <c r="G199" s="1" t="s">
        <v>121</v>
      </c>
      <c r="H199" s="1" t="s">
        <v>303</v>
      </c>
      <c r="I199" s="1" t="s">
        <v>127</v>
      </c>
      <c r="J199" s="1" t="s">
        <v>135</v>
      </c>
      <c r="K199" t="s">
        <v>91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30">
        <v>0</v>
      </c>
      <c r="W199" s="30">
        <v>0</v>
      </c>
      <c r="X199" s="30">
        <v>465209.9998673813</v>
      </c>
      <c r="Y199" s="30">
        <v>245139.88897356391</v>
      </c>
      <c r="Z199" s="30">
        <v>0</v>
      </c>
      <c r="AA199" s="30">
        <v>0</v>
      </c>
      <c r="AB199" s="34">
        <v>0</v>
      </c>
      <c r="AC199" s="34">
        <v>0</v>
      </c>
      <c r="AD199" s="34">
        <v>0</v>
      </c>
      <c r="AE199" s="34">
        <v>0</v>
      </c>
      <c r="AF199" s="34">
        <v>0</v>
      </c>
      <c r="AG199" s="34">
        <v>0.85</v>
      </c>
      <c r="AH199" s="34">
        <v>0</v>
      </c>
      <c r="AI199" s="37">
        <f t="shared" si="31"/>
        <v>0</v>
      </c>
      <c r="AJ199" s="37">
        <f t="shared" si="32"/>
        <v>0</v>
      </c>
      <c r="AK199" s="37">
        <f t="shared" si="33"/>
        <v>0</v>
      </c>
      <c r="AL199" s="37">
        <f t="shared" si="34"/>
        <v>0</v>
      </c>
      <c r="AM199" s="37">
        <f t="shared" si="35"/>
        <v>0</v>
      </c>
      <c r="AN199" s="37">
        <f t="shared" si="36"/>
        <v>395428.49988727411</v>
      </c>
      <c r="AO199" s="37">
        <f t="shared" si="37"/>
        <v>0</v>
      </c>
    </row>
    <row r="200" spans="1:41" hidden="1" x14ac:dyDescent="0.3">
      <c r="A200" t="str">
        <f t="shared" si="29"/>
        <v>214ene</v>
      </c>
      <c r="B200" t="str">
        <f t="shared" si="30"/>
        <v>FP CIELO MALLene</v>
      </c>
      <c r="C200" s="1" t="s">
        <v>79</v>
      </c>
      <c r="D200" s="1" t="s">
        <v>17</v>
      </c>
      <c r="E200" s="1">
        <v>214</v>
      </c>
      <c r="F200" s="1" t="s">
        <v>119</v>
      </c>
      <c r="G200" s="1" t="s">
        <v>119</v>
      </c>
      <c r="H200" s="1" t="s">
        <v>119</v>
      </c>
      <c r="I200" s="1" t="s">
        <v>125</v>
      </c>
      <c r="J200" s="1" t="s">
        <v>134</v>
      </c>
      <c r="K200" t="s">
        <v>80</v>
      </c>
      <c r="L200" s="6">
        <v>0</v>
      </c>
      <c r="M200" s="6">
        <v>0</v>
      </c>
      <c r="N200" s="6">
        <v>50886.789999999994</v>
      </c>
      <c r="O200" s="6">
        <v>25080.219999999994</v>
      </c>
      <c r="P200" s="6">
        <v>53222.782583333334</v>
      </c>
      <c r="Q200" s="6">
        <v>26424.169125166663</v>
      </c>
      <c r="R200" s="6">
        <v>50177.870000000046</v>
      </c>
      <c r="S200" s="6">
        <v>25840.5514678256</v>
      </c>
      <c r="T200" s="6">
        <v>50177.870000000024</v>
      </c>
      <c r="U200" s="6">
        <v>25740.890000000025</v>
      </c>
      <c r="V200" s="30">
        <v>53222.782583333334</v>
      </c>
      <c r="W200" s="30">
        <v>27302.908472828753</v>
      </c>
      <c r="X200" s="30">
        <v>56948.37736416667</v>
      </c>
      <c r="Y200" s="30">
        <v>30158.279807986964</v>
      </c>
      <c r="Z200" s="30">
        <v>49433.189655172551</v>
      </c>
      <c r="AA200" s="30">
        <v>27554.831625311374</v>
      </c>
      <c r="AB200" s="34">
        <v>0</v>
      </c>
      <c r="AC200" s="34">
        <v>0.65446989518265641</v>
      </c>
      <c r="AD200" s="34">
        <v>0.7701131730511338</v>
      </c>
      <c r="AE200" s="34">
        <v>0.77011317305113347</v>
      </c>
      <c r="AF200" s="34">
        <v>0.77011317305113347</v>
      </c>
      <c r="AG200" s="34">
        <v>0.88</v>
      </c>
      <c r="AH200" s="34">
        <v>0.98190696254959242</v>
      </c>
      <c r="AI200" s="37">
        <f t="shared" si="31"/>
        <v>0</v>
      </c>
      <c r="AJ200" s="37">
        <f t="shared" si="32"/>
        <v>33303.872117481842</v>
      </c>
      <c r="AK200" s="37">
        <f t="shared" si="33"/>
        <v>38642.638682647317</v>
      </c>
      <c r="AL200" s="37">
        <f t="shared" si="34"/>
        <v>38642.638682647317</v>
      </c>
      <c r="AM200" s="37">
        <f t="shared" si="35"/>
        <v>40987.565973861434</v>
      </c>
      <c r="AN200" s="37">
        <f t="shared" si="36"/>
        <v>50114.572080466671</v>
      </c>
      <c r="AO200" s="37">
        <f t="shared" si="37"/>
        <v>48538.793103448414</v>
      </c>
    </row>
    <row r="201" spans="1:41" hidden="1" x14ac:dyDescent="0.3">
      <c r="A201" t="str">
        <f t="shared" si="29"/>
        <v>214feb</v>
      </c>
      <c r="B201" t="str">
        <f t="shared" si="30"/>
        <v>FP CIELO MALLfeb</v>
      </c>
      <c r="C201" s="1" t="s">
        <v>79</v>
      </c>
      <c r="D201" s="1" t="s">
        <v>17</v>
      </c>
      <c r="E201" s="1">
        <v>214</v>
      </c>
      <c r="F201" s="1" t="s">
        <v>119</v>
      </c>
      <c r="G201" s="1" t="s">
        <v>119</v>
      </c>
      <c r="H201" s="1" t="s">
        <v>119</v>
      </c>
      <c r="I201" s="1" t="s">
        <v>125</v>
      </c>
      <c r="J201" s="1" t="s">
        <v>134</v>
      </c>
      <c r="K201" t="s">
        <v>81</v>
      </c>
      <c r="L201" s="6">
        <v>0</v>
      </c>
      <c r="M201" s="6">
        <v>0</v>
      </c>
      <c r="N201" s="6">
        <v>60119.11</v>
      </c>
      <c r="O201" s="6">
        <v>28700.370000000003</v>
      </c>
      <c r="P201" s="6">
        <v>75023.705999999976</v>
      </c>
      <c r="Q201" s="6">
        <v>33643.374087499986</v>
      </c>
      <c r="R201" s="6">
        <v>76026.619999999923</v>
      </c>
      <c r="S201" s="6">
        <v>33585.220238058777</v>
      </c>
      <c r="T201" s="6">
        <v>76026.619999999923</v>
      </c>
      <c r="U201" s="6">
        <v>33619.739999999932</v>
      </c>
      <c r="V201" s="30">
        <v>82108.749600000097</v>
      </c>
      <c r="W201" s="30">
        <v>36309.319200000005</v>
      </c>
      <c r="X201" s="30">
        <v>87035.274576000098</v>
      </c>
      <c r="Y201" s="30">
        <v>37814.186615970408</v>
      </c>
      <c r="Z201" s="30">
        <v>69109.770114942628</v>
      </c>
      <c r="AA201" s="30">
        <v>32545.956259357008</v>
      </c>
      <c r="AB201" s="34">
        <v>0</v>
      </c>
      <c r="AC201" s="34">
        <v>0.53123174505847814</v>
      </c>
      <c r="AD201" s="34">
        <v>0.33762728240137213</v>
      </c>
      <c r="AE201" s="34">
        <v>0.33762728240137152</v>
      </c>
      <c r="AF201" s="34">
        <v>0.33762728240137152</v>
      </c>
      <c r="AG201" s="34">
        <v>0.40000000000000008</v>
      </c>
      <c r="AH201" s="34">
        <v>0.50004365868059286</v>
      </c>
      <c r="AI201" s="37">
        <f t="shared" si="31"/>
        <v>0</v>
      </c>
      <c r="AJ201" s="37">
        <f t="shared" si="32"/>
        <v>31937.179716662606</v>
      </c>
      <c r="AK201" s="37">
        <f t="shared" si="33"/>
        <v>25668.661100761779</v>
      </c>
      <c r="AL201" s="37">
        <f t="shared" si="34"/>
        <v>25668.661100761732</v>
      </c>
      <c r="AM201" s="37">
        <f t="shared" si="35"/>
        <v>27722.153988822734</v>
      </c>
      <c r="AN201" s="37">
        <f t="shared" si="36"/>
        <v>34814.109830400048</v>
      </c>
      <c r="AO201" s="37">
        <f t="shared" si="37"/>
        <v>34557.902298850611</v>
      </c>
    </row>
    <row r="202" spans="1:41" hidden="1" x14ac:dyDescent="0.3">
      <c r="A202" t="str">
        <f t="shared" si="29"/>
        <v>214mar</v>
      </c>
      <c r="B202" t="str">
        <f t="shared" si="30"/>
        <v>FP CIELO MALLmar</v>
      </c>
      <c r="C202" s="1" t="s">
        <v>79</v>
      </c>
      <c r="D202" s="1" t="s">
        <v>17</v>
      </c>
      <c r="E202" s="1">
        <v>214</v>
      </c>
      <c r="F202" s="1" t="s">
        <v>119</v>
      </c>
      <c r="G202" s="1" t="s">
        <v>119</v>
      </c>
      <c r="H202" s="1" t="s">
        <v>119</v>
      </c>
      <c r="I202" s="1" t="s">
        <v>125</v>
      </c>
      <c r="J202" s="1" t="s">
        <v>134</v>
      </c>
      <c r="K202" t="s">
        <v>82</v>
      </c>
      <c r="L202" s="6">
        <v>0</v>
      </c>
      <c r="M202" s="6">
        <v>0</v>
      </c>
      <c r="N202" s="6">
        <v>77944.03</v>
      </c>
      <c r="O202" s="6">
        <v>34146.250000000007</v>
      </c>
      <c r="P202" s="6">
        <v>57089.565049999983</v>
      </c>
      <c r="Q202" s="6">
        <v>26650.745052749993</v>
      </c>
      <c r="R202" s="6">
        <v>70367.210000000094</v>
      </c>
      <c r="S202" s="6">
        <v>31437.526873038627</v>
      </c>
      <c r="T202" s="6">
        <v>70367.21000000005</v>
      </c>
      <c r="U202" s="6">
        <v>31228.540000000066</v>
      </c>
      <c r="V202" s="30">
        <v>71774.554200000159</v>
      </c>
      <c r="W202" s="30">
        <v>31853.110800000115</v>
      </c>
      <c r="X202" s="30">
        <v>76081.027452000169</v>
      </c>
      <c r="Y202" s="30">
        <v>39838.181333270957</v>
      </c>
      <c r="Z202" s="30">
        <v>72343.877275374703</v>
      </c>
      <c r="AA202" s="30">
        <v>37474.1284286441</v>
      </c>
      <c r="AB202" s="34">
        <v>0</v>
      </c>
      <c r="AC202" s="34">
        <v>0.35497419137171932</v>
      </c>
      <c r="AD202" s="34">
        <v>0.56715893535648854</v>
      </c>
      <c r="AE202" s="34">
        <v>0.56715893535648798</v>
      </c>
      <c r="AF202" s="34">
        <v>0.56715893535648798</v>
      </c>
      <c r="AG202" s="34">
        <v>0.85</v>
      </c>
      <c r="AH202" s="34">
        <v>0.79561725474423473</v>
      </c>
      <c r="AI202" s="37">
        <f t="shared" si="31"/>
        <v>0</v>
      </c>
      <c r="AJ202" s="37">
        <f t="shared" si="32"/>
        <v>27668.119021503033</v>
      </c>
      <c r="AK202" s="37">
        <f t="shared" si="33"/>
        <v>39909.391907606485</v>
      </c>
      <c r="AL202" s="37">
        <f t="shared" si="34"/>
        <v>39909.39190760647</v>
      </c>
      <c r="AM202" s="37">
        <f t="shared" si="35"/>
        <v>40707.57974575863</v>
      </c>
      <c r="AN202" s="37">
        <f t="shared" si="36"/>
        <v>64668.873334200143</v>
      </c>
      <c r="AO202" s="37">
        <f t="shared" si="37"/>
        <v>57558.037035387446</v>
      </c>
    </row>
    <row r="203" spans="1:41" hidden="1" x14ac:dyDescent="0.3">
      <c r="A203" t="str">
        <f t="shared" si="29"/>
        <v>214abr</v>
      </c>
      <c r="B203" t="str">
        <f t="shared" si="30"/>
        <v>FP CIELO MALLabr</v>
      </c>
      <c r="C203" s="1" t="s">
        <v>79</v>
      </c>
      <c r="D203" s="1" t="s">
        <v>17</v>
      </c>
      <c r="E203" s="1">
        <v>214</v>
      </c>
      <c r="F203" s="1" t="s">
        <v>119</v>
      </c>
      <c r="G203" s="1" t="s">
        <v>119</v>
      </c>
      <c r="H203" s="1" t="s">
        <v>119</v>
      </c>
      <c r="I203" s="1" t="s">
        <v>125</v>
      </c>
      <c r="J203" s="1" t="s">
        <v>134</v>
      </c>
      <c r="K203" t="s">
        <v>83</v>
      </c>
      <c r="L203" s="6">
        <v>0</v>
      </c>
      <c r="M203" s="6">
        <v>0</v>
      </c>
      <c r="N203" s="6">
        <v>56022.55999999999</v>
      </c>
      <c r="O203" s="6">
        <v>28953.479999999992</v>
      </c>
      <c r="P203" s="6">
        <v>50147.406680000022</v>
      </c>
      <c r="Q203" s="6">
        <v>26107.654634150014</v>
      </c>
      <c r="R203" s="6">
        <v>64337.990000000034</v>
      </c>
      <c r="S203" s="6">
        <v>33299.28928162036</v>
      </c>
      <c r="T203" s="6">
        <v>64337.990000000049</v>
      </c>
      <c r="U203" s="6">
        <v>33323.630000000019</v>
      </c>
      <c r="V203" s="30">
        <v>69485.029200000063</v>
      </c>
      <c r="W203" s="30">
        <v>35989.520400000023</v>
      </c>
      <c r="X203" s="30">
        <v>75738.681828000088</v>
      </c>
      <c r="Y203" s="30">
        <v>40109.103447329602</v>
      </c>
      <c r="Z203" s="30">
        <v>0</v>
      </c>
      <c r="AA203" s="30">
        <v>0</v>
      </c>
      <c r="AB203" s="34">
        <v>0</v>
      </c>
      <c r="AC203" s="34">
        <v>0.68359939728551145</v>
      </c>
      <c r="AD203" s="34">
        <v>0.78073677813817621</v>
      </c>
      <c r="AE203" s="34">
        <v>0.78073677813817655</v>
      </c>
      <c r="AF203" s="34">
        <v>0.78073677813817655</v>
      </c>
      <c r="AG203" s="34">
        <v>0.88</v>
      </c>
      <c r="AH203" s="34">
        <v>0</v>
      </c>
      <c r="AI203" s="37">
        <f t="shared" si="31"/>
        <v>0</v>
      </c>
      <c r="AJ203" s="37">
        <f t="shared" si="32"/>
        <v>38296.988250391398</v>
      </c>
      <c r="AK203" s="37">
        <f t="shared" si="33"/>
        <v>50231.035024486235</v>
      </c>
      <c r="AL203" s="37">
        <f t="shared" si="34"/>
        <v>50231.035024486249</v>
      </c>
      <c r="AM203" s="37">
        <f t="shared" si="35"/>
        <v>54249.517826445168</v>
      </c>
      <c r="AN203" s="37">
        <f t="shared" si="36"/>
        <v>66650.040008640077</v>
      </c>
      <c r="AO203" s="37">
        <f t="shared" si="37"/>
        <v>0</v>
      </c>
    </row>
    <row r="204" spans="1:41" hidden="1" x14ac:dyDescent="0.3">
      <c r="A204" t="str">
        <f t="shared" si="29"/>
        <v>214may</v>
      </c>
      <c r="B204" t="str">
        <f t="shared" si="30"/>
        <v>FP CIELO MALLmay</v>
      </c>
      <c r="C204" s="1" t="s">
        <v>79</v>
      </c>
      <c r="D204" s="1" t="s">
        <v>17</v>
      </c>
      <c r="E204" s="1">
        <v>214</v>
      </c>
      <c r="F204" s="1" t="s">
        <v>119</v>
      </c>
      <c r="G204" s="1" t="s">
        <v>119</v>
      </c>
      <c r="H204" s="1" t="s">
        <v>119</v>
      </c>
      <c r="I204" s="1" t="s">
        <v>125</v>
      </c>
      <c r="J204" s="1" t="s">
        <v>134</v>
      </c>
      <c r="K204" t="s">
        <v>84</v>
      </c>
      <c r="L204" s="6">
        <v>0</v>
      </c>
      <c r="M204" s="6">
        <v>0</v>
      </c>
      <c r="N204" s="6">
        <v>52199.68</v>
      </c>
      <c r="O204" s="6">
        <v>26762.279999999995</v>
      </c>
      <c r="P204" s="6">
        <v>55359.422669999949</v>
      </c>
      <c r="Q204" s="6">
        <v>26832.245688599978</v>
      </c>
      <c r="R204" s="6">
        <v>54310.919999999976</v>
      </c>
      <c r="S204" s="6">
        <v>29234.978272488555</v>
      </c>
      <c r="T204" s="6">
        <v>54310.919999999955</v>
      </c>
      <c r="U204" s="6">
        <v>28907.92999999996</v>
      </c>
      <c r="V204" s="30">
        <v>57026.465999999957</v>
      </c>
      <c r="W204" s="30">
        <v>30353.326499999959</v>
      </c>
      <c r="X204" s="30">
        <v>62158.847939999949</v>
      </c>
      <c r="Y204" s="30">
        <v>32917.600386208367</v>
      </c>
      <c r="Z204" s="30">
        <v>0</v>
      </c>
      <c r="AA204" s="30">
        <v>0</v>
      </c>
      <c r="AB204" s="34">
        <v>0</v>
      </c>
      <c r="AC204" s="34">
        <v>0.69175134934852134</v>
      </c>
      <c r="AD204" s="34">
        <v>0.84173487611429143</v>
      </c>
      <c r="AE204" s="34">
        <v>0.84173487611429176</v>
      </c>
      <c r="AF204" s="34">
        <v>0.84173487611429176</v>
      </c>
      <c r="AG204" s="34">
        <v>0.88</v>
      </c>
      <c r="AH204" s="34">
        <v>0</v>
      </c>
      <c r="AI204" s="37">
        <f t="shared" si="31"/>
        <v>0</v>
      </c>
      <c r="AJ204" s="37">
        <f t="shared" si="32"/>
        <v>36109.199075561024</v>
      </c>
      <c r="AK204" s="37">
        <f t="shared" si="33"/>
        <v>45715.395517853154</v>
      </c>
      <c r="AL204" s="37">
        <f t="shared" si="34"/>
        <v>45715.395517853191</v>
      </c>
      <c r="AM204" s="37">
        <f t="shared" si="35"/>
        <v>48001.165293745835</v>
      </c>
      <c r="AN204" s="37">
        <f t="shared" si="36"/>
        <v>54699.786187199956</v>
      </c>
      <c r="AO204" s="37">
        <f t="shared" si="37"/>
        <v>0</v>
      </c>
    </row>
    <row r="205" spans="1:41" hidden="1" x14ac:dyDescent="0.3">
      <c r="A205" t="str">
        <f t="shared" si="29"/>
        <v>214jun</v>
      </c>
      <c r="B205" t="str">
        <f t="shared" si="30"/>
        <v>FP CIELO MALLjun</v>
      </c>
      <c r="C205" s="1" t="s">
        <v>79</v>
      </c>
      <c r="D205" s="1" t="s">
        <v>17</v>
      </c>
      <c r="E205" s="1">
        <v>214</v>
      </c>
      <c r="F205" s="1" t="s">
        <v>119</v>
      </c>
      <c r="G205" s="1" t="s">
        <v>119</v>
      </c>
      <c r="H205" s="1" t="s">
        <v>119</v>
      </c>
      <c r="I205" s="1" t="s">
        <v>125</v>
      </c>
      <c r="J205" s="1" t="s">
        <v>134</v>
      </c>
      <c r="K205" t="s">
        <v>85</v>
      </c>
      <c r="L205" s="6">
        <v>0</v>
      </c>
      <c r="M205" s="6">
        <v>0</v>
      </c>
      <c r="N205" s="6">
        <v>45228.480000000003</v>
      </c>
      <c r="O205" s="6">
        <v>23653.299999999988</v>
      </c>
      <c r="P205" s="6">
        <v>48651.291700000002</v>
      </c>
      <c r="Q205" s="6">
        <v>25645.726647</v>
      </c>
      <c r="R205" s="6">
        <v>53547.290000000023</v>
      </c>
      <c r="S205" s="6">
        <v>28685.760004354499</v>
      </c>
      <c r="T205" s="6">
        <v>53547.290000000023</v>
      </c>
      <c r="U205" s="6">
        <v>28684.420000000027</v>
      </c>
      <c r="V205" s="30">
        <v>56760.127400000027</v>
      </c>
      <c r="W205" s="30">
        <v>30405.485200000028</v>
      </c>
      <c r="X205" s="30">
        <v>64138.943962000041</v>
      </c>
      <c r="Y205" s="30">
        <v>33966.204273484982</v>
      </c>
      <c r="Z205" s="30">
        <v>0</v>
      </c>
      <c r="AA205" s="30">
        <v>0</v>
      </c>
      <c r="AB205" s="34">
        <v>0</v>
      </c>
      <c r="AC205" s="34">
        <v>0.73832721793194744</v>
      </c>
      <c r="AD205" s="34">
        <v>0.8688924671335353</v>
      </c>
      <c r="AE205" s="34">
        <v>0.8688924671335353</v>
      </c>
      <c r="AF205" s="34">
        <v>0.8688924671335353</v>
      </c>
      <c r="AG205" s="34">
        <v>0.88000000000000012</v>
      </c>
      <c r="AH205" s="34">
        <v>0</v>
      </c>
      <c r="AI205" s="37">
        <f t="shared" si="31"/>
        <v>0</v>
      </c>
      <c r="AJ205" s="37">
        <f t="shared" si="32"/>
        <v>33393.417809690727</v>
      </c>
      <c r="AK205" s="37">
        <f t="shared" si="33"/>
        <v>46526.836916414904</v>
      </c>
      <c r="AL205" s="37">
        <f t="shared" si="34"/>
        <v>46526.836916414904</v>
      </c>
      <c r="AM205" s="37">
        <f t="shared" si="35"/>
        <v>49318.4471313998</v>
      </c>
      <c r="AN205" s="37">
        <f t="shared" si="36"/>
        <v>56442.270686560041</v>
      </c>
      <c r="AO205" s="37">
        <f t="shared" si="37"/>
        <v>0</v>
      </c>
    </row>
    <row r="206" spans="1:41" hidden="1" x14ac:dyDescent="0.3">
      <c r="A206" t="str">
        <f t="shared" si="29"/>
        <v>214jul</v>
      </c>
      <c r="B206" t="str">
        <f t="shared" si="30"/>
        <v>FP CIELO MALLjul</v>
      </c>
      <c r="C206" s="1" t="s">
        <v>79</v>
      </c>
      <c r="D206" s="1" t="s">
        <v>17</v>
      </c>
      <c r="E206" s="1">
        <v>214</v>
      </c>
      <c r="F206" s="1" t="s">
        <v>119</v>
      </c>
      <c r="G206" s="1" t="s">
        <v>119</v>
      </c>
      <c r="H206" s="1" t="s">
        <v>119</v>
      </c>
      <c r="I206" s="1" t="s">
        <v>125</v>
      </c>
      <c r="J206" s="1" t="s">
        <v>134</v>
      </c>
      <c r="K206" t="s">
        <v>86</v>
      </c>
      <c r="L206" s="6">
        <v>0</v>
      </c>
      <c r="M206" s="6">
        <v>0</v>
      </c>
      <c r="N206" s="6">
        <v>46267.899999999994</v>
      </c>
      <c r="O206" s="6">
        <v>24024.340000000004</v>
      </c>
      <c r="P206" s="6">
        <v>51495.504899999985</v>
      </c>
      <c r="Q206" s="6">
        <v>27066.351343499988</v>
      </c>
      <c r="R206" s="6">
        <v>58164.76999999996</v>
      </c>
      <c r="S206" s="6">
        <v>31418.389999999898</v>
      </c>
      <c r="T206" s="6">
        <v>58164.769999999968</v>
      </c>
      <c r="U206" s="6">
        <v>31418.38999999997</v>
      </c>
      <c r="V206" s="30">
        <v>61073.00849999996</v>
      </c>
      <c r="W206" s="30">
        <v>32989.309499999967</v>
      </c>
      <c r="X206" s="30">
        <v>67485.674392499961</v>
      </c>
      <c r="Y206" s="30">
        <v>35738.539806760949</v>
      </c>
      <c r="Z206" s="30">
        <v>0</v>
      </c>
      <c r="AA206" s="30">
        <v>0</v>
      </c>
      <c r="AB206" s="34">
        <v>0</v>
      </c>
      <c r="AC206" s="34">
        <v>0.7473407317907369</v>
      </c>
      <c r="AD206" s="34">
        <v>0.89465547615850605</v>
      </c>
      <c r="AE206" s="34">
        <v>0.89465547615850616</v>
      </c>
      <c r="AF206" s="34">
        <v>0.89465547615850616</v>
      </c>
      <c r="AG206" s="34">
        <v>0.88</v>
      </c>
      <c r="AH206" s="34">
        <v>0</v>
      </c>
      <c r="AI206" s="37">
        <f t="shared" si="31"/>
        <v>0</v>
      </c>
      <c r="AJ206" s="37">
        <f t="shared" si="32"/>
        <v>34577.886244420632</v>
      </c>
      <c r="AK206" s="37">
        <f t="shared" si="33"/>
        <v>52037.429999999957</v>
      </c>
      <c r="AL206" s="37">
        <f t="shared" si="34"/>
        <v>52037.429999999957</v>
      </c>
      <c r="AM206" s="37">
        <f t="shared" si="35"/>
        <v>54639.301499999958</v>
      </c>
      <c r="AN206" s="37">
        <f t="shared" si="36"/>
        <v>59387.393465399968</v>
      </c>
      <c r="AO206" s="37">
        <f t="shared" si="37"/>
        <v>0</v>
      </c>
    </row>
    <row r="207" spans="1:41" hidden="1" x14ac:dyDescent="0.3">
      <c r="A207" t="str">
        <f t="shared" si="29"/>
        <v>214ago</v>
      </c>
      <c r="B207" t="str">
        <f t="shared" si="30"/>
        <v>FP CIELO MALLago</v>
      </c>
      <c r="C207" s="1" t="s">
        <v>79</v>
      </c>
      <c r="D207" s="1" t="s">
        <v>17</v>
      </c>
      <c r="E207" s="1">
        <v>214</v>
      </c>
      <c r="F207" s="1" t="s">
        <v>119</v>
      </c>
      <c r="G207" s="1" t="s">
        <v>119</v>
      </c>
      <c r="H207" s="1" t="s">
        <v>119</v>
      </c>
      <c r="I207" s="1" t="s">
        <v>125</v>
      </c>
      <c r="J207" s="1" t="s">
        <v>134</v>
      </c>
      <c r="K207" t="s">
        <v>87</v>
      </c>
      <c r="L207" s="6">
        <v>0</v>
      </c>
      <c r="M207" s="6">
        <v>0</v>
      </c>
      <c r="N207" s="6">
        <v>78366.650000000009</v>
      </c>
      <c r="O207" s="6">
        <v>29200.790000000005</v>
      </c>
      <c r="P207" s="6">
        <v>80223.091199999995</v>
      </c>
      <c r="Q207" s="6">
        <v>32742.429844999999</v>
      </c>
      <c r="R207" s="6">
        <v>95733.274264570413</v>
      </c>
      <c r="S207" s="6">
        <v>39863.335403767123</v>
      </c>
      <c r="T207" s="6">
        <v>120555.47000000002</v>
      </c>
      <c r="U207" s="6">
        <v>54568.930000000008</v>
      </c>
      <c r="V207" s="30">
        <v>120555.47000000009</v>
      </c>
      <c r="W207" s="30">
        <v>50199.297708000042</v>
      </c>
      <c r="X207" s="30">
        <v>127788.79820000009</v>
      </c>
      <c r="Y207" s="30">
        <v>55520.356385454208</v>
      </c>
      <c r="Z207" s="30">
        <v>0</v>
      </c>
      <c r="AA207" s="30">
        <v>0</v>
      </c>
      <c r="AB207" s="34">
        <v>0</v>
      </c>
      <c r="AC207" s="34">
        <v>0.31655673063117951</v>
      </c>
      <c r="AD207" s="34">
        <v>0.44906821731108632</v>
      </c>
      <c r="AE207" s="34">
        <v>0.37</v>
      </c>
      <c r="AF207" s="34">
        <v>0.37</v>
      </c>
      <c r="AG207" s="34">
        <v>0.4</v>
      </c>
      <c r="AH207" s="34">
        <v>0</v>
      </c>
      <c r="AI207" s="37">
        <f t="shared" si="31"/>
        <v>0</v>
      </c>
      <c r="AJ207" s="37">
        <f t="shared" si="32"/>
        <v>24807.490514517925</v>
      </c>
      <c r="AK207" s="37">
        <f t="shared" si="33"/>
        <v>54137.630000000157</v>
      </c>
      <c r="AL207" s="37">
        <f t="shared" si="34"/>
        <v>35421.311477891053</v>
      </c>
      <c r="AM207" s="37">
        <f t="shared" si="35"/>
        <v>44605.523900000029</v>
      </c>
      <c r="AN207" s="37">
        <f t="shared" si="36"/>
        <v>51115.519280000037</v>
      </c>
      <c r="AO207" s="37">
        <f t="shared" si="37"/>
        <v>0</v>
      </c>
    </row>
    <row r="208" spans="1:41" hidden="1" x14ac:dyDescent="0.3">
      <c r="A208" t="str">
        <f t="shared" si="29"/>
        <v>214sep</v>
      </c>
      <c r="B208" t="str">
        <f t="shared" si="30"/>
        <v>FP CIELO MALLsep</v>
      </c>
      <c r="C208" s="1" t="s">
        <v>79</v>
      </c>
      <c r="D208" s="1" t="s">
        <v>17</v>
      </c>
      <c r="E208" s="1">
        <v>214</v>
      </c>
      <c r="F208" s="1" t="s">
        <v>119</v>
      </c>
      <c r="G208" s="1" t="s">
        <v>119</v>
      </c>
      <c r="H208" s="1" t="s">
        <v>119</v>
      </c>
      <c r="I208" s="1" t="s">
        <v>125</v>
      </c>
      <c r="J208" s="1" t="s">
        <v>134</v>
      </c>
      <c r="K208" t="s">
        <v>88</v>
      </c>
      <c r="L208" s="6">
        <v>0</v>
      </c>
      <c r="M208" s="6">
        <v>0</v>
      </c>
      <c r="N208" s="6">
        <v>54052.95</v>
      </c>
      <c r="O208" s="6">
        <v>26408.009999999995</v>
      </c>
      <c r="P208" s="6">
        <v>48968.960249999996</v>
      </c>
      <c r="Q208" s="6">
        <v>25035.388505499999</v>
      </c>
      <c r="R208" s="6">
        <v>51446.789638649992</v>
      </c>
      <c r="S208" s="6">
        <v>26068.08830990396</v>
      </c>
      <c r="T208" s="6">
        <v>53268.19999999999</v>
      </c>
      <c r="U208" s="6">
        <v>26426.220000000008</v>
      </c>
      <c r="V208" s="30">
        <v>55931.609999999993</v>
      </c>
      <c r="W208" s="30">
        <v>27747.53100000001</v>
      </c>
      <c r="X208" s="30">
        <v>63762.035399999986</v>
      </c>
      <c r="Y208" s="30">
        <v>33387.608100406389</v>
      </c>
      <c r="Z208" s="30">
        <v>0</v>
      </c>
      <c r="AA208" s="30">
        <v>0</v>
      </c>
      <c r="AB208" s="34">
        <v>0</v>
      </c>
      <c r="AC208" s="34">
        <v>0.60602757150473396</v>
      </c>
      <c r="AD208" s="34">
        <v>0.74472799906886333</v>
      </c>
      <c r="AE208" s="34">
        <v>0.70000000000000007</v>
      </c>
      <c r="AF208" s="34">
        <v>0.70000000000000007</v>
      </c>
      <c r="AG208" s="34">
        <v>0.85</v>
      </c>
      <c r="AH208" s="34">
        <v>0</v>
      </c>
      <c r="AI208" s="37">
        <f t="shared" si="31"/>
        <v>0</v>
      </c>
      <c r="AJ208" s="37">
        <f t="shared" si="32"/>
        <v>32757.578021166806</v>
      </c>
      <c r="AK208" s="37">
        <f t="shared" si="33"/>
        <v>39670.320000000022</v>
      </c>
      <c r="AL208" s="37">
        <f t="shared" si="34"/>
        <v>36012.752747054998</v>
      </c>
      <c r="AM208" s="37">
        <f t="shared" si="35"/>
        <v>39152.127</v>
      </c>
      <c r="AN208" s="37">
        <f t="shared" si="36"/>
        <v>54197.73008999999</v>
      </c>
      <c r="AO208" s="37">
        <f t="shared" si="37"/>
        <v>0</v>
      </c>
    </row>
    <row r="209" spans="1:41" hidden="1" x14ac:dyDescent="0.3">
      <c r="A209" t="str">
        <f t="shared" si="29"/>
        <v>214oct</v>
      </c>
      <c r="B209" t="str">
        <f t="shared" si="30"/>
        <v>FP CIELO MALLoct</v>
      </c>
      <c r="C209" s="1" t="s">
        <v>79</v>
      </c>
      <c r="D209" s="1" t="s">
        <v>17</v>
      </c>
      <c r="E209" s="1">
        <v>214</v>
      </c>
      <c r="F209" s="1" t="s">
        <v>119</v>
      </c>
      <c r="G209" s="1" t="s">
        <v>119</v>
      </c>
      <c r="H209" s="1" t="s">
        <v>119</v>
      </c>
      <c r="I209" s="1" t="s">
        <v>125</v>
      </c>
      <c r="J209" s="1" t="s">
        <v>134</v>
      </c>
      <c r="K209" t="s">
        <v>89</v>
      </c>
      <c r="L209" s="6">
        <v>0</v>
      </c>
      <c r="M209" s="6">
        <v>0</v>
      </c>
      <c r="N209" s="6">
        <v>52370.499999999985</v>
      </c>
      <c r="O209" s="6">
        <v>26852.409999999982</v>
      </c>
      <c r="P209" s="6">
        <v>51362.820324999986</v>
      </c>
      <c r="Q209" s="6">
        <v>26601.757142125</v>
      </c>
      <c r="R209" s="6">
        <v>53961.779033444982</v>
      </c>
      <c r="S209" s="6">
        <v>28319.14163675193</v>
      </c>
      <c r="T209" s="6">
        <v>62793.780000000086</v>
      </c>
      <c r="U209" s="6">
        <v>32072.750000000113</v>
      </c>
      <c r="V209" s="30">
        <v>63421.717800000159</v>
      </c>
      <c r="W209" s="30">
        <v>33283.717501440085</v>
      </c>
      <c r="X209" s="30">
        <v>70080.998169000173</v>
      </c>
      <c r="Y209" s="30">
        <v>37112.951234561602</v>
      </c>
      <c r="Z209" s="30">
        <v>0</v>
      </c>
      <c r="AA209" s="30">
        <v>0</v>
      </c>
      <c r="AB209" s="34">
        <v>0</v>
      </c>
      <c r="AC209" s="34">
        <v>0.69458856509855915</v>
      </c>
      <c r="AD209" s="34">
        <v>0.6834600497055604</v>
      </c>
      <c r="AE209" s="34">
        <v>0.8</v>
      </c>
      <c r="AF209" s="34">
        <v>0.8</v>
      </c>
      <c r="AG209" s="34">
        <v>0.88000000000000012</v>
      </c>
      <c r="AH209" s="34">
        <v>0</v>
      </c>
      <c r="AI209" s="37">
        <f t="shared" si="31"/>
        <v>0</v>
      </c>
      <c r="AJ209" s="37">
        <f t="shared" si="32"/>
        <v>36375.950448494084</v>
      </c>
      <c r="AK209" s="37">
        <f t="shared" si="33"/>
        <v>42917.040000000081</v>
      </c>
      <c r="AL209" s="37">
        <f t="shared" si="34"/>
        <v>43169.423226755986</v>
      </c>
      <c r="AM209" s="37">
        <f t="shared" si="35"/>
        <v>50737.374240000128</v>
      </c>
      <c r="AN209" s="37">
        <f t="shared" si="36"/>
        <v>61671.278388720159</v>
      </c>
      <c r="AO209" s="37">
        <f t="shared" si="37"/>
        <v>0</v>
      </c>
    </row>
    <row r="210" spans="1:41" hidden="1" x14ac:dyDescent="0.3">
      <c r="A210" t="str">
        <f t="shared" si="29"/>
        <v>214nov</v>
      </c>
      <c r="B210" t="str">
        <f t="shared" si="30"/>
        <v>FP CIELO MALLnov</v>
      </c>
      <c r="C210" s="1" t="s">
        <v>79</v>
      </c>
      <c r="D210" s="1" t="s">
        <v>17</v>
      </c>
      <c r="E210" s="1">
        <v>214</v>
      </c>
      <c r="F210" s="1" t="s">
        <v>119</v>
      </c>
      <c r="G210" s="1" t="s">
        <v>119</v>
      </c>
      <c r="H210" s="1" t="s">
        <v>119</v>
      </c>
      <c r="I210" s="1" t="s">
        <v>125</v>
      </c>
      <c r="J210" s="1" t="s">
        <v>134</v>
      </c>
      <c r="K210" t="s">
        <v>90</v>
      </c>
      <c r="L210" s="6">
        <v>0</v>
      </c>
      <c r="M210" s="6">
        <v>0</v>
      </c>
      <c r="N210" s="6">
        <v>59375.77</v>
      </c>
      <c r="O210" s="6">
        <v>29617.170000000002</v>
      </c>
      <c r="P210" s="6">
        <v>71413.012125000052</v>
      </c>
      <c r="Q210" s="6">
        <v>32047.96057887502</v>
      </c>
      <c r="R210" s="6">
        <v>76129.841575856306</v>
      </c>
      <c r="S210" s="6">
        <v>36199.739669319679</v>
      </c>
      <c r="T210" s="6">
        <v>89151.293103448261</v>
      </c>
      <c r="U210" s="6">
        <v>37123.775420914433</v>
      </c>
      <c r="V210" s="30">
        <v>90934.318965517232</v>
      </c>
      <c r="W210" s="30">
        <v>43239.268668103454</v>
      </c>
      <c r="X210" s="30">
        <v>100482.42245689654</v>
      </c>
      <c r="Y210" s="30">
        <v>47638.288272571619</v>
      </c>
      <c r="Z210" s="30">
        <v>0</v>
      </c>
      <c r="AA210" s="30">
        <v>0</v>
      </c>
      <c r="AB210" s="34">
        <v>0</v>
      </c>
      <c r="AC210" s="34">
        <v>0.55436011956670539</v>
      </c>
      <c r="AD210" s="34">
        <v>0.44906821731108632</v>
      </c>
      <c r="AE210" s="34">
        <v>0.5</v>
      </c>
      <c r="AF210" s="34">
        <v>0.5</v>
      </c>
      <c r="AG210" s="34">
        <v>0.6</v>
      </c>
      <c r="AH210" s="34">
        <v>0</v>
      </c>
      <c r="AI210" s="37">
        <f t="shared" si="31"/>
        <v>0</v>
      </c>
      <c r="AJ210" s="37">
        <f t="shared" si="32"/>
        <v>32915.558956565197</v>
      </c>
      <c r="AK210" s="37">
        <f t="shared" si="33"/>
        <v>40035.012264943653</v>
      </c>
      <c r="AL210" s="37">
        <f t="shared" si="34"/>
        <v>38064.920787928153</v>
      </c>
      <c r="AM210" s="37">
        <f t="shared" si="35"/>
        <v>45467.159482758616</v>
      </c>
      <c r="AN210" s="37">
        <f t="shared" si="36"/>
        <v>60289.453474137925</v>
      </c>
      <c r="AO210" s="37">
        <f t="shared" si="37"/>
        <v>0</v>
      </c>
    </row>
    <row r="211" spans="1:41" hidden="1" x14ac:dyDescent="0.3">
      <c r="A211" t="str">
        <f t="shared" si="29"/>
        <v>214dic</v>
      </c>
      <c r="B211" t="str">
        <f t="shared" si="30"/>
        <v>FP CIELO MALLdic</v>
      </c>
      <c r="C211" s="1" t="s">
        <v>79</v>
      </c>
      <c r="D211" s="1" t="s">
        <v>17</v>
      </c>
      <c r="E211" s="1">
        <v>214</v>
      </c>
      <c r="F211" s="1" t="s">
        <v>119</v>
      </c>
      <c r="G211" s="1" t="s">
        <v>119</v>
      </c>
      <c r="H211" s="1" t="s">
        <v>119</v>
      </c>
      <c r="I211" s="1" t="s">
        <v>125</v>
      </c>
      <c r="J211" s="1" t="s">
        <v>134</v>
      </c>
      <c r="K211" t="s">
        <v>91</v>
      </c>
      <c r="L211" s="6">
        <v>0</v>
      </c>
      <c r="M211" s="6">
        <v>0</v>
      </c>
      <c r="N211" s="6">
        <v>109868.87999999999</v>
      </c>
      <c r="O211" s="6">
        <v>57167.539999999979</v>
      </c>
      <c r="P211" s="6">
        <v>115908.04030000011</v>
      </c>
      <c r="Q211" s="6">
        <v>62437.504475500049</v>
      </c>
      <c r="R211" s="6">
        <v>121772.98713918011</v>
      </c>
      <c r="S211" s="6">
        <v>61452.73795978725</v>
      </c>
      <c r="T211" s="6">
        <v>125218.10344827586</v>
      </c>
      <c r="U211" s="6">
        <v>62094.669229955114</v>
      </c>
      <c r="V211" s="30">
        <v>126470.28448275861</v>
      </c>
      <c r="W211" s="30">
        <v>63823.229064224135</v>
      </c>
      <c r="X211" s="30">
        <v>139749.66435344826</v>
      </c>
      <c r="Y211" s="30">
        <v>73176.883333875885</v>
      </c>
      <c r="Z211" s="30">
        <v>0</v>
      </c>
      <c r="AA211" s="30">
        <v>0</v>
      </c>
      <c r="AB211" s="34">
        <v>0</v>
      </c>
      <c r="AC211" s="34">
        <v>0.72168130387341534</v>
      </c>
      <c r="AD211" s="34">
        <v>0.56715893535648854</v>
      </c>
      <c r="AE211" s="34">
        <v>0.65</v>
      </c>
      <c r="AF211" s="34">
        <v>0.65</v>
      </c>
      <c r="AG211" s="34">
        <v>0.85</v>
      </c>
      <c r="AH211" s="34">
        <v>0</v>
      </c>
      <c r="AI211" s="37">
        <f t="shared" si="31"/>
        <v>0</v>
      </c>
      <c r="AJ211" s="37">
        <f t="shared" si="32"/>
        <v>79290.316573511795</v>
      </c>
      <c r="AK211" s="37">
        <f t="shared" si="33"/>
        <v>71018.566239082778</v>
      </c>
      <c r="AL211" s="37">
        <f t="shared" si="34"/>
        <v>79152.441640467077</v>
      </c>
      <c r="AM211" s="37">
        <f t="shared" si="35"/>
        <v>82205.684913793099</v>
      </c>
      <c r="AN211" s="37">
        <f t="shared" si="36"/>
        <v>118787.21470043101</v>
      </c>
      <c r="AO211" s="37">
        <f t="shared" si="37"/>
        <v>0</v>
      </c>
    </row>
    <row r="212" spans="1:41" hidden="1" x14ac:dyDescent="0.3">
      <c r="A212" t="str">
        <f t="shared" si="29"/>
        <v>206ene</v>
      </c>
      <c r="B212" t="str">
        <f t="shared" si="30"/>
        <v>GRANEROSene</v>
      </c>
      <c r="C212" s="1" t="s">
        <v>79</v>
      </c>
      <c r="D212" s="1" t="s">
        <v>18</v>
      </c>
      <c r="E212" s="1">
        <v>206</v>
      </c>
      <c r="F212" s="1" t="s">
        <v>120</v>
      </c>
      <c r="G212" s="1" t="s">
        <v>119</v>
      </c>
      <c r="H212" s="1" t="s">
        <v>119</v>
      </c>
      <c r="I212" s="1" t="s">
        <v>125</v>
      </c>
      <c r="J212" s="1" t="s">
        <v>134</v>
      </c>
      <c r="K212" t="s">
        <v>80</v>
      </c>
      <c r="L212" s="6">
        <v>74452.560000000012</v>
      </c>
      <c r="M212" s="6">
        <v>39858.460000000006</v>
      </c>
      <c r="N212" s="6">
        <v>47856.17</v>
      </c>
      <c r="O212" s="6">
        <v>24088.979999999996</v>
      </c>
      <c r="P212" s="6">
        <v>56967.328933333323</v>
      </c>
      <c r="Q212" s="6">
        <v>28487.176995833332</v>
      </c>
      <c r="R212" s="6">
        <v>49556.250000000051</v>
      </c>
      <c r="S212" s="6">
        <v>23900.431334664103</v>
      </c>
      <c r="T212" s="6">
        <v>49556.250000000022</v>
      </c>
      <c r="U212" s="6">
        <v>23969.190000000013</v>
      </c>
      <c r="V212" s="30">
        <v>59246.022090666658</v>
      </c>
      <c r="W212" s="30">
        <v>28655.904355866041</v>
      </c>
      <c r="X212" s="30">
        <v>62800.783416106657</v>
      </c>
      <c r="Y212" s="30">
        <v>33189.686367900475</v>
      </c>
      <c r="Z212" s="30">
        <v>55651.149425287513</v>
      </c>
      <c r="AA212" s="30">
        <v>30402.483485741883</v>
      </c>
      <c r="AB212" s="34">
        <v>0.78449847795697047</v>
      </c>
      <c r="AC212" s="34">
        <v>0.67227344994707361</v>
      </c>
      <c r="AD212" s="34">
        <v>0.70691069673143325</v>
      </c>
      <c r="AE212" s="34">
        <v>0.70691069673143336</v>
      </c>
      <c r="AF212" s="34">
        <v>0.70691069673143336</v>
      </c>
      <c r="AG212" s="34">
        <v>0.88</v>
      </c>
      <c r="AH212" s="34">
        <v>0.94523561182654692</v>
      </c>
      <c r="AI212" s="37">
        <f t="shared" si="31"/>
        <v>58407.920000000035</v>
      </c>
      <c r="AJ212" s="37">
        <f t="shared" si="32"/>
        <v>32172.432507153644</v>
      </c>
      <c r="AK212" s="37">
        <f t="shared" si="33"/>
        <v>35031.843214897104</v>
      </c>
      <c r="AL212" s="37">
        <f t="shared" si="34"/>
        <v>35031.843214897133</v>
      </c>
      <c r="AM212" s="37">
        <f t="shared" si="35"/>
        <v>41881.646754679059</v>
      </c>
      <c r="AN212" s="37">
        <f t="shared" si="36"/>
        <v>55264.689406173857</v>
      </c>
      <c r="AO212" s="37">
        <f t="shared" si="37"/>
        <v>52603.448275862225</v>
      </c>
    </row>
    <row r="213" spans="1:41" hidden="1" x14ac:dyDescent="0.3">
      <c r="A213" t="str">
        <f t="shared" si="29"/>
        <v>206feb</v>
      </c>
      <c r="B213" t="str">
        <f t="shared" si="30"/>
        <v>GRANEROSfeb</v>
      </c>
      <c r="C213" s="1" t="s">
        <v>79</v>
      </c>
      <c r="D213" s="1" t="s">
        <v>18</v>
      </c>
      <c r="E213" s="1">
        <v>206</v>
      </c>
      <c r="F213" s="1" t="s">
        <v>120</v>
      </c>
      <c r="G213" s="1" t="s">
        <v>119</v>
      </c>
      <c r="H213" s="1" t="s">
        <v>119</v>
      </c>
      <c r="I213" s="1" t="s">
        <v>125</v>
      </c>
      <c r="J213" s="1" t="s">
        <v>134</v>
      </c>
      <c r="K213" t="s">
        <v>81</v>
      </c>
      <c r="L213" s="6">
        <v>98344.080000000016</v>
      </c>
      <c r="M213" s="6">
        <v>42476.590000000026</v>
      </c>
      <c r="N213" s="6">
        <v>51117.580000000009</v>
      </c>
      <c r="O213" s="6">
        <v>22407.040000000005</v>
      </c>
      <c r="P213" s="6">
        <v>73494.302499999991</v>
      </c>
      <c r="Q213" s="6">
        <v>28957.719645000001</v>
      </c>
      <c r="R213" s="6">
        <v>86032.410000000033</v>
      </c>
      <c r="S213" s="6">
        <v>34900.40422461171</v>
      </c>
      <c r="T213" s="6">
        <v>86032.409999999945</v>
      </c>
      <c r="U213" s="6">
        <v>34974.339999999909</v>
      </c>
      <c r="V213" s="30">
        <v>86032.410000000222</v>
      </c>
      <c r="W213" s="30">
        <v>34974.340000000026</v>
      </c>
      <c r="X213" s="30">
        <v>88613.38230000023</v>
      </c>
      <c r="Y213" s="30">
        <v>36839.962728963219</v>
      </c>
      <c r="Z213" s="30">
        <v>69887.212643678329</v>
      </c>
      <c r="AA213" s="30">
        <v>31458.049943762366</v>
      </c>
      <c r="AB213" s="34">
        <v>0.39671701641827473</v>
      </c>
      <c r="AC213" s="34">
        <v>0.40467343837178865</v>
      </c>
      <c r="AD213" s="34">
        <v>0.28491667363763917</v>
      </c>
      <c r="AE213" s="34">
        <v>0.28491667363763956</v>
      </c>
      <c r="AF213" s="34">
        <v>0.28491667363763956</v>
      </c>
      <c r="AG213" s="34">
        <v>0.4</v>
      </c>
      <c r="AH213" s="34">
        <v>0.46805711172558379</v>
      </c>
      <c r="AI213" s="37">
        <f t="shared" si="31"/>
        <v>39014.770000000128</v>
      </c>
      <c r="AJ213" s="37">
        <f t="shared" si="32"/>
        <v>20685.926859844978</v>
      </c>
      <c r="AK213" s="37">
        <f t="shared" si="33"/>
        <v>24512.068082229551</v>
      </c>
      <c r="AL213" s="37">
        <f t="shared" si="34"/>
        <v>24512.068082229609</v>
      </c>
      <c r="AM213" s="37">
        <f t="shared" si="35"/>
        <v>24512.06808222966</v>
      </c>
      <c r="AN213" s="37">
        <f t="shared" si="36"/>
        <v>35445.352920000092</v>
      </c>
      <c r="AO213" s="37">
        <f t="shared" si="37"/>
        <v>32711.206896551779</v>
      </c>
    </row>
    <row r="214" spans="1:41" hidden="1" x14ac:dyDescent="0.3">
      <c r="A214" t="str">
        <f t="shared" si="29"/>
        <v>206mar</v>
      </c>
      <c r="B214" t="str">
        <f t="shared" si="30"/>
        <v>GRANEROSmar</v>
      </c>
      <c r="C214" s="1" t="s">
        <v>79</v>
      </c>
      <c r="D214" s="1" t="s">
        <v>18</v>
      </c>
      <c r="E214" s="1">
        <v>206</v>
      </c>
      <c r="F214" s="1" t="s">
        <v>120</v>
      </c>
      <c r="G214" s="1" t="s">
        <v>119</v>
      </c>
      <c r="H214" s="1" t="s">
        <v>119</v>
      </c>
      <c r="I214" s="1" t="s">
        <v>125</v>
      </c>
      <c r="J214" s="1" t="s">
        <v>134</v>
      </c>
      <c r="K214" t="s">
        <v>82</v>
      </c>
      <c r="L214" s="6">
        <v>59187.7</v>
      </c>
      <c r="M214" s="6">
        <v>27931.579999999994</v>
      </c>
      <c r="N214" s="6">
        <v>71784.2</v>
      </c>
      <c r="O214" s="6">
        <v>28961.880000000008</v>
      </c>
      <c r="P214" s="6">
        <v>60910.267006666676</v>
      </c>
      <c r="Q214" s="6">
        <v>27634.460428333332</v>
      </c>
      <c r="R214" s="6">
        <v>72328.180000000008</v>
      </c>
      <c r="S214" s="6">
        <v>33118.004691061775</v>
      </c>
      <c r="T214" s="6">
        <v>72328.180000000022</v>
      </c>
      <c r="U214" s="6">
        <v>33432.21000000005</v>
      </c>
      <c r="V214" s="30">
        <v>72328.180000000109</v>
      </c>
      <c r="W214" s="30">
        <v>33432.210000000094</v>
      </c>
      <c r="X214" s="30">
        <v>75221.307200000127</v>
      </c>
      <c r="Y214" s="30">
        <v>39223.737421782622</v>
      </c>
      <c r="Z214" s="30">
        <v>62424.530370540757</v>
      </c>
      <c r="AA214" s="30">
        <v>30400.74629045335</v>
      </c>
      <c r="AB214" s="34">
        <v>0.48999065684255383</v>
      </c>
      <c r="AC214" s="34">
        <v>0.35038501851761433</v>
      </c>
      <c r="AD214" s="34">
        <v>0.51832657978860397</v>
      </c>
      <c r="AE214" s="34">
        <v>0.51832657978860308</v>
      </c>
      <c r="AF214" s="34">
        <v>0.51832657978860308</v>
      </c>
      <c r="AG214" s="34">
        <v>0.85</v>
      </c>
      <c r="AH214" s="34">
        <v>0.71254722525396719</v>
      </c>
      <c r="AI214" s="37">
        <f t="shared" si="31"/>
        <v>29001.42000000002</v>
      </c>
      <c r="AJ214" s="37">
        <f t="shared" si="32"/>
        <v>25152.108246272132</v>
      </c>
      <c r="AK214" s="37">
        <f t="shared" si="33"/>
        <v>37489.618161734521</v>
      </c>
      <c r="AL214" s="37">
        <f t="shared" si="34"/>
        <v>37489.618161734448</v>
      </c>
      <c r="AM214" s="37">
        <f t="shared" si="35"/>
        <v>37489.618161734499</v>
      </c>
      <c r="AN214" s="37">
        <f t="shared" si="36"/>
        <v>63938.111120000103</v>
      </c>
      <c r="AO214" s="37">
        <f t="shared" si="37"/>
        <v>44480.425903310817</v>
      </c>
    </row>
    <row r="215" spans="1:41" hidden="1" x14ac:dyDescent="0.3">
      <c r="A215" t="str">
        <f t="shared" si="29"/>
        <v>206abr</v>
      </c>
      <c r="B215" t="str">
        <f t="shared" si="30"/>
        <v>GRANEROSabr</v>
      </c>
      <c r="C215" s="1" t="s">
        <v>79</v>
      </c>
      <c r="D215" s="1" t="s">
        <v>18</v>
      </c>
      <c r="E215" s="1">
        <v>206</v>
      </c>
      <c r="F215" s="1" t="s">
        <v>120</v>
      </c>
      <c r="G215" s="1" t="s">
        <v>119</v>
      </c>
      <c r="H215" s="1" t="s">
        <v>119</v>
      </c>
      <c r="I215" s="1" t="s">
        <v>125</v>
      </c>
      <c r="J215" s="1" t="s">
        <v>134</v>
      </c>
      <c r="K215" t="s">
        <v>83</v>
      </c>
      <c r="L215" s="6">
        <v>62558.200000000012</v>
      </c>
      <c r="M215" s="6">
        <v>32396.700000000008</v>
      </c>
      <c r="N215" s="6">
        <v>6769.6299999999992</v>
      </c>
      <c r="O215" s="6">
        <v>3122.32</v>
      </c>
      <c r="P215" s="6">
        <v>53672.220436000003</v>
      </c>
      <c r="Q215" s="6">
        <v>27438.419297519999</v>
      </c>
      <c r="R215" s="6">
        <v>68187.250000000029</v>
      </c>
      <c r="S215" s="6">
        <v>33130.883413027543</v>
      </c>
      <c r="T215" s="6">
        <v>68187.250000000029</v>
      </c>
      <c r="U215" s="6">
        <v>33165.160000000025</v>
      </c>
      <c r="V215" s="30">
        <v>68187.250000000058</v>
      </c>
      <c r="W215" s="30">
        <v>33165.16000000004</v>
      </c>
      <c r="X215" s="30">
        <v>73642.230000000069</v>
      </c>
      <c r="Y215" s="30">
        <v>38919.299795007551</v>
      </c>
      <c r="Z215" s="30">
        <v>0</v>
      </c>
      <c r="AA215" s="30">
        <v>0</v>
      </c>
      <c r="AB215" s="34">
        <v>0.75473958649705497</v>
      </c>
      <c r="AC215" s="34">
        <v>0.57369161977833316</v>
      </c>
      <c r="AD215" s="34">
        <v>0.7087020224035101</v>
      </c>
      <c r="AE215" s="34">
        <v>0.70870202240351043</v>
      </c>
      <c r="AF215" s="34">
        <v>0.70870202240351043</v>
      </c>
      <c r="AG215" s="34">
        <v>0.88000000000000012</v>
      </c>
      <c r="AH215" s="34">
        <v>0</v>
      </c>
      <c r="AI215" s="37">
        <f t="shared" si="31"/>
        <v>47215.150000000074</v>
      </c>
      <c r="AJ215" s="37">
        <f t="shared" si="32"/>
        <v>3883.6799999999971</v>
      </c>
      <c r="AK215" s="37">
        <f t="shared" si="33"/>
        <v>48324.441977133763</v>
      </c>
      <c r="AL215" s="37">
        <f t="shared" si="34"/>
        <v>48324.441977133785</v>
      </c>
      <c r="AM215" s="37">
        <f t="shared" si="35"/>
        <v>48324.441977133807</v>
      </c>
      <c r="AN215" s="37">
        <f t="shared" si="36"/>
        <v>64805.162400000067</v>
      </c>
      <c r="AO215" s="37">
        <f t="shared" si="37"/>
        <v>0</v>
      </c>
    </row>
    <row r="216" spans="1:41" hidden="1" x14ac:dyDescent="0.3">
      <c r="A216" t="str">
        <f t="shared" si="29"/>
        <v>206may</v>
      </c>
      <c r="B216" t="str">
        <f t="shared" si="30"/>
        <v>GRANEROSmay</v>
      </c>
      <c r="C216" s="1" t="s">
        <v>79</v>
      </c>
      <c r="D216" s="1" t="s">
        <v>18</v>
      </c>
      <c r="E216" s="1">
        <v>206</v>
      </c>
      <c r="F216" s="1" t="s">
        <v>120</v>
      </c>
      <c r="G216" s="1" t="s">
        <v>119</v>
      </c>
      <c r="H216" s="1" t="s">
        <v>119</v>
      </c>
      <c r="I216" s="1" t="s">
        <v>125</v>
      </c>
      <c r="J216" s="1" t="s">
        <v>134</v>
      </c>
      <c r="K216" t="s">
        <v>84</v>
      </c>
      <c r="L216" s="6">
        <v>53013.100000000006</v>
      </c>
      <c r="M216" s="6">
        <v>27393.200000000004</v>
      </c>
      <c r="N216" s="6">
        <v>0</v>
      </c>
      <c r="O216" s="6">
        <v>0</v>
      </c>
      <c r="P216" s="6">
        <v>60010.5</v>
      </c>
      <c r="Q216" s="6">
        <v>28517.694999999996</v>
      </c>
      <c r="R216" s="6">
        <v>59849.539999999964</v>
      </c>
      <c r="S216" s="6">
        <v>30534.203336948842</v>
      </c>
      <c r="T216" s="6">
        <v>59849.539999999979</v>
      </c>
      <c r="U216" s="6">
        <v>30586.689999999966</v>
      </c>
      <c r="V216" s="30">
        <v>59849.539999999979</v>
      </c>
      <c r="W216" s="30">
        <v>30586.689999999966</v>
      </c>
      <c r="X216" s="30">
        <v>64637.503199999992</v>
      </c>
      <c r="Y216" s="30">
        <v>34160.37734112014</v>
      </c>
      <c r="Z216" s="30">
        <v>0</v>
      </c>
      <c r="AA216" s="30">
        <v>0</v>
      </c>
      <c r="AB216" s="34">
        <v>0.71262046550758273</v>
      </c>
      <c r="AC216" s="34">
        <v>0</v>
      </c>
      <c r="AD216" s="34">
        <v>0.76920163835538313</v>
      </c>
      <c r="AE216" s="34">
        <v>0.76920163835538358</v>
      </c>
      <c r="AF216" s="34">
        <v>0.76920163835538358</v>
      </c>
      <c r="AG216" s="34">
        <v>0.88</v>
      </c>
      <c r="AH216" s="34">
        <v>0</v>
      </c>
      <c r="AI216" s="37">
        <f t="shared" si="31"/>
        <v>37778.220000000038</v>
      </c>
      <c r="AJ216" s="37">
        <f t="shared" si="32"/>
        <v>0</v>
      </c>
      <c r="AK216" s="37">
        <f t="shared" si="33"/>
        <v>46036.364222816024</v>
      </c>
      <c r="AL216" s="37">
        <f t="shared" si="34"/>
        <v>46036.364222816039</v>
      </c>
      <c r="AM216" s="37">
        <f t="shared" si="35"/>
        <v>46036.364222816046</v>
      </c>
      <c r="AN216" s="37">
        <f t="shared" si="36"/>
        <v>56881.002815999993</v>
      </c>
      <c r="AO216" s="37">
        <f t="shared" si="37"/>
        <v>0</v>
      </c>
    </row>
    <row r="217" spans="1:41" hidden="1" x14ac:dyDescent="0.3">
      <c r="A217" t="str">
        <f t="shared" si="29"/>
        <v>206jun</v>
      </c>
      <c r="B217" t="str">
        <f t="shared" si="30"/>
        <v>GRANEROSjun</v>
      </c>
      <c r="C217" s="1" t="s">
        <v>79</v>
      </c>
      <c r="D217" s="1" t="s">
        <v>18</v>
      </c>
      <c r="E217" s="1">
        <v>206</v>
      </c>
      <c r="F217" s="1" t="s">
        <v>120</v>
      </c>
      <c r="G217" s="1" t="s">
        <v>119</v>
      </c>
      <c r="H217" s="1" t="s">
        <v>119</v>
      </c>
      <c r="I217" s="1" t="s">
        <v>125</v>
      </c>
      <c r="J217" s="1" t="s">
        <v>134</v>
      </c>
      <c r="K217" t="s">
        <v>85</v>
      </c>
      <c r="L217" s="6">
        <v>48255.530000000006</v>
      </c>
      <c r="M217" s="6">
        <v>24679.710000000006</v>
      </c>
      <c r="N217" s="6">
        <v>14995.43</v>
      </c>
      <c r="O217" s="6">
        <v>7842.25</v>
      </c>
      <c r="P217" s="6">
        <v>52640.103700000007</v>
      </c>
      <c r="Q217" s="6">
        <v>27313.401821000007</v>
      </c>
      <c r="R217" s="6">
        <v>49478.670000000013</v>
      </c>
      <c r="S217" s="6">
        <v>25664.95130503218</v>
      </c>
      <c r="T217" s="6">
        <v>49478.670000000027</v>
      </c>
      <c r="U217" s="6">
        <v>25645.659999999996</v>
      </c>
      <c r="V217" s="30">
        <v>53692.905774000006</v>
      </c>
      <c r="W217" s="30">
        <v>27829.972104990698</v>
      </c>
      <c r="X217" s="30">
        <v>57988.338235920011</v>
      </c>
      <c r="Y217" s="30">
        <v>30646.349525510952</v>
      </c>
      <c r="Z217" s="30">
        <v>0</v>
      </c>
      <c r="AA217" s="30">
        <v>0</v>
      </c>
      <c r="AB217" s="34">
        <v>0.71244725734024728</v>
      </c>
      <c r="AC217" s="34">
        <v>0.72896675853910142</v>
      </c>
      <c r="AD217" s="34">
        <v>0.80396850869639946</v>
      </c>
      <c r="AE217" s="34">
        <v>0.80396850869639958</v>
      </c>
      <c r="AF217" s="34">
        <v>0.80396850869639958</v>
      </c>
      <c r="AG217" s="34">
        <v>0.88</v>
      </c>
      <c r="AH217" s="34">
        <v>0</v>
      </c>
      <c r="AI217" s="37">
        <f t="shared" si="31"/>
        <v>34379.520000000026</v>
      </c>
      <c r="AJ217" s="37">
        <f t="shared" si="32"/>
        <v>10931.169999999998</v>
      </c>
      <c r="AK217" s="37">
        <f t="shared" si="33"/>
        <v>39779.292532181302</v>
      </c>
      <c r="AL217" s="37">
        <f t="shared" si="34"/>
        <v>39779.292532181295</v>
      </c>
      <c r="AM217" s="37">
        <f t="shared" si="35"/>
        <v>43167.405382699086</v>
      </c>
      <c r="AN217" s="37">
        <f t="shared" si="36"/>
        <v>51029.737647609611</v>
      </c>
      <c r="AO217" s="37">
        <f t="shared" si="37"/>
        <v>0</v>
      </c>
    </row>
    <row r="218" spans="1:41" hidden="1" x14ac:dyDescent="0.3">
      <c r="A218" t="str">
        <f t="shared" si="29"/>
        <v>206jul</v>
      </c>
      <c r="B218" t="str">
        <f t="shared" si="30"/>
        <v>GRANEROSjul</v>
      </c>
      <c r="C218" s="1" t="s">
        <v>79</v>
      </c>
      <c r="D218" s="1" t="s">
        <v>18</v>
      </c>
      <c r="E218" s="1">
        <v>206</v>
      </c>
      <c r="F218" s="1" t="s">
        <v>120</v>
      </c>
      <c r="G218" s="1" t="s">
        <v>119</v>
      </c>
      <c r="H218" s="1" t="s">
        <v>119</v>
      </c>
      <c r="I218" s="1" t="s">
        <v>125</v>
      </c>
      <c r="J218" s="1" t="s">
        <v>134</v>
      </c>
      <c r="K218" t="s">
        <v>86</v>
      </c>
      <c r="L218" s="6">
        <v>61957.04</v>
      </c>
      <c r="M218" s="6">
        <v>32999.290000000008</v>
      </c>
      <c r="N218" s="6">
        <v>73371.709999999992</v>
      </c>
      <c r="O218" s="6">
        <v>38232.829999999987</v>
      </c>
      <c r="P218" s="6">
        <v>56809.355599999995</v>
      </c>
      <c r="Q218" s="6">
        <v>29734.010264999997</v>
      </c>
      <c r="R218" s="6">
        <v>55693.619999999981</v>
      </c>
      <c r="S218" s="6">
        <v>29029.459999999868</v>
      </c>
      <c r="T218" s="6">
        <v>55693.619999999988</v>
      </c>
      <c r="U218" s="6">
        <v>29029.46</v>
      </c>
      <c r="V218" s="30">
        <v>55693.619999999952</v>
      </c>
      <c r="W218" s="30">
        <v>29029.459999999977</v>
      </c>
      <c r="X218" s="30">
        <v>60149.109599999952</v>
      </c>
      <c r="Y218" s="30">
        <v>31788.299036098761</v>
      </c>
      <c r="Z218" s="30">
        <v>0</v>
      </c>
      <c r="AA218" s="30">
        <v>0</v>
      </c>
      <c r="AB218" s="34">
        <v>0.82398336008305184</v>
      </c>
      <c r="AC218" s="34">
        <v>0.77919189402750355</v>
      </c>
      <c r="AD218" s="34">
        <v>0.82626053038031966</v>
      </c>
      <c r="AE218" s="34">
        <v>0.82626053038031977</v>
      </c>
      <c r="AF218" s="34">
        <v>0.82626053038031977</v>
      </c>
      <c r="AG218" s="34">
        <v>0.88</v>
      </c>
      <c r="AH218" s="34">
        <v>0</v>
      </c>
      <c r="AI218" s="37">
        <f t="shared" si="31"/>
        <v>51051.570000000043</v>
      </c>
      <c r="AJ218" s="37">
        <f t="shared" si="32"/>
        <v>57170.641682936715</v>
      </c>
      <c r="AK218" s="37">
        <f t="shared" si="33"/>
        <v>46017.439999999966</v>
      </c>
      <c r="AL218" s="37">
        <f t="shared" si="34"/>
        <v>46017.439999999966</v>
      </c>
      <c r="AM218" s="37">
        <f t="shared" si="35"/>
        <v>46017.439999999944</v>
      </c>
      <c r="AN218" s="37">
        <f t="shared" si="36"/>
        <v>52931.216447999956</v>
      </c>
      <c r="AO218" s="37">
        <f t="shared" si="37"/>
        <v>0</v>
      </c>
    </row>
    <row r="219" spans="1:41" hidden="1" x14ac:dyDescent="0.3">
      <c r="A219" t="str">
        <f t="shared" si="29"/>
        <v>206ago</v>
      </c>
      <c r="B219" t="str">
        <f t="shared" si="30"/>
        <v>GRANEROSago</v>
      </c>
      <c r="C219" s="1" t="s">
        <v>79</v>
      </c>
      <c r="D219" s="1" t="s">
        <v>18</v>
      </c>
      <c r="E219" s="1">
        <v>206</v>
      </c>
      <c r="F219" s="1" t="s">
        <v>120</v>
      </c>
      <c r="G219" s="1" t="s">
        <v>119</v>
      </c>
      <c r="H219" s="1" t="s">
        <v>119</v>
      </c>
      <c r="I219" s="1" t="s">
        <v>125</v>
      </c>
      <c r="J219" s="1" t="s">
        <v>134</v>
      </c>
      <c r="K219" t="s">
        <v>87</v>
      </c>
      <c r="L219" s="6">
        <v>152250.19</v>
      </c>
      <c r="M219" s="6">
        <v>56649.619999999995</v>
      </c>
      <c r="N219" s="6">
        <v>105040.54</v>
      </c>
      <c r="O219" s="6">
        <v>43458.289999999994</v>
      </c>
      <c r="P219" s="6">
        <v>111768.23296000004</v>
      </c>
      <c r="Q219" s="6">
        <v>46520.159671500027</v>
      </c>
      <c r="R219" s="6">
        <v>96746.741045355055</v>
      </c>
      <c r="S219" s="6">
        <v>41194.762337112181</v>
      </c>
      <c r="T219" s="6">
        <v>140612.63</v>
      </c>
      <c r="U219" s="6">
        <v>55855.120000000024</v>
      </c>
      <c r="V219" s="30">
        <v>140612.63000000018</v>
      </c>
      <c r="W219" s="30">
        <v>59872.857854000074</v>
      </c>
      <c r="X219" s="30">
        <v>146237.13520000019</v>
      </c>
      <c r="Y219" s="30">
        <v>60796.354574520607</v>
      </c>
      <c r="Z219" s="30">
        <v>0</v>
      </c>
      <c r="AA219" s="30">
        <v>0</v>
      </c>
      <c r="AB219" s="34">
        <v>0.25272283732453799</v>
      </c>
      <c r="AC219" s="34">
        <v>0.34534961512064516</v>
      </c>
      <c r="AD219" s="34">
        <v>0.39773987585610077</v>
      </c>
      <c r="AE219" s="34">
        <v>0.32</v>
      </c>
      <c r="AF219" s="34">
        <v>0.32</v>
      </c>
      <c r="AG219" s="34">
        <v>0.4</v>
      </c>
      <c r="AH219" s="34">
        <v>0</v>
      </c>
      <c r="AI219" s="37">
        <f t="shared" si="31"/>
        <v>38477.1</v>
      </c>
      <c r="AJ219" s="37">
        <f t="shared" si="32"/>
        <v>36275.710061064732</v>
      </c>
      <c r="AK219" s="37">
        <f t="shared" si="33"/>
        <v>55927.249999999833</v>
      </c>
      <c r="AL219" s="37">
        <f t="shared" si="34"/>
        <v>30958.957134513617</v>
      </c>
      <c r="AM219" s="37">
        <f t="shared" si="35"/>
        <v>44996.041600000055</v>
      </c>
      <c r="AN219" s="37">
        <f t="shared" si="36"/>
        <v>58494.854080000077</v>
      </c>
      <c r="AO219" s="37">
        <f t="shared" si="37"/>
        <v>0</v>
      </c>
    </row>
    <row r="220" spans="1:41" hidden="1" x14ac:dyDescent="0.3">
      <c r="A220" t="str">
        <f t="shared" si="29"/>
        <v>206sep</v>
      </c>
      <c r="B220" t="str">
        <f t="shared" si="30"/>
        <v>GRANEROSsep</v>
      </c>
      <c r="C220" s="1" t="s">
        <v>79</v>
      </c>
      <c r="D220" s="1" t="s">
        <v>18</v>
      </c>
      <c r="E220" s="1">
        <v>206</v>
      </c>
      <c r="F220" s="1" t="s">
        <v>120</v>
      </c>
      <c r="G220" s="1" t="s">
        <v>119</v>
      </c>
      <c r="H220" s="1" t="s">
        <v>119</v>
      </c>
      <c r="I220" s="1" t="s">
        <v>125</v>
      </c>
      <c r="J220" s="1" t="s">
        <v>134</v>
      </c>
      <c r="K220" t="s">
        <v>88</v>
      </c>
      <c r="L220" s="6">
        <v>43713.899999999987</v>
      </c>
      <c r="M220" s="6">
        <v>21323.059999999994</v>
      </c>
      <c r="N220" s="6">
        <v>57255.72</v>
      </c>
      <c r="O220" s="6">
        <v>27992.39</v>
      </c>
      <c r="P220" s="6">
        <v>53054.803240000016</v>
      </c>
      <c r="Q220" s="6">
        <v>27574.666635900012</v>
      </c>
      <c r="R220" s="6">
        <v>52205.926388160013</v>
      </c>
      <c r="S220" s="6">
        <v>25669.654005058281</v>
      </c>
      <c r="T220" s="6">
        <v>50891.64999999998</v>
      </c>
      <c r="U220" s="6">
        <v>26467.46999999999</v>
      </c>
      <c r="V220" s="30">
        <v>52927.315999999977</v>
      </c>
      <c r="W220" s="30">
        <v>27526.168799999989</v>
      </c>
      <c r="X220" s="30">
        <v>55838.318379999975</v>
      </c>
      <c r="Y220" s="30">
        <v>29116.584379312859</v>
      </c>
      <c r="Z220" s="30">
        <v>0</v>
      </c>
      <c r="AA220" s="30">
        <v>0</v>
      </c>
      <c r="AB220" s="34">
        <v>0.6381970036990523</v>
      </c>
      <c r="AC220" s="34">
        <v>0.66575263864295053</v>
      </c>
      <c r="AD220" s="34">
        <v>0.82814194470016222</v>
      </c>
      <c r="AE220" s="34">
        <v>0.7</v>
      </c>
      <c r="AF220" s="34">
        <v>0.7</v>
      </c>
      <c r="AG220" s="34">
        <v>0.85</v>
      </c>
      <c r="AH220" s="34">
        <v>0</v>
      </c>
      <c r="AI220" s="37">
        <f t="shared" si="31"/>
        <v>27898.079999999994</v>
      </c>
      <c r="AJ220" s="37">
        <f t="shared" si="32"/>
        <v>38118.146667401954</v>
      </c>
      <c r="AK220" s="37">
        <f t="shared" si="33"/>
        <v>42145.509999999995</v>
      </c>
      <c r="AL220" s="37">
        <f t="shared" si="34"/>
        <v>36544.148471712004</v>
      </c>
      <c r="AM220" s="37">
        <f t="shared" si="35"/>
        <v>37049.12119999998</v>
      </c>
      <c r="AN220" s="37">
        <f t="shared" si="36"/>
        <v>47462.570622999978</v>
      </c>
      <c r="AO220" s="37">
        <f t="shared" si="37"/>
        <v>0</v>
      </c>
    </row>
    <row r="221" spans="1:41" hidden="1" x14ac:dyDescent="0.3">
      <c r="A221" t="str">
        <f t="shared" si="29"/>
        <v>206oct</v>
      </c>
      <c r="B221" t="str">
        <f t="shared" si="30"/>
        <v>GRANEROSoct</v>
      </c>
      <c r="C221" s="1" t="s">
        <v>79</v>
      </c>
      <c r="D221" s="1" t="s">
        <v>18</v>
      </c>
      <c r="E221" s="1">
        <v>206</v>
      </c>
      <c r="F221" s="1" t="s">
        <v>120</v>
      </c>
      <c r="G221" s="1" t="s">
        <v>119</v>
      </c>
      <c r="H221" s="1" t="s">
        <v>119</v>
      </c>
      <c r="I221" s="1" t="s">
        <v>125</v>
      </c>
      <c r="J221" s="1" t="s">
        <v>134</v>
      </c>
      <c r="K221" t="s">
        <v>89</v>
      </c>
      <c r="L221" s="6">
        <v>35830.25</v>
      </c>
      <c r="M221" s="6">
        <v>17956.789999999997</v>
      </c>
      <c r="N221" s="6">
        <v>64514.819999999992</v>
      </c>
      <c r="O221" s="6">
        <v>32842.869999999995</v>
      </c>
      <c r="P221" s="6">
        <v>56770.718900000007</v>
      </c>
      <c r="Q221" s="6">
        <v>29130.503132000009</v>
      </c>
      <c r="R221" s="6">
        <v>58480.936806862504</v>
      </c>
      <c r="S221" s="6">
        <v>30222.948141786543</v>
      </c>
      <c r="T221" s="6">
        <v>53563.100000000035</v>
      </c>
      <c r="U221" s="6">
        <v>27641.860000000037</v>
      </c>
      <c r="V221" s="30">
        <v>58480.936806862504</v>
      </c>
      <c r="W221" s="30">
        <v>30222.948141786543</v>
      </c>
      <c r="X221" s="30">
        <v>63159.411751411506</v>
      </c>
      <c r="Y221" s="30">
        <v>33379.21842982628</v>
      </c>
      <c r="Z221" s="30">
        <v>0</v>
      </c>
      <c r="AA221" s="30">
        <v>0</v>
      </c>
      <c r="AB221" s="34">
        <v>0.68594358119187004</v>
      </c>
      <c r="AC221" s="34">
        <v>0.72558124976660476</v>
      </c>
      <c r="AD221" s="34">
        <v>0.70725032718419989</v>
      </c>
      <c r="AE221" s="34">
        <v>0.79999999999999993</v>
      </c>
      <c r="AF221" s="34">
        <v>0.79999999999999993</v>
      </c>
      <c r="AG221" s="34">
        <v>0.88</v>
      </c>
      <c r="AH221" s="34">
        <v>0</v>
      </c>
      <c r="AI221" s="37">
        <f t="shared" si="31"/>
        <v>24577.530000000002</v>
      </c>
      <c r="AJ221" s="37">
        <f t="shared" si="32"/>
        <v>46810.743724067543</v>
      </c>
      <c r="AK221" s="37">
        <f t="shared" si="33"/>
        <v>37882.52000000004</v>
      </c>
      <c r="AL221" s="37">
        <f t="shared" si="34"/>
        <v>46784.749445490001</v>
      </c>
      <c r="AM221" s="37">
        <f t="shared" si="35"/>
        <v>46784.749445490001</v>
      </c>
      <c r="AN221" s="37">
        <f t="shared" si="36"/>
        <v>55580.282341242128</v>
      </c>
      <c r="AO221" s="37">
        <f t="shared" si="37"/>
        <v>0</v>
      </c>
    </row>
    <row r="222" spans="1:41" hidden="1" x14ac:dyDescent="0.3">
      <c r="A222" t="str">
        <f t="shared" si="29"/>
        <v>206nov</v>
      </c>
      <c r="B222" t="str">
        <f t="shared" si="30"/>
        <v>GRANEROSnov</v>
      </c>
      <c r="C222" s="1" t="s">
        <v>79</v>
      </c>
      <c r="D222" s="1" t="s">
        <v>18</v>
      </c>
      <c r="E222" s="1">
        <v>206</v>
      </c>
      <c r="F222" s="1" t="s">
        <v>120</v>
      </c>
      <c r="G222" s="1" t="s">
        <v>119</v>
      </c>
      <c r="H222" s="1" t="s">
        <v>119</v>
      </c>
      <c r="I222" s="1" t="s">
        <v>125</v>
      </c>
      <c r="J222" s="1" t="s">
        <v>134</v>
      </c>
      <c r="K222" t="s">
        <v>90</v>
      </c>
      <c r="L222" s="6">
        <v>38660.949999999997</v>
      </c>
      <c r="M222" s="6">
        <v>17215.419999999995</v>
      </c>
      <c r="N222" s="6">
        <v>67786.699999999983</v>
      </c>
      <c r="O222" s="6">
        <v>32506.779999999992</v>
      </c>
      <c r="P222" s="6">
        <v>77586.792600000103</v>
      </c>
      <c r="Q222" s="6">
        <v>35983.206468500044</v>
      </c>
      <c r="R222" s="6">
        <v>79924.094727075106</v>
      </c>
      <c r="S222" s="6">
        <v>36405.425148182716</v>
      </c>
      <c r="T222" s="6">
        <v>66999.856321839077</v>
      </c>
      <c r="U222" s="6">
        <v>28663.918594560993</v>
      </c>
      <c r="V222" s="30">
        <v>79924.094727075106</v>
      </c>
      <c r="W222" s="30">
        <v>36405.425148182716</v>
      </c>
      <c r="X222" s="30">
        <v>86318.022305241117</v>
      </c>
      <c r="Y222" s="30">
        <v>39940.967154690159</v>
      </c>
      <c r="Z222" s="30">
        <v>0</v>
      </c>
      <c r="AA222" s="30">
        <v>0</v>
      </c>
      <c r="AB222" s="34">
        <v>0.34212972004050607</v>
      </c>
      <c r="AC222" s="34">
        <v>0.56835431055608365</v>
      </c>
      <c r="AD222" s="34">
        <v>0.39773987585610077</v>
      </c>
      <c r="AE222" s="34">
        <v>0.5</v>
      </c>
      <c r="AF222" s="34">
        <v>0.5</v>
      </c>
      <c r="AG222" s="34">
        <v>0.6</v>
      </c>
      <c r="AH222" s="34">
        <v>0</v>
      </c>
      <c r="AI222" s="37">
        <f t="shared" si="31"/>
        <v>13227.060000000001</v>
      </c>
      <c r="AJ222" s="37">
        <f t="shared" si="32"/>
        <v>38526.863143372066</v>
      </c>
      <c r="AK222" s="37">
        <f t="shared" si="33"/>
        <v>26648.514535824863</v>
      </c>
      <c r="AL222" s="37">
        <f t="shared" si="34"/>
        <v>39962.047363537553</v>
      </c>
      <c r="AM222" s="37">
        <f t="shared" si="35"/>
        <v>39962.047363537553</v>
      </c>
      <c r="AN222" s="37">
        <f t="shared" si="36"/>
        <v>51790.813383144668</v>
      </c>
      <c r="AO222" s="37">
        <f t="shared" si="37"/>
        <v>0</v>
      </c>
    </row>
    <row r="223" spans="1:41" hidden="1" x14ac:dyDescent="0.3">
      <c r="A223" t="str">
        <f t="shared" si="29"/>
        <v>206dic</v>
      </c>
      <c r="B223" t="str">
        <f t="shared" si="30"/>
        <v>GRANEROSdic</v>
      </c>
      <c r="C223" s="1" t="s">
        <v>79</v>
      </c>
      <c r="D223" s="1" t="s">
        <v>18</v>
      </c>
      <c r="E223" s="1">
        <v>206</v>
      </c>
      <c r="F223" s="1" t="s">
        <v>120</v>
      </c>
      <c r="G223" s="1" t="s">
        <v>119</v>
      </c>
      <c r="H223" s="1" t="s">
        <v>119</v>
      </c>
      <c r="I223" s="1" t="s">
        <v>125</v>
      </c>
      <c r="J223" s="1" t="s">
        <v>134</v>
      </c>
      <c r="K223" t="s">
        <v>91</v>
      </c>
      <c r="L223" s="6">
        <v>137182.29999999999</v>
      </c>
      <c r="M223" s="6">
        <v>58517.089999999967</v>
      </c>
      <c r="N223" s="6">
        <v>143034.68</v>
      </c>
      <c r="O223" s="6">
        <v>71477.219999999972</v>
      </c>
      <c r="P223" s="6">
        <v>141984.04850000006</v>
      </c>
      <c r="Q223" s="6">
        <v>72662.819136500024</v>
      </c>
      <c r="R223" s="6">
        <v>146988.98620962506</v>
      </c>
      <c r="S223" s="6">
        <v>71605.684632018849</v>
      </c>
      <c r="T223" s="6">
        <v>139439.08045977011</v>
      </c>
      <c r="U223" s="6">
        <v>70176.345687392211</v>
      </c>
      <c r="V223" s="30">
        <v>146988.98620962506</v>
      </c>
      <c r="W223" s="30">
        <v>71605.684632018849</v>
      </c>
      <c r="X223" s="30">
        <v>158748.10510639506</v>
      </c>
      <c r="Y223" s="30">
        <v>82778.327347371334</v>
      </c>
      <c r="Z223" s="30">
        <v>0</v>
      </c>
      <c r="AA223" s="30">
        <v>0</v>
      </c>
      <c r="AB223" s="34">
        <v>0.34637799482877901</v>
      </c>
      <c r="AC223" s="34">
        <v>0.70065401193107435</v>
      </c>
      <c r="AD223" s="34">
        <v>0.51832657978860397</v>
      </c>
      <c r="AE223" s="34">
        <v>0.65</v>
      </c>
      <c r="AF223" s="34">
        <v>0.65</v>
      </c>
      <c r="AG223" s="34">
        <v>0.85</v>
      </c>
      <c r="AH223" s="34">
        <v>0</v>
      </c>
      <c r="AI223" s="37">
        <f t="shared" si="31"/>
        <v>47516.930000000008</v>
      </c>
      <c r="AJ223" s="37">
        <f t="shared" si="32"/>
        <v>100217.8223872774</v>
      </c>
      <c r="AK223" s="37">
        <f t="shared" si="33"/>
        <v>72274.981663580606</v>
      </c>
      <c r="AL223" s="37">
        <f t="shared" si="34"/>
        <v>95542.841036256286</v>
      </c>
      <c r="AM223" s="37">
        <f t="shared" si="35"/>
        <v>95542.841036256286</v>
      </c>
      <c r="AN223" s="37">
        <f t="shared" si="36"/>
        <v>134935.8893404358</v>
      </c>
      <c r="AO223" s="37">
        <f t="shared" si="37"/>
        <v>0</v>
      </c>
    </row>
    <row r="224" spans="1:41" hidden="1" x14ac:dyDescent="0.3">
      <c r="A224" t="str">
        <f t="shared" si="29"/>
        <v>151ene</v>
      </c>
      <c r="B224" t="str">
        <f t="shared" si="30"/>
        <v>JUNIN-SUCREene</v>
      </c>
      <c r="C224" s="1" t="s">
        <v>79</v>
      </c>
      <c r="D224" s="1" t="s">
        <v>20</v>
      </c>
      <c r="E224" s="1">
        <v>151</v>
      </c>
      <c r="F224" s="1" t="s">
        <v>119</v>
      </c>
      <c r="G224" s="1" t="s">
        <v>119</v>
      </c>
      <c r="H224" s="1" t="s">
        <v>119</v>
      </c>
      <c r="I224" s="1" t="s">
        <v>126</v>
      </c>
      <c r="J224" s="1" t="s">
        <v>132</v>
      </c>
      <c r="K224" t="s">
        <v>80</v>
      </c>
      <c r="L224" s="6">
        <v>47205.180000000008</v>
      </c>
      <c r="M224" s="6">
        <v>18512.370000000003</v>
      </c>
      <c r="N224" s="6">
        <v>27576.320000000003</v>
      </c>
      <c r="O224" s="6">
        <v>11518.730000000003</v>
      </c>
      <c r="P224" s="6">
        <v>31186.294433333325</v>
      </c>
      <c r="Q224" s="6">
        <v>12743.338195666664</v>
      </c>
      <c r="R224" s="6">
        <v>30556.169999999991</v>
      </c>
      <c r="S224" s="6">
        <v>11317.021144479218</v>
      </c>
      <c r="T224" s="6">
        <v>30556.169999999987</v>
      </c>
      <c r="U224" s="6">
        <v>11422.25999999998</v>
      </c>
      <c r="V224" s="30">
        <v>31186.294433333325</v>
      </c>
      <c r="W224" s="30">
        <v>11657.808012394402</v>
      </c>
      <c r="X224" s="30">
        <v>33057.472099333318</v>
      </c>
      <c r="Y224" s="30">
        <v>13252.900629811622</v>
      </c>
      <c r="Z224" s="30">
        <v>20491.235632183914</v>
      </c>
      <c r="AA224" s="30">
        <v>9595.6068269860862</v>
      </c>
      <c r="AB224" s="34">
        <v>0.33991184865728802</v>
      </c>
      <c r="AC224" s="34">
        <v>0.37611264719682569</v>
      </c>
      <c r="AD224" s="34">
        <v>0.32374652835706674</v>
      </c>
      <c r="AE224" s="34">
        <v>0.32374652835706658</v>
      </c>
      <c r="AF224" s="34">
        <v>0.32374652835706658</v>
      </c>
      <c r="AG224" s="34">
        <v>0.5</v>
      </c>
      <c r="AH224" s="34">
        <v>0.77528239575372149</v>
      </c>
      <c r="AI224" s="37">
        <f t="shared" si="31"/>
        <v>16045.600000000042</v>
      </c>
      <c r="AJ224" s="37">
        <f t="shared" si="32"/>
        <v>10371.802715146769</v>
      </c>
      <c r="AK224" s="37">
        <f t="shared" si="33"/>
        <v>9892.4539573883485</v>
      </c>
      <c r="AL224" s="37">
        <f t="shared" si="34"/>
        <v>9892.4539573883449</v>
      </c>
      <c r="AM224" s="37">
        <f t="shared" si="35"/>
        <v>10096.454555112974</v>
      </c>
      <c r="AN224" s="37">
        <f t="shared" si="36"/>
        <v>16528.736049666659</v>
      </c>
      <c r="AO224" s="37">
        <f t="shared" si="37"/>
        <v>15886.494252873568</v>
      </c>
    </row>
    <row r="225" spans="1:41" hidden="1" x14ac:dyDescent="0.3">
      <c r="A225" t="str">
        <f t="shared" si="29"/>
        <v>151feb</v>
      </c>
      <c r="B225" t="str">
        <f t="shared" si="30"/>
        <v>JUNIN-SUCREfeb</v>
      </c>
      <c r="C225" s="1" t="s">
        <v>79</v>
      </c>
      <c r="D225" s="1" t="s">
        <v>20</v>
      </c>
      <c r="E225" s="1">
        <v>151</v>
      </c>
      <c r="F225" s="1" t="s">
        <v>119</v>
      </c>
      <c r="G225" s="1" t="s">
        <v>119</v>
      </c>
      <c r="H225" s="1" t="s">
        <v>119</v>
      </c>
      <c r="I225" s="1" t="s">
        <v>126</v>
      </c>
      <c r="J225" s="1" t="s">
        <v>132</v>
      </c>
      <c r="K225" t="s">
        <v>81</v>
      </c>
      <c r="L225" s="6">
        <v>53901.41</v>
      </c>
      <c r="M225" s="6">
        <v>16862.190000000002</v>
      </c>
      <c r="N225" s="6">
        <v>30306.340000000004</v>
      </c>
      <c r="O225" s="6">
        <v>10886.280000000004</v>
      </c>
      <c r="P225" s="6">
        <v>44871.799499999972</v>
      </c>
      <c r="Q225" s="6">
        <v>15290.296499999993</v>
      </c>
      <c r="R225" s="6">
        <v>39264.989999999962</v>
      </c>
      <c r="S225" s="6">
        <v>12117.960979005185</v>
      </c>
      <c r="T225" s="6">
        <v>39264.989999999962</v>
      </c>
      <c r="U225" s="6">
        <v>12089.359999999957</v>
      </c>
      <c r="V225" s="30">
        <v>44871.799499999972</v>
      </c>
      <c r="W225" s="30">
        <v>13815.649462875663</v>
      </c>
      <c r="X225" s="30">
        <v>45769.23548999997</v>
      </c>
      <c r="Y225" s="30">
        <v>15526.254237363199</v>
      </c>
      <c r="Z225" s="30">
        <v>35915.517241379355</v>
      </c>
      <c r="AA225" s="30">
        <v>12127.606857631334</v>
      </c>
      <c r="AB225" s="34">
        <v>0.21730433396825827</v>
      </c>
      <c r="AC225" s="34">
        <v>0.2678660643383422</v>
      </c>
      <c r="AD225" s="34">
        <v>0.16837128411696872</v>
      </c>
      <c r="AE225" s="34">
        <v>0.16837128411696886</v>
      </c>
      <c r="AF225" s="34">
        <v>0.16837128411696886</v>
      </c>
      <c r="AG225" s="34">
        <v>0.3</v>
      </c>
      <c r="AH225" s="34">
        <v>0.28371177571888051</v>
      </c>
      <c r="AI225" s="37">
        <f t="shared" si="31"/>
        <v>11713.010000000017</v>
      </c>
      <c r="AJ225" s="37">
        <f t="shared" si="32"/>
        <v>8118.0400202996752</v>
      </c>
      <c r="AK225" s="37">
        <f t="shared" si="33"/>
        <v>6611.0967871399289</v>
      </c>
      <c r="AL225" s="37">
        <f t="shared" si="34"/>
        <v>6611.0967871399343</v>
      </c>
      <c r="AM225" s="37">
        <f t="shared" si="35"/>
        <v>7555.1225024541563</v>
      </c>
      <c r="AN225" s="37">
        <f t="shared" si="36"/>
        <v>13730.77064699999</v>
      </c>
      <c r="AO225" s="37">
        <f t="shared" si="37"/>
        <v>10189.655172413806</v>
      </c>
    </row>
    <row r="226" spans="1:41" hidden="1" x14ac:dyDescent="0.3">
      <c r="A226" t="str">
        <f t="shared" si="29"/>
        <v>151mar</v>
      </c>
      <c r="B226" t="str">
        <f t="shared" si="30"/>
        <v>JUNIN-SUCREmar</v>
      </c>
      <c r="C226" s="1" t="s">
        <v>79</v>
      </c>
      <c r="D226" s="1" t="s">
        <v>20</v>
      </c>
      <c r="E226" s="1">
        <v>151</v>
      </c>
      <c r="F226" s="1" t="s">
        <v>119</v>
      </c>
      <c r="G226" s="1" t="s">
        <v>119</v>
      </c>
      <c r="H226" s="1" t="s">
        <v>119</v>
      </c>
      <c r="I226" s="1" t="s">
        <v>126</v>
      </c>
      <c r="J226" s="1" t="s">
        <v>132</v>
      </c>
      <c r="K226" t="s">
        <v>82</v>
      </c>
      <c r="L226" s="6">
        <v>41856.35</v>
      </c>
      <c r="M226" s="6">
        <v>16042.329999999996</v>
      </c>
      <c r="N226" s="6">
        <v>43145.91</v>
      </c>
      <c r="O226" s="6">
        <v>15939.380000000003</v>
      </c>
      <c r="P226" s="6">
        <v>32165</v>
      </c>
      <c r="Q226" s="6">
        <v>12274</v>
      </c>
      <c r="R226" s="6">
        <v>37231.669999999991</v>
      </c>
      <c r="S226" s="6">
        <v>13329.591465008532</v>
      </c>
      <c r="T226" s="6">
        <v>37231.669999999991</v>
      </c>
      <c r="U226" s="6">
        <v>13198.409999999985</v>
      </c>
      <c r="V226" s="30">
        <v>37231.67000000002</v>
      </c>
      <c r="W226" s="30">
        <v>13198.409999999996</v>
      </c>
      <c r="X226" s="30">
        <v>37603.986700000023</v>
      </c>
      <c r="Y226" s="30">
        <v>14495.806424161432</v>
      </c>
      <c r="Z226" s="30">
        <v>37555.173729455128</v>
      </c>
      <c r="AA226" s="30">
        <v>15134.735012970417</v>
      </c>
      <c r="AB226" s="34">
        <v>0.30139632337745681</v>
      </c>
      <c r="AC226" s="34">
        <v>0.26841076753823867</v>
      </c>
      <c r="AD226" s="34">
        <v>0.31622860764504485</v>
      </c>
      <c r="AE226" s="34">
        <v>0.31622860764504435</v>
      </c>
      <c r="AF226" s="34">
        <v>0.31622860764504435</v>
      </c>
      <c r="AG226" s="34">
        <v>0.45</v>
      </c>
      <c r="AH226" s="34">
        <v>0.50751286459533373</v>
      </c>
      <c r="AI226" s="37">
        <f t="shared" si="31"/>
        <v>12615.350000000013</v>
      </c>
      <c r="AJ226" s="37">
        <f t="shared" si="32"/>
        <v>11580.826819235768</v>
      </c>
      <c r="AK226" s="37">
        <f t="shared" si="33"/>
        <v>11773.719164399785</v>
      </c>
      <c r="AL226" s="37">
        <f t="shared" si="34"/>
        <v>11773.719164399765</v>
      </c>
      <c r="AM226" s="37">
        <f t="shared" si="35"/>
        <v>11773.719164399774</v>
      </c>
      <c r="AN226" s="37">
        <f t="shared" si="36"/>
        <v>16921.79401500001</v>
      </c>
      <c r="AO226" s="37">
        <f t="shared" si="37"/>
        <v>19059.733799811194</v>
      </c>
    </row>
    <row r="227" spans="1:41" hidden="1" x14ac:dyDescent="0.3">
      <c r="A227" t="str">
        <f t="shared" si="29"/>
        <v>151abr</v>
      </c>
      <c r="B227" t="str">
        <f t="shared" si="30"/>
        <v>JUNIN-SUCREabr</v>
      </c>
      <c r="C227" s="1" t="s">
        <v>79</v>
      </c>
      <c r="D227" s="1" t="s">
        <v>20</v>
      </c>
      <c r="E227" s="1">
        <v>151</v>
      </c>
      <c r="F227" s="1" t="s">
        <v>119</v>
      </c>
      <c r="G227" s="1" t="s">
        <v>119</v>
      </c>
      <c r="H227" s="1" t="s">
        <v>119</v>
      </c>
      <c r="I227" s="1" t="s">
        <v>126</v>
      </c>
      <c r="J227" s="1" t="s">
        <v>132</v>
      </c>
      <c r="K227" t="s">
        <v>83</v>
      </c>
      <c r="L227" s="6">
        <v>46038.06</v>
      </c>
      <c r="M227" s="6">
        <v>14084.789999999999</v>
      </c>
      <c r="N227" s="6">
        <v>24059.909999999996</v>
      </c>
      <c r="O227" s="6">
        <v>9893.2100000000009</v>
      </c>
      <c r="P227" s="6">
        <v>29891</v>
      </c>
      <c r="Q227" s="6">
        <v>12733</v>
      </c>
      <c r="R227" s="6">
        <v>35406.429999999971</v>
      </c>
      <c r="S227" s="6">
        <v>13083.124800707599</v>
      </c>
      <c r="T227" s="6">
        <v>35406.429999999986</v>
      </c>
      <c r="U227" s="6">
        <v>13104.109999999975</v>
      </c>
      <c r="V227" s="30">
        <v>35406.429999999978</v>
      </c>
      <c r="W227" s="30">
        <v>13104.109999999971</v>
      </c>
      <c r="X227" s="30">
        <v>37176.751499999977</v>
      </c>
      <c r="Y227" s="30">
        <v>14904.339687203006</v>
      </c>
      <c r="Z227" s="30">
        <v>0</v>
      </c>
      <c r="AA227" s="30">
        <v>0</v>
      </c>
      <c r="AB227" s="34">
        <v>0.27357473360085138</v>
      </c>
      <c r="AC227" s="34">
        <v>0.41106471488105512</v>
      </c>
      <c r="AD227" s="34">
        <v>0.38622845372235837</v>
      </c>
      <c r="AE227" s="34">
        <v>0.38622845372235826</v>
      </c>
      <c r="AF227" s="34">
        <v>0.38622845372235826</v>
      </c>
      <c r="AG227" s="34">
        <v>0.49999999999999989</v>
      </c>
      <c r="AH227" s="34">
        <v>0</v>
      </c>
      <c r="AI227" s="37">
        <f t="shared" si="31"/>
        <v>12594.850000000011</v>
      </c>
      <c r="AJ227" s="37">
        <f t="shared" si="32"/>
        <v>9890.1800442138447</v>
      </c>
      <c r="AK227" s="37">
        <f t="shared" si="33"/>
        <v>13674.970710728916</v>
      </c>
      <c r="AL227" s="37">
        <f t="shared" si="34"/>
        <v>13674.970710728905</v>
      </c>
      <c r="AM227" s="37">
        <f t="shared" si="35"/>
        <v>13674.970710728909</v>
      </c>
      <c r="AN227" s="37">
        <f t="shared" si="36"/>
        <v>18588.375749999985</v>
      </c>
      <c r="AO227" s="37">
        <f t="shared" si="37"/>
        <v>0</v>
      </c>
    </row>
    <row r="228" spans="1:41" hidden="1" x14ac:dyDescent="0.3">
      <c r="A228" t="str">
        <f t="shared" si="29"/>
        <v>151may</v>
      </c>
      <c r="B228" t="str">
        <f t="shared" si="30"/>
        <v>JUNIN-SUCREmay</v>
      </c>
      <c r="C228" s="1" t="s">
        <v>79</v>
      </c>
      <c r="D228" s="1" t="s">
        <v>20</v>
      </c>
      <c r="E228" s="1">
        <v>151</v>
      </c>
      <c r="F228" s="1" t="s">
        <v>119</v>
      </c>
      <c r="G228" s="1" t="s">
        <v>119</v>
      </c>
      <c r="H228" s="1" t="s">
        <v>119</v>
      </c>
      <c r="I228" s="1" t="s">
        <v>126</v>
      </c>
      <c r="J228" s="1" t="s">
        <v>132</v>
      </c>
      <c r="K228" t="s">
        <v>84</v>
      </c>
      <c r="L228" s="6">
        <v>30632.73</v>
      </c>
      <c r="M228" s="6">
        <v>11967.740000000002</v>
      </c>
      <c r="N228" s="6">
        <v>29465.370000000003</v>
      </c>
      <c r="O228" s="6">
        <v>11648.2</v>
      </c>
      <c r="P228" s="6">
        <v>33331</v>
      </c>
      <c r="Q228" s="6">
        <v>12789</v>
      </c>
      <c r="R228" s="6">
        <v>32201.939999999973</v>
      </c>
      <c r="S228" s="6">
        <v>12753.794806022615</v>
      </c>
      <c r="T228" s="6">
        <v>32201.939999999973</v>
      </c>
      <c r="U228" s="6">
        <v>12623.769999999975</v>
      </c>
      <c r="V228" s="30">
        <v>32201.939999999973</v>
      </c>
      <c r="W228" s="30">
        <v>12623.769999999975</v>
      </c>
      <c r="X228" s="30">
        <v>33812.036999999982</v>
      </c>
      <c r="Y228" s="30">
        <v>13555.409352112878</v>
      </c>
      <c r="Z228" s="30">
        <v>0</v>
      </c>
      <c r="AA228" s="30">
        <v>0</v>
      </c>
      <c r="AB228" s="34">
        <v>0.35567218462082922</v>
      </c>
      <c r="AC228" s="34">
        <v>0.33397744896392539</v>
      </c>
      <c r="AD228" s="34">
        <v>0.47098232643469656</v>
      </c>
      <c r="AE228" s="34">
        <v>0.47098232643469701</v>
      </c>
      <c r="AF228" s="34">
        <v>0.47098232643469701</v>
      </c>
      <c r="AG228" s="34">
        <v>0.5</v>
      </c>
      <c r="AH228" s="34">
        <v>0</v>
      </c>
      <c r="AI228" s="37">
        <f t="shared" si="31"/>
        <v>10895.210000000014</v>
      </c>
      <c r="AJ228" s="37">
        <f t="shared" si="32"/>
        <v>9840.76910537818</v>
      </c>
      <c r="AK228" s="37">
        <f t="shared" si="33"/>
        <v>15166.5446169105</v>
      </c>
      <c r="AL228" s="37">
        <f t="shared" si="34"/>
        <v>15166.544616910514</v>
      </c>
      <c r="AM228" s="37">
        <f t="shared" si="35"/>
        <v>15166.544616910514</v>
      </c>
      <c r="AN228" s="37">
        <f t="shared" si="36"/>
        <v>16906.018499999991</v>
      </c>
      <c r="AO228" s="37">
        <f t="shared" si="37"/>
        <v>0</v>
      </c>
    </row>
    <row r="229" spans="1:41" hidden="1" x14ac:dyDescent="0.3">
      <c r="A229" t="str">
        <f t="shared" si="29"/>
        <v>151jun</v>
      </c>
      <c r="B229" t="str">
        <f t="shared" si="30"/>
        <v>JUNIN-SUCREjun</v>
      </c>
      <c r="C229" s="1" t="s">
        <v>79</v>
      </c>
      <c r="D229" s="1" t="s">
        <v>20</v>
      </c>
      <c r="E229" s="1">
        <v>151</v>
      </c>
      <c r="F229" s="1" t="s">
        <v>119</v>
      </c>
      <c r="G229" s="1" t="s">
        <v>119</v>
      </c>
      <c r="H229" s="1" t="s">
        <v>119</v>
      </c>
      <c r="I229" s="1" t="s">
        <v>126</v>
      </c>
      <c r="J229" s="1" t="s">
        <v>132</v>
      </c>
      <c r="K229" t="s">
        <v>85</v>
      </c>
      <c r="L229" s="6">
        <v>28335.590000000004</v>
      </c>
      <c r="M229" s="6">
        <v>11051.040000000005</v>
      </c>
      <c r="N229" s="6">
        <v>23360.559999999998</v>
      </c>
      <c r="O229" s="6">
        <v>9556.6899999999969</v>
      </c>
      <c r="P229" s="6">
        <v>30638</v>
      </c>
      <c r="Q229" s="6">
        <v>12618</v>
      </c>
      <c r="R229" s="6">
        <v>33488.539999999972</v>
      </c>
      <c r="S229" s="6">
        <v>13065.27748989562</v>
      </c>
      <c r="T229" s="6">
        <v>33488.54</v>
      </c>
      <c r="U229" s="6">
        <v>13074.299999999992</v>
      </c>
      <c r="V229" s="30">
        <v>33488.539999999994</v>
      </c>
      <c r="W229" s="30">
        <v>13074.29999999999</v>
      </c>
      <c r="X229" s="30">
        <v>35162.966999999997</v>
      </c>
      <c r="Y229" s="30">
        <v>14097.003730353092</v>
      </c>
      <c r="Z229" s="30">
        <v>0</v>
      </c>
      <c r="AA229" s="30">
        <v>0</v>
      </c>
      <c r="AB229" s="34">
        <v>0.30367604839002837</v>
      </c>
      <c r="AC229" s="34">
        <v>0.35595279668781066</v>
      </c>
      <c r="AD229" s="34">
        <v>0.49518777105168743</v>
      </c>
      <c r="AE229" s="34">
        <v>0.49518777105168726</v>
      </c>
      <c r="AF229" s="34">
        <v>0.49518777105168726</v>
      </c>
      <c r="AG229" s="34">
        <v>0.5</v>
      </c>
      <c r="AH229" s="34">
        <v>0</v>
      </c>
      <c r="AI229" s="37">
        <f t="shared" si="31"/>
        <v>8604.8400000000056</v>
      </c>
      <c r="AJ229" s="37">
        <f t="shared" si="32"/>
        <v>8315.2566641934009</v>
      </c>
      <c r="AK229" s="37">
        <f t="shared" si="33"/>
        <v>16583.115478375275</v>
      </c>
      <c r="AL229" s="37">
        <f t="shared" si="34"/>
        <v>16583.115478375257</v>
      </c>
      <c r="AM229" s="37">
        <f t="shared" si="35"/>
        <v>16583.115478375268</v>
      </c>
      <c r="AN229" s="37">
        <f t="shared" si="36"/>
        <v>17581.483499999998</v>
      </c>
      <c r="AO229" s="37">
        <f t="shared" si="37"/>
        <v>0</v>
      </c>
    </row>
    <row r="230" spans="1:41" hidden="1" x14ac:dyDescent="0.3">
      <c r="A230" t="str">
        <f t="shared" si="29"/>
        <v>151jul</v>
      </c>
      <c r="B230" t="str">
        <f t="shared" si="30"/>
        <v>JUNIN-SUCREjul</v>
      </c>
      <c r="C230" s="1" t="s">
        <v>79</v>
      </c>
      <c r="D230" s="1" t="s">
        <v>20</v>
      </c>
      <c r="E230" s="1">
        <v>151</v>
      </c>
      <c r="F230" s="1" t="s">
        <v>119</v>
      </c>
      <c r="G230" s="1" t="s">
        <v>119</v>
      </c>
      <c r="H230" s="1" t="s">
        <v>119</v>
      </c>
      <c r="I230" s="1" t="s">
        <v>126</v>
      </c>
      <c r="J230" s="1" t="s">
        <v>132</v>
      </c>
      <c r="K230" t="s">
        <v>86</v>
      </c>
      <c r="L230" s="6">
        <v>33989.360000000001</v>
      </c>
      <c r="M230" s="6">
        <v>14151.470000000001</v>
      </c>
      <c r="N230" s="6">
        <v>30960.320000000003</v>
      </c>
      <c r="O230" s="6">
        <v>12444.020000000004</v>
      </c>
      <c r="P230" s="6">
        <v>32145</v>
      </c>
      <c r="Q230" s="6">
        <v>13199</v>
      </c>
      <c r="R230" s="6">
        <v>30517.10999999999</v>
      </c>
      <c r="S230" s="6">
        <v>12896.120000000024</v>
      </c>
      <c r="T230" s="6">
        <v>30517.109999999993</v>
      </c>
      <c r="U230" s="6">
        <v>12896.119999999988</v>
      </c>
      <c r="V230" s="30">
        <v>30517.110000000015</v>
      </c>
      <c r="W230" s="30">
        <v>12896.119999999997</v>
      </c>
      <c r="X230" s="30">
        <v>34484.334300000017</v>
      </c>
      <c r="Y230" s="30">
        <v>13824.936594964907</v>
      </c>
      <c r="Z230" s="30">
        <v>0</v>
      </c>
      <c r="AA230" s="30">
        <v>0</v>
      </c>
      <c r="AB230" s="34">
        <v>0.37596589050220414</v>
      </c>
      <c r="AC230" s="34">
        <v>0.3313030464633111</v>
      </c>
      <c r="AD230" s="34">
        <v>0.57481524298991671</v>
      </c>
      <c r="AE230" s="34">
        <v>0.57481524298991682</v>
      </c>
      <c r="AF230" s="34">
        <v>0.57481524298991682</v>
      </c>
      <c r="AG230" s="34">
        <v>0.5</v>
      </c>
      <c r="AH230" s="34">
        <v>0</v>
      </c>
      <c r="AI230" s="37">
        <f t="shared" si="31"/>
        <v>12778.839999999997</v>
      </c>
      <c r="AJ230" s="37">
        <f t="shared" si="32"/>
        <v>10257.248335478982</v>
      </c>
      <c r="AK230" s="37">
        <f t="shared" si="33"/>
        <v>17541.700000000012</v>
      </c>
      <c r="AL230" s="37">
        <f t="shared" si="34"/>
        <v>17541.700000000015</v>
      </c>
      <c r="AM230" s="37">
        <f t="shared" si="35"/>
        <v>17541.70000000003</v>
      </c>
      <c r="AN230" s="37">
        <f t="shared" si="36"/>
        <v>17242.167150000008</v>
      </c>
      <c r="AO230" s="37">
        <f t="shared" si="37"/>
        <v>0</v>
      </c>
    </row>
    <row r="231" spans="1:41" hidden="1" x14ac:dyDescent="0.3">
      <c r="A231" t="str">
        <f t="shared" si="29"/>
        <v>151ago</v>
      </c>
      <c r="B231" t="str">
        <f t="shared" si="30"/>
        <v>JUNIN-SUCREago</v>
      </c>
      <c r="C231" s="1" t="s">
        <v>79</v>
      </c>
      <c r="D231" s="1" t="s">
        <v>20</v>
      </c>
      <c r="E231" s="1">
        <v>151</v>
      </c>
      <c r="F231" s="1" t="s">
        <v>119</v>
      </c>
      <c r="G231" s="1" t="s">
        <v>119</v>
      </c>
      <c r="H231" s="1" t="s">
        <v>119</v>
      </c>
      <c r="I231" s="1" t="s">
        <v>126</v>
      </c>
      <c r="J231" s="1" t="s">
        <v>132</v>
      </c>
      <c r="K231" t="s">
        <v>87</v>
      </c>
      <c r="L231" s="6">
        <v>81211.259999999995</v>
      </c>
      <c r="M231" s="6">
        <v>15947.599999999991</v>
      </c>
      <c r="N231" s="6">
        <v>54810.710000000006</v>
      </c>
      <c r="O231" s="6">
        <v>15952.800000000005</v>
      </c>
      <c r="P231" s="6">
        <v>58698</v>
      </c>
      <c r="Q231" s="6">
        <v>17659</v>
      </c>
      <c r="R231" s="6">
        <v>53996.996845068017</v>
      </c>
      <c r="S231" s="6">
        <v>18234.78583457947</v>
      </c>
      <c r="T231" s="6">
        <v>61822.620000000024</v>
      </c>
      <c r="U231" s="6">
        <v>17808.950000000041</v>
      </c>
      <c r="V231" s="30">
        <v>61822.620000000083</v>
      </c>
      <c r="W231" s="30">
        <v>20877.498774000029</v>
      </c>
      <c r="X231" s="30">
        <v>63677.298600000082</v>
      </c>
      <c r="Y231" s="30">
        <v>21601.189458978519</v>
      </c>
      <c r="Z231" s="30">
        <v>0</v>
      </c>
      <c r="AA231" s="30">
        <v>0</v>
      </c>
      <c r="AB231" s="34">
        <v>0.12102853717575685</v>
      </c>
      <c r="AC231" s="34">
        <v>0.11968235838221426</v>
      </c>
      <c r="AD231" s="34">
        <v>0.23565921340764875</v>
      </c>
      <c r="AE231" s="34">
        <v>0.22</v>
      </c>
      <c r="AF231" s="34">
        <v>0.22</v>
      </c>
      <c r="AG231" s="34">
        <v>0.30000000000000004</v>
      </c>
      <c r="AH231" s="34">
        <v>0</v>
      </c>
      <c r="AI231" s="37">
        <f t="shared" si="31"/>
        <v>9828.8800000000538</v>
      </c>
      <c r="AJ231" s="37">
        <f t="shared" si="32"/>
        <v>6559.8750374036163</v>
      </c>
      <c r="AK231" s="37">
        <f t="shared" si="33"/>
        <v>14569.06999999998</v>
      </c>
      <c r="AL231" s="37">
        <f t="shared" si="34"/>
        <v>11879.339305914964</v>
      </c>
      <c r="AM231" s="37">
        <f t="shared" si="35"/>
        <v>13600.976400000018</v>
      </c>
      <c r="AN231" s="37">
        <f t="shared" si="36"/>
        <v>19103.189580000027</v>
      </c>
      <c r="AO231" s="37">
        <f t="shared" si="37"/>
        <v>0</v>
      </c>
    </row>
    <row r="232" spans="1:41" hidden="1" x14ac:dyDescent="0.3">
      <c r="A232" t="str">
        <f t="shared" si="29"/>
        <v>151sep</v>
      </c>
      <c r="B232" t="str">
        <f t="shared" si="30"/>
        <v>JUNIN-SUCREsep</v>
      </c>
      <c r="C232" s="1" t="s">
        <v>79</v>
      </c>
      <c r="D232" s="1" t="s">
        <v>20</v>
      </c>
      <c r="E232" s="1">
        <v>151</v>
      </c>
      <c r="F232" s="1" t="s">
        <v>119</v>
      </c>
      <c r="G232" s="1" t="s">
        <v>119</v>
      </c>
      <c r="H232" s="1" t="s">
        <v>119</v>
      </c>
      <c r="I232" s="1" t="s">
        <v>126</v>
      </c>
      <c r="J232" s="1" t="s">
        <v>132</v>
      </c>
      <c r="K232" t="s">
        <v>88</v>
      </c>
      <c r="L232" s="6">
        <v>35173.56</v>
      </c>
      <c r="M232" s="6">
        <v>11344.98</v>
      </c>
      <c r="N232" s="6">
        <v>38286.759999999995</v>
      </c>
      <c r="O232" s="6">
        <v>13626.699999999997</v>
      </c>
      <c r="P232" s="6">
        <v>30397</v>
      </c>
      <c r="Q232" s="6">
        <v>11260</v>
      </c>
      <c r="R232" s="6">
        <v>30700.999229399975</v>
      </c>
      <c r="S232" s="6">
        <v>11862.866102240152</v>
      </c>
      <c r="T232" s="6">
        <v>23372.590000000018</v>
      </c>
      <c r="U232" s="6">
        <v>9760.7600000000166</v>
      </c>
      <c r="V232" s="30">
        <v>23372.590000000018</v>
      </c>
      <c r="W232" s="30">
        <v>9760.7600000000166</v>
      </c>
      <c r="X232" s="30">
        <v>29215.737500000025</v>
      </c>
      <c r="Y232" s="30">
        <v>11262.254683733156</v>
      </c>
      <c r="Z232" s="30">
        <v>0</v>
      </c>
      <c r="AA232" s="30">
        <v>0</v>
      </c>
      <c r="AB232" s="34">
        <v>0.26171618681759828</v>
      </c>
      <c r="AC232" s="34">
        <v>0.26641829902197095</v>
      </c>
      <c r="AD232" s="34">
        <v>0.46824207330039175</v>
      </c>
      <c r="AE232" s="34">
        <v>0.38</v>
      </c>
      <c r="AF232" s="34">
        <v>0.38</v>
      </c>
      <c r="AG232" s="34">
        <v>0.45</v>
      </c>
      <c r="AH232" s="34">
        <v>0</v>
      </c>
      <c r="AI232" s="37">
        <f t="shared" si="31"/>
        <v>9205.4900000000016</v>
      </c>
      <c r="AJ232" s="37">
        <f t="shared" si="32"/>
        <v>10200.293474262435</v>
      </c>
      <c r="AK232" s="37">
        <f t="shared" si="33"/>
        <v>10944.030000000012</v>
      </c>
      <c r="AL232" s="37">
        <f t="shared" si="34"/>
        <v>11666.379707171991</v>
      </c>
      <c r="AM232" s="37">
        <f t="shared" si="35"/>
        <v>8881.5842000000066</v>
      </c>
      <c r="AN232" s="37">
        <f t="shared" si="36"/>
        <v>13147.081875000011</v>
      </c>
      <c r="AO232" s="37">
        <f t="shared" si="37"/>
        <v>0</v>
      </c>
    </row>
    <row r="233" spans="1:41" hidden="1" x14ac:dyDescent="0.3">
      <c r="A233" t="str">
        <f t="shared" si="29"/>
        <v>151oct</v>
      </c>
      <c r="B233" t="str">
        <f t="shared" si="30"/>
        <v>JUNIN-SUCREoct</v>
      </c>
      <c r="C233" s="1" t="s">
        <v>79</v>
      </c>
      <c r="D233" s="1" t="s">
        <v>20</v>
      </c>
      <c r="E233" s="1">
        <v>151</v>
      </c>
      <c r="F233" s="1" t="s">
        <v>119</v>
      </c>
      <c r="G233" s="1" t="s">
        <v>119</v>
      </c>
      <c r="H233" s="1" t="s">
        <v>119</v>
      </c>
      <c r="I233" s="1" t="s">
        <v>126</v>
      </c>
      <c r="J233" s="1" t="s">
        <v>132</v>
      </c>
      <c r="K233" t="s">
        <v>89</v>
      </c>
      <c r="L233" s="6">
        <v>26544.67</v>
      </c>
      <c r="M233" s="6">
        <v>7972.88</v>
      </c>
      <c r="N233" s="6">
        <v>35196.099999999991</v>
      </c>
      <c r="O233" s="6">
        <v>12799.099999999993</v>
      </c>
      <c r="P233" s="6">
        <v>32241</v>
      </c>
      <c r="Q233" s="6">
        <v>11925</v>
      </c>
      <c r="R233" s="6">
        <v>32563.295375099973</v>
      </c>
      <c r="S233" s="6">
        <v>13494.22960344143</v>
      </c>
      <c r="T233" s="6">
        <v>23736.179999999993</v>
      </c>
      <c r="U233" s="6">
        <v>10220.249999999993</v>
      </c>
      <c r="V233" s="30">
        <v>32563.295375099973</v>
      </c>
      <c r="W233" s="30">
        <v>13494.22960344143</v>
      </c>
      <c r="X233" s="30">
        <v>33865.82719010397</v>
      </c>
      <c r="Y233" s="30">
        <v>13576.974099779152</v>
      </c>
      <c r="Z233" s="30">
        <v>0</v>
      </c>
      <c r="AA233" s="30">
        <v>0</v>
      </c>
      <c r="AB233" s="34">
        <v>0.26184842380786821</v>
      </c>
      <c r="AC233" s="34">
        <v>0.30008629706816647</v>
      </c>
      <c r="AD233" s="34">
        <v>0.56723027884015043</v>
      </c>
      <c r="AE233" s="34">
        <v>0.48</v>
      </c>
      <c r="AF233" s="34">
        <v>0.48</v>
      </c>
      <c r="AG233" s="34">
        <v>0.50000000000000011</v>
      </c>
      <c r="AH233" s="34">
        <v>0</v>
      </c>
      <c r="AI233" s="37">
        <f t="shared" si="31"/>
        <v>6950.6800000000048</v>
      </c>
      <c r="AJ233" s="37">
        <f t="shared" si="32"/>
        <v>10561.867320240892</v>
      </c>
      <c r="AK233" s="37">
        <f t="shared" si="33"/>
        <v>13463.879999999997</v>
      </c>
      <c r="AL233" s="37">
        <f t="shared" si="34"/>
        <v>15630.381780047986</v>
      </c>
      <c r="AM233" s="37">
        <f t="shared" si="35"/>
        <v>15630.381780047986</v>
      </c>
      <c r="AN233" s="37">
        <f t="shared" si="36"/>
        <v>16932.913595051989</v>
      </c>
      <c r="AO233" s="37">
        <f t="shared" si="37"/>
        <v>0</v>
      </c>
    </row>
    <row r="234" spans="1:41" hidden="1" x14ac:dyDescent="0.3">
      <c r="A234" t="str">
        <f t="shared" si="29"/>
        <v>151nov</v>
      </c>
      <c r="B234" t="str">
        <f t="shared" si="30"/>
        <v>JUNIN-SUCREnov</v>
      </c>
      <c r="C234" s="1" t="s">
        <v>79</v>
      </c>
      <c r="D234" s="1" t="s">
        <v>20</v>
      </c>
      <c r="E234" s="1">
        <v>151</v>
      </c>
      <c r="F234" s="1" t="s">
        <v>119</v>
      </c>
      <c r="G234" s="1" t="s">
        <v>119</v>
      </c>
      <c r="H234" s="1" t="s">
        <v>119</v>
      </c>
      <c r="I234" s="1" t="s">
        <v>126</v>
      </c>
      <c r="J234" s="1" t="s">
        <v>132</v>
      </c>
      <c r="K234" t="s">
        <v>90</v>
      </c>
      <c r="L234" s="6">
        <v>36367.759999999995</v>
      </c>
      <c r="M234" s="6">
        <v>11343.679999999998</v>
      </c>
      <c r="N234" s="6">
        <v>34637.549999999996</v>
      </c>
      <c r="O234" s="6">
        <v>12642.759999999993</v>
      </c>
      <c r="P234" s="6">
        <v>41230</v>
      </c>
      <c r="Q234" s="6">
        <v>14610</v>
      </c>
      <c r="R234" s="6">
        <v>41642.757176499981</v>
      </c>
      <c r="S234" s="6">
        <v>15740.962212716993</v>
      </c>
      <c r="T234" s="6">
        <v>30815.229885057466</v>
      </c>
      <c r="U234" s="6">
        <v>12219.319672507425</v>
      </c>
      <c r="V234" s="30">
        <v>30815.229885057473</v>
      </c>
      <c r="W234" s="30">
        <v>11648.156896551725</v>
      </c>
      <c r="X234" s="30">
        <v>32355.991379310348</v>
      </c>
      <c r="Y234" s="30">
        <v>11774.324759721569</v>
      </c>
      <c r="Z234" s="30">
        <v>0</v>
      </c>
      <c r="AA234" s="30">
        <v>0</v>
      </c>
      <c r="AB234" s="34">
        <v>0.22357164697523307</v>
      </c>
      <c r="AC234" s="34">
        <v>0.25938812289279195</v>
      </c>
      <c r="AD234" s="34">
        <v>0.23565921340764875</v>
      </c>
      <c r="AE234" s="34">
        <v>0.35</v>
      </c>
      <c r="AF234" s="34">
        <v>0.35</v>
      </c>
      <c r="AG234" s="34">
        <v>0.38</v>
      </c>
      <c r="AH234" s="34">
        <v>0</v>
      </c>
      <c r="AI234" s="37">
        <f t="shared" si="31"/>
        <v>8130.8000000000011</v>
      </c>
      <c r="AJ234" s="37">
        <f t="shared" si="32"/>
        <v>8984.5690761052247</v>
      </c>
      <c r="AK234" s="37">
        <f t="shared" si="33"/>
        <v>7261.8928356885126</v>
      </c>
      <c r="AL234" s="37">
        <f t="shared" si="34"/>
        <v>14574.965011774992</v>
      </c>
      <c r="AM234" s="37">
        <f t="shared" si="35"/>
        <v>10785.330459770115</v>
      </c>
      <c r="AN234" s="37">
        <f t="shared" si="36"/>
        <v>12295.276724137932</v>
      </c>
      <c r="AO234" s="37">
        <f t="shared" si="37"/>
        <v>0</v>
      </c>
    </row>
    <row r="235" spans="1:41" hidden="1" x14ac:dyDescent="0.3">
      <c r="A235" t="str">
        <f t="shared" si="29"/>
        <v>151dic</v>
      </c>
      <c r="B235" t="str">
        <f t="shared" si="30"/>
        <v>JUNIN-SUCREdic</v>
      </c>
      <c r="C235" s="1" t="s">
        <v>79</v>
      </c>
      <c r="D235" s="1" t="s">
        <v>20</v>
      </c>
      <c r="E235" s="1">
        <v>151</v>
      </c>
      <c r="F235" s="1" t="s">
        <v>119</v>
      </c>
      <c r="G235" s="1" t="s">
        <v>119</v>
      </c>
      <c r="H235" s="1" t="s">
        <v>119</v>
      </c>
      <c r="I235" s="1" t="s">
        <v>126</v>
      </c>
      <c r="J235" s="1" t="s">
        <v>132</v>
      </c>
      <c r="K235" t="s">
        <v>91</v>
      </c>
      <c r="L235" s="6">
        <v>90357.78</v>
      </c>
      <c r="M235" s="6">
        <v>32406.38</v>
      </c>
      <c r="N235" s="6">
        <v>81058.800000000017</v>
      </c>
      <c r="O235" s="6">
        <v>33231.500000000015</v>
      </c>
      <c r="P235" s="6">
        <v>82514.689700000032</v>
      </c>
      <c r="Q235" s="6">
        <v>34473.622421500011</v>
      </c>
      <c r="R235" s="6">
        <v>83339.83659700003</v>
      </c>
      <c r="S235" s="6">
        <v>37336.24679545602</v>
      </c>
      <c r="T235" s="6">
        <v>51078.591954022988</v>
      </c>
      <c r="U235" s="6">
        <v>23245.517622838695</v>
      </c>
      <c r="V235" s="30">
        <v>83339.83659700003</v>
      </c>
      <c r="W235" s="30">
        <v>37336.24679545602</v>
      </c>
      <c r="X235" s="30">
        <v>87506.828426850028</v>
      </c>
      <c r="Y235" s="30">
        <v>34542.205924589536</v>
      </c>
      <c r="Z235" s="30">
        <v>0</v>
      </c>
      <c r="AA235" s="30">
        <v>0</v>
      </c>
      <c r="AB235" s="34">
        <v>0.2372465326173353</v>
      </c>
      <c r="AC235" s="34">
        <v>0.38366673449685257</v>
      </c>
      <c r="AD235" s="34">
        <v>0.31622860764504485</v>
      </c>
      <c r="AE235" s="34">
        <v>0.6</v>
      </c>
      <c r="AF235" s="34">
        <v>0.6</v>
      </c>
      <c r="AG235" s="34">
        <v>0.48</v>
      </c>
      <c r="AH235" s="34">
        <v>0</v>
      </c>
      <c r="AI235" s="37">
        <f t="shared" si="31"/>
        <v>21437.070000000007</v>
      </c>
      <c r="AJ235" s="37">
        <f t="shared" si="32"/>
        <v>31099.565098233481</v>
      </c>
      <c r="AK235" s="37">
        <f t="shared" si="33"/>
        <v>16152.51201409008</v>
      </c>
      <c r="AL235" s="37">
        <f t="shared" si="34"/>
        <v>50003.901958200018</v>
      </c>
      <c r="AM235" s="37">
        <f t="shared" si="35"/>
        <v>50003.901958200018</v>
      </c>
      <c r="AN235" s="37">
        <f t="shared" si="36"/>
        <v>42003.27764488801</v>
      </c>
      <c r="AO235" s="37">
        <f t="shared" si="37"/>
        <v>0</v>
      </c>
    </row>
    <row r="236" spans="1:41" hidden="1" x14ac:dyDescent="0.3">
      <c r="A236" t="str">
        <f t="shared" si="29"/>
        <v>302ene</v>
      </c>
      <c r="B236" t="str">
        <f t="shared" si="30"/>
        <v>LANZAene</v>
      </c>
      <c r="C236" s="1" t="s">
        <v>79</v>
      </c>
      <c r="D236" s="1" t="s">
        <v>32</v>
      </c>
      <c r="E236" s="1">
        <v>302</v>
      </c>
      <c r="F236" s="1" t="s">
        <v>119</v>
      </c>
      <c r="G236" s="1" t="s">
        <v>119</v>
      </c>
      <c r="H236" s="1" t="s">
        <v>119</v>
      </c>
      <c r="I236" s="1" t="s">
        <v>124</v>
      </c>
      <c r="J236" s="1" t="s">
        <v>134</v>
      </c>
      <c r="K236" t="s">
        <v>80</v>
      </c>
      <c r="L236" s="6">
        <v>83482.00999999998</v>
      </c>
      <c r="M236" s="6">
        <v>42321.219999999987</v>
      </c>
      <c r="N236" s="6">
        <v>69748.17</v>
      </c>
      <c r="O236" s="6">
        <v>33144.17</v>
      </c>
      <c r="P236" s="6">
        <v>65081.243083333342</v>
      </c>
      <c r="Q236" s="6">
        <v>31000.56630633333</v>
      </c>
      <c r="R236" s="6">
        <v>50447.08</v>
      </c>
      <c r="S236" s="6">
        <v>25533.641037126039</v>
      </c>
      <c r="T236" s="6">
        <v>50447.079999999958</v>
      </c>
      <c r="U236" s="6">
        <v>25557.409999999945</v>
      </c>
      <c r="V236" s="30">
        <v>65081.243083333342</v>
      </c>
      <c r="W236" s="30">
        <v>32971.343689077985</v>
      </c>
      <c r="X236" s="30">
        <v>68986.117668333362</v>
      </c>
      <c r="Y236" s="30">
        <v>36843.450950634797</v>
      </c>
      <c r="Z236" s="30">
        <v>56048.706896551863</v>
      </c>
      <c r="AA236" s="30">
        <v>31030.492712877458</v>
      </c>
      <c r="AB236" s="34">
        <v>0.72234580839632434</v>
      </c>
      <c r="AC236" s="34">
        <v>0.6034209424647774</v>
      </c>
      <c r="AD236" s="34">
        <v>0.72852760310772491</v>
      </c>
      <c r="AE236" s="34">
        <v>0.7285276031077248</v>
      </c>
      <c r="AF236" s="34">
        <v>0.7285276031077248</v>
      </c>
      <c r="AG236" s="34">
        <v>0.88000000000000012</v>
      </c>
      <c r="AH236" s="34">
        <v>0.96131751170856639</v>
      </c>
      <c r="AI236" s="37">
        <f t="shared" si="31"/>
        <v>60302.880000000019</v>
      </c>
      <c r="AJ236" s="37">
        <f t="shared" si="32"/>
        <v>42087.506476593509</v>
      </c>
      <c r="AK236" s="37">
        <f t="shared" si="33"/>
        <v>36752.090276183619</v>
      </c>
      <c r="AL236" s="37">
        <f t="shared" si="34"/>
        <v>36752.090276183641</v>
      </c>
      <c r="AM236" s="37">
        <f t="shared" si="35"/>
        <v>47413.482030772029</v>
      </c>
      <c r="AN236" s="37">
        <f t="shared" si="36"/>
        <v>60707.783548133368</v>
      </c>
      <c r="AO236" s="37">
        <f t="shared" si="37"/>
        <v>53880.603448276001</v>
      </c>
    </row>
    <row r="237" spans="1:41" hidden="1" x14ac:dyDescent="0.3">
      <c r="A237" t="str">
        <f t="shared" si="29"/>
        <v>302feb</v>
      </c>
      <c r="B237" t="str">
        <f t="shared" si="30"/>
        <v>LANZAfeb</v>
      </c>
      <c r="C237" s="1" t="s">
        <v>79</v>
      </c>
      <c r="D237" s="1" t="s">
        <v>32</v>
      </c>
      <c r="E237" s="1">
        <v>302</v>
      </c>
      <c r="F237" s="1" t="s">
        <v>119</v>
      </c>
      <c r="G237" s="1" t="s">
        <v>119</v>
      </c>
      <c r="H237" s="1" t="s">
        <v>119</v>
      </c>
      <c r="I237" s="1" t="s">
        <v>124</v>
      </c>
      <c r="J237" s="1" t="s">
        <v>134</v>
      </c>
      <c r="K237" t="s">
        <v>81</v>
      </c>
      <c r="L237" s="6">
        <v>116052.8</v>
      </c>
      <c r="M237" s="6">
        <v>47369.239999999991</v>
      </c>
      <c r="N237" s="6">
        <v>68356.890000000014</v>
      </c>
      <c r="O237" s="6">
        <v>31007.190000000013</v>
      </c>
      <c r="P237" s="6">
        <v>99920.456699999995</v>
      </c>
      <c r="Q237" s="6">
        <v>42364.432819499998</v>
      </c>
      <c r="R237" s="6">
        <v>80492.750000000029</v>
      </c>
      <c r="S237" s="6">
        <v>35149.948729991273</v>
      </c>
      <c r="T237" s="6">
        <v>80492.749999999971</v>
      </c>
      <c r="U237" s="6">
        <v>34977.929999999978</v>
      </c>
      <c r="V237" s="30">
        <v>99920.456699999995</v>
      </c>
      <c r="W237" s="30">
        <v>43420.192999004626</v>
      </c>
      <c r="X237" s="30">
        <v>106914.88866900001</v>
      </c>
      <c r="Y237" s="30">
        <v>47654.957783460923</v>
      </c>
      <c r="Z237" s="30">
        <v>84295.689655172668</v>
      </c>
      <c r="AA237" s="30">
        <v>38174.73143752951</v>
      </c>
      <c r="AB237" s="34">
        <v>0.25759740394027431</v>
      </c>
      <c r="AC237" s="34">
        <v>0.48609714048781277</v>
      </c>
      <c r="AD237" s="34">
        <v>0.22488773225590644</v>
      </c>
      <c r="AE237" s="34">
        <v>0.22488773225590622</v>
      </c>
      <c r="AF237" s="34">
        <v>0.22488773225590622</v>
      </c>
      <c r="AG237" s="34">
        <v>0.39999999999999997</v>
      </c>
      <c r="AH237" s="34">
        <v>0.42261947373265263</v>
      </c>
      <c r="AI237" s="37">
        <f t="shared" si="31"/>
        <v>29894.899999999867</v>
      </c>
      <c r="AJ237" s="37">
        <f t="shared" si="32"/>
        <v>33228.08876163997</v>
      </c>
      <c r="AK237" s="37">
        <f t="shared" si="33"/>
        <v>18101.832010541606</v>
      </c>
      <c r="AL237" s="37">
        <f t="shared" si="34"/>
        <v>18101.832010541602</v>
      </c>
      <c r="AM237" s="37">
        <f t="shared" si="35"/>
        <v>22470.884913237471</v>
      </c>
      <c r="AN237" s="37">
        <f t="shared" si="36"/>
        <v>42765.955467599997</v>
      </c>
      <c r="AO237" s="37">
        <f t="shared" si="37"/>
        <v>35625.00000000008</v>
      </c>
    </row>
    <row r="238" spans="1:41" hidden="1" x14ac:dyDescent="0.3">
      <c r="A238" t="str">
        <f t="shared" si="29"/>
        <v>302mar</v>
      </c>
      <c r="B238" t="str">
        <f t="shared" si="30"/>
        <v>LANZAmar</v>
      </c>
      <c r="C238" s="1" t="s">
        <v>79</v>
      </c>
      <c r="D238" s="1" t="s">
        <v>32</v>
      </c>
      <c r="E238" s="1">
        <v>302</v>
      </c>
      <c r="F238" s="1" t="s">
        <v>119</v>
      </c>
      <c r="G238" s="1" t="s">
        <v>119</v>
      </c>
      <c r="H238" s="1" t="s">
        <v>119</v>
      </c>
      <c r="I238" s="1" t="s">
        <v>124</v>
      </c>
      <c r="J238" s="1" t="s">
        <v>134</v>
      </c>
      <c r="K238" t="s">
        <v>82</v>
      </c>
      <c r="L238" s="6">
        <v>75501.920000000013</v>
      </c>
      <c r="M238" s="6">
        <v>35745.660000000011</v>
      </c>
      <c r="N238" s="6">
        <v>103397.8</v>
      </c>
      <c r="O238" s="6">
        <v>43202.42</v>
      </c>
      <c r="P238" s="6">
        <v>71059.190799999982</v>
      </c>
      <c r="Q238" s="6">
        <v>31477.962591999985</v>
      </c>
      <c r="R238" s="6">
        <v>74960.180000000139</v>
      </c>
      <c r="S238" s="6">
        <v>34667.549835096004</v>
      </c>
      <c r="T238" s="6">
        <v>74960.180000000139</v>
      </c>
      <c r="U238" s="6">
        <v>34582.250000000087</v>
      </c>
      <c r="V238" s="30">
        <v>74960.180000000226</v>
      </c>
      <c r="W238" s="30">
        <v>34582.250000000131</v>
      </c>
      <c r="X238" s="30">
        <v>78708.189000000231</v>
      </c>
      <c r="Y238" s="30">
        <v>41601.142523662696</v>
      </c>
      <c r="Z238" s="30">
        <v>76836.933681914728</v>
      </c>
      <c r="AA238" s="30">
        <v>38187.956039911616</v>
      </c>
      <c r="AB238" s="34">
        <v>0.49862626010040584</v>
      </c>
      <c r="AC238" s="34">
        <v>0.34237614369370534</v>
      </c>
      <c r="AD238" s="34">
        <v>0.47521238471000438</v>
      </c>
      <c r="AE238" s="34">
        <v>0.47521238471000354</v>
      </c>
      <c r="AF238" s="34">
        <v>0.47521238471000354</v>
      </c>
      <c r="AG238" s="34">
        <v>0.85</v>
      </c>
      <c r="AH238" s="34">
        <v>0.69898912844713501</v>
      </c>
      <c r="AI238" s="37">
        <f t="shared" si="31"/>
        <v>37647.240000000042</v>
      </c>
      <c r="AJ238" s="37">
        <f t="shared" si="32"/>
        <v>35400.940030413003</v>
      </c>
      <c r="AK238" s="37">
        <f t="shared" si="33"/>
        <v>35622.005896091243</v>
      </c>
      <c r="AL238" s="37">
        <f t="shared" si="34"/>
        <v>35622.005896091177</v>
      </c>
      <c r="AM238" s="37">
        <f t="shared" si="35"/>
        <v>35622.005896091221</v>
      </c>
      <c r="AN238" s="37">
        <f t="shared" si="36"/>
        <v>66901.960650000197</v>
      </c>
      <c r="AO238" s="37">
        <f t="shared" si="37"/>
        <v>53708.181306871891</v>
      </c>
    </row>
    <row r="239" spans="1:41" hidden="1" x14ac:dyDescent="0.3">
      <c r="A239" t="str">
        <f t="shared" si="29"/>
        <v>302abr</v>
      </c>
      <c r="B239" t="str">
        <f t="shared" si="30"/>
        <v>LANZAabr</v>
      </c>
      <c r="C239" s="1" t="s">
        <v>79</v>
      </c>
      <c r="D239" s="1" t="s">
        <v>32</v>
      </c>
      <c r="E239" s="1">
        <v>302</v>
      </c>
      <c r="F239" s="1" t="s">
        <v>119</v>
      </c>
      <c r="G239" s="1" t="s">
        <v>119</v>
      </c>
      <c r="H239" s="1" t="s">
        <v>119</v>
      </c>
      <c r="I239" s="1" t="s">
        <v>124</v>
      </c>
      <c r="J239" s="1" t="s">
        <v>134</v>
      </c>
      <c r="K239" t="s">
        <v>83</v>
      </c>
      <c r="L239" s="6">
        <v>47659.539999999994</v>
      </c>
      <c r="M239" s="6">
        <v>24403.589999999993</v>
      </c>
      <c r="N239" s="6">
        <v>57155.1</v>
      </c>
      <c r="O239" s="6">
        <v>28708.949999999997</v>
      </c>
      <c r="P239" s="6">
        <v>60550.84310000002</v>
      </c>
      <c r="Q239" s="6">
        <v>29561.144543500013</v>
      </c>
      <c r="R239" s="6">
        <v>61373.680000000109</v>
      </c>
      <c r="S239" s="6">
        <v>31199.448757112754</v>
      </c>
      <c r="T239" s="6">
        <v>61373.680000000066</v>
      </c>
      <c r="U239" s="6">
        <v>31004.070000000058</v>
      </c>
      <c r="V239" s="30">
        <v>61373.680000000058</v>
      </c>
      <c r="W239" s="30">
        <v>31004.070000000051</v>
      </c>
      <c r="X239" s="30">
        <v>64442.364000000067</v>
      </c>
      <c r="Y239" s="30">
        <v>34416.766117957959</v>
      </c>
      <c r="Z239" s="30">
        <v>0</v>
      </c>
      <c r="AA239" s="30">
        <v>0</v>
      </c>
      <c r="AB239" s="34">
        <v>0.69515589113952836</v>
      </c>
      <c r="AC239" s="34">
        <v>0.61543681008654139</v>
      </c>
      <c r="AD239" s="34">
        <v>0.67496485578384802</v>
      </c>
      <c r="AE239" s="34">
        <v>0.67496485578384824</v>
      </c>
      <c r="AF239" s="34">
        <v>0.67496485578384824</v>
      </c>
      <c r="AG239" s="34">
        <v>0.88000000000000012</v>
      </c>
      <c r="AH239" s="34">
        <v>0</v>
      </c>
      <c r="AI239" s="37">
        <f t="shared" si="31"/>
        <v>33130.80999999999</v>
      </c>
      <c r="AJ239" s="37">
        <f t="shared" si="32"/>
        <v>35175.352424177283</v>
      </c>
      <c r="AK239" s="37">
        <f t="shared" si="33"/>
        <v>41425.077070124084</v>
      </c>
      <c r="AL239" s="37">
        <f t="shared" si="34"/>
        <v>41425.077070124127</v>
      </c>
      <c r="AM239" s="37">
        <f t="shared" si="35"/>
        <v>41425.077070124091</v>
      </c>
      <c r="AN239" s="37">
        <f t="shared" si="36"/>
        <v>56709.280320000064</v>
      </c>
      <c r="AO239" s="37">
        <f t="shared" si="37"/>
        <v>0</v>
      </c>
    </row>
    <row r="240" spans="1:41" hidden="1" x14ac:dyDescent="0.3">
      <c r="A240" t="str">
        <f t="shared" si="29"/>
        <v>302may</v>
      </c>
      <c r="B240" t="str">
        <f t="shared" si="30"/>
        <v>LANZAmay</v>
      </c>
      <c r="C240" s="1" t="s">
        <v>79</v>
      </c>
      <c r="D240" s="1" t="s">
        <v>32</v>
      </c>
      <c r="E240" s="1">
        <v>302</v>
      </c>
      <c r="F240" s="1" t="s">
        <v>119</v>
      </c>
      <c r="G240" s="1" t="s">
        <v>119</v>
      </c>
      <c r="H240" s="1" t="s">
        <v>119</v>
      </c>
      <c r="I240" s="1" t="s">
        <v>124</v>
      </c>
      <c r="J240" s="1" t="s">
        <v>134</v>
      </c>
      <c r="K240" t="s">
        <v>84</v>
      </c>
      <c r="L240" s="6">
        <v>23482.629999999997</v>
      </c>
      <c r="M240" s="6">
        <v>12441.18</v>
      </c>
      <c r="N240" s="6">
        <v>47664.69</v>
      </c>
      <c r="O240" s="6">
        <v>23839.829999999994</v>
      </c>
      <c r="P240" s="6">
        <v>63970.856499999994</v>
      </c>
      <c r="Q240" s="6">
        <v>30170.524169999993</v>
      </c>
      <c r="R240" s="6">
        <v>60695.029999999984</v>
      </c>
      <c r="S240" s="6">
        <v>31565.036143760732</v>
      </c>
      <c r="T240" s="6">
        <v>60695.029999999984</v>
      </c>
      <c r="U240" s="6">
        <v>31542.799999999988</v>
      </c>
      <c r="V240" s="30">
        <v>60695.029999999984</v>
      </c>
      <c r="W240" s="30">
        <v>31542.799999999988</v>
      </c>
      <c r="X240" s="30">
        <v>63729.781499999983</v>
      </c>
      <c r="Y240" s="30">
        <v>34036.196819751378</v>
      </c>
      <c r="Z240" s="30">
        <v>0</v>
      </c>
      <c r="AA240" s="30">
        <v>0</v>
      </c>
      <c r="AB240" s="34">
        <v>0.77918955415130309</v>
      </c>
      <c r="AC240" s="34">
        <v>0.64783706702335997</v>
      </c>
      <c r="AD240" s="34">
        <v>0.7448400828224907</v>
      </c>
      <c r="AE240" s="34">
        <v>0.74484008282249103</v>
      </c>
      <c r="AF240" s="34">
        <v>0.74484008282249103</v>
      </c>
      <c r="AG240" s="34">
        <v>0.88</v>
      </c>
      <c r="AH240" s="34">
        <v>0</v>
      </c>
      <c r="AI240" s="37">
        <f t="shared" si="31"/>
        <v>18297.420000000013</v>
      </c>
      <c r="AJ240" s="37">
        <f t="shared" si="32"/>
        <v>30878.952970177677</v>
      </c>
      <c r="AK240" s="37">
        <f t="shared" si="33"/>
        <v>45208.091172113549</v>
      </c>
      <c r="AL240" s="37">
        <f t="shared" si="34"/>
        <v>45208.091172113564</v>
      </c>
      <c r="AM240" s="37">
        <f t="shared" si="35"/>
        <v>45208.091172113564</v>
      </c>
      <c r="AN240" s="37">
        <f t="shared" si="36"/>
        <v>56082.207719999984</v>
      </c>
      <c r="AO240" s="37">
        <f t="shared" si="37"/>
        <v>0</v>
      </c>
    </row>
    <row r="241" spans="1:41" hidden="1" x14ac:dyDescent="0.3">
      <c r="A241" t="str">
        <f t="shared" si="29"/>
        <v>302jun</v>
      </c>
      <c r="B241" t="str">
        <f t="shared" si="30"/>
        <v>LANZAjun</v>
      </c>
      <c r="C241" s="1" t="s">
        <v>79</v>
      </c>
      <c r="D241" s="1" t="s">
        <v>32</v>
      </c>
      <c r="E241" s="1">
        <v>302</v>
      </c>
      <c r="F241" s="1" t="s">
        <v>119</v>
      </c>
      <c r="G241" s="1" t="s">
        <v>119</v>
      </c>
      <c r="H241" s="1" t="s">
        <v>119</v>
      </c>
      <c r="I241" s="1" t="s">
        <v>124</v>
      </c>
      <c r="J241" s="1" t="s">
        <v>134</v>
      </c>
      <c r="K241" t="s">
        <v>85</v>
      </c>
      <c r="L241" s="6">
        <v>5897.97</v>
      </c>
      <c r="M241" s="6">
        <v>3134.7299999999996</v>
      </c>
      <c r="N241" s="6">
        <v>39592.929999999993</v>
      </c>
      <c r="O241" s="6">
        <v>19710.119999999992</v>
      </c>
      <c r="P241" s="6">
        <v>58604.030000000006</v>
      </c>
      <c r="Q241" s="6">
        <v>29299.107422500001</v>
      </c>
      <c r="R241" s="6">
        <v>65115.970000000016</v>
      </c>
      <c r="S241" s="6">
        <v>33493.13827277151</v>
      </c>
      <c r="T241" s="6">
        <v>65115.969999999965</v>
      </c>
      <c r="U241" s="6">
        <v>33479.079999999973</v>
      </c>
      <c r="V241" s="30">
        <v>65115.96999999995</v>
      </c>
      <c r="W241" s="30">
        <v>33479.079999999965</v>
      </c>
      <c r="X241" s="30">
        <v>68371.768499999947</v>
      </c>
      <c r="Y241" s="30">
        <v>36515.345177834584</v>
      </c>
      <c r="Z241" s="30">
        <v>0</v>
      </c>
      <c r="AA241" s="30">
        <v>0</v>
      </c>
      <c r="AB241" s="34">
        <v>0.73837099883519242</v>
      </c>
      <c r="AC241" s="34">
        <v>0.61516575292250453</v>
      </c>
      <c r="AD241" s="34">
        <v>0.74931206271466932</v>
      </c>
      <c r="AE241" s="34">
        <v>0.74931206271466932</v>
      </c>
      <c r="AF241" s="34">
        <v>0.74931206271466932</v>
      </c>
      <c r="AG241" s="34">
        <v>0.88</v>
      </c>
      <c r="AH241" s="34">
        <v>0</v>
      </c>
      <c r="AI241" s="37">
        <f t="shared" si="31"/>
        <v>4354.8900000000003</v>
      </c>
      <c r="AJ241" s="37">
        <f t="shared" si="32"/>
        <v>24356.214593858014</v>
      </c>
      <c r="AK241" s="37">
        <f t="shared" si="33"/>
        <v>48792.181796366502</v>
      </c>
      <c r="AL241" s="37">
        <f t="shared" si="34"/>
        <v>48792.181796366538</v>
      </c>
      <c r="AM241" s="37">
        <f t="shared" si="35"/>
        <v>48792.181796366487</v>
      </c>
      <c r="AN241" s="37">
        <f t="shared" si="36"/>
        <v>60167.156279999952</v>
      </c>
      <c r="AO241" s="37">
        <f t="shared" si="37"/>
        <v>0</v>
      </c>
    </row>
    <row r="242" spans="1:41" hidden="1" x14ac:dyDescent="0.3">
      <c r="A242" t="str">
        <f t="shared" si="29"/>
        <v>302jul</v>
      </c>
      <c r="B242" t="str">
        <f t="shared" si="30"/>
        <v>LANZAjul</v>
      </c>
      <c r="C242" s="1" t="s">
        <v>79</v>
      </c>
      <c r="D242" s="1" t="s">
        <v>32</v>
      </c>
      <c r="E242" s="1">
        <v>302</v>
      </c>
      <c r="F242" s="1" t="s">
        <v>119</v>
      </c>
      <c r="G242" s="1" t="s">
        <v>119</v>
      </c>
      <c r="H242" s="1" t="s">
        <v>119</v>
      </c>
      <c r="I242" s="1" t="s">
        <v>124</v>
      </c>
      <c r="J242" s="1" t="s">
        <v>134</v>
      </c>
      <c r="K242" t="s">
        <v>86</v>
      </c>
      <c r="L242" s="6">
        <v>108068.16999999998</v>
      </c>
      <c r="M242" s="6">
        <v>54421.200000000004</v>
      </c>
      <c r="N242" s="6">
        <v>71219.459999999992</v>
      </c>
      <c r="O242" s="6">
        <v>36158.879999999997</v>
      </c>
      <c r="P242" s="6">
        <v>62227.53620000001</v>
      </c>
      <c r="Q242" s="6">
        <v>31360.155402500004</v>
      </c>
      <c r="R242" s="6">
        <v>65912.560000000012</v>
      </c>
      <c r="S242" s="6">
        <v>34910.079999999914</v>
      </c>
      <c r="T242" s="6">
        <v>65912.560000000056</v>
      </c>
      <c r="U242" s="6">
        <v>34910.080000000031</v>
      </c>
      <c r="V242" s="30">
        <v>65912.560000000085</v>
      </c>
      <c r="W242" s="30">
        <v>34910.080000000045</v>
      </c>
      <c r="X242" s="30">
        <v>69208.188000000082</v>
      </c>
      <c r="Y242" s="30">
        <v>36962.052165616784</v>
      </c>
      <c r="Z242" s="30">
        <v>0</v>
      </c>
      <c r="AA242" s="30">
        <v>0</v>
      </c>
      <c r="AB242" s="34">
        <v>0.58423363697192277</v>
      </c>
      <c r="AC242" s="34">
        <v>0.69032485532604171</v>
      </c>
      <c r="AD242" s="34">
        <v>0.81037726345327776</v>
      </c>
      <c r="AE242" s="34">
        <v>0.81037726345327776</v>
      </c>
      <c r="AF242" s="34">
        <v>0.81037726345327776</v>
      </c>
      <c r="AG242" s="34">
        <v>0.88000000000000012</v>
      </c>
      <c r="AH242" s="34">
        <v>0</v>
      </c>
      <c r="AI242" s="37">
        <f t="shared" si="31"/>
        <v>63137.060000000027</v>
      </c>
      <c r="AJ242" s="37">
        <f t="shared" si="32"/>
        <v>49164.563420898812</v>
      </c>
      <c r="AK242" s="37">
        <f t="shared" si="33"/>
        <v>53414.040000000023</v>
      </c>
      <c r="AL242" s="37">
        <f t="shared" si="34"/>
        <v>53414.039999999986</v>
      </c>
      <c r="AM242" s="37">
        <f t="shared" si="35"/>
        <v>53414.040000000045</v>
      </c>
      <c r="AN242" s="37">
        <f t="shared" si="36"/>
        <v>60903.205440000078</v>
      </c>
      <c r="AO242" s="37">
        <f t="shared" si="37"/>
        <v>0</v>
      </c>
    </row>
    <row r="243" spans="1:41" hidden="1" x14ac:dyDescent="0.3">
      <c r="A243" t="str">
        <f t="shared" si="29"/>
        <v>302ago</v>
      </c>
      <c r="B243" t="str">
        <f t="shared" si="30"/>
        <v>LANZAago</v>
      </c>
      <c r="C243" s="1" t="s">
        <v>79</v>
      </c>
      <c r="D243" s="1" t="s">
        <v>32</v>
      </c>
      <c r="E243" s="1">
        <v>302</v>
      </c>
      <c r="F243" s="1" t="s">
        <v>119</v>
      </c>
      <c r="G243" s="1" t="s">
        <v>119</v>
      </c>
      <c r="H243" s="1" t="s">
        <v>119</v>
      </c>
      <c r="I243" s="1" t="s">
        <v>124</v>
      </c>
      <c r="J243" s="1" t="s">
        <v>134</v>
      </c>
      <c r="K243" t="s">
        <v>87</v>
      </c>
      <c r="L243" s="6">
        <v>205173.06</v>
      </c>
      <c r="M243" s="6">
        <v>78437.889999999985</v>
      </c>
      <c r="N243" s="6">
        <v>123949.23</v>
      </c>
      <c r="O243" s="6">
        <v>49838.739999999991</v>
      </c>
      <c r="P243" s="6">
        <v>129440.1394</v>
      </c>
      <c r="Q243" s="6">
        <v>53253.962929500005</v>
      </c>
      <c r="R243" s="6">
        <v>122877.06464421879</v>
      </c>
      <c r="S243" s="6">
        <v>51834.460949517255</v>
      </c>
      <c r="T243" s="6">
        <v>145958.08000000016</v>
      </c>
      <c r="U243" s="6">
        <v>59605.550000000134</v>
      </c>
      <c r="V243" s="30">
        <v>145958.08000000037</v>
      </c>
      <c r="W243" s="30">
        <v>61570.956467200151</v>
      </c>
      <c r="X243" s="30">
        <v>156175.1456000004</v>
      </c>
      <c r="Y243" s="30">
        <v>69611.632795459707</v>
      </c>
      <c r="Z243" s="30">
        <v>0</v>
      </c>
      <c r="AA243" s="30">
        <v>0</v>
      </c>
      <c r="AB243" s="34">
        <v>0.28856069115506794</v>
      </c>
      <c r="AC243" s="34">
        <v>0.27177446055873772</v>
      </c>
      <c r="AD243" s="34">
        <v>0.31595592378304699</v>
      </c>
      <c r="AE243" s="34">
        <v>0.27</v>
      </c>
      <c r="AF243" s="34">
        <v>0.27</v>
      </c>
      <c r="AG243" s="34">
        <v>0.4</v>
      </c>
      <c r="AH243" s="34">
        <v>0</v>
      </c>
      <c r="AI243" s="37">
        <f t="shared" si="31"/>
        <v>59204.880000000223</v>
      </c>
      <c r="AJ243" s="37">
        <f t="shared" si="32"/>
        <v>33686.235119920908</v>
      </c>
      <c r="AK243" s="37">
        <f t="shared" si="33"/>
        <v>46116.319999999927</v>
      </c>
      <c r="AL243" s="37">
        <f t="shared" si="34"/>
        <v>33176.807453939073</v>
      </c>
      <c r="AM243" s="37">
        <f t="shared" si="35"/>
        <v>39408.681600000098</v>
      </c>
      <c r="AN243" s="37">
        <f t="shared" si="36"/>
        <v>62470.058240000159</v>
      </c>
      <c r="AO243" s="37">
        <f t="shared" si="37"/>
        <v>0</v>
      </c>
    </row>
    <row r="244" spans="1:41" hidden="1" x14ac:dyDescent="0.3">
      <c r="A244" t="str">
        <f t="shared" si="29"/>
        <v>302sep</v>
      </c>
      <c r="B244" t="str">
        <f t="shared" si="30"/>
        <v>LANZAsep</v>
      </c>
      <c r="C244" s="1" t="s">
        <v>79</v>
      </c>
      <c r="D244" s="1" t="s">
        <v>32</v>
      </c>
      <c r="E244" s="1">
        <v>302</v>
      </c>
      <c r="F244" s="1" t="s">
        <v>119</v>
      </c>
      <c r="G244" s="1" t="s">
        <v>119</v>
      </c>
      <c r="H244" s="1" t="s">
        <v>119</v>
      </c>
      <c r="I244" s="1" t="s">
        <v>124</v>
      </c>
      <c r="J244" s="1" t="s">
        <v>134</v>
      </c>
      <c r="K244" t="s">
        <v>88</v>
      </c>
      <c r="L244" s="6">
        <v>69670.430000000008</v>
      </c>
      <c r="M244" s="6">
        <v>34064.020000000004</v>
      </c>
      <c r="N244" s="6">
        <v>71309.489999999991</v>
      </c>
      <c r="O244" s="6">
        <v>33061.679999999986</v>
      </c>
      <c r="P244" s="6">
        <v>59171.908519999997</v>
      </c>
      <c r="Q244" s="6">
        <v>29057.169114400003</v>
      </c>
      <c r="R244" s="6">
        <v>57899.712486819997</v>
      </c>
      <c r="S244" s="6">
        <v>29499.903512034787</v>
      </c>
      <c r="T244" s="6">
        <v>56693.089999999982</v>
      </c>
      <c r="U244" s="6">
        <v>29206.27999999997</v>
      </c>
      <c r="V244" s="30">
        <v>56693.089999999982</v>
      </c>
      <c r="W244" s="30">
        <v>29206.279999999966</v>
      </c>
      <c r="X244" s="30">
        <v>60094.675399999986</v>
      </c>
      <c r="Y244" s="30">
        <v>31762.986647153557</v>
      </c>
      <c r="Z244" s="30">
        <v>0</v>
      </c>
      <c r="AA244" s="30">
        <v>0</v>
      </c>
      <c r="AB244" s="34">
        <v>0.59300667442414401</v>
      </c>
      <c r="AC244" s="34">
        <v>0.53667660229971481</v>
      </c>
      <c r="AD244" s="34">
        <v>0.76704250906062865</v>
      </c>
      <c r="AE244" s="34">
        <v>0.7</v>
      </c>
      <c r="AF244" s="34">
        <v>0.7</v>
      </c>
      <c r="AG244" s="34">
        <v>0.85</v>
      </c>
      <c r="AH244" s="34">
        <v>0</v>
      </c>
      <c r="AI244" s="37">
        <f t="shared" si="31"/>
        <v>41315.030000000123</v>
      </c>
      <c r="AJ244" s="37">
        <f t="shared" si="32"/>
        <v>38270.134804925488</v>
      </c>
      <c r="AK244" s="37">
        <f t="shared" si="33"/>
        <v>43486.010000000024</v>
      </c>
      <c r="AL244" s="37">
        <f t="shared" si="34"/>
        <v>40529.798740773993</v>
      </c>
      <c r="AM244" s="37">
        <f t="shared" si="35"/>
        <v>39685.162999999986</v>
      </c>
      <c r="AN244" s="37">
        <f t="shared" si="36"/>
        <v>51080.474089999989</v>
      </c>
      <c r="AO244" s="37">
        <f t="shared" si="37"/>
        <v>0</v>
      </c>
    </row>
    <row r="245" spans="1:41" hidden="1" x14ac:dyDescent="0.3">
      <c r="A245" t="str">
        <f t="shared" si="29"/>
        <v>302oct</v>
      </c>
      <c r="B245" t="str">
        <f t="shared" si="30"/>
        <v>LANZAoct</v>
      </c>
      <c r="C245" s="1" t="s">
        <v>79</v>
      </c>
      <c r="D245" s="1" t="s">
        <v>32</v>
      </c>
      <c r="E245" s="1">
        <v>302</v>
      </c>
      <c r="F245" s="1" t="s">
        <v>119</v>
      </c>
      <c r="G245" s="1" t="s">
        <v>119</v>
      </c>
      <c r="H245" s="1" t="s">
        <v>119</v>
      </c>
      <c r="I245" s="1" t="s">
        <v>124</v>
      </c>
      <c r="J245" s="1" t="s">
        <v>134</v>
      </c>
      <c r="K245" t="s">
        <v>89</v>
      </c>
      <c r="L245" s="6">
        <v>48245.119999999988</v>
      </c>
      <c r="M245" s="6">
        <v>24173.079999999994</v>
      </c>
      <c r="N245" s="6">
        <v>63530.689999999988</v>
      </c>
      <c r="O245" s="6">
        <v>31631.509999999987</v>
      </c>
      <c r="P245" s="6">
        <v>63344.860679999998</v>
      </c>
      <c r="Q245" s="6">
        <v>31638.4771191</v>
      </c>
      <c r="R245" s="6">
        <v>64592.754435396004</v>
      </c>
      <c r="S245" s="6">
        <v>34104.974341889087</v>
      </c>
      <c r="T245" s="6">
        <v>61151.780000000079</v>
      </c>
      <c r="U245" s="6">
        <v>31903.320000000109</v>
      </c>
      <c r="V245" s="30">
        <v>64592.754435396004</v>
      </c>
      <c r="W245" s="30">
        <v>34104.974341889087</v>
      </c>
      <c r="X245" s="30">
        <v>67822.392157165814</v>
      </c>
      <c r="Y245" s="30">
        <v>36221.939474995044</v>
      </c>
      <c r="Z245" s="30">
        <v>0</v>
      </c>
      <c r="AA245" s="30">
        <v>0</v>
      </c>
      <c r="AB245" s="34">
        <v>0.61259853846357903</v>
      </c>
      <c r="AC245" s="34">
        <v>0.66162534026635522</v>
      </c>
      <c r="AD245" s="34">
        <v>0.6896811507367413</v>
      </c>
      <c r="AE245" s="34">
        <v>0.79999999999999993</v>
      </c>
      <c r="AF245" s="34">
        <v>0.79999999999999993</v>
      </c>
      <c r="AG245" s="34">
        <v>0.88000000000000012</v>
      </c>
      <c r="AH245" s="34">
        <v>0</v>
      </c>
      <c r="AI245" s="37">
        <f t="shared" si="31"/>
        <v>29554.889999999978</v>
      </c>
      <c r="AJ245" s="37">
        <f t="shared" si="32"/>
        <v>42033.514388606323</v>
      </c>
      <c r="AK245" s="37">
        <f t="shared" si="33"/>
        <v>42175.230000000098</v>
      </c>
      <c r="AL245" s="37">
        <f t="shared" si="34"/>
        <v>51674.2035483168</v>
      </c>
      <c r="AM245" s="37">
        <f t="shared" si="35"/>
        <v>51674.2035483168</v>
      </c>
      <c r="AN245" s="37">
        <f t="shared" si="36"/>
        <v>59683.705098305923</v>
      </c>
      <c r="AO245" s="37">
        <f t="shared" si="37"/>
        <v>0</v>
      </c>
    </row>
    <row r="246" spans="1:41" hidden="1" x14ac:dyDescent="0.3">
      <c r="A246" t="str">
        <f t="shared" si="29"/>
        <v>302nov</v>
      </c>
      <c r="B246" t="str">
        <f t="shared" si="30"/>
        <v>LANZAnov</v>
      </c>
      <c r="C246" s="1" t="s">
        <v>79</v>
      </c>
      <c r="D246" s="1" t="s">
        <v>32</v>
      </c>
      <c r="E246" s="1">
        <v>302</v>
      </c>
      <c r="F246" s="1" t="s">
        <v>119</v>
      </c>
      <c r="G246" s="1" t="s">
        <v>119</v>
      </c>
      <c r="H246" s="1" t="s">
        <v>119</v>
      </c>
      <c r="I246" s="1" t="s">
        <v>124</v>
      </c>
      <c r="J246" s="1" t="s">
        <v>134</v>
      </c>
      <c r="K246" t="s">
        <v>90</v>
      </c>
      <c r="L246" s="6">
        <v>72958.84</v>
      </c>
      <c r="M246" s="6">
        <v>31995.86</v>
      </c>
      <c r="N246" s="6">
        <v>77017.52</v>
      </c>
      <c r="O246" s="6">
        <v>36631.620000000017</v>
      </c>
      <c r="P246" s="6">
        <v>87890.100500000044</v>
      </c>
      <c r="Q246" s="6">
        <v>40194.02427200001</v>
      </c>
      <c r="R246" s="6">
        <v>89621.535479850034</v>
      </c>
      <c r="S246" s="6">
        <v>42346.175514229137</v>
      </c>
      <c r="T246" s="6">
        <v>97362.212643678155</v>
      </c>
      <c r="U246" s="6">
        <v>40063.243782841586</v>
      </c>
      <c r="V246" s="30">
        <v>92494.102011494237</v>
      </c>
      <c r="W246" s="30">
        <v>43703.463200431026</v>
      </c>
      <c r="X246" s="30">
        <v>97118.807112068942</v>
      </c>
      <c r="Y246" s="30">
        <v>46863.453687886533</v>
      </c>
      <c r="Z246" s="30">
        <v>0</v>
      </c>
      <c r="AA246" s="30">
        <v>0</v>
      </c>
      <c r="AB246" s="34">
        <v>0.33696053829803257</v>
      </c>
      <c r="AC246" s="34">
        <v>0.50745849781850294</v>
      </c>
      <c r="AD246" s="34">
        <v>0.31595592378304699</v>
      </c>
      <c r="AE246" s="34">
        <v>0.5</v>
      </c>
      <c r="AF246" s="34">
        <v>0.5</v>
      </c>
      <c r="AG246" s="34">
        <v>0.60000000000000009</v>
      </c>
      <c r="AH246" s="34">
        <v>0</v>
      </c>
      <c r="AI246" s="37">
        <f t="shared" si="31"/>
        <v>24584.250000000029</v>
      </c>
      <c r="AJ246" s="37">
        <f t="shared" si="32"/>
        <v>39083.195004906505</v>
      </c>
      <c r="AK246" s="37">
        <f t="shared" si="33"/>
        <v>30762.167837394787</v>
      </c>
      <c r="AL246" s="37">
        <f t="shared" si="34"/>
        <v>44810.767739925017</v>
      </c>
      <c r="AM246" s="37">
        <f t="shared" si="35"/>
        <v>46247.051005747118</v>
      </c>
      <c r="AN246" s="37">
        <f t="shared" si="36"/>
        <v>58271.284267241375</v>
      </c>
      <c r="AO246" s="37">
        <f t="shared" si="37"/>
        <v>0</v>
      </c>
    </row>
    <row r="247" spans="1:41" hidden="1" x14ac:dyDescent="0.3">
      <c r="A247" t="str">
        <f t="shared" si="29"/>
        <v>302dic</v>
      </c>
      <c r="B247" t="str">
        <f t="shared" si="30"/>
        <v>LANZAdic</v>
      </c>
      <c r="C247" s="1" t="s">
        <v>79</v>
      </c>
      <c r="D247" s="1" t="s">
        <v>32</v>
      </c>
      <c r="E247" s="1">
        <v>302</v>
      </c>
      <c r="F247" s="1" t="s">
        <v>119</v>
      </c>
      <c r="G247" s="1" t="s">
        <v>119</v>
      </c>
      <c r="H247" s="1" t="s">
        <v>119</v>
      </c>
      <c r="I247" s="1" t="s">
        <v>124</v>
      </c>
      <c r="J247" s="1" t="s">
        <v>134</v>
      </c>
      <c r="K247" t="s">
        <v>91</v>
      </c>
      <c r="L247" s="6">
        <v>179823.06999999995</v>
      </c>
      <c r="M247" s="6">
        <v>83775.53999999995</v>
      </c>
      <c r="N247" s="6">
        <v>157911.32999999996</v>
      </c>
      <c r="O247" s="6">
        <v>81048.099999999948</v>
      </c>
      <c r="P247" s="6">
        <v>164670.04020000019</v>
      </c>
      <c r="Q247" s="6">
        <v>85580.943373500108</v>
      </c>
      <c r="R247" s="6">
        <v>167914.0399919402</v>
      </c>
      <c r="S247" s="6">
        <v>83998.998505968077</v>
      </c>
      <c r="T247" s="6">
        <v>134622.91666666669</v>
      </c>
      <c r="U247" s="6">
        <v>67023.890590472918</v>
      </c>
      <c r="V247" s="30">
        <v>167914.0399919402</v>
      </c>
      <c r="W247" s="30">
        <v>83998.998505968077</v>
      </c>
      <c r="X247" s="30">
        <v>180507.5929913357</v>
      </c>
      <c r="Y247" s="30">
        <v>95407.125967995962</v>
      </c>
      <c r="Z247" s="30">
        <v>0</v>
      </c>
      <c r="AA247" s="30">
        <v>0</v>
      </c>
      <c r="AB247" s="34">
        <v>0.4253192318427228</v>
      </c>
      <c r="AC247" s="34">
        <v>0.66926872491453604</v>
      </c>
      <c r="AD247" s="34">
        <v>0.47521238471000438</v>
      </c>
      <c r="AE247" s="34">
        <v>0.65</v>
      </c>
      <c r="AF247" s="34">
        <v>0.65</v>
      </c>
      <c r="AG247" s="34">
        <v>0.85</v>
      </c>
      <c r="AH247" s="34">
        <v>0</v>
      </c>
      <c r="AI247" s="37">
        <f t="shared" si="31"/>
        <v>76482.210000000152</v>
      </c>
      <c r="AJ247" s="37">
        <f t="shared" si="32"/>
        <v>105685.11447865849</v>
      </c>
      <c r="AK247" s="37">
        <f t="shared" si="33"/>
        <v>63974.477265782873</v>
      </c>
      <c r="AL247" s="37">
        <f t="shared" si="34"/>
        <v>109144.12599476113</v>
      </c>
      <c r="AM247" s="37">
        <f t="shared" si="35"/>
        <v>109144.12599476113</v>
      </c>
      <c r="AN247" s="37">
        <f t="shared" si="36"/>
        <v>153431.45404263533</v>
      </c>
      <c r="AO247" s="37">
        <f t="shared" si="37"/>
        <v>0</v>
      </c>
    </row>
    <row r="248" spans="1:41" hidden="1" x14ac:dyDescent="0.3">
      <c r="A248" t="str">
        <f t="shared" si="29"/>
        <v>408ene</v>
      </c>
      <c r="B248" t="str">
        <f t="shared" si="30"/>
        <v>MALLene</v>
      </c>
      <c r="C248" s="1" t="s">
        <v>79</v>
      </c>
      <c r="D248" s="1" t="s">
        <v>33</v>
      </c>
      <c r="E248" s="1">
        <v>408</v>
      </c>
      <c r="F248" s="1" t="s">
        <v>122</v>
      </c>
      <c r="G248" s="1" t="s">
        <v>122</v>
      </c>
      <c r="H248" s="1" t="s">
        <v>122</v>
      </c>
      <c r="I248" s="1" t="s">
        <v>127</v>
      </c>
      <c r="J248" s="1" t="s">
        <v>122</v>
      </c>
      <c r="K248" t="s">
        <v>80</v>
      </c>
      <c r="L248" s="6">
        <v>28993.260000000002</v>
      </c>
      <c r="M248" s="6">
        <v>14572.96</v>
      </c>
      <c r="N248" s="6">
        <v>13869.81</v>
      </c>
      <c r="O248" s="6">
        <v>6533.07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4">
        <v>0.7343106639267194</v>
      </c>
      <c r="AC248" s="34">
        <v>0.43537115394285952</v>
      </c>
      <c r="AD248" s="34">
        <v>0</v>
      </c>
      <c r="AE248" s="34">
        <v>0</v>
      </c>
      <c r="AF248" s="34">
        <v>0</v>
      </c>
      <c r="AG248" s="34">
        <v>0</v>
      </c>
      <c r="AH248" s="34">
        <v>0</v>
      </c>
      <c r="AI248" s="37">
        <f t="shared" si="31"/>
        <v>21290.059999999998</v>
      </c>
      <c r="AJ248" s="37">
        <f t="shared" si="32"/>
        <v>6038.515184668212</v>
      </c>
      <c r="AK248" s="37">
        <f t="shared" si="33"/>
        <v>0</v>
      </c>
      <c r="AL248" s="37">
        <f t="shared" si="34"/>
        <v>0</v>
      </c>
      <c r="AM248" s="37">
        <f t="shared" si="35"/>
        <v>0</v>
      </c>
      <c r="AN248" s="37">
        <f t="shared" si="36"/>
        <v>0</v>
      </c>
      <c r="AO248" s="37">
        <f t="shared" si="37"/>
        <v>0</v>
      </c>
    </row>
    <row r="249" spans="1:41" hidden="1" x14ac:dyDescent="0.3">
      <c r="A249" t="str">
        <f t="shared" si="29"/>
        <v>408feb</v>
      </c>
      <c r="B249" t="str">
        <f t="shared" si="30"/>
        <v>MALLfeb</v>
      </c>
      <c r="C249" s="1" t="s">
        <v>79</v>
      </c>
      <c r="D249" s="1" t="s">
        <v>33</v>
      </c>
      <c r="E249" s="1">
        <v>408</v>
      </c>
      <c r="F249" s="1" t="s">
        <v>122</v>
      </c>
      <c r="G249" s="1" t="s">
        <v>122</v>
      </c>
      <c r="H249" s="1" t="s">
        <v>122</v>
      </c>
      <c r="I249" s="1" t="s">
        <v>127</v>
      </c>
      <c r="J249" s="1" t="s">
        <v>122</v>
      </c>
      <c r="K249" t="s">
        <v>81</v>
      </c>
      <c r="L249" s="6">
        <v>40939.9</v>
      </c>
      <c r="M249" s="6">
        <v>15757.889999999996</v>
      </c>
      <c r="N249" s="6">
        <v>14951.560000000001</v>
      </c>
      <c r="O249" s="6">
        <v>5969.6200000000008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4">
        <v>0.33666643054819406</v>
      </c>
      <c r="AC249" s="34">
        <v>0.26323807568119661</v>
      </c>
      <c r="AD249" s="34">
        <v>0</v>
      </c>
      <c r="AE249" s="34">
        <v>0</v>
      </c>
      <c r="AF249" s="34">
        <v>0</v>
      </c>
      <c r="AG249" s="34">
        <v>0</v>
      </c>
      <c r="AH249" s="34">
        <v>0</v>
      </c>
      <c r="AI249" s="37">
        <f t="shared" si="31"/>
        <v>13783.090000000011</v>
      </c>
      <c r="AJ249" s="37">
        <f t="shared" si="32"/>
        <v>3935.8198828319523</v>
      </c>
      <c r="AK249" s="37">
        <f t="shared" si="33"/>
        <v>0</v>
      </c>
      <c r="AL249" s="37">
        <f t="shared" si="34"/>
        <v>0</v>
      </c>
      <c r="AM249" s="37">
        <f t="shared" si="35"/>
        <v>0</v>
      </c>
      <c r="AN249" s="37">
        <f t="shared" si="36"/>
        <v>0</v>
      </c>
      <c r="AO249" s="37">
        <f t="shared" si="37"/>
        <v>0</v>
      </c>
    </row>
    <row r="250" spans="1:41" hidden="1" x14ac:dyDescent="0.3">
      <c r="A250" t="str">
        <f t="shared" si="29"/>
        <v>408mar</v>
      </c>
      <c r="B250" t="str">
        <f t="shared" si="30"/>
        <v>MALLmar</v>
      </c>
      <c r="C250" s="1" t="s">
        <v>79</v>
      </c>
      <c r="D250" s="1" t="s">
        <v>33</v>
      </c>
      <c r="E250" s="1">
        <v>408</v>
      </c>
      <c r="F250" s="1" t="s">
        <v>122</v>
      </c>
      <c r="G250" s="1" t="s">
        <v>122</v>
      </c>
      <c r="H250" s="1" t="s">
        <v>122</v>
      </c>
      <c r="I250" s="1" t="s">
        <v>127</v>
      </c>
      <c r="J250" s="1" t="s">
        <v>122</v>
      </c>
      <c r="K250" t="s">
        <v>82</v>
      </c>
      <c r="L250" s="6">
        <v>29756.659999999996</v>
      </c>
      <c r="M250" s="6">
        <v>13848.119999999995</v>
      </c>
      <c r="N250" s="6">
        <v>22370.74</v>
      </c>
      <c r="O250" s="6">
        <v>8558.0500000000029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4">
        <v>0.47956759932062315</v>
      </c>
      <c r="AC250" s="34">
        <v>0.23299809420989845</v>
      </c>
      <c r="AD250" s="34">
        <v>0</v>
      </c>
      <c r="AE250" s="34">
        <v>0</v>
      </c>
      <c r="AF250" s="34">
        <v>0</v>
      </c>
      <c r="AG250" s="34">
        <v>0</v>
      </c>
      <c r="AH250" s="34">
        <v>0</v>
      </c>
      <c r="AI250" s="37">
        <f t="shared" si="31"/>
        <v>14270.330000000013</v>
      </c>
      <c r="AJ250" s="37">
        <f t="shared" si="32"/>
        <v>5212.3397860651439</v>
      </c>
      <c r="AK250" s="37">
        <f t="shared" si="33"/>
        <v>0</v>
      </c>
      <c r="AL250" s="37">
        <f t="shared" si="34"/>
        <v>0</v>
      </c>
      <c r="AM250" s="37">
        <f t="shared" si="35"/>
        <v>0</v>
      </c>
      <c r="AN250" s="37">
        <f t="shared" si="36"/>
        <v>0</v>
      </c>
      <c r="AO250" s="37">
        <f t="shared" si="37"/>
        <v>0</v>
      </c>
    </row>
    <row r="251" spans="1:41" hidden="1" x14ac:dyDescent="0.3">
      <c r="A251" t="str">
        <f t="shared" si="29"/>
        <v>408abr</v>
      </c>
      <c r="B251" t="str">
        <f t="shared" si="30"/>
        <v>MALLabr</v>
      </c>
      <c r="C251" s="1" t="s">
        <v>79</v>
      </c>
      <c r="D251" s="1" t="s">
        <v>33</v>
      </c>
      <c r="E251" s="1">
        <v>408</v>
      </c>
      <c r="F251" s="1" t="s">
        <v>122</v>
      </c>
      <c r="G251" s="1" t="s">
        <v>122</v>
      </c>
      <c r="H251" s="1" t="s">
        <v>122</v>
      </c>
      <c r="I251" s="1" t="s">
        <v>127</v>
      </c>
      <c r="J251" s="1" t="s">
        <v>122</v>
      </c>
      <c r="K251" t="s">
        <v>83</v>
      </c>
      <c r="L251" s="6">
        <v>22203.119999999995</v>
      </c>
      <c r="M251" s="6">
        <v>11111.060000000001</v>
      </c>
      <c r="N251" s="6">
        <v>11816.560000000001</v>
      </c>
      <c r="O251" s="6">
        <v>5405.2500000000018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4">
        <v>0.65166427060701393</v>
      </c>
      <c r="AC251" s="34">
        <v>0.49531048452835802</v>
      </c>
      <c r="AD251" s="34">
        <v>0</v>
      </c>
      <c r="AE251" s="34">
        <v>0</v>
      </c>
      <c r="AF251" s="34">
        <v>0</v>
      </c>
      <c r="AG251" s="34">
        <v>0</v>
      </c>
      <c r="AH251" s="34">
        <v>0</v>
      </c>
      <c r="AI251" s="37">
        <f t="shared" si="31"/>
        <v>14468.98</v>
      </c>
      <c r="AJ251" s="37">
        <f t="shared" si="32"/>
        <v>5852.866059058415</v>
      </c>
      <c r="AK251" s="37">
        <f t="shared" si="33"/>
        <v>0</v>
      </c>
      <c r="AL251" s="37">
        <f t="shared" si="34"/>
        <v>0</v>
      </c>
      <c r="AM251" s="37">
        <f t="shared" si="35"/>
        <v>0</v>
      </c>
      <c r="AN251" s="37">
        <f t="shared" si="36"/>
        <v>0</v>
      </c>
      <c r="AO251" s="37">
        <f t="shared" si="37"/>
        <v>0</v>
      </c>
    </row>
    <row r="252" spans="1:41" hidden="1" x14ac:dyDescent="0.3">
      <c r="A252" t="str">
        <f t="shared" si="29"/>
        <v>408may</v>
      </c>
      <c r="B252" t="str">
        <f t="shared" si="30"/>
        <v>MALLmay</v>
      </c>
      <c r="C252" s="1" t="s">
        <v>79</v>
      </c>
      <c r="D252" s="1" t="s">
        <v>33</v>
      </c>
      <c r="E252" s="1">
        <v>408</v>
      </c>
      <c r="F252" s="1" t="s">
        <v>122</v>
      </c>
      <c r="G252" s="1" t="s">
        <v>122</v>
      </c>
      <c r="H252" s="1" t="s">
        <v>122</v>
      </c>
      <c r="I252" s="1" t="s">
        <v>127</v>
      </c>
      <c r="J252" s="1" t="s">
        <v>122</v>
      </c>
      <c r="K252" t="s">
        <v>84</v>
      </c>
      <c r="L252" s="6">
        <v>22434.44</v>
      </c>
      <c r="M252" s="6">
        <v>11330.41</v>
      </c>
      <c r="N252" s="6">
        <v>3097.32</v>
      </c>
      <c r="O252" s="6">
        <v>1413.19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4">
        <v>0.62115880761900044</v>
      </c>
      <c r="AC252" s="34">
        <v>0.43001691785156188</v>
      </c>
      <c r="AD252" s="34">
        <v>0</v>
      </c>
      <c r="AE252" s="34">
        <v>0</v>
      </c>
      <c r="AF252" s="34">
        <v>0</v>
      </c>
      <c r="AG252" s="34">
        <v>0</v>
      </c>
      <c r="AH252" s="34">
        <v>0</v>
      </c>
      <c r="AI252" s="37">
        <f t="shared" si="31"/>
        <v>13935.350000000008</v>
      </c>
      <c r="AJ252" s="37">
        <f t="shared" si="32"/>
        <v>1331.8999999999996</v>
      </c>
      <c r="AK252" s="37">
        <f t="shared" si="33"/>
        <v>0</v>
      </c>
      <c r="AL252" s="37">
        <f t="shared" si="34"/>
        <v>0</v>
      </c>
      <c r="AM252" s="37">
        <f t="shared" si="35"/>
        <v>0</v>
      </c>
      <c r="AN252" s="37">
        <f t="shared" si="36"/>
        <v>0</v>
      </c>
      <c r="AO252" s="37">
        <f t="shared" si="37"/>
        <v>0</v>
      </c>
    </row>
    <row r="253" spans="1:41" hidden="1" x14ac:dyDescent="0.3">
      <c r="A253" t="str">
        <f t="shared" si="29"/>
        <v>408jun</v>
      </c>
      <c r="B253" t="str">
        <f t="shared" si="30"/>
        <v>MALLjun</v>
      </c>
      <c r="C253" s="1" t="s">
        <v>79</v>
      </c>
      <c r="D253" s="1" t="s">
        <v>33</v>
      </c>
      <c r="E253" s="1">
        <v>408</v>
      </c>
      <c r="F253" s="1" t="s">
        <v>122</v>
      </c>
      <c r="G253" s="1" t="s">
        <v>122</v>
      </c>
      <c r="H253" s="1" t="s">
        <v>122</v>
      </c>
      <c r="I253" s="1" t="s">
        <v>127</v>
      </c>
      <c r="J253" s="1" t="s">
        <v>122</v>
      </c>
      <c r="K253" t="s">
        <v>85</v>
      </c>
      <c r="L253" s="6">
        <v>20745.46</v>
      </c>
      <c r="M253" s="6">
        <v>10159.479999999998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4">
        <v>0.58812482345534911</v>
      </c>
      <c r="AC253" s="34">
        <v>0</v>
      </c>
      <c r="AD253" s="34">
        <v>0</v>
      </c>
      <c r="AE253" s="34">
        <v>0</v>
      </c>
      <c r="AF253" s="34">
        <v>0</v>
      </c>
      <c r="AG253" s="34">
        <v>0</v>
      </c>
      <c r="AH253" s="34">
        <v>0</v>
      </c>
      <c r="AI253" s="37">
        <f t="shared" si="31"/>
        <v>12200.920000000006</v>
      </c>
      <c r="AJ253" s="37">
        <f t="shared" si="32"/>
        <v>0</v>
      </c>
      <c r="AK253" s="37">
        <f t="shared" si="33"/>
        <v>0</v>
      </c>
      <c r="AL253" s="37">
        <f t="shared" si="34"/>
        <v>0</v>
      </c>
      <c r="AM253" s="37">
        <f t="shared" si="35"/>
        <v>0</v>
      </c>
      <c r="AN253" s="37">
        <f t="shared" si="36"/>
        <v>0</v>
      </c>
      <c r="AO253" s="37">
        <f t="shared" si="37"/>
        <v>0</v>
      </c>
    </row>
    <row r="254" spans="1:41" hidden="1" x14ac:dyDescent="0.3">
      <c r="A254" t="str">
        <f t="shared" si="29"/>
        <v>408jul</v>
      </c>
      <c r="B254" t="str">
        <f t="shared" si="30"/>
        <v>MALLjul</v>
      </c>
      <c r="C254" s="1" t="s">
        <v>79</v>
      </c>
      <c r="D254" s="1" t="s">
        <v>33</v>
      </c>
      <c r="E254" s="1">
        <v>408</v>
      </c>
      <c r="F254" s="1" t="s">
        <v>122</v>
      </c>
      <c r="G254" s="1" t="s">
        <v>122</v>
      </c>
      <c r="H254" s="1" t="s">
        <v>122</v>
      </c>
      <c r="I254" s="1" t="s">
        <v>127</v>
      </c>
      <c r="J254" s="1" t="s">
        <v>122</v>
      </c>
      <c r="K254" t="s">
        <v>86</v>
      </c>
      <c r="L254" s="6">
        <v>20979.850000000002</v>
      </c>
      <c r="M254" s="6">
        <v>10688.89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4">
        <v>0.6934973319637654</v>
      </c>
      <c r="AC254" s="34">
        <v>0</v>
      </c>
      <c r="AD254" s="34">
        <v>0</v>
      </c>
      <c r="AE254" s="34">
        <v>0</v>
      </c>
      <c r="AF254" s="34">
        <v>0</v>
      </c>
      <c r="AG254" s="34">
        <v>0</v>
      </c>
      <c r="AH254" s="34">
        <v>0</v>
      </c>
      <c r="AI254" s="37">
        <f t="shared" si="31"/>
        <v>14549.470000000005</v>
      </c>
      <c r="AJ254" s="37">
        <f t="shared" si="32"/>
        <v>0</v>
      </c>
      <c r="AK254" s="37">
        <f t="shared" si="33"/>
        <v>0</v>
      </c>
      <c r="AL254" s="37">
        <f t="shared" si="34"/>
        <v>0</v>
      </c>
      <c r="AM254" s="37">
        <f t="shared" si="35"/>
        <v>0</v>
      </c>
      <c r="AN254" s="37">
        <f t="shared" si="36"/>
        <v>0</v>
      </c>
      <c r="AO254" s="37">
        <f t="shared" si="37"/>
        <v>0</v>
      </c>
    </row>
    <row r="255" spans="1:41" hidden="1" x14ac:dyDescent="0.3">
      <c r="A255" t="str">
        <f t="shared" si="29"/>
        <v>408ago</v>
      </c>
      <c r="B255" t="str">
        <f t="shared" si="30"/>
        <v>MALLago</v>
      </c>
      <c r="C255" s="1" t="s">
        <v>79</v>
      </c>
      <c r="D255" s="1" t="s">
        <v>33</v>
      </c>
      <c r="E255" s="1">
        <v>408</v>
      </c>
      <c r="F255" s="1" t="s">
        <v>122</v>
      </c>
      <c r="G255" s="1" t="s">
        <v>122</v>
      </c>
      <c r="H255" s="1" t="s">
        <v>122</v>
      </c>
      <c r="I255" s="1" t="s">
        <v>127</v>
      </c>
      <c r="J255" s="1" t="s">
        <v>122</v>
      </c>
      <c r="K255" t="s">
        <v>87</v>
      </c>
      <c r="L255" s="6">
        <v>61519.039999999994</v>
      </c>
      <c r="M255" s="6">
        <v>21744.019999999997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4">
        <v>0.21510202369867953</v>
      </c>
      <c r="AC255" s="34">
        <v>0</v>
      </c>
      <c r="AD255" s="34">
        <v>0</v>
      </c>
      <c r="AE255" s="34">
        <v>0</v>
      </c>
      <c r="AF255" s="34">
        <v>0</v>
      </c>
      <c r="AG255" s="34">
        <v>0</v>
      </c>
      <c r="AH255" s="34">
        <v>0</v>
      </c>
      <c r="AI255" s="37">
        <f t="shared" si="31"/>
        <v>13232.870000000014</v>
      </c>
      <c r="AJ255" s="37">
        <f t="shared" si="32"/>
        <v>0</v>
      </c>
      <c r="AK255" s="37">
        <f t="shared" si="33"/>
        <v>0</v>
      </c>
      <c r="AL255" s="37">
        <f t="shared" si="34"/>
        <v>0</v>
      </c>
      <c r="AM255" s="37">
        <f t="shared" si="35"/>
        <v>0</v>
      </c>
      <c r="AN255" s="37">
        <f t="shared" si="36"/>
        <v>0</v>
      </c>
      <c r="AO255" s="37">
        <f t="shared" si="37"/>
        <v>0</v>
      </c>
    </row>
    <row r="256" spans="1:41" hidden="1" x14ac:dyDescent="0.3">
      <c r="A256" t="str">
        <f t="shared" si="29"/>
        <v>408sep</v>
      </c>
      <c r="B256" t="str">
        <f t="shared" si="30"/>
        <v>MALLsep</v>
      </c>
      <c r="C256" s="1" t="s">
        <v>79</v>
      </c>
      <c r="D256" s="1" t="s">
        <v>33</v>
      </c>
      <c r="E256" s="1">
        <v>408</v>
      </c>
      <c r="F256" s="1" t="s">
        <v>122</v>
      </c>
      <c r="G256" s="1" t="s">
        <v>122</v>
      </c>
      <c r="H256" s="1" t="s">
        <v>122</v>
      </c>
      <c r="I256" s="1" t="s">
        <v>127</v>
      </c>
      <c r="J256" s="1" t="s">
        <v>122</v>
      </c>
      <c r="K256" t="s">
        <v>88</v>
      </c>
      <c r="L256" s="6">
        <v>11586.080000000002</v>
      </c>
      <c r="M256" s="6">
        <v>5560.43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4">
        <v>0.50100292765111232</v>
      </c>
      <c r="AC256" s="34">
        <v>0</v>
      </c>
      <c r="AD256" s="34">
        <v>0</v>
      </c>
      <c r="AE256" s="34">
        <v>0</v>
      </c>
      <c r="AF256" s="34">
        <v>0</v>
      </c>
      <c r="AG256" s="34">
        <v>0</v>
      </c>
      <c r="AH256" s="34">
        <v>0</v>
      </c>
      <c r="AI256" s="37">
        <f t="shared" si="31"/>
        <v>5804.66</v>
      </c>
      <c r="AJ256" s="37">
        <f t="shared" si="32"/>
        <v>0</v>
      </c>
      <c r="AK256" s="37">
        <f t="shared" si="33"/>
        <v>0</v>
      </c>
      <c r="AL256" s="37">
        <f t="shared" si="34"/>
        <v>0</v>
      </c>
      <c r="AM256" s="37">
        <f t="shared" si="35"/>
        <v>0</v>
      </c>
      <c r="AN256" s="37">
        <f t="shared" si="36"/>
        <v>0</v>
      </c>
      <c r="AO256" s="37">
        <f t="shared" si="37"/>
        <v>0</v>
      </c>
    </row>
    <row r="257" spans="1:41" hidden="1" x14ac:dyDescent="0.3">
      <c r="A257" t="str">
        <f t="shared" si="29"/>
        <v>408oct</v>
      </c>
      <c r="B257" t="str">
        <f t="shared" si="30"/>
        <v>MALLoct</v>
      </c>
      <c r="C257" s="1" t="s">
        <v>79</v>
      </c>
      <c r="D257" s="1" t="s">
        <v>33</v>
      </c>
      <c r="E257" s="1">
        <v>408</v>
      </c>
      <c r="F257" s="1" t="s">
        <v>122</v>
      </c>
      <c r="G257" s="1" t="s">
        <v>122</v>
      </c>
      <c r="H257" s="1" t="s">
        <v>122</v>
      </c>
      <c r="I257" s="1" t="s">
        <v>127</v>
      </c>
      <c r="J257" s="1" t="s">
        <v>122</v>
      </c>
      <c r="K257" t="s">
        <v>89</v>
      </c>
      <c r="L257" s="6">
        <v>10859.259999999998</v>
      </c>
      <c r="M257" s="6">
        <v>5172.829999999999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4">
        <v>0.53360634150024966</v>
      </c>
      <c r="AC257" s="34">
        <v>0</v>
      </c>
      <c r="AD257" s="34">
        <v>0</v>
      </c>
      <c r="AE257" s="34">
        <v>0</v>
      </c>
      <c r="AF257" s="34">
        <v>0</v>
      </c>
      <c r="AG257" s="34">
        <v>0</v>
      </c>
      <c r="AH257" s="34">
        <v>0</v>
      </c>
      <c r="AI257" s="37">
        <f t="shared" si="31"/>
        <v>5794.5700000000006</v>
      </c>
      <c r="AJ257" s="37">
        <f t="shared" si="32"/>
        <v>0</v>
      </c>
      <c r="AK257" s="37">
        <f t="shared" si="33"/>
        <v>0</v>
      </c>
      <c r="AL257" s="37">
        <f t="shared" si="34"/>
        <v>0</v>
      </c>
      <c r="AM257" s="37">
        <f t="shared" si="35"/>
        <v>0</v>
      </c>
      <c r="AN257" s="37">
        <f t="shared" si="36"/>
        <v>0</v>
      </c>
      <c r="AO257" s="37">
        <f t="shared" si="37"/>
        <v>0</v>
      </c>
    </row>
    <row r="258" spans="1:41" hidden="1" x14ac:dyDescent="0.3">
      <c r="A258" t="str">
        <f t="shared" si="29"/>
        <v>408nov</v>
      </c>
      <c r="B258" t="str">
        <f t="shared" si="30"/>
        <v>MALLnov</v>
      </c>
      <c r="C258" s="1" t="s">
        <v>79</v>
      </c>
      <c r="D258" s="1" t="s">
        <v>33</v>
      </c>
      <c r="E258" s="1">
        <v>408</v>
      </c>
      <c r="F258" s="1" t="s">
        <v>122</v>
      </c>
      <c r="G258" s="1" t="s">
        <v>122</v>
      </c>
      <c r="H258" s="1" t="s">
        <v>122</v>
      </c>
      <c r="I258" s="1" t="s">
        <v>127</v>
      </c>
      <c r="J258" s="1" t="s">
        <v>122</v>
      </c>
      <c r="K258" t="s">
        <v>90</v>
      </c>
      <c r="L258" s="6">
        <v>16673.190000000002</v>
      </c>
      <c r="M258" s="6">
        <v>7055.6099999999988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4">
        <v>0.32151255998402195</v>
      </c>
      <c r="AC258" s="34">
        <v>0</v>
      </c>
      <c r="AD258" s="34">
        <v>0</v>
      </c>
      <c r="AE258" s="34">
        <v>0</v>
      </c>
      <c r="AF258" s="34">
        <v>0</v>
      </c>
      <c r="AG258" s="34">
        <v>0</v>
      </c>
      <c r="AH258" s="34">
        <v>0</v>
      </c>
      <c r="AI258" s="37">
        <f t="shared" si="31"/>
        <v>5360.6399999999958</v>
      </c>
      <c r="AJ258" s="37">
        <f t="shared" si="32"/>
        <v>0</v>
      </c>
      <c r="AK258" s="37">
        <f t="shared" si="33"/>
        <v>0</v>
      </c>
      <c r="AL258" s="37">
        <f t="shared" si="34"/>
        <v>0</v>
      </c>
      <c r="AM258" s="37">
        <f t="shared" si="35"/>
        <v>0</v>
      </c>
      <c r="AN258" s="37">
        <f t="shared" si="36"/>
        <v>0</v>
      </c>
      <c r="AO258" s="37">
        <f t="shared" si="37"/>
        <v>0</v>
      </c>
    </row>
    <row r="259" spans="1:41" hidden="1" x14ac:dyDescent="0.3">
      <c r="A259" t="str">
        <f t="shared" si="29"/>
        <v>408dic</v>
      </c>
      <c r="B259" t="str">
        <f t="shared" si="30"/>
        <v>MALLdic</v>
      </c>
      <c r="C259" s="1" t="s">
        <v>79</v>
      </c>
      <c r="D259" s="1" t="s">
        <v>33</v>
      </c>
      <c r="E259" s="1">
        <v>408</v>
      </c>
      <c r="F259" s="1" t="s">
        <v>122</v>
      </c>
      <c r="G259" s="1" t="s">
        <v>122</v>
      </c>
      <c r="H259" s="1" t="s">
        <v>122</v>
      </c>
      <c r="I259" s="1" t="s">
        <v>127</v>
      </c>
      <c r="J259" s="1" t="s">
        <v>122</v>
      </c>
      <c r="K259" t="s">
        <v>91</v>
      </c>
      <c r="L259" s="6">
        <v>45007.009999999995</v>
      </c>
      <c r="M259" s="6">
        <v>20367.839999999989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4">
        <v>0.38153412101803702</v>
      </c>
      <c r="AC259" s="34">
        <v>0</v>
      </c>
      <c r="AD259" s="34">
        <v>0</v>
      </c>
      <c r="AE259" s="34">
        <v>0</v>
      </c>
      <c r="AF259" s="34">
        <v>0</v>
      </c>
      <c r="AG259" s="34">
        <v>0</v>
      </c>
      <c r="AH259" s="34">
        <v>0</v>
      </c>
      <c r="AI259" s="37">
        <f t="shared" si="31"/>
        <v>17171.71</v>
      </c>
      <c r="AJ259" s="37">
        <f t="shared" si="32"/>
        <v>0</v>
      </c>
      <c r="AK259" s="37">
        <f t="shared" si="33"/>
        <v>0</v>
      </c>
      <c r="AL259" s="37">
        <f t="shared" si="34"/>
        <v>0</v>
      </c>
      <c r="AM259" s="37">
        <f t="shared" si="35"/>
        <v>0</v>
      </c>
      <c r="AN259" s="37">
        <f t="shared" si="36"/>
        <v>0</v>
      </c>
      <c r="AO259" s="37">
        <f t="shared" si="37"/>
        <v>0</v>
      </c>
    </row>
    <row r="260" spans="1:41" hidden="1" x14ac:dyDescent="0.3">
      <c r="A260" t="str">
        <f t="shared" si="29"/>
        <v>407ene</v>
      </c>
      <c r="B260" t="str">
        <f t="shared" si="30"/>
        <v>MEGAene</v>
      </c>
      <c r="C260" s="1" t="s">
        <v>79</v>
      </c>
      <c r="D260" s="1" t="s">
        <v>34</v>
      </c>
      <c r="E260" s="1">
        <v>407</v>
      </c>
      <c r="F260" s="1" t="s">
        <v>119</v>
      </c>
      <c r="G260" s="1" t="s">
        <v>119</v>
      </c>
      <c r="H260" s="1" t="s">
        <v>119</v>
      </c>
      <c r="I260" s="1" t="s">
        <v>127</v>
      </c>
      <c r="J260" s="1" t="s">
        <v>130</v>
      </c>
      <c r="K260" t="s">
        <v>80</v>
      </c>
      <c r="L260" s="6">
        <v>109484.68</v>
      </c>
      <c r="M260" s="6">
        <v>57279.09</v>
      </c>
      <c r="N260" s="6">
        <v>92287.479999999981</v>
      </c>
      <c r="O260" s="6">
        <v>48467.909999999989</v>
      </c>
      <c r="P260" s="6">
        <v>99288.833066666673</v>
      </c>
      <c r="Q260" s="6">
        <v>51902.115297333345</v>
      </c>
      <c r="R260" s="6">
        <v>70926.910000000149</v>
      </c>
      <c r="S260" s="6">
        <v>36452.844877962161</v>
      </c>
      <c r="T260" s="6">
        <v>70926.910000000091</v>
      </c>
      <c r="U260" s="6">
        <v>36508.870000000024</v>
      </c>
      <c r="V260" s="30">
        <v>99288.833066666673</v>
      </c>
      <c r="W260" s="30">
        <v>51107.867223915899</v>
      </c>
      <c r="X260" s="30">
        <v>102267.49805866669</v>
      </c>
      <c r="Y260" s="30">
        <v>54408.508533900553</v>
      </c>
      <c r="Z260" s="30">
        <v>58015.660919540242</v>
      </c>
      <c r="AA260" s="30">
        <v>31919.884511219276</v>
      </c>
      <c r="AB260" s="34">
        <v>0.74417918561756857</v>
      </c>
      <c r="AC260" s="34">
        <v>0.79049811367770784</v>
      </c>
      <c r="AD260" s="34">
        <v>0.85005897262164698</v>
      </c>
      <c r="AE260" s="34">
        <v>0.85005897262164665</v>
      </c>
      <c r="AF260" s="34">
        <v>0.85005897262164665</v>
      </c>
      <c r="AG260" s="34">
        <v>0.9</v>
      </c>
      <c r="AH260" s="34">
        <v>0.94724967743053934</v>
      </c>
      <c r="AI260" s="37">
        <f t="shared" si="31"/>
        <v>81476.220000000088</v>
      </c>
      <c r="AJ260" s="37">
        <f t="shared" si="32"/>
        <v>72953.078856069173</v>
      </c>
      <c r="AK260" s="37">
        <f t="shared" si="33"/>
        <v>60292.056245828098</v>
      </c>
      <c r="AL260" s="37">
        <f t="shared" si="34"/>
        <v>60292.05624582812</v>
      </c>
      <c r="AM260" s="37">
        <f t="shared" si="35"/>
        <v>84401.363429452846</v>
      </c>
      <c r="AN260" s="37">
        <f t="shared" si="36"/>
        <v>92040.748252800026</v>
      </c>
      <c r="AO260" s="37">
        <f t="shared" si="37"/>
        <v>54955.316091954039</v>
      </c>
    </row>
    <row r="261" spans="1:41" hidden="1" x14ac:dyDescent="0.3">
      <c r="A261" t="str">
        <f t="shared" ref="A261:A324" si="38">CONCATENATE(E261,K261)</f>
        <v>407feb</v>
      </c>
      <c r="B261" t="str">
        <f t="shared" ref="B261:B324" si="39">CONCATENATE(D261,K261)</f>
        <v>MEGAfeb</v>
      </c>
      <c r="C261" s="1" t="s">
        <v>79</v>
      </c>
      <c r="D261" s="1" t="s">
        <v>34</v>
      </c>
      <c r="E261" s="1">
        <v>407</v>
      </c>
      <c r="F261" s="1" t="s">
        <v>119</v>
      </c>
      <c r="G261" s="1" t="s">
        <v>119</v>
      </c>
      <c r="H261" s="1" t="s">
        <v>119</v>
      </c>
      <c r="I261" s="1" t="s">
        <v>127</v>
      </c>
      <c r="J261" s="1" t="s">
        <v>130</v>
      </c>
      <c r="K261" t="s">
        <v>81</v>
      </c>
      <c r="L261" s="6">
        <v>190367.42999999996</v>
      </c>
      <c r="M261" s="6">
        <v>83717.239999999962</v>
      </c>
      <c r="N261" s="6">
        <v>120264.77999999998</v>
      </c>
      <c r="O261" s="6">
        <v>55228.17</v>
      </c>
      <c r="P261" s="6">
        <v>167875.37130000003</v>
      </c>
      <c r="Q261" s="6">
        <v>71434.774299000012</v>
      </c>
      <c r="R261" s="6">
        <v>153257.57000000007</v>
      </c>
      <c r="S261" s="6">
        <v>62452.946613088519</v>
      </c>
      <c r="T261" s="6">
        <v>153257.57000000024</v>
      </c>
      <c r="U261" s="6">
        <v>62630.620000000301</v>
      </c>
      <c r="V261" s="30">
        <v>167875.37130000003</v>
      </c>
      <c r="W261" s="30">
        <v>68604.367061602519</v>
      </c>
      <c r="X261" s="30">
        <v>171232.87872600002</v>
      </c>
      <c r="Y261" s="30">
        <v>76405.633896352971</v>
      </c>
      <c r="Z261" s="30">
        <v>131596.98275862072</v>
      </c>
      <c r="AA261" s="30">
        <v>60818.500399732831</v>
      </c>
      <c r="AB261" s="34">
        <v>0.41804955816233991</v>
      </c>
      <c r="AC261" s="34">
        <v>0.547269128445391</v>
      </c>
      <c r="AD261" s="34">
        <v>0.25297071434847501</v>
      </c>
      <c r="AE261" s="34">
        <v>0.25297071434847607</v>
      </c>
      <c r="AF261" s="34">
        <v>0.25297071434847607</v>
      </c>
      <c r="AG261" s="34">
        <v>0.39000000000000012</v>
      </c>
      <c r="AH261" s="34">
        <v>0.42580370449222898</v>
      </c>
      <c r="AI261" s="37">
        <f t="shared" ref="AI261:AI324" si="40">L261*AB261</f>
        <v>79583.02000000015</v>
      </c>
      <c r="AJ261" s="37">
        <f t="shared" ref="AJ261:AJ324" si="41">N261*AC261</f>
        <v>65817.20133327668</v>
      </c>
      <c r="AK261" s="37">
        <f t="shared" ref="AK261:AK324" si="42">T261*AD261</f>
        <v>38769.676962211473</v>
      </c>
      <c r="AL261" s="37">
        <f t="shared" ref="AL261:AL324" si="43">R261*AE261</f>
        <v>38769.67696221159</v>
      </c>
      <c r="AM261" s="37">
        <f t="shared" ref="AM261:AM324" si="44">V261*AF261</f>
        <v>42467.552599276663</v>
      </c>
      <c r="AN261" s="37">
        <f t="shared" ref="AN261:AN324" si="45">X261*AG261</f>
        <v>66780.822703140031</v>
      </c>
      <c r="AO261" s="37">
        <f t="shared" ref="AO261:AO324" si="46">Z261*AH261</f>
        <v>56034.482758620688</v>
      </c>
    </row>
    <row r="262" spans="1:41" hidden="1" x14ac:dyDescent="0.3">
      <c r="A262" t="str">
        <f t="shared" si="38"/>
        <v>407mar</v>
      </c>
      <c r="B262" t="str">
        <f t="shared" si="39"/>
        <v>MEGAmar</v>
      </c>
      <c r="C262" s="1" t="s">
        <v>79</v>
      </c>
      <c r="D262" s="1" t="s">
        <v>34</v>
      </c>
      <c r="E262" s="1">
        <v>407</v>
      </c>
      <c r="F262" s="1" t="s">
        <v>119</v>
      </c>
      <c r="G262" s="1" t="s">
        <v>119</v>
      </c>
      <c r="H262" s="1" t="s">
        <v>119</v>
      </c>
      <c r="I262" s="1" t="s">
        <v>127</v>
      </c>
      <c r="J262" s="1" t="s">
        <v>130</v>
      </c>
      <c r="K262" t="s">
        <v>82</v>
      </c>
      <c r="L262" s="6">
        <v>118641.72</v>
      </c>
      <c r="M262" s="6">
        <v>56974.35000000002</v>
      </c>
      <c r="N262" s="6">
        <v>183938.62999999995</v>
      </c>
      <c r="O262" s="6">
        <v>80960.469999999972</v>
      </c>
      <c r="P262" s="6">
        <v>106453.12872000012</v>
      </c>
      <c r="Q262" s="6">
        <v>51090.39059950006</v>
      </c>
      <c r="R262" s="6">
        <v>114282.00000000017</v>
      </c>
      <c r="S262" s="6">
        <v>55679.720551461549</v>
      </c>
      <c r="T262" s="6">
        <v>114282.00000000022</v>
      </c>
      <c r="U262" s="6">
        <v>55799.890000000174</v>
      </c>
      <c r="V262" s="30">
        <v>114282.00000000023</v>
      </c>
      <c r="W262" s="30">
        <v>55799.890000000181</v>
      </c>
      <c r="X262" s="30">
        <v>118853.28000000026</v>
      </c>
      <c r="Y262" s="30">
        <v>61032.693146228048</v>
      </c>
      <c r="Z262" s="30">
        <v>109128.28693976681</v>
      </c>
      <c r="AA262" s="30">
        <v>55873.682913160606</v>
      </c>
      <c r="AB262" s="34">
        <v>0.51915919627598206</v>
      </c>
      <c r="AC262" s="34">
        <v>0.46461129591508932</v>
      </c>
      <c r="AD262" s="34">
        <v>0.57948908848412928</v>
      </c>
      <c r="AE262" s="34">
        <v>0.5794890884841285</v>
      </c>
      <c r="AF262" s="34">
        <v>0.5794890884841285</v>
      </c>
      <c r="AG262" s="34">
        <v>0.79</v>
      </c>
      <c r="AH262" s="34">
        <v>0.73229235465927012</v>
      </c>
      <c r="AI262" s="37">
        <f t="shared" si="40"/>
        <v>61593.940000000104</v>
      </c>
      <c r="AJ262" s="37">
        <f t="shared" si="41"/>
        <v>85459.965253146103</v>
      </c>
      <c r="AK262" s="37">
        <f t="shared" si="42"/>
        <v>66225.172010143389</v>
      </c>
      <c r="AL262" s="37">
        <f t="shared" si="43"/>
        <v>66225.172010143273</v>
      </c>
      <c r="AM262" s="37">
        <f t="shared" si="44"/>
        <v>66225.172010143302</v>
      </c>
      <c r="AN262" s="37">
        <f t="shared" si="45"/>
        <v>93894.091200000214</v>
      </c>
      <c r="AO262" s="37">
        <f t="shared" si="46"/>
        <v>79913.810203054309</v>
      </c>
    </row>
    <row r="263" spans="1:41" hidden="1" x14ac:dyDescent="0.3">
      <c r="A263" t="str">
        <f t="shared" si="38"/>
        <v>407abr</v>
      </c>
      <c r="B263" t="str">
        <f t="shared" si="39"/>
        <v>MEGAabr</v>
      </c>
      <c r="C263" s="1" t="s">
        <v>79</v>
      </c>
      <c r="D263" s="1" t="s">
        <v>34</v>
      </c>
      <c r="E263" s="1">
        <v>407</v>
      </c>
      <c r="F263" s="1" t="s">
        <v>119</v>
      </c>
      <c r="G263" s="1" t="s">
        <v>119</v>
      </c>
      <c r="H263" s="1" t="s">
        <v>119</v>
      </c>
      <c r="I263" s="1" t="s">
        <v>127</v>
      </c>
      <c r="J263" s="1" t="s">
        <v>130</v>
      </c>
      <c r="K263" t="s">
        <v>83</v>
      </c>
      <c r="L263" s="6">
        <v>91354.709999999992</v>
      </c>
      <c r="M263" s="6">
        <v>49106.76</v>
      </c>
      <c r="N263" s="6">
        <v>92381.28</v>
      </c>
      <c r="O263" s="6">
        <v>50381.84</v>
      </c>
      <c r="P263" s="6">
        <v>93997.339280000102</v>
      </c>
      <c r="Q263" s="6">
        <v>51455.996932000053</v>
      </c>
      <c r="R263" s="6">
        <v>93168.340000000069</v>
      </c>
      <c r="S263" s="6">
        <v>49795.148872770238</v>
      </c>
      <c r="T263" s="6">
        <v>93168.34000000004</v>
      </c>
      <c r="U263" s="6">
        <v>49797.840000000026</v>
      </c>
      <c r="V263" s="30">
        <v>93168.34000000004</v>
      </c>
      <c r="W263" s="30">
        <v>49797.840000000018</v>
      </c>
      <c r="X263" s="30">
        <v>96895.073600000032</v>
      </c>
      <c r="Y263" s="30">
        <v>50735.084810699758</v>
      </c>
      <c r="Z263" s="30">
        <v>0</v>
      </c>
      <c r="AA263" s="30">
        <v>0</v>
      </c>
      <c r="AB263" s="34">
        <v>0.83034897708065725</v>
      </c>
      <c r="AC263" s="34">
        <v>0.89700894896380234</v>
      </c>
      <c r="AD263" s="34">
        <v>0.85998114020479899</v>
      </c>
      <c r="AE263" s="34">
        <v>0.85998114020479843</v>
      </c>
      <c r="AF263" s="34">
        <v>0.85998114020479843</v>
      </c>
      <c r="AG263" s="34">
        <v>0.85000000000000009</v>
      </c>
      <c r="AH263" s="34">
        <v>0</v>
      </c>
      <c r="AI263" s="37">
        <f t="shared" si="40"/>
        <v>75856.290000000081</v>
      </c>
      <c r="AJ263" s="37">
        <f t="shared" si="41"/>
        <v>82866.834876730733</v>
      </c>
      <c r="AK263" s="37">
        <f t="shared" si="42"/>
        <v>80123.01526418842</v>
      </c>
      <c r="AL263" s="37">
        <f t="shared" si="43"/>
        <v>80123.015264188391</v>
      </c>
      <c r="AM263" s="37">
        <f t="shared" si="44"/>
        <v>80123.015264188361</v>
      </c>
      <c r="AN263" s="37">
        <f t="shared" si="45"/>
        <v>82360.812560000035</v>
      </c>
      <c r="AO263" s="37">
        <f t="shared" si="46"/>
        <v>0</v>
      </c>
    </row>
    <row r="264" spans="1:41" hidden="1" x14ac:dyDescent="0.3">
      <c r="A264" t="str">
        <f t="shared" si="38"/>
        <v>407may</v>
      </c>
      <c r="B264" t="str">
        <f t="shared" si="39"/>
        <v>MEGAmay</v>
      </c>
      <c r="C264" s="1" t="s">
        <v>79</v>
      </c>
      <c r="D264" s="1" t="s">
        <v>34</v>
      </c>
      <c r="E264" s="1">
        <v>407</v>
      </c>
      <c r="F264" s="1" t="s">
        <v>119</v>
      </c>
      <c r="G264" s="1" t="s">
        <v>119</v>
      </c>
      <c r="H264" s="1" t="s">
        <v>119</v>
      </c>
      <c r="I264" s="1" t="s">
        <v>127</v>
      </c>
      <c r="J264" s="1" t="s">
        <v>130</v>
      </c>
      <c r="K264" t="s">
        <v>84</v>
      </c>
      <c r="L264" s="6">
        <v>119535.52</v>
      </c>
      <c r="M264" s="6">
        <v>64030.090000000011</v>
      </c>
      <c r="N264" s="6">
        <v>98629.65</v>
      </c>
      <c r="O264" s="6">
        <v>54139.8</v>
      </c>
      <c r="P264" s="6">
        <v>100180.8507000001</v>
      </c>
      <c r="Q264" s="6">
        <v>52851.926069750043</v>
      </c>
      <c r="R264" s="6">
        <v>85688.610000000015</v>
      </c>
      <c r="S264" s="6">
        <v>47155.086349188889</v>
      </c>
      <c r="T264" s="6">
        <v>85688.610000000015</v>
      </c>
      <c r="U264" s="6">
        <v>47177.410000000047</v>
      </c>
      <c r="V264" s="30">
        <v>85688.610000000015</v>
      </c>
      <c r="W264" s="30">
        <v>47177.410000000047</v>
      </c>
      <c r="X264" s="30">
        <v>89116.154400000043</v>
      </c>
      <c r="Y264" s="30">
        <v>47411.710848732328</v>
      </c>
      <c r="Z264" s="30">
        <v>0</v>
      </c>
      <c r="AA264" s="30">
        <v>0</v>
      </c>
      <c r="AB264" s="34">
        <v>0.81644050237117949</v>
      </c>
      <c r="AC264" s="34">
        <v>0.91035134394194384</v>
      </c>
      <c r="AD264" s="34">
        <v>0.91786233930781691</v>
      </c>
      <c r="AE264" s="34">
        <v>0.91786233930781669</v>
      </c>
      <c r="AF264" s="34">
        <v>0.91786233930781669</v>
      </c>
      <c r="AG264" s="34">
        <v>0.90000000000000013</v>
      </c>
      <c r="AH264" s="34">
        <v>0</v>
      </c>
      <c r="AI264" s="37">
        <f t="shared" si="40"/>
        <v>97593.640000000174</v>
      </c>
      <c r="AJ264" s="37">
        <f t="shared" si="41"/>
        <v>89787.634430023536</v>
      </c>
      <c r="AK264" s="37">
        <f t="shared" si="42"/>
        <v>78650.348026635213</v>
      </c>
      <c r="AL264" s="37">
        <f t="shared" si="43"/>
        <v>78650.348026635183</v>
      </c>
      <c r="AM264" s="37">
        <f t="shared" si="44"/>
        <v>78650.348026635183</v>
      </c>
      <c r="AN264" s="37">
        <f t="shared" si="45"/>
        <v>80204.538960000049</v>
      </c>
      <c r="AO264" s="37">
        <f t="shared" si="46"/>
        <v>0</v>
      </c>
    </row>
    <row r="265" spans="1:41" hidden="1" x14ac:dyDescent="0.3">
      <c r="A265" t="str">
        <f t="shared" si="38"/>
        <v>407jun</v>
      </c>
      <c r="B265" t="str">
        <f t="shared" si="39"/>
        <v>MEGAjun</v>
      </c>
      <c r="C265" s="1" t="s">
        <v>79</v>
      </c>
      <c r="D265" s="1" t="s">
        <v>34</v>
      </c>
      <c r="E265" s="1">
        <v>407</v>
      </c>
      <c r="F265" s="1" t="s">
        <v>119</v>
      </c>
      <c r="G265" s="1" t="s">
        <v>119</v>
      </c>
      <c r="H265" s="1" t="s">
        <v>119</v>
      </c>
      <c r="I265" s="1" t="s">
        <v>127</v>
      </c>
      <c r="J265" s="1" t="s">
        <v>130</v>
      </c>
      <c r="K265" t="s">
        <v>85</v>
      </c>
      <c r="L265" s="6">
        <v>95719.11</v>
      </c>
      <c r="M265" s="6">
        <v>51392.560000000005</v>
      </c>
      <c r="N265" s="6">
        <v>94332.07</v>
      </c>
      <c r="O265" s="6">
        <v>51556.45</v>
      </c>
      <c r="P265" s="6">
        <v>92141.501650000064</v>
      </c>
      <c r="Q265" s="6">
        <v>50732.221667500031</v>
      </c>
      <c r="R265" s="6">
        <v>95213.170000000027</v>
      </c>
      <c r="S265" s="6">
        <v>52512.979764931202</v>
      </c>
      <c r="T265" s="6">
        <v>95213.169999999955</v>
      </c>
      <c r="U265" s="6">
        <v>52517.630000000005</v>
      </c>
      <c r="V265" s="30">
        <v>95213.169999999969</v>
      </c>
      <c r="W265" s="30">
        <v>52517.630000000012</v>
      </c>
      <c r="X265" s="30">
        <v>99021.696799999976</v>
      </c>
      <c r="Y265" s="30">
        <v>52681.67245368076</v>
      </c>
      <c r="Z265" s="30">
        <v>0</v>
      </c>
      <c r="AA265" s="30">
        <v>0</v>
      </c>
      <c r="AB265" s="34">
        <v>0.83948043394887484</v>
      </c>
      <c r="AC265" s="34">
        <v>0.93561354602787694</v>
      </c>
      <c r="AD265" s="34">
        <v>0.94168852360275379</v>
      </c>
      <c r="AE265" s="34">
        <v>0.94168852360275379</v>
      </c>
      <c r="AF265" s="34">
        <v>0.94168852360275379</v>
      </c>
      <c r="AG265" s="34">
        <v>0.9</v>
      </c>
      <c r="AH265" s="34">
        <v>0</v>
      </c>
      <c r="AI265" s="37">
        <f t="shared" si="40"/>
        <v>80354.32000000008</v>
      </c>
      <c r="AJ265" s="37">
        <f t="shared" si="41"/>
        <v>88258.362516849913</v>
      </c>
      <c r="AK265" s="37">
        <f t="shared" si="42"/>
        <v>89661.149484837966</v>
      </c>
      <c r="AL265" s="37">
        <f t="shared" si="43"/>
        <v>89661.149484838039</v>
      </c>
      <c r="AM265" s="37">
        <f t="shared" si="44"/>
        <v>89661.149484837981</v>
      </c>
      <c r="AN265" s="37">
        <f t="shared" si="45"/>
        <v>89119.527119999984</v>
      </c>
      <c r="AO265" s="37">
        <f t="shared" si="46"/>
        <v>0</v>
      </c>
    </row>
    <row r="266" spans="1:41" hidden="1" x14ac:dyDescent="0.3">
      <c r="A266" t="str">
        <f t="shared" si="38"/>
        <v>407jul</v>
      </c>
      <c r="B266" t="str">
        <f t="shared" si="39"/>
        <v>MEGAjul</v>
      </c>
      <c r="C266" s="1" t="s">
        <v>79</v>
      </c>
      <c r="D266" s="1" t="s">
        <v>34</v>
      </c>
      <c r="E266" s="1">
        <v>407</v>
      </c>
      <c r="F266" s="1" t="s">
        <v>119</v>
      </c>
      <c r="G266" s="1" t="s">
        <v>119</v>
      </c>
      <c r="H266" s="1" t="s">
        <v>119</v>
      </c>
      <c r="I266" s="1" t="s">
        <v>127</v>
      </c>
      <c r="J266" s="1" t="s">
        <v>130</v>
      </c>
      <c r="K266" t="s">
        <v>86</v>
      </c>
      <c r="L266" s="6">
        <v>102601.28000000001</v>
      </c>
      <c r="M266" s="6">
        <v>54973.69</v>
      </c>
      <c r="N266" s="6">
        <v>95023.209999999992</v>
      </c>
      <c r="O266" s="6">
        <v>51767.749999999985</v>
      </c>
      <c r="P266" s="6">
        <v>97507.016200000027</v>
      </c>
      <c r="Q266" s="6">
        <v>53465.948824000006</v>
      </c>
      <c r="R266" s="6">
        <v>100686.31999999993</v>
      </c>
      <c r="S266" s="6">
        <v>54445.550000000716</v>
      </c>
      <c r="T266" s="6">
        <v>100686.31999999998</v>
      </c>
      <c r="U266" s="6">
        <v>54445.549999999959</v>
      </c>
      <c r="V266" s="30">
        <v>100686.3200000006</v>
      </c>
      <c r="W266" s="30">
        <v>54445.550000000301</v>
      </c>
      <c r="X266" s="30">
        <v>104713.77280000063</v>
      </c>
      <c r="Y266" s="30">
        <v>55709.979310703755</v>
      </c>
      <c r="Z266" s="30">
        <v>0</v>
      </c>
      <c r="AA266" s="30">
        <v>0</v>
      </c>
      <c r="AB266" s="34">
        <v>0.88261988544392478</v>
      </c>
      <c r="AC266" s="34">
        <v>0.91662054804494286</v>
      </c>
      <c r="AD266" s="34">
        <v>0.92429189983306659</v>
      </c>
      <c r="AE266" s="34">
        <v>0.92429189983306659</v>
      </c>
      <c r="AF266" s="34">
        <v>0.92429189983306659</v>
      </c>
      <c r="AG266" s="34">
        <v>0.9</v>
      </c>
      <c r="AH266" s="34">
        <v>0</v>
      </c>
      <c r="AI266" s="37">
        <f t="shared" si="40"/>
        <v>90557.930000000066</v>
      </c>
      <c r="AJ266" s="37">
        <f t="shared" si="41"/>
        <v>87100.22682718969</v>
      </c>
      <c r="AK266" s="37">
        <f t="shared" si="42"/>
        <v>93063.550000000076</v>
      </c>
      <c r="AL266" s="37">
        <f t="shared" si="43"/>
        <v>93063.550000000032</v>
      </c>
      <c r="AM266" s="37">
        <f t="shared" si="44"/>
        <v>93063.550000000643</v>
      </c>
      <c r="AN266" s="37">
        <f t="shared" si="45"/>
        <v>94242.395520000573</v>
      </c>
      <c r="AO266" s="37">
        <f t="shared" si="46"/>
        <v>0</v>
      </c>
    </row>
    <row r="267" spans="1:41" hidden="1" x14ac:dyDescent="0.3">
      <c r="A267" t="str">
        <f t="shared" si="38"/>
        <v>407ago</v>
      </c>
      <c r="B267" t="str">
        <f t="shared" si="39"/>
        <v>MEGAago</v>
      </c>
      <c r="C267" s="1" t="s">
        <v>79</v>
      </c>
      <c r="D267" s="1" t="s">
        <v>34</v>
      </c>
      <c r="E267" s="1">
        <v>407</v>
      </c>
      <c r="F267" s="1" t="s">
        <v>119</v>
      </c>
      <c r="G267" s="1" t="s">
        <v>119</v>
      </c>
      <c r="H267" s="1" t="s">
        <v>119</v>
      </c>
      <c r="I267" s="1" t="s">
        <v>127</v>
      </c>
      <c r="J267" s="1" t="s">
        <v>130</v>
      </c>
      <c r="K267" t="s">
        <v>87</v>
      </c>
      <c r="L267" s="6">
        <v>269760.5</v>
      </c>
      <c r="M267" s="6">
        <v>99620.279999999955</v>
      </c>
      <c r="N267" s="6">
        <v>183761.69999999995</v>
      </c>
      <c r="O267" s="6">
        <v>72536.779999999955</v>
      </c>
      <c r="P267" s="6">
        <v>193389.02898000024</v>
      </c>
      <c r="Q267" s="6">
        <v>79895.229739500079</v>
      </c>
      <c r="R267" s="6">
        <v>176448.55197037209</v>
      </c>
      <c r="S267" s="6">
        <v>75837.587636865937</v>
      </c>
      <c r="T267" s="6">
        <v>263339.09000000049</v>
      </c>
      <c r="U267" s="6">
        <v>118272.79000000047</v>
      </c>
      <c r="V267" s="30">
        <v>263339.09000000026</v>
      </c>
      <c r="W267" s="30">
        <v>113183.14088200012</v>
      </c>
      <c r="X267" s="30">
        <v>271239.26270000025</v>
      </c>
      <c r="Y267" s="30">
        <v>123311.30836978261</v>
      </c>
      <c r="Z267" s="30">
        <v>0</v>
      </c>
      <c r="AA267" s="30">
        <v>0</v>
      </c>
      <c r="AB267" s="34">
        <v>0.31631843802187759</v>
      </c>
      <c r="AC267" s="34">
        <v>0.37572036975734396</v>
      </c>
      <c r="AD267" s="34">
        <v>0.42444865709391821</v>
      </c>
      <c r="AE267" s="34">
        <v>0.30000000000000004</v>
      </c>
      <c r="AF267" s="34">
        <v>0.30000000000000004</v>
      </c>
      <c r="AG267" s="34">
        <v>0.43999999999999995</v>
      </c>
      <c r="AH267" s="34">
        <v>0</v>
      </c>
      <c r="AI267" s="37">
        <f t="shared" si="40"/>
        <v>85330.220000000714</v>
      </c>
      <c r="AJ267" s="37">
        <f t="shared" si="41"/>
        <v>69043.013871238101</v>
      </c>
      <c r="AK267" s="37">
        <f t="shared" si="42"/>
        <v>111773.92311083467</v>
      </c>
      <c r="AL267" s="37">
        <f t="shared" si="43"/>
        <v>52934.565591111634</v>
      </c>
      <c r="AM267" s="37">
        <f t="shared" si="44"/>
        <v>79001.727000000086</v>
      </c>
      <c r="AN267" s="37">
        <f t="shared" si="45"/>
        <v>119345.27558800009</v>
      </c>
      <c r="AO267" s="37">
        <f t="shared" si="46"/>
        <v>0</v>
      </c>
    </row>
    <row r="268" spans="1:41" hidden="1" x14ac:dyDescent="0.3">
      <c r="A268" t="str">
        <f t="shared" si="38"/>
        <v>407sep</v>
      </c>
      <c r="B268" t="str">
        <f t="shared" si="39"/>
        <v>MEGAsep</v>
      </c>
      <c r="C268" s="1" t="s">
        <v>79</v>
      </c>
      <c r="D268" s="1" t="s">
        <v>34</v>
      </c>
      <c r="E268" s="1">
        <v>407</v>
      </c>
      <c r="F268" s="1" t="s">
        <v>119</v>
      </c>
      <c r="G268" s="1" t="s">
        <v>119</v>
      </c>
      <c r="H268" s="1" t="s">
        <v>119</v>
      </c>
      <c r="I268" s="1" t="s">
        <v>127</v>
      </c>
      <c r="J268" s="1" t="s">
        <v>130</v>
      </c>
      <c r="K268" t="s">
        <v>88</v>
      </c>
      <c r="L268" s="6">
        <v>68028.990000000005</v>
      </c>
      <c r="M268" s="6">
        <v>34894.729999999996</v>
      </c>
      <c r="N268" s="6">
        <v>94631.03</v>
      </c>
      <c r="O268" s="6">
        <v>48308.95</v>
      </c>
      <c r="P268" s="6">
        <v>92378.541320000018</v>
      </c>
      <c r="Q268" s="6">
        <v>49615.471924000005</v>
      </c>
      <c r="R268" s="6">
        <v>93466.760536749614</v>
      </c>
      <c r="S268" s="6">
        <v>48976.582521256802</v>
      </c>
      <c r="T268" s="6">
        <v>93935.100000000108</v>
      </c>
      <c r="U268" s="6">
        <v>50038.61000000011</v>
      </c>
      <c r="V268" s="30">
        <v>93935.100000000108</v>
      </c>
      <c r="W268" s="30">
        <v>50038.610000000102</v>
      </c>
      <c r="X268" s="30">
        <v>94874.451000000132</v>
      </c>
      <c r="Y268" s="30">
        <v>48719.254994896604</v>
      </c>
      <c r="Z268" s="30">
        <v>0</v>
      </c>
      <c r="AA268" s="30">
        <v>0</v>
      </c>
      <c r="AB268" s="34">
        <v>0.75916723149939525</v>
      </c>
      <c r="AC268" s="34">
        <v>0.75868957778613932</v>
      </c>
      <c r="AD268" s="34">
        <v>0.88821792918728004</v>
      </c>
      <c r="AE268" s="34">
        <v>0.79999999999999993</v>
      </c>
      <c r="AF268" s="34">
        <v>0.79999999999999993</v>
      </c>
      <c r="AG268" s="34">
        <v>0.79000000000000015</v>
      </c>
      <c r="AH268" s="34">
        <v>0</v>
      </c>
      <c r="AI268" s="37">
        <f t="shared" si="40"/>
        <v>51645.380000000048</v>
      </c>
      <c r="AJ268" s="37">
        <f t="shared" si="41"/>
        <v>71795.576196167487</v>
      </c>
      <c r="AK268" s="37">
        <f t="shared" si="42"/>
        <v>83434.840000000171</v>
      </c>
      <c r="AL268" s="37">
        <f t="shared" si="43"/>
        <v>74773.408429399686</v>
      </c>
      <c r="AM268" s="37">
        <f t="shared" si="44"/>
        <v>75148.080000000075</v>
      </c>
      <c r="AN268" s="37">
        <f t="shared" si="45"/>
        <v>74950.816290000119</v>
      </c>
      <c r="AO268" s="37">
        <f t="shared" si="46"/>
        <v>0</v>
      </c>
    </row>
    <row r="269" spans="1:41" hidden="1" x14ac:dyDescent="0.3">
      <c r="A269" t="str">
        <f t="shared" si="38"/>
        <v>407oct</v>
      </c>
      <c r="B269" t="str">
        <f t="shared" si="39"/>
        <v>MEGAoct</v>
      </c>
      <c r="C269" s="1" t="s">
        <v>79</v>
      </c>
      <c r="D269" s="1" t="s">
        <v>34</v>
      </c>
      <c r="E269" s="1">
        <v>407</v>
      </c>
      <c r="F269" s="1" t="s">
        <v>119</v>
      </c>
      <c r="G269" s="1" t="s">
        <v>119</v>
      </c>
      <c r="H269" s="1" t="s">
        <v>119</v>
      </c>
      <c r="I269" s="1" t="s">
        <v>127</v>
      </c>
      <c r="J269" s="1" t="s">
        <v>130</v>
      </c>
      <c r="K269" t="s">
        <v>89</v>
      </c>
      <c r="L269" s="6">
        <v>55540.009999999995</v>
      </c>
      <c r="M269" s="6">
        <v>29867.129999999997</v>
      </c>
      <c r="N269" s="6">
        <v>69407.899999999994</v>
      </c>
      <c r="O269" s="6">
        <v>37771.599999999999</v>
      </c>
      <c r="P269" s="6">
        <v>97388.088669999983</v>
      </c>
      <c r="Q269" s="6">
        <v>53022.531146249996</v>
      </c>
      <c r="R269" s="6">
        <v>84601.032627628985</v>
      </c>
      <c r="S269" s="6">
        <v>45625.336896080313</v>
      </c>
      <c r="T269" s="6">
        <v>72666.590000000273</v>
      </c>
      <c r="U269" s="6">
        <v>38448.50000000032</v>
      </c>
      <c r="V269" s="30">
        <v>107218.31999999999</v>
      </c>
      <c r="W269" s="30">
        <v>57822.839975999996</v>
      </c>
      <c r="X269" s="30">
        <v>111507.0528</v>
      </c>
      <c r="Y269" s="30">
        <v>59324.150380393061</v>
      </c>
      <c r="Z269" s="30">
        <v>0</v>
      </c>
      <c r="AA269" s="30">
        <v>0</v>
      </c>
      <c r="AB269" s="34">
        <v>0.8592020419153692</v>
      </c>
      <c r="AC269" s="34">
        <v>0.87063604334788613</v>
      </c>
      <c r="AD269" s="34">
        <v>0.80077598247007375</v>
      </c>
      <c r="AE269" s="34">
        <v>0.89999999999999991</v>
      </c>
      <c r="AF269" s="34">
        <v>0.89999999999999991</v>
      </c>
      <c r="AG269" s="34">
        <v>0.89999999999999991</v>
      </c>
      <c r="AH269" s="34">
        <v>0</v>
      </c>
      <c r="AI269" s="37">
        <f t="shared" si="40"/>
        <v>47720.090000000018</v>
      </c>
      <c r="AJ269" s="37">
        <f t="shared" si="41"/>
        <v>60429.019433085741</v>
      </c>
      <c r="AK269" s="37">
        <f t="shared" si="42"/>
        <v>58189.660000000258</v>
      </c>
      <c r="AL269" s="37">
        <f t="shared" si="43"/>
        <v>76140.929364866082</v>
      </c>
      <c r="AM269" s="37">
        <f t="shared" si="44"/>
        <v>96496.487999999983</v>
      </c>
      <c r="AN269" s="37">
        <f t="shared" si="45"/>
        <v>100356.34752</v>
      </c>
      <c r="AO269" s="37">
        <f t="shared" si="46"/>
        <v>0</v>
      </c>
    </row>
    <row r="270" spans="1:41" hidden="1" x14ac:dyDescent="0.3">
      <c r="A270" t="str">
        <f t="shared" si="38"/>
        <v>407nov</v>
      </c>
      <c r="B270" t="str">
        <f t="shared" si="39"/>
        <v>MEGAnov</v>
      </c>
      <c r="C270" s="1" t="s">
        <v>79</v>
      </c>
      <c r="D270" s="1" t="s">
        <v>34</v>
      </c>
      <c r="E270" s="1">
        <v>407</v>
      </c>
      <c r="F270" s="1" t="s">
        <v>119</v>
      </c>
      <c r="G270" s="1" t="s">
        <v>119</v>
      </c>
      <c r="H270" s="1" t="s">
        <v>119</v>
      </c>
      <c r="I270" s="1" t="s">
        <v>127</v>
      </c>
      <c r="J270" s="1" t="s">
        <v>130</v>
      </c>
      <c r="K270" t="s">
        <v>90</v>
      </c>
      <c r="L270" s="6">
        <v>83140.989999999991</v>
      </c>
      <c r="M270" s="6">
        <v>39271.69999999999</v>
      </c>
      <c r="N270" s="6">
        <v>80339.849999999977</v>
      </c>
      <c r="O270" s="6">
        <v>41179.179999999986</v>
      </c>
      <c r="P270" s="6">
        <v>134683.89443000019</v>
      </c>
      <c r="Q270" s="6">
        <v>68084.748215750093</v>
      </c>
      <c r="R270" s="6">
        <v>136270.47070638559</v>
      </c>
      <c r="S270" s="6">
        <v>67181.342058248105</v>
      </c>
      <c r="T270" s="6">
        <v>69509.626436781618</v>
      </c>
      <c r="U270" s="6">
        <v>26619.713968383025</v>
      </c>
      <c r="V270" s="30">
        <v>136270.47070638559</v>
      </c>
      <c r="W270" s="30">
        <v>67181.342058248105</v>
      </c>
      <c r="X270" s="30">
        <v>141721.28953464102</v>
      </c>
      <c r="Y270" s="30">
        <v>69437.267343257801</v>
      </c>
      <c r="Z270" s="30">
        <v>0</v>
      </c>
      <c r="AA270" s="30">
        <v>0</v>
      </c>
      <c r="AB270" s="34">
        <v>0.45333042101134585</v>
      </c>
      <c r="AC270" s="34">
        <v>0.5823384369111626</v>
      </c>
      <c r="AD270" s="34">
        <v>0.42444865709391821</v>
      </c>
      <c r="AE270" s="34">
        <v>0.6</v>
      </c>
      <c r="AF270" s="34">
        <v>0.6</v>
      </c>
      <c r="AG270" s="34">
        <v>0.64999999999999991</v>
      </c>
      <c r="AH270" s="34">
        <v>0</v>
      </c>
      <c r="AI270" s="37">
        <f t="shared" si="40"/>
        <v>37690.340000000091</v>
      </c>
      <c r="AJ270" s="37">
        <f t="shared" si="41"/>
        <v>46784.982670677251</v>
      </c>
      <c r="AK270" s="37">
        <f t="shared" si="42"/>
        <v>29503.267596191872</v>
      </c>
      <c r="AL270" s="37">
        <f t="shared" si="43"/>
        <v>81762.282423831348</v>
      </c>
      <c r="AM270" s="37">
        <f t="shared" si="44"/>
        <v>81762.282423831348</v>
      </c>
      <c r="AN270" s="37">
        <f t="shared" si="45"/>
        <v>92118.838197516656</v>
      </c>
      <c r="AO270" s="37">
        <f t="shared" si="46"/>
        <v>0</v>
      </c>
    </row>
    <row r="271" spans="1:41" hidden="1" x14ac:dyDescent="0.3">
      <c r="A271" t="str">
        <f t="shared" si="38"/>
        <v>407dic</v>
      </c>
      <c r="B271" t="str">
        <f t="shared" si="39"/>
        <v>MEGAdic</v>
      </c>
      <c r="C271" s="1" t="s">
        <v>79</v>
      </c>
      <c r="D271" s="1" t="s">
        <v>34</v>
      </c>
      <c r="E271" s="1">
        <v>407</v>
      </c>
      <c r="F271" s="1" t="s">
        <v>119</v>
      </c>
      <c r="G271" s="1" t="s">
        <v>119</v>
      </c>
      <c r="H271" s="1" t="s">
        <v>119</v>
      </c>
      <c r="I271" s="1" t="s">
        <v>127</v>
      </c>
      <c r="J271" s="1" t="s">
        <v>130</v>
      </c>
      <c r="K271" t="s">
        <v>91</v>
      </c>
      <c r="L271" s="6">
        <v>244533.26999999996</v>
      </c>
      <c r="M271" s="6">
        <v>119910.16999999994</v>
      </c>
      <c r="N271" s="6">
        <v>262795.90999999992</v>
      </c>
      <c r="O271" s="6">
        <v>139760.36999999997</v>
      </c>
      <c r="P271" s="6">
        <v>262440.78935000056</v>
      </c>
      <c r="Q271" s="6">
        <v>142245.02354525033</v>
      </c>
      <c r="R271" s="6">
        <v>265532.34184854355</v>
      </c>
      <c r="S271" s="6">
        <v>139138.94712863682</v>
      </c>
      <c r="T271" s="6">
        <v>275222.08333333343</v>
      </c>
      <c r="U271" s="6">
        <v>130227.34954087921</v>
      </c>
      <c r="V271" s="30">
        <v>265532.34184854355</v>
      </c>
      <c r="W271" s="30">
        <v>139138.94712863682</v>
      </c>
      <c r="X271" s="30">
        <v>277481.29723172804</v>
      </c>
      <c r="Y271" s="30">
        <v>144357.78754365462</v>
      </c>
      <c r="Z271" s="30">
        <v>0</v>
      </c>
      <c r="AA271" s="30">
        <v>0</v>
      </c>
      <c r="AB271" s="34">
        <v>0.49446842141357888</v>
      </c>
      <c r="AC271" s="34">
        <v>0.77372704112281432</v>
      </c>
      <c r="AD271" s="34">
        <v>0.57948908848412928</v>
      </c>
      <c r="AE271" s="34">
        <v>0.79999999999999993</v>
      </c>
      <c r="AF271" s="34">
        <v>0.79999999999999993</v>
      </c>
      <c r="AG271" s="34">
        <v>0.83</v>
      </c>
      <c r="AH271" s="34">
        <v>0</v>
      </c>
      <c r="AI271" s="37">
        <f t="shared" si="40"/>
        <v>120913.98000000045</v>
      </c>
      <c r="AJ271" s="37">
        <f t="shared" si="41"/>
        <v>203332.30186347733</v>
      </c>
      <c r="AK271" s="37">
        <f t="shared" si="42"/>
        <v>159488.19420153645</v>
      </c>
      <c r="AL271" s="37">
        <f t="shared" si="43"/>
        <v>212425.87347883484</v>
      </c>
      <c r="AM271" s="37">
        <f t="shared" si="44"/>
        <v>212425.87347883484</v>
      </c>
      <c r="AN271" s="37">
        <f t="shared" si="45"/>
        <v>230309.47670233427</v>
      </c>
      <c r="AO271" s="37">
        <f t="shared" si="46"/>
        <v>0</v>
      </c>
    </row>
    <row r="272" spans="1:41" hidden="1" x14ac:dyDescent="0.3">
      <c r="A272" t="str">
        <f t="shared" si="38"/>
        <v>209ene</v>
      </c>
      <c r="B272" t="str">
        <f t="shared" si="39"/>
        <v>MEGACENTER ADIDASene</v>
      </c>
      <c r="C272" s="1" t="s">
        <v>79</v>
      </c>
      <c r="D272" s="1" t="s">
        <v>35</v>
      </c>
      <c r="E272" s="1">
        <v>209</v>
      </c>
      <c r="F272" s="1" t="s">
        <v>120</v>
      </c>
      <c r="G272" s="1" t="s">
        <v>120</v>
      </c>
      <c r="H272" s="1" t="s">
        <v>122</v>
      </c>
      <c r="I272" s="1" t="s">
        <v>125</v>
      </c>
      <c r="J272" s="1" t="s">
        <v>133</v>
      </c>
      <c r="K272" t="s">
        <v>80</v>
      </c>
      <c r="L272" s="6">
        <v>29433.630000000005</v>
      </c>
      <c r="M272" s="6">
        <v>15783.550000000007</v>
      </c>
      <c r="N272" s="6">
        <v>14761.010000000006</v>
      </c>
      <c r="O272" s="6">
        <v>7787.2300000000032</v>
      </c>
      <c r="P272" s="6">
        <v>32163.165499999996</v>
      </c>
      <c r="Q272" s="6">
        <v>16675.967012500001</v>
      </c>
      <c r="R272" s="6">
        <v>21128.160000000014</v>
      </c>
      <c r="S272" s="6">
        <v>11729.137816629278</v>
      </c>
      <c r="T272" s="6">
        <v>21128.160000000014</v>
      </c>
      <c r="U272" s="6">
        <v>11431.500000000025</v>
      </c>
      <c r="V272" s="30">
        <v>21128.160000000022</v>
      </c>
      <c r="W272" s="30">
        <v>11431.500000000029</v>
      </c>
      <c r="X272" s="30">
        <v>0</v>
      </c>
      <c r="Y272" s="30">
        <v>0</v>
      </c>
      <c r="Z272" s="30">
        <v>0</v>
      </c>
      <c r="AA272" s="30">
        <v>0</v>
      </c>
      <c r="AB272" s="34">
        <v>0.73719075764694963</v>
      </c>
      <c r="AC272" s="34">
        <v>0.76463784218256137</v>
      </c>
      <c r="AD272" s="34">
        <v>0.86369754006597899</v>
      </c>
      <c r="AE272" s="34">
        <v>0.86369754006597887</v>
      </c>
      <c r="AF272" s="34">
        <v>0.86369754006597887</v>
      </c>
      <c r="AG272" s="34">
        <v>0</v>
      </c>
      <c r="AH272" s="34">
        <v>0</v>
      </c>
      <c r="AI272" s="37">
        <f t="shared" si="40"/>
        <v>21698.19999999999</v>
      </c>
      <c r="AJ272" s="37">
        <f t="shared" si="41"/>
        <v>11286.826834835214</v>
      </c>
      <c r="AK272" s="37">
        <f t="shared" si="42"/>
        <v>18248.339818120428</v>
      </c>
      <c r="AL272" s="37">
        <f t="shared" si="43"/>
        <v>18248.339818120425</v>
      </c>
      <c r="AM272" s="37">
        <f t="shared" si="44"/>
        <v>18248.339818120432</v>
      </c>
      <c r="AN272" s="37">
        <f t="shared" si="45"/>
        <v>0</v>
      </c>
      <c r="AO272" s="37">
        <f t="shared" si="46"/>
        <v>0</v>
      </c>
    </row>
    <row r="273" spans="1:41" hidden="1" x14ac:dyDescent="0.3">
      <c r="A273" t="str">
        <f t="shared" si="38"/>
        <v>209feb</v>
      </c>
      <c r="B273" t="str">
        <f t="shared" si="39"/>
        <v>MEGACENTER ADIDASfeb</v>
      </c>
      <c r="C273" s="1" t="s">
        <v>79</v>
      </c>
      <c r="D273" s="1" t="s">
        <v>35</v>
      </c>
      <c r="E273" s="1">
        <v>209</v>
      </c>
      <c r="F273" s="1" t="s">
        <v>120</v>
      </c>
      <c r="G273" s="1" t="s">
        <v>120</v>
      </c>
      <c r="H273" s="1" t="s">
        <v>122</v>
      </c>
      <c r="I273" s="1" t="s">
        <v>125</v>
      </c>
      <c r="J273" s="1" t="s">
        <v>133</v>
      </c>
      <c r="K273" t="s">
        <v>81</v>
      </c>
      <c r="L273" s="6">
        <v>35853.100000000006</v>
      </c>
      <c r="M273" s="6">
        <v>15441.820000000007</v>
      </c>
      <c r="N273" s="6">
        <v>19742.150000000001</v>
      </c>
      <c r="O273" s="6">
        <v>8822.4699999999957</v>
      </c>
      <c r="P273" s="6">
        <v>41709.812999999987</v>
      </c>
      <c r="Q273" s="6">
        <v>18827.169714999996</v>
      </c>
      <c r="R273" s="6">
        <v>35604.090000000004</v>
      </c>
      <c r="S273" s="6">
        <v>16655.233437294875</v>
      </c>
      <c r="T273" s="6">
        <v>35604.090000000011</v>
      </c>
      <c r="U273" s="6">
        <v>16087.540000000015</v>
      </c>
      <c r="V273" s="30">
        <v>35604.089999999975</v>
      </c>
      <c r="W273" s="30">
        <v>16087.539999999999</v>
      </c>
      <c r="X273" s="30">
        <v>0</v>
      </c>
      <c r="Y273" s="30">
        <v>0</v>
      </c>
      <c r="Z273" s="30">
        <v>0</v>
      </c>
      <c r="AA273" s="30">
        <v>0</v>
      </c>
      <c r="AB273" s="34">
        <v>0.34033905017976135</v>
      </c>
      <c r="AC273" s="34">
        <v>0.46148615410594118</v>
      </c>
      <c r="AD273" s="34">
        <v>0.29901788148067432</v>
      </c>
      <c r="AE273" s="34">
        <v>0.29901788148067365</v>
      </c>
      <c r="AF273" s="34">
        <v>0.29901788148067365</v>
      </c>
      <c r="AG273" s="34">
        <v>0</v>
      </c>
      <c r="AH273" s="34">
        <v>0</v>
      </c>
      <c r="AI273" s="37">
        <f t="shared" si="40"/>
        <v>12202.210000000003</v>
      </c>
      <c r="AJ273" s="37">
        <f t="shared" si="41"/>
        <v>9110.7288772826068</v>
      </c>
      <c r="AK273" s="37">
        <f t="shared" si="42"/>
        <v>10646.259563847265</v>
      </c>
      <c r="AL273" s="37">
        <f t="shared" si="43"/>
        <v>10646.259563847239</v>
      </c>
      <c r="AM273" s="37">
        <f t="shared" si="44"/>
        <v>10646.25956384723</v>
      </c>
      <c r="AN273" s="37">
        <f t="shared" si="45"/>
        <v>0</v>
      </c>
      <c r="AO273" s="37">
        <f t="shared" si="46"/>
        <v>0</v>
      </c>
    </row>
    <row r="274" spans="1:41" hidden="1" x14ac:dyDescent="0.3">
      <c r="A274" t="str">
        <f t="shared" si="38"/>
        <v>209mar</v>
      </c>
      <c r="B274" t="str">
        <f t="shared" si="39"/>
        <v>MEGACENTER ADIDASmar</v>
      </c>
      <c r="C274" s="1" t="s">
        <v>79</v>
      </c>
      <c r="D274" s="1" t="s">
        <v>35</v>
      </c>
      <c r="E274" s="1">
        <v>209</v>
      </c>
      <c r="F274" s="1" t="s">
        <v>120</v>
      </c>
      <c r="G274" s="1" t="s">
        <v>120</v>
      </c>
      <c r="H274" s="1" t="s">
        <v>122</v>
      </c>
      <c r="I274" s="1" t="s">
        <v>125</v>
      </c>
      <c r="J274" s="1" t="s">
        <v>133</v>
      </c>
      <c r="K274" t="s">
        <v>82</v>
      </c>
      <c r="L274" s="6">
        <v>40890.67</v>
      </c>
      <c r="M274" s="6">
        <v>19179.629999999994</v>
      </c>
      <c r="N274" s="6">
        <v>27844.91</v>
      </c>
      <c r="O274" s="6">
        <v>12093.57</v>
      </c>
      <c r="P274" s="6">
        <v>34470.605059999994</v>
      </c>
      <c r="Q274" s="6">
        <v>16739.311769199998</v>
      </c>
      <c r="R274" s="6">
        <v>30904.429999999997</v>
      </c>
      <c r="S274" s="6">
        <v>16202.906382347446</v>
      </c>
      <c r="T274" s="6">
        <v>30904.429999999993</v>
      </c>
      <c r="U274" s="6">
        <v>15671.029999999995</v>
      </c>
      <c r="V274" s="30">
        <v>30904.429999999993</v>
      </c>
      <c r="W274" s="30">
        <v>15671.029999999995</v>
      </c>
      <c r="X274" s="30">
        <v>0</v>
      </c>
      <c r="Y274" s="30">
        <v>0</v>
      </c>
      <c r="Z274" s="30">
        <v>0</v>
      </c>
      <c r="AA274" s="30">
        <v>0</v>
      </c>
      <c r="AB274" s="34">
        <v>0.39755254682791952</v>
      </c>
      <c r="AC274" s="34">
        <v>0.38192455737373399</v>
      </c>
      <c r="AD274" s="34">
        <v>0.5819868090491418</v>
      </c>
      <c r="AE274" s="34">
        <v>0.58198680904914191</v>
      </c>
      <c r="AF274" s="34">
        <v>0.58198680904914191</v>
      </c>
      <c r="AG274" s="34">
        <v>0</v>
      </c>
      <c r="AH274" s="34">
        <v>0</v>
      </c>
      <c r="AI274" s="37">
        <f t="shared" si="40"/>
        <v>16256.190000000002</v>
      </c>
      <c r="AJ274" s="37">
        <f t="shared" si="41"/>
        <v>10634.65492686146</v>
      </c>
      <c r="AK274" s="37">
        <f t="shared" si="42"/>
        <v>17985.970601182566</v>
      </c>
      <c r="AL274" s="37">
        <f t="shared" si="43"/>
        <v>17985.970601182569</v>
      </c>
      <c r="AM274" s="37">
        <f t="shared" si="44"/>
        <v>17985.970601182569</v>
      </c>
      <c r="AN274" s="37">
        <f t="shared" si="45"/>
        <v>0</v>
      </c>
      <c r="AO274" s="37">
        <f t="shared" si="46"/>
        <v>0</v>
      </c>
    </row>
    <row r="275" spans="1:41" hidden="1" x14ac:dyDescent="0.3">
      <c r="A275" t="str">
        <f t="shared" si="38"/>
        <v>209abr</v>
      </c>
      <c r="B275" t="str">
        <f t="shared" si="39"/>
        <v>MEGACENTER ADIDASabr</v>
      </c>
      <c r="C275" s="1" t="s">
        <v>79</v>
      </c>
      <c r="D275" s="1" t="s">
        <v>35</v>
      </c>
      <c r="E275" s="1">
        <v>209</v>
      </c>
      <c r="F275" s="1" t="s">
        <v>120</v>
      </c>
      <c r="G275" s="1" t="s">
        <v>120</v>
      </c>
      <c r="H275" s="1" t="s">
        <v>122</v>
      </c>
      <c r="I275" s="1" t="s">
        <v>125</v>
      </c>
      <c r="J275" s="1" t="s">
        <v>133</v>
      </c>
      <c r="K275" t="s">
        <v>83</v>
      </c>
      <c r="L275" s="6">
        <v>24650.010000000002</v>
      </c>
      <c r="M275" s="6">
        <v>13090.469999999998</v>
      </c>
      <c r="N275" s="6">
        <v>16661.02</v>
      </c>
      <c r="O275" s="6">
        <v>9334.3799999999992</v>
      </c>
      <c r="P275" s="6">
        <v>22561.187539999992</v>
      </c>
      <c r="Q275" s="6">
        <v>12396.743449799997</v>
      </c>
      <c r="R275" s="6">
        <v>24529.670000000006</v>
      </c>
      <c r="S275" s="6">
        <v>13327.262059109191</v>
      </c>
      <c r="T275" s="6">
        <v>24529.670000000002</v>
      </c>
      <c r="U275" s="6">
        <v>13291.170000000002</v>
      </c>
      <c r="V275" s="30">
        <v>24529.670000000002</v>
      </c>
      <c r="W275" s="30">
        <v>13291.170000000002</v>
      </c>
      <c r="X275" s="30">
        <v>0</v>
      </c>
      <c r="Y275" s="30">
        <v>0</v>
      </c>
      <c r="Z275" s="30">
        <v>0</v>
      </c>
      <c r="AA275" s="30">
        <v>0</v>
      </c>
      <c r="AB275" s="34">
        <v>0.77029623923073465</v>
      </c>
      <c r="AC275" s="34">
        <v>0.86214483694049648</v>
      </c>
      <c r="AD275" s="34">
        <v>0.85586723394571829</v>
      </c>
      <c r="AE275" s="34">
        <v>0.8558672339457184</v>
      </c>
      <c r="AF275" s="34">
        <v>0.8558672339457184</v>
      </c>
      <c r="AG275" s="34">
        <v>0</v>
      </c>
      <c r="AH275" s="34">
        <v>0</v>
      </c>
      <c r="AI275" s="37">
        <f t="shared" si="40"/>
        <v>18987.810000000001</v>
      </c>
      <c r="AJ275" s="37">
        <f t="shared" si="41"/>
        <v>14364.212371162352</v>
      </c>
      <c r="AK275" s="37">
        <f t="shared" si="42"/>
        <v>20994.140812501268</v>
      </c>
      <c r="AL275" s="37">
        <f t="shared" si="43"/>
        <v>20994.140812501275</v>
      </c>
      <c r="AM275" s="37">
        <f t="shared" si="44"/>
        <v>20994.140812501271</v>
      </c>
      <c r="AN275" s="37">
        <f t="shared" si="45"/>
        <v>0</v>
      </c>
      <c r="AO275" s="37">
        <f t="shared" si="46"/>
        <v>0</v>
      </c>
    </row>
    <row r="276" spans="1:41" hidden="1" x14ac:dyDescent="0.3">
      <c r="A276" t="str">
        <f t="shared" si="38"/>
        <v>209may</v>
      </c>
      <c r="B276" t="str">
        <f t="shared" si="39"/>
        <v>MEGACENTER ADIDASmay</v>
      </c>
      <c r="C276" s="1" t="s">
        <v>79</v>
      </c>
      <c r="D276" s="1" t="s">
        <v>35</v>
      </c>
      <c r="E276" s="1">
        <v>209</v>
      </c>
      <c r="F276" s="1" t="s">
        <v>120</v>
      </c>
      <c r="G276" s="1" t="s">
        <v>120</v>
      </c>
      <c r="H276" s="1" t="s">
        <v>122</v>
      </c>
      <c r="I276" s="1" t="s">
        <v>125</v>
      </c>
      <c r="J276" s="1" t="s">
        <v>133</v>
      </c>
      <c r="K276" t="s">
        <v>84</v>
      </c>
      <c r="L276" s="6">
        <v>24895.310000000005</v>
      </c>
      <c r="M276" s="6">
        <v>13253.940000000006</v>
      </c>
      <c r="N276" s="6">
        <v>17009.05</v>
      </c>
      <c r="O276" s="6">
        <v>9187.8799999999992</v>
      </c>
      <c r="P276" s="6">
        <v>31981</v>
      </c>
      <c r="Q276" s="6">
        <v>16702</v>
      </c>
      <c r="R276" s="6">
        <v>28817.940000000002</v>
      </c>
      <c r="S276" s="6">
        <v>16182.248769494259</v>
      </c>
      <c r="T276" s="6">
        <v>28817.94</v>
      </c>
      <c r="U276" s="6">
        <v>16014.039999999997</v>
      </c>
      <c r="V276" s="30">
        <v>28817.94</v>
      </c>
      <c r="W276" s="30">
        <v>16014.039999999995</v>
      </c>
      <c r="X276" s="30">
        <v>0</v>
      </c>
      <c r="Y276" s="30">
        <v>0</v>
      </c>
      <c r="Z276" s="30">
        <v>0</v>
      </c>
      <c r="AA276" s="30">
        <v>0</v>
      </c>
      <c r="AB276" s="34">
        <v>0.74600878639390311</v>
      </c>
      <c r="AC276" s="34">
        <v>0.84721183822595891</v>
      </c>
      <c r="AD276" s="34">
        <v>0.93459050318184933</v>
      </c>
      <c r="AE276" s="34">
        <v>0.93459050318184944</v>
      </c>
      <c r="AF276" s="34">
        <v>0.93459050318184944</v>
      </c>
      <c r="AG276" s="34">
        <v>0</v>
      </c>
      <c r="AH276" s="34">
        <v>0</v>
      </c>
      <c r="AI276" s="37">
        <f t="shared" si="40"/>
        <v>18572.120000000003</v>
      </c>
      <c r="AJ276" s="37">
        <f t="shared" si="41"/>
        <v>14410.268516977247</v>
      </c>
      <c r="AK276" s="37">
        <f t="shared" si="42"/>
        <v>26932.973045264342</v>
      </c>
      <c r="AL276" s="37">
        <f t="shared" si="43"/>
        <v>26932.973045264349</v>
      </c>
      <c r="AM276" s="37">
        <f t="shared" si="44"/>
        <v>26932.973045264345</v>
      </c>
      <c r="AN276" s="37">
        <f t="shared" si="45"/>
        <v>0</v>
      </c>
      <c r="AO276" s="37">
        <f t="shared" si="46"/>
        <v>0</v>
      </c>
    </row>
    <row r="277" spans="1:41" hidden="1" x14ac:dyDescent="0.3">
      <c r="A277" t="str">
        <f t="shared" si="38"/>
        <v>209jun</v>
      </c>
      <c r="B277" t="str">
        <f t="shared" si="39"/>
        <v>MEGACENTER ADIDASjun</v>
      </c>
      <c r="C277" s="1" t="s">
        <v>79</v>
      </c>
      <c r="D277" s="1" t="s">
        <v>35</v>
      </c>
      <c r="E277" s="1">
        <v>209</v>
      </c>
      <c r="F277" s="1" t="s">
        <v>120</v>
      </c>
      <c r="G277" s="1" t="s">
        <v>120</v>
      </c>
      <c r="H277" s="1" t="s">
        <v>122</v>
      </c>
      <c r="I277" s="1" t="s">
        <v>125</v>
      </c>
      <c r="J277" s="1" t="s">
        <v>133</v>
      </c>
      <c r="K277" t="s">
        <v>85</v>
      </c>
      <c r="L277" s="6">
        <v>28059.899999999994</v>
      </c>
      <c r="M277" s="6">
        <v>14813.409999999996</v>
      </c>
      <c r="N277" s="6">
        <v>13271.670000000002</v>
      </c>
      <c r="O277" s="6">
        <v>7245.2100000000028</v>
      </c>
      <c r="P277" s="6">
        <v>29910</v>
      </c>
      <c r="Q277" s="6">
        <v>16591</v>
      </c>
      <c r="R277" s="6">
        <v>21020.749999999989</v>
      </c>
      <c r="S277" s="6">
        <v>11807.375192136633</v>
      </c>
      <c r="T277" s="6">
        <v>21020.749999999989</v>
      </c>
      <c r="U277" s="6">
        <v>11807.939999999995</v>
      </c>
      <c r="V277" s="30">
        <v>21020.749999999993</v>
      </c>
      <c r="W277" s="30">
        <v>11807.939999999999</v>
      </c>
      <c r="X277" s="30">
        <v>0</v>
      </c>
      <c r="Y277" s="30">
        <v>0</v>
      </c>
      <c r="Z277" s="30">
        <v>0</v>
      </c>
      <c r="AA277" s="30">
        <v>0</v>
      </c>
      <c r="AB277" s="34">
        <v>0.75433554645597434</v>
      </c>
      <c r="AC277" s="34">
        <v>0.88551574735571092</v>
      </c>
      <c r="AD277" s="34">
        <v>0.9483461999217323</v>
      </c>
      <c r="AE277" s="34">
        <v>0.94834619992173219</v>
      </c>
      <c r="AF277" s="34">
        <v>0.94834619992173219</v>
      </c>
      <c r="AG277" s="34">
        <v>0</v>
      </c>
      <c r="AH277" s="34">
        <v>0</v>
      </c>
      <c r="AI277" s="37">
        <f t="shared" si="40"/>
        <v>21166.579999999991</v>
      </c>
      <c r="AJ277" s="37">
        <f t="shared" si="41"/>
        <v>11752.27277870837</v>
      </c>
      <c r="AK277" s="37">
        <f t="shared" si="42"/>
        <v>19934.948382004743</v>
      </c>
      <c r="AL277" s="37">
        <f t="shared" si="43"/>
        <v>19934.948382004743</v>
      </c>
      <c r="AM277" s="37">
        <f t="shared" si="44"/>
        <v>19934.948382004746</v>
      </c>
      <c r="AN277" s="37">
        <f t="shared" si="45"/>
        <v>0</v>
      </c>
      <c r="AO277" s="37">
        <f t="shared" si="46"/>
        <v>0</v>
      </c>
    </row>
    <row r="278" spans="1:41" hidden="1" x14ac:dyDescent="0.3">
      <c r="A278" t="str">
        <f t="shared" si="38"/>
        <v>209jul</v>
      </c>
      <c r="B278" t="str">
        <f t="shared" si="39"/>
        <v>MEGACENTER ADIDASjul</v>
      </c>
      <c r="C278" s="1" t="s">
        <v>79</v>
      </c>
      <c r="D278" s="1" t="s">
        <v>35</v>
      </c>
      <c r="E278" s="1">
        <v>209</v>
      </c>
      <c r="F278" s="1" t="s">
        <v>120</v>
      </c>
      <c r="G278" s="1" t="s">
        <v>120</v>
      </c>
      <c r="H278" s="1" t="s">
        <v>122</v>
      </c>
      <c r="I278" s="1" t="s">
        <v>125</v>
      </c>
      <c r="J278" s="1" t="s">
        <v>133</v>
      </c>
      <c r="K278" t="s">
        <v>86</v>
      </c>
      <c r="L278" s="6">
        <v>24677.480000000003</v>
      </c>
      <c r="M278" s="6">
        <v>13471.210000000003</v>
      </c>
      <c r="N278" s="6">
        <v>13410.289999999999</v>
      </c>
      <c r="O278" s="6">
        <v>7266.0899999999983</v>
      </c>
      <c r="P278" s="6">
        <v>30833</v>
      </c>
      <c r="Q278" s="6">
        <v>17131</v>
      </c>
      <c r="R278" s="6">
        <v>20975.170000000013</v>
      </c>
      <c r="S278" s="6">
        <v>11767.239999999971</v>
      </c>
      <c r="T278" s="6">
        <v>20975.170000000013</v>
      </c>
      <c r="U278" s="6">
        <v>11767.240000000013</v>
      </c>
      <c r="V278" s="30">
        <v>20975.17</v>
      </c>
      <c r="W278" s="30">
        <v>11767.240000000005</v>
      </c>
      <c r="X278" s="30">
        <v>0</v>
      </c>
      <c r="Y278" s="30">
        <v>0</v>
      </c>
      <c r="Z278" s="30">
        <v>0</v>
      </c>
      <c r="AA278" s="30">
        <v>0</v>
      </c>
      <c r="AB278" s="34">
        <v>0.83823307728341767</v>
      </c>
      <c r="AC278" s="34">
        <v>0.8992399568910846</v>
      </c>
      <c r="AD278" s="34">
        <v>0.94117568534605434</v>
      </c>
      <c r="AE278" s="34">
        <v>0.94117568534605434</v>
      </c>
      <c r="AF278" s="34">
        <v>0.94117568534605434</v>
      </c>
      <c r="AG278" s="34">
        <v>0</v>
      </c>
      <c r="AH278" s="34">
        <v>0</v>
      </c>
      <c r="AI278" s="37">
        <f t="shared" si="40"/>
        <v>20685.479999999996</v>
      </c>
      <c r="AJ278" s="37">
        <f t="shared" si="41"/>
        <v>12059.068601496941</v>
      </c>
      <c r="AK278" s="37">
        <f t="shared" si="42"/>
        <v>19741.320000000011</v>
      </c>
      <c r="AL278" s="37">
        <f t="shared" si="43"/>
        <v>19741.320000000011</v>
      </c>
      <c r="AM278" s="37">
        <f t="shared" si="44"/>
        <v>19741.319999999996</v>
      </c>
      <c r="AN278" s="37">
        <f t="shared" si="45"/>
        <v>0</v>
      </c>
      <c r="AO278" s="37">
        <f t="shared" si="46"/>
        <v>0</v>
      </c>
    </row>
    <row r="279" spans="1:41" hidden="1" x14ac:dyDescent="0.3">
      <c r="A279" t="str">
        <f t="shared" si="38"/>
        <v>209ago</v>
      </c>
      <c r="B279" t="str">
        <f t="shared" si="39"/>
        <v>MEGACENTER ADIDASago</v>
      </c>
      <c r="C279" s="1" t="s">
        <v>79</v>
      </c>
      <c r="D279" s="1" t="s">
        <v>35</v>
      </c>
      <c r="E279" s="1">
        <v>209</v>
      </c>
      <c r="F279" s="1" t="s">
        <v>120</v>
      </c>
      <c r="G279" s="1" t="s">
        <v>120</v>
      </c>
      <c r="H279" s="1" t="s">
        <v>122</v>
      </c>
      <c r="I279" s="1" t="s">
        <v>125</v>
      </c>
      <c r="J279" s="1" t="s">
        <v>133</v>
      </c>
      <c r="K279" t="s">
        <v>87</v>
      </c>
      <c r="L279" s="6">
        <v>56498.940000000017</v>
      </c>
      <c r="M279" s="6">
        <v>20440.180000000008</v>
      </c>
      <c r="N279" s="6">
        <v>27352.62</v>
      </c>
      <c r="O279" s="6">
        <v>9858.4599999999955</v>
      </c>
      <c r="P279" s="6">
        <v>57582</v>
      </c>
      <c r="Q279" s="6">
        <v>25790</v>
      </c>
      <c r="R279" s="6">
        <v>35597.056920740215</v>
      </c>
      <c r="S279" s="6">
        <v>16550.495644728955</v>
      </c>
      <c r="T279" s="6">
        <v>45247.75999999998</v>
      </c>
      <c r="U279" s="6">
        <v>19579.389999999985</v>
      </c>
      <c r="V279" s="30">
        <v>45247.759999999966</v>
      </c>
      <c r="W279" s="30">
        <v>21037.493534399982</v>
      </c>
      <c r="X279" s="30">
        <v>0</v>
      </c>
      <c r="Y279" s="30">
        <v>0</v>
      </c>
      <c r="Z279" s="30">
        <v>0</v>
      </c>
      <c r="AA279" s="30">
        <v>0</v>
      </c>
      <c r="AB279" s="34">
        <v>0.26895301044585962</v>
      </c>
      <c r="AC279" s="34">
        <v>0.28709650816002741</v>
      </c>
      <c r="AD279" s="34">
        <v>0.28638898367565607</v>
      </c>
      <c r="AE279" s="34">
        <v>0.37</v>
      </c>
      <c r="AF279" s="34">
        <v>0.37</v>
      </c>
      <c r="AG279" s="34">
        <v>0</v>
      </c>
      <c r="AH279" s="34">
        <v>0</v>
      </c>
      <c r="AI279" s="37">
        <f t="shared" si="40"/>
        <v>15195.560000000001</v>
      </c>
      <c r="AJ279" s="37">
        <f t="shared" si="41"/>
        <v>7852.8416910281285</v>
      </c>
      <c r="AK279" s="37">
        <f t="shared" si="42"/>
        <v>12958.459999999997</v>
      </c>
      <c r="AL279" s="37">
        <f t="shared" si="43"/>
        <v>13170.91106067388</v>
      </c>
      <c r="AM279" s="37">
        <f t="shared" si="44"/>
        <v>16741.671199999986</v>
      </c>
      <c r="AN279" s="37">
        <f t="shared" si="45"/>
        <v>0</v>
      </c>
      <c r="AO279" s="37">
        <f t="shared" si="46"/>
        <v>0</v>
      </c>
    </row>
    <row r="280" spans="1:41" hidden="1" x14ac:dyDescent="0.3">
      <c r="A280" t="str">
        <f t="shared" si="38"/>
        <v>209sep</v>
      </c>
      <c r="B280" t="str">
        <f t="shared" si="39"/>
        <v>MEGACENTER ADIDASsep</v>
      </c>
      <c r="C280" s="1" t="s">
        <v>79</v>
      </c>
      <c r="D280" s="1" t="s">
        <v>35</v>
      </c>
      <c r="E280" s="1">
        <v>209</v>
      </c>
      <c r="F280" s="1" t="s">
        <v>120</v>
      </c>
      <c r="G280" s="1" t="s">
        <v>120</v>
      </c>
      <c r="H280" s="1" t="s">
        <v>122</v>
      </c>
      <c r="I280" s="1" t="s">
        <v>125</v>
      </c>
      <c r="J280" s="1" t="s">
        <v>133</v>
      </c>
      <c r="K280" t="s">
        <v>88</v>
      </c>
      <c r="L280" s="6">
        <v>18107.590000000004</v>
      </c>
      <c r="M280" s="6">
        <v>9350.0300000000025</v>
      </c>
      <c r="N280" s="6">
        <v>17789.190000000002</v>
      </c>
      <c r="O280" s="6">
        <v>8536.7700000000023</v>
      </c>
      <c r="P280" s="6">
        <v>28941</v>
      </c>
      <c r="Q280" s="6">
        <v>15564</v>
      </c>
      <c r="R280" s="6">
        <v>17794.881300000005</v>
      </c>
      <c r="S280" s="6">
        <v>9705.3282610200004</v>
      </c>
      <c r="T280" s="6">
        <v>17863.150000000001</v>
      </c>
      <c r="U280" s="6">
        <v>9492.3599999999988</v>
      </c>
      <c r="V280" s="30">
        <v>17863.150000000001</v>
      </c>
      <c r="W280" s="30">
        <v>9492.3599999999988</v>
      </c>
      <c r="X280" s="30">
        <v>0</v>
      </c>
      <c r="Y280" s="30">
        <v>0</v>
      </c>
      <c r="Z280" s="30">
        <v>0</v>
      </c>
      <c r="AA280" s="30">
        <v>0</v>
      </c>
      <c r="AB280" s="34">
        <v>0.69564088871020402</v>
      </c>
      <c r="AC280" s="34">
        <v>0.62619874570335032</v>
      </c>
      <c r="AD280" s="34">
        <v>0.79089970134046894</v>
      </c>
      <c r="AE280" s="34">
        <v>0.79999999999999993</v>
      </c>
      <c r="AF280" s="34">
        <v>0.79999999999999993</v>
      </c>
      <c r="AG280" s="34">
        <v>0</v>
      </c>
      <c r="AH280" s="34">
        <v>0</v>
      </c>
      <c r="AI280" s="37">
        <f t="shared" si="40"/>
        <v>12596.380000000006</v>
      </c>
      <c r="AJ280" s="37">
        <f t="shared" si="41"/>
        <v>11139.568465078584</v>
      </c>
      <c r="AK280" s="37">
        <f t="shared" si="42"/>
        <v>14127.96</v>
      </c>
      <c r="AL280" s="37">
        <f t="shared" si="43"/>
        <v>14235.905040000003</v>
      </c>
      <c r="AM280" s="37">
        <f t="shared" si="44"/>
        <v>14290.52</v>
      </c>
      <c r="AN280" s="37">
        <f t="shared" si="45"/>
        <v>0</v>
      </c>
      <c r="AO280" s="37">
        <f t="shared" si="46"/>
        <v>0</v>
      </c>
    </row>
    <row r="281" spans="1:41" hidden="1" x14ac:dyDescent="0.3">
      <c r="A281" t="str">
        <f t="shared" si="38"/>
        <v>209oct</v>
      </c>
      <c r="B281" t="str">
        <f t="shared" si="39"/>
        <v>MEGACENTER ADIDASoct</v>
      </c>
      <c r="C281" s="1" t="s">
        <v>79</v>
      </c>
      <c r="D281" s="1" t="s">
        <v>35</v>
      </c>
      <c r="E281" s="1">
        <v>209</v>
      </c>
      <c r="F281" s="1" t="s">
        <v>120</v>
      </c>
      <c r="G281" s="1" t="s">
        <v>120</v>
      </c>
      <c r="H281" s="1" t="s">
        <v>122</v>
      </c>
      <c r="I281" s="1" t="s">
        <v>125</v>
      </c>
      <c r="J281" s="1" t="s">
        <v>133</v>
      </c>
      <c r="K281" t="s">
        <v>89</v>
      </c>
      <c r="L281" s="6">
        <v>18250.409999999996</v>
      </c>
      <c r="M281" s="6">
        <v>9892.239999999998</v>
      </c>
      <c r="N281" s="6">
        <v>18624.669999999998</v>
      </c>
      <c r="O281" s="6">
        <v>9852.6299999999974</v>
      </c>
      <c r="P281" s="6">
        <v>30390</v>
      </c>
      <c r="Q281" s="6">
        <v>16690</v>
      </c>
      <c r="R281" s="6">
        <v>21125.263320000002</v>
      </c>
      <c r="S281" s="6">
        <v>11876.623038503996</v>
      </c>
      <c r="T281" s="6">
        <v>15616.98</v>
      </c>
      <c r="U281" s="6">
        <v>8038.489999999998</v>
      </c>
      <c r="V281" s="30">
        <v>21125.263320000002</v>
      </c>
      <c r="W281" s="30">
        <v>11876.623038503996</v>
      </c>
      <c r="X281" s="30">
        <v>0</v>
      </c>
      <c r="Y281" s="30">
        <v>0</v>
      </c>
      <c r="Z281" s="30">
        <v>0</v>
      </c>
      <c r="AA281" s="30">
        <v>0</v>
      </c>
      <c r="AB281" s="34">
        <v>0.82049060815620034</v>
      </c>
      <c r="AC281" s="34">
        <v>0.80010982887951987</v>
      </c>
      <c r="AD281" s="34">
        <v>0.64069749721136882</v>
      </c>
      <c r="AE281" s="34">
        <v>0.89999999999999991</v>
      </c>
      <c r="AF281" s="34">
        <v>0.89999999999999991</v>
      </c>
      <c r="AG281" s="34">
        <v>0</v>
      </c>
      <c r="AH281" s="34">
        <v>0</v>
      </c>
      <c r="AI281" s="37">
        <f t="shared" si="40"/>
        <v>14974.289999999997</v>
      </c>
      <c r="AJ281" s="37">
        <f t="shared" si="41"/>
        <v>14901.781526637526</v>
      </c>
      <c r="AK281" s="37">
        <f t="shared" si="42"/>
        <v>10005.760000000002</v>
      </c>
      <c r="AL281" s="37">
        <f t="shared" si="43"/>
        <v>19012.736988000001</v>
      </c>
      <c r="AM281" s="37">
        <f t="shared" si="44"/>
        <v>19012.736988000001</v>
      </c>
      <c r="AN281" s="37">
        <f t="shared" si="45"/>
        <v>0</v>
      </c>
      <c r="AO281" s="37">
        <f t="shared" si="46"/>
        <v>0</v>
      </c>
    </row>
    <row r="282" spans="1:41" hidden="1" x14ac:dyDescent="0.3">
      <c r="A282" t="str">
        <f t="shared" si="38"/>
        <v>209nov</v>
      </c>
      <c r="B282" t="str">
        <f t="shared" si="39"/>
        <v>MEGACENTER ADIDASnov</v>
      </c>
      <c r="C282" s="1" t="s">
        <v>79</v>
      </c>
      <c r="D282" s="1" t="s">
        <v>35</v>
      </c>
      <c r="E282" s="1">
        <v>209</v>
      </c>
      <c r="F282" s="1" t="s">
        <v>120</v>
      </c>
      <c r="G282" s="1" t="s">
        <v>120</v>
      </c>
      <c r="H282" s="1" t="s">
        <v>122</v>
      </c>
      <c r="I282" s="1" t="s">
        <v>125</v>
      </c>
      <c r="J282" s="1" t="s">
        <v>133</v>
      </c>
      <c r="K282" t="s">
        <v>90</v>
      </c>
      <c r="L282" s="6">
        <v>27951.140000000003</v>
      </c>
      <c r="M282" s="6">
        <v>13912.810000000001</v>
      </c>
      <c r="N282" s="6">
        <v>26006.990000000005</v>
      </c>
      <c r="O282" s="6">
        <v>13468.510000000004</v>
      </c>
      <c r="P282" s="6">
        <v>51742</v>
      </c>
      <c r="Q282" s="6">
        <v>25524</v>
      </c>
      <c r="R282" s="6">
        <v>30038.073450000007</v>
      </c>
      <c r="S282" s="6">
        <v>14581.682375568003</v>
      </c>
      <c r="T282" s="6">
        <v>0</v>
      </c>
      <c r="U282" s="6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4">
        <v>0.5493042502023171</v>
      </c>
      <c r="AC282" s="34">
        <v>0.60951767197972573</v>
      </c>
      <c r="AD282" s="34">
        <v>0.28638898367565607</v>
      </c>
      <c r="AE282" s="34">
        <v>0.48</v>
      </c>
      <c r="AF282" s="34">
        <v>0.48</v>
      </c>
      <c r="AG282" s="34">
        <v>0</v>
      </c>
      <c r="AH282" s="34">
        <v>0</v>
      </c>
      <c r="AI282" s="37">
        <f t="shared" si="40"/>
        <v>15353.679999999995</v>
      </c>
      <c r="AJ282" s="37">
        <f t="shared" si="41"/>
        <v>15851.72000000001</v>
      </c>
      <c r="AK282" s="37">
        <f t="shared" si="42"/>
        <v>0</v>
      </c>
      <c r="AL282" s="37">
        <f t="shared" si="43"/>
        <v>14418.275256000003</v>
      </c>
      <c r="AM282" s="37">
        <f t="shared" si="44"/>
        <v>0</v>
      </c>
      <c r="AN282" s="37">
        <f t="shared" si="45"/>
        <v>0</v>
      </c>
      <c r="AO282" s="37">
        <f t="shared" si="46"/>
        <v>0</v>
      </c>
    </row>
    <row r="283" spans="1:41" hidden="1" x14ac:dyDescent="0.3">
      <c r="A283" t="str">
        <f t="shared" si="38"/>
        <v>209dic</v>
      </c>
      <c r="B283" t="str">
        <f t="shared" si="39"/>
        <v>MEGACENTER ADIDASdic</v>
      </c>
      <c r="C283" s="1" t="s">
        <v>79</v>
      </c>
      <c r="D283" s="1" t="s">
        <v>35</v>
      </c>
      <c r="E283" s="1">
        <v>209</v>
      </c>
      <c r="F283" s="1" t="s">
        <v>120</v>
      </c>
      <c r="G283" s="1" t="s">
        <v>120</v>
      </c>
      <c r="H283" s="1" t="s">
        <v>122</v>
      </c>
      <c r="I283" s="1" t="s">
        <v>125</v>
      </c>
      <c r="J283" s="1" t="s">
        <v>133</v>
      </c>
      <c r="K283" t="s">
        <v>91</v>
      </c>
      <c r="L283" s="6">
        <v>50719.710000000006</v>
      </c>
      <c r="M283" s="6">
        <v>24965.57</v>
      </c>
      <c r="N283" s="6">
        <v>48187.66</v>
      </c>
      <c r="O283" s="6">
        <v>25863.21</v>
      </c>
      <c r="P283" s="6">
        <v>87816</v>
      </c>
      <c r="Q283" s="6">
        <v>48457</v>
      </c>
      <c r="R283" s="6">
        <v>55889.063999999998</v>
      </c>
      <c r="S283" s="6">
        <v>30314.228313600001</v>
      </c>
      <c r="T283" s="6">
        <v>0</v>
      </c>
      <c r="U283" s="6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4">
        <v>0.4805435598902279</v>
      </c>
      <c r="AC283" s="34">
        <v>0.77011705187977419</v>
      </c>
      <c r="AD283" s="34">
        <v>0.5819868090491418</v>
      </c>
      <c r="AE283" s="34">
        <v>0.8</v>
      </c>
      <c r="AF283" s="34">
        <v>0.8</v>
      </c>
      <c r="AG283" s="34">
        <v>0</v>
      </c>
      <c r="AH283" s="34">
        <v>0</v>
      </c>
      <c r="AI283" s="37">
        <f t="shared" si="40"/>
        <v>24373.029999999995</v>
      </c>
      <c r="AJ283" s="37">
        <f t="shared" si="41"/>
        <v>37110.138656184921</v>
      </c>
      <c r="AK283" s="37">
        <f t="shared" si="42"/>
        <v>0</v>
      </c>
      <c r="AL283" s="37">
        <f t="shared" si="43"/>
        <v>44711.251199999999</v>
      </c>
      <c r="AM283" s="37">
        <f t="shared" si="44"/>
        <v>0</v>
      </c>
      <c r="AN283" s="37">
        <f t="shared" si="45"/>
        <v>0</v>
      </c>
      <c r="AO283" s="37">
        <f t="shared" si="46"/>
        <v>0</v>
      </c>
    </row>
    <row r="284" spans="1:41" hidden="1" x14ac:dyDescent="0.3">
      <c r="A284" t="str">
        <f t="shared" si="38"/>
        <v>208ene</v>
      </c>
      <c r="B284" t="str">
        <f t="shared" si="39"/>
        <v>MEGACENTER FPene</v>
      </c>
      <c r="C284" s="1" t="s">
        <v>79</v>
      </c>
      <c r="D284" s="1" t="s">
        <v>36</v>
      </c>
      <c r="E284" s="1">
        <v>208</v>
      </c>
      <c r="F284" s="1" t="s">
        <v>120</v>
      </c>
      <c r="G284" s="1" t="s">
        <v>120</v>
      </c>
      <c r="H284" s="1" t="s">
        <v>120</v>
      </c>
      <c r="I284" s="1" t="s">
        <v>125</v>
      </c>
      <c r="J284" s="1" t="s">
        <v>133</v>
      </c>
      <c r="K284" t="s">
        <v>80</v>
      </c>
      <c r="L284" s="6">
        <v>49031.469999999994</v>
      </c>
      <c r="M284" s="6">
        <v>25555.929999999997</v>
      </c>
      <c r="N284" s="6">
        <v>24865.309999999998</v>
      </c>
      <c r="O284" s="6">
        <v>12434.479999999994</v>
      </c>
      <c r="P284" s="6">
        <v>18583.417166666666</v>
      </c>
      <c r="Q284" s="6">
        <v>9850.1035724999983</v>
      </c>
      <c r="R284" s="6">
        <v>28443.330000000027</v>
      </c>
      <c r="S284" s="6">
        <v>15176.35692003608</v>
      </c>
      <c r="T284" s="6">
        <v>28443.33000000002</v>
      </c>
      <c r="U284" s="6">
        <v>14988.710000000021</v>
      </c>
      <c r="V284" s="30">
        <v>39626.320000000043</v>
      </c>
      <c r="W284" s="30">
        <v>20881.782085543469</v>
      </c>
      <c r="X284" s="30">
        <v>43588.952000000048</v>
      </c>
      <c r="Y284" s="30">
        <v>23141.408610997532</v>
      </c>
      <c r="Z284" s="30">
        <v>58779.885057471227</v>
      </c>
      <c r="AA284" s="30">
        <v>32796.277415995297</v>
      </c>
      <c r="AB284" s="34">
        <v>0.79659716504522571</v>
      </c>
      <c r="AC284" s="34">
        <v>0.81557830664080255</v>
      </c>
      <c r="AD284" s="34">
        <v>0.83287936508927007</v>
      </c>
      <c r="AE284" s="34">
        <v>0.83287936508926996</v>
      </c>
      <c r="AF284" s="34">
        <v>0.83287936508926996</v>
      </c>
      <c r="AG284" s="34">
        <v>0.88</v>
      </c>
      <c r="AH284" s="34">
        <v>0.98227851814190881</v>
      </c>
      <c r="AI284" s="37">
        <f t="shared" si="40"/>
        <v>39058.330000000031</v>
      </c>
      <c r="AJ284" s="37">
        <f t="shared" si="41"/>
        <v>20279.607423898611</v>
      </c>
      <c r="AK284" s="37">
        <f t="shared" si="42"/>
        <v>23689.862631424603</v>
      </c>
      <c r="AL284" s="37">
        <f t="shared" si="43"/>
        <v>23689.862631424607</v>
      </c>
      <c r="AM284" s="37">
        <f t="shared" si="44"/>
        <v>33003.944242424273</v>
      </c>
      <c r="AN284" s="37">
        <f t="shared" si="45"/>
        <v>38358.277760000041</v>
      </c>
      <c r="AO284" s="37">
        <f t="shared" si="46"/>
        <v>57738.218390804563</v>
      </c>
    </row>
    <row r="285" spans="1:41" hidden="1" x14ac:dyDescent="0.3">
      <c r="A285" t="str">
        <f t="shared" si="38"/>
        <v>208feb</v>
      </c>
      <c r="B285" t="str">
        <f t="shared" si="39"/>
        <v>MEGACENTER FPfeb</v>
      </c>
      <c r="C285" s="1" t="s">
        <v>79</v>
      </c>
      <c r="D285" s="1" t="s">
        <v>36</v>
      </c>
      <c r="E285" s="1">
        <v>208</v>
      </c>
      <c r="F285" s="1" t="s">
        <v>120</v>
      </c>
      <c r="G285" s="1" t="s">
        <v>120</v>
      </c>
      <c r="H285" s="1" t="s">
        <v>120</v>
      </c>
      <c r="I285" s="1" t="s">
        <v>125</v>
      </c>
      <c r="J285" s="1" t="s">
        <v>133</v>
      </c>
      <c r="K285" t="s">
        <v>81</v>
      </c>
      <c r="L285" s="6">
        <v>65348.409999999989</v>
      </c>
      <c r="M285" s="6">
        <v>27843.449999999983</v>
      </c>
      <c r="N285" s="6">
        <v>27662.729999999996</v>
      </c>
      <c r="O285" s="6">
        <v>13097.979999999994</v>
      </c>
      <c r="P285" s="6">
        <v>26751.908999999992</v>
      </c>
      <c r="Q285" s="6">
        <v>11347.179516999997</v>
      </c>
      <c r="R285" s="6">
        <v>46657.879999999976</v>
      </c>
      <c r="S285" s="6">
        <v>21219.719999999983</v>
      </c>
      <c r="T285" s="6">
        <v>46657.879999999983</v>
      </c>
      <c r="U285" s="6">
        <v>21235.409999999989</v>
      </c>
      <c r="V285" s="30">
        <v>47404.880000000063</v>
      </c>
      <c r="W285" s="30">
        <v>21575.392255301809</v>
      </c>
      <c r="X285" s="30">
        <v>51671.319200000071</v>
      </c>
      <c r="Y285" s="30">
        <v>23807.090202503015</v>
      </c>
      <c r="Z285" s="30">
        <v>77091.091954023199</v>
      </c>
      <c r="AA285" s="30">
        <v>36199.536471426116</v>
      </c>
      <c r="AB285" s="34">
        <v>0.37721927740858635</v>
      </c>
      <c r="AC285" s="34">
        <v>0.55081695248612494</v>
      </c>
      <c r="AD285" s="34">
        <v>0.34827964751077434</v>
      </c>
      <c r="AE285" s="34">
        <v>0.34827964751077417</v>
      </c>
      <c r="AF285" s="34">
        <v>0.34827964751077417</v>
      </c>
      <c r="AG285" s="34">
        <v>0.4</v>
      </c>
      <c r="AH285" s="34">
        <v>0.44928935391405134</v>
      </c>
      <c r="AI285" s="37">
        <f t="shared" si="40"/>
        <v>24650.680000000033</v>
      </c>
      <c r="AJ285" s="37">
        <f t="shared" si="41"/>
        <v>15237.100636046502</v>
      </c>
      <c r="AK285" s="37">
        <f t="shared" si="42"/>
        <v>16249.990000000002</v>
      </c>
      <c r="AL285" s="37">
        <f t="shared" si="43"/>
        <v>16249.989999999991</v>
      </c>
      <c r="AM285" s="37">
        <f t="shared" si="44"/>
        <v>16510.154896690568</v>
      </c>
      <c r="AN285" s="37">
        <f t="shared" si="45"/>
        <v>20668.527680000028</v>
      </c>
      <c r="AO285" s="37">
        <f t="shared" si="46"/>
        <v>34636.206896551805</v>
      </c>
    </row>
    <row r="286" spans="1:41" hidden="1" x14ac:dyDescent="0.3">
      <c r="A286" t="str">
        <f t="shared" si="38"/>
        <v>208mar</v>
      </c>
      <c r="B286" t="str">
        <f t="shared" si="39"/>
        <v>MEGACENTER FPmar</v>
      </c>
      <c r="C286" s="1" t="s">
        <v>79</v>
      </c>
      <c r="D286" s="1" t="s">
        <v>36</v>
      </c>
      <c r="E286" s="1">
        <v>208</v>
      </c>
      <c r="F286" s="1" t="s">
        <v>120</v>
      </c>
      <c r="G286" s="1" t="s">
        <v>120</v>
      </c>
      <c r="H286" s="1" t="s">
        <v>120</v>
      </c>
      <c r="I286" s="1" t="s">
        <v>125</v>
      </c>
      <c r="J286" s="1" t="s">
        <v>133</v>
      </c>
      <c r="K286" t="s">
        <v>82</v>
      </c>
      <c r="L286" s="6">
        <v>55579.78</v>
      </c>
      <c r="M286" s="6">
        <v>25387.119999999995</v>
      </c>
      <c r="N286" s="6">
        <v>37750.979999999996</v>
      </c>
      <c r="O286" s="6">
        <v>17851.019999999997</v>
      </c>
      <c r="P286" s="6">
        <v>19061.598874999996</v>
      </c>
      <c r="Q286" s="6">
        <v>9042.636146249999</v>
      </c>
      <c r="R286" s="6">
        <v>43449.780000000057</v>
      </c>
      <c r="S286" s="6">
        <v>22021.900600991008</v>
      </c>
      <c r="T286" s="6">
        <v>43449.780000000072</v>
      </c>
      <c r="U286" s="6">
        <v>21920.580000000075</v>
      </c>
      <c r="V286" s="30">
        <v>65595.890000000072</v>
      </c>
      <c r="W286" s="30">
        <v>33093.377099175283</v>
      </c>
      <c r="X286" s="30">
        <v>72155.479000000079</v>
      </c>
      <c r="Y286" s="30">
        <v>37990.998847942377</v>
      </c>
      <c r="Z286" s="30">
        <v>63285.85572489693</v>
      </c>
      <c r="AA286" s="30">
        <v>31896.071285348055</v>
      </c>
      <c r="AB286" s="34">
        <v>0.49676339129086194</v>
      </c>
      <c r="AC286" s="34">
        <v>0.54368385151820364</v>
      </c>
      <c r="AD286" s="34">
        <v>0.61815525883153088</v>
      </c>
      <c r="AE286" s="34">
        <v>0.61815525883153055</v>
      </c>
      <c r="AF286" s="34">
        <v>0.61815525883153055</v>
      </c>
      <c r="AG286" s="34">
        <v>0.85</v>
      </c>
      <c r="AH286" s="34">
        <v>0.68005795103520494</v>
      </c>
      <c r="AI286" s="37">
        <f t="shared" si="40"/>
        <v>27610.000000000022</v>
      </c>
      <c r="AJ286" s="37">
        <f t="shared" si="41"/>
        <v>20524.598204986672</v>
      </c>
      <c r="AK286" s="37">
        <f t="shared" si="42"/>
        <v>26858.71000207312</v>
      </c>
      <c r="AL286" s="37">
        <f t="shared" si="43"/>
        <v>26858.710002073094</v>
      </c>
      <c r="AM286" s="37">
        <f t="shared" si="44"/>
        <v>40548.444361234651</v>
      </c>
      <c r="AN286" s="37">
        <f t="shared" si="45"/>
        <v>61332.157150000065</v>
      </c>
      <c r="AO286" s="37">
        <f t="shared" si="46"/>
        <v>43038.049373783004</v>
      </c>
    </row>
    <row r="287" spans="1:41" hidden="1" x14ac:dyDescent="0.3">
      <c r="A287" t="str">
        <f t="shared" si="38"/>
        <v>208abr</v>
      </c>
      <c r="B287" t="str">
        <f t="shared" si="39"/>
        <v>MEGACENTER FPabr</v>
      </c>
      <c r="C287" s="1" t="s">
        <v>79</v>
      </c>
      <c r="D287" s="1" t="s">
        <v>36</v>
      </c>
      <c r="E287" s="1">
        <v>208</v>
      </c>
      <c r="F287" s="1" t="s">
        <v>120</v>
      </c>
      <c r="G287" s="1" t="s">
        <v>120</v>
      </c>
      <c r="H287" s="1" t="s">
        <v>120</v>
      </c>
      <c r="I287" s="1" t="s">
        <v>125</v>
      </c>
      <c r="J287" s="1" t="s">
        <v>133</v>
      </c>
      <c r="K287" t="s">
        <v>83</v>
      </c>
      <c r="L287" s="6">
        <v>30986.129999999997</v>
      </c>
      <c r="M287" s="6">
        <v>16213.049999999996</v>
      </c>
      <c r="N287" s="6">
        <v>27580.329999999998</v>
      </c>
      <c r="O287" s="6">
        <v>15392.349999999999</v>
      </c>
      <c r="P287" s="6">
        <v>12545.844825</v>
      </c>
      <c r="Q287" s="6">
        <v>6918.1379547500001</v>
      </c>
      <c r="R287" s="6">
        <v>36329.14999999998</v>
      </c>
      <c r="S287" s="6">
        <v>19875.012780072077</v>
      </c>
      <c r="T287" s="6">
        <v>36329.149999999987</v>
      </c>
      <c r="U287" s="6">
        <v>19544.179999999986</v>
      </c>
      <c r="V287" s="30">
        <v>44241.350000000137</v>
      </c>
      <c r="W287" s="30">
        <v>23800.746999117851</v>
      </c>
      <c r="X287" s="30">
        <v>48665.485000000153</v>
      </c>
      <c r="Y287" s="30">
        <v>25836.543939789452</v>
      </c>
      <c r="Z287" s="30">
        <v>0</v>
      </c>
      <c r="AA287" s="30">
        <v>0</v>
      </c>
      <c r="AB287" s="34">
        <v>0.79828168280453238</v>
      </c>
      <c r="AC287" s="34">
        <v>0.89590565239128706</v>
      </c>
      <c r="AD287" s="34">
        <v>0.86732855972931622</v>
      </c>
      <c r="AE287" s="34">
        <v>0.86732855972931611</v>
      </c>
      <c r="AF287" s="34">
        <v>0.86732855972931611</v>
      </c>
      <c r="AG287" s="34">
        <v>0.88</v>
      </c>
      <c r="AH287" s="34">
        <v>0</v>
      </c>
      <c r="AI287" s="37">
        <f t="shared" si="40"/>
        <v>24735.660000000003</v>
      </c>
      <c r="AJ287" s="37">
        <f t="shared" si="41"/>
        <v>24709.373541816985</v>
      </c>
      <c r="AK287" s="37">
        <f t="shared" si="42"/>
        <v>31509.309345690275</v>
      </c>
      <c r="AL287" s="37">
        <f t="shared" si="43"/>
        <v>31509.309345690268</v>
      </c>
      <c r="AM287" s="37">
        <f t="shared" si="44"/>
        <v>38371.786375980701</v>
      </c>
      <c r="AN287" s="37">
        <f t="shared" si="45"/>
        <v>42825.626800000136</v>
      </c>
      <c r="AO287" s="37">
        <f t="shared" si="46"/>
        <v>0</v>
      </c>
    </row>
    <row r="288" spans="1:41" hidden="1" x14ac:dyDescent="0.3">
      <c r="A288" t="str">
        <f t="shared" si="38"/>
        <v>208may</v>
      </c>
      <c r="B288" t="str">
        <f t="shared" si="39"/>
        <v>MEGACENTER FPmay</v>
      </c>
      <c r="C288" s="1" t="s">
        <v>79</v>
      </c>
      <c r="D288" s="1" t="s">
        <v>36</v>
      </c>
      <c r="E288" s="1">
        <v>208</v>
      </c>
      <c r="F288" s="1" t="s">
        <v>120</v>
      </c>
      <c r="G288" s="1" t="s">
        <v>120</v>
      </c>
      <c r="H288" s="1" t="s">
        <v>120</v>
      </c>
      <c r="I288" s="1" t="s">
        <v>125</v>
      </c>
      <c r="J288" s="1" t="s">
        <v>133</v>
      </c>
      <c r="K288" t="s">
        <v>84</v>
      </c>
      <c r="L288" s="6">
        <v>36103.849999999991</v>
      </c>
      <c r="M288" s="6">
        <v>19089.819999999989</v>
      </c>
      <c r="N288" s="6">
        <v>35733.179999999993</v>
      </c>
      <c r="O288" s="6">
        <v>19821.119999999992</v>
      </c>
      <c r="P288" s="6">
        <v>17579</v>
      </c>
      <c r="Q288" s="6">
        <v>8895</v>
      </c>
      <c r="R288" s="6">
        <v>40278.280000000035</v>
      </c>
      <c r="S288" s="6">
        <v>22310.467866000497</v>
      </c>
      <c r="T288" s="6">
        <v>40278.280000000035</v>
      </c>
      <c r="U288" s="6">
        <v>21979.140000000039</v>
      </c>
      <c r="V288" s="30">
        <v>52742.230000000112</v>
      </c>
      <c r="W288" s="30">
        <v>28780.495519724365</v>
      </c>
      <c r="X288" s="30">
        <v>58016.453000000132</v>
      </c>
      <c r="Y288" s="30">
        <v>30800.980143632143</v>
      </c>
      <c r="Z288" s="30">
        <v>0</v>
      </c>
      <c r="AA288" s="30">
        <v>0</v>
      </c>
      <c r="AB288" s="34">
        <v>0.78488166774457579</v>
      </c>
      <c r="AC288" s="34">
        <v>0.94062386978089962</v>
      </c>
      <c r="AD288" s="34">
        <v>0.92484907854964693</v>
      </c>
      <c r="AE288" s="34">
        <v>0.92484907854964704</v>
      </c>
      <c r="AF288" s="34">
        <v>0.92484907854964704</v>
      </c>
      <c r="AG288" s="34">
        <v>0.88</v>
      </c>
      <c r="AH288" s="34">
        <v>0</v>
      </c>
      <c r="AI288" s="37">
        <f t="shared" si="40"/>
        <v>28337.249999999996</v>
      </c>
      <c r="AJ288" s="37">
        <f t="shared" si="41"/>
        <v>33611.482051177438</v>
      </c>
      <c r="AK288" s="37">
        <f t="shared" si="42"/>
        <v>37251.330143564708</v>
      </c>
      <c r="AL288" s="37">
        <f t="shared" si="43"/>
        <v>37251.330143564708</v>
      </c>
      <c r="AM288" s="37">
        <f t="shared" si="44"/>
        <v>48778.602816153652</v>
      </c>
      <c r="AN288" s="37">
        <f t="shared" si="45"/>
        <v>51054.478640000118</v>
      </c>
      <c r="AO288" s="37">
        <f t="shared" si="46"/>
        <v>0</v>
      </c>
    </row>
    <row r="289" spans="1:41" hidden="1" x14ac:dyDescent="0.3">
      <c r="A289" t="str">
        <f t="shared" si="38"/>
        <v>208jun</v>
      </c>
      <c r="B289" t="str">
        <f t="shared" si="39"/>
        <v>MEGACENTER FPjun</v>
      </c>
      <c r="C289" s="1" t="s">
        <v>79</v>
      </c>
      <c r="D289" s="1" t="s">
        <v>36</v>
      </c>
      <c r="E289" s="1">
        <v>208</v>
      </c>
      <c r="F289" s="1" t="s">
        <v>120</v>
      </c>
      <c r="G289" s="1" t="s">
        <v>120</v>
      </c>
      <c r="H289" s="1" t="s">
        <v>120</v>
      </c>
      <c r="I289" s="1" t="s">
        <v>125</v>
      </c>
      <c r="J289" s="1" t="s">
        <v>133</v>
      </c>
      <c r="K289" t="s">
        <v>85</v>
      </c>
      <c r="L289" s="6">
        <v>43694.95</v>
      </c>
      <c r="M289" s="6">
        <v>23328.85</v>
      </c>
      <c r="N289" s="6">
        <v>32414.529999999995</v>
      </c>
      <c r="O289" s="6">
        <v>18161.439999999995</v>
      </c>
      <c r="P289" s="6">
        <v>15720</v>
      </c>
      <c r="Q289" s="6">
        <v>8696</v>
      </c>
      <c r="R289" s="6">
        <v>31787.589999999982</v>
      </c>
      <c r="S289" s="6">
        <v>17505.348589384474</v>
      </c>
      <c r="T289" s="6">
        <v>31787.590000000011</v>
      </c>
      <c r="U289" s="6">
        <v>17505.310000000005</v>
      </c>
      <c r="V289" s="30">
        <v>45686.200000000012</v>
      </c>
      <c r="W289" s="30">
        <v>25159.223889637437</v>
      </c>
      <c r="X289" s="30">
        <v>51168.544000000009</v>
      </c>
      <c r="Y289" s="30">
        <v>27165.419914977647</v>
      </c>
      <c r="Z289" s="30">
        <v>0</v>
      </c>
      <c r="AA289" s="30">
        <v>0</v>
      </c>
      <c r="AB289" s="34">
        <v>0.82836895339163974</v>
      </c>
      <c r="AC289" s="34">
        <v>0.93657113695377758</v>
      </c>
      <c r="AD289" s="34">
        <v>0.93715907787301156</v>
      </c>
      <c r="AE289" s="34">
        <v>0.93715907787301156</v>
      </c>
      <c r="AF289" s="34">
        <v>0.93715907787301156</v>
      </c>
      <c r="AG289" s="34">
        <v>0.88</v>
      </c>
      <c r="AH289" s="34">
        <v>0</v>
      </c>
      <c r="AI289" s="37">
        <f t="shared" si="40"/>
        <v>36195.54000000003</v>
      </c>
      <c r="AJ289" s="37">
        <f t="shared" si="41"/>
        <v>30358.513215922329</v>
      </c>
      <c r="AK289" s="37">
        <f t="shared" si="42"/>
        <v>29790.028532205375</v>
      </c>
      <c r="AL289" s="37">
        <f t="shared" si="43"/>
        <v>29790.028532205346</v>
      </c>
      <c r="AM289" s="37">
        <f t="shared" si="44"/>
        <v>42815.237063521992</v>
      </c>
      <c r="AN289" s="37">
        <f t="shared" si="45"/>
        <v>45028.31872000001</v>
      </c>
      <c r="AO289" s="37">
        <f t="shared" si="46"/>
        <v>0</v>
      </c>
    </row>
    <row r="290" spans="1:41" hidden="1" x14ac:dyDescent="0.3">
      <c r="A290" t="str">
        <f t="shared" si="38"/>
        <v>208jul</v>
      </c>
      <c r="B290" t="str">
        <f t="shared" si="39"/>
        <v>MEGACENTER FPjul</v>
      </c>
      <c r="C290" s="1" t="s">
        <v>79</v>
      </c>
      <c r="D290" s="1" t="s">
        <v>36</v>
      </c>
      <c r="E290" s="1">
        <v>208</v>
      </c>
      <c r="F290" s="1" t="s">
        <v>120</v>
      </c>
      <c r="G290" s="1" t="s">
        <v>120</v>
      </c>
      <c r="H290" s="1" t="s">
        <v>120</v>
      </c>
      <c r="I290" s="1" t="s">
        <v>125</v>
      </c>
      <c r="J290" s="1" t="s">
        <v>133</v>
      </c>
      <c r="K290" t="s">
        <v>86</v>
      </c>
      <c r="L290" s="6">
        <v>37905.31</v>
      </c>
      <c r="M290" s="6">
        <v>20509.149999999998</v>
      </c>
      <c r="N290" s="6">
        <v>31011.78999999999</v>
      </c>
      <c r="O290" s="6">
        <v>17344.919999999987</v>
      </c>
      <c r="P290" s="6">
        <v>16572</v>
      </c>
      <c r="Q290" s="6">
        <v>9030</v>
      </c>
      <c r="R290" s="6">
        <v>33620.079999999994</v>
      </c>
      <c r="S290" s="6">
        <v>18414.170000000016</v>
      </c>
      <c r="T290" s="6">
        <v>33620.079999999973</v>
      </c>
      <c r="U290" s="6">
        <v>18414.169999999966</v>
      </c>
      <c r="V290" s="30">
        <v>44422.080000000045</v>
      </c>
      <c r="W290" s="30">
        <v>24330.570684947801</v>
      </c>
      <c r="X290" s="30">
        <v>49752.729600000057</v>
      </c>
      <c r="Y290" s="30">
        <v>26413.762945850856</v>
      </c>
      <c r="Z290" s="30">
        <v>0</v>
      </c>
      <c r="AA290" s="30">
        <v>0</v>
      </c>
      <c r="AB290" s="34">
        <v>0.89464879722656288</v>
      </c>
      <c r="AC290" s="34">
        <v>0.95599323502435218</v>
      </c>
      <c r="AD290" s="34">
        <v>0.95036716152965739</v>
      </c>
      <c r="AE290" s="34">
        <v>0.95036716152965739</v>
      </c>
      <c r="AF290" s="34">
        <v>0.95036716152965739</v>
      </c>
      <c r="AG290" s="34">
        <v>0.88000000000000012</v>
      </c>
      <c r="AH290" s="34">
        <v>0</v>
      </c>
      <c r="AI290" s="37">
        <f t="shared" si="40"/>
        <v>33911.94</v>
      </c>
      <c r="AJ290" s="37">
        <f t="shared" si="41"/>
        <v>29647.061445995845</v>
      </c>
      <c r="AK290" s="37">
        <f t="shared" si="42"/>
        <v>31951.419999999976</v>
      </c>
      <c r="AL290" s="37">
        <f t="shared" si="43"/>
        <v>31951.42</v>
      </c>
      <c r="AM290" s="37">
        <f t="shared" si="44"/>
        <v>42217.286078843405</v>
      </c>
      <c r="AN290" s="37">
        <f t="shared" si="45"/>
        <v>43782.402048000054</v>
      </c>
      <c r="AO290" s="37">
        <f t="shared" si="46"/>
        <v>0</v>
      </c>
    </row>
    <row r="291" spans="1:41" hidden="1" x14ac:dyDescent="0.3">
      <c r="A291" t="str">
        <f t="shared" si="38"/>
        <v>208ago</v>
      </c>
      <c r="B291" t="str">
        <f t="shared" si="39"/>
        <v>MEGACENTER FPago</v>
      </c>
      <c r="C291" s="1" t="s">
        <v>79</v>
      </c>
      <c r="D291" s="1" t="s">
        <v>36</v>
      </c>
      <c r="E291" s="1">
        <v>208</v>
      </c>
      <c r="F291" s="1" t="s">
        <v>120</v>
      </c>
      <c r="G291" s="1" t="s">
        <v>120</v>
      </c>
      <c r="H291" s="1" t="s">
        <v>120</v>
      </c>
      <c r="I291" s="1" t="s">
        <v>125</v>
      </c>
      <c r="J291" s="1" t="s">
        <v>133</v>
      </c>
      <c r="K291" t="s">
        <v>87</v>
      </c>
      <c r="L291" s="6">
        <v>83701.419999999984</v>
      </c>
      <c r="M291" s="6">
        <v>30531.05</v>
      </c>
      <c r="N291" s="6">
        <v>52391.969999999979</v>
      </c>
      <c r="O291" s="6">
        <v>24195.379999999983</v>
      </c>
      <c r="P291" s="6">
        <v>33520</v>
      </c>
      <c r="Q291" s="6">
        <v>12406</v>
      </c>
      <c r="R291" s="6">
        <v>57181.010965373389</v>
      </c>
      <c r="S291" s="6">
        <v>26226.070679268509</v>
      </c>
      <c r="T291" s="6">
        <v>65939.419999999955</v>
      </c>
      <c r="U291" s="6">
        <v>30647.069999999956</v>
      </c>
      <c r="V291" s="30">
        <v>79744.590000000113</v>
      </c>
      <c r="W291" s="30">
        <v>36574.856203500058</v>
      </c>
      <c r="X291" s="30">
        <v>84529.26540000012</v>
      </c>
      <c r="Y291" s="30">
        <v>38946.089964142375</v>
      </c>
      <c r="Z291" s="30">
        <v>0</v>
      </c>
      <c r="AA291" s="30">
        <v>0</v>
      </c>
      <c r="AB291" s="34">
        <v>0.27880458897829979</v>
      </c>
      <c r="AC291" s="34">
        <v>0.42405456298718608</v>
      </c>
      <c r="AD291" s="34">
        <v>0.4873464158465462</v>
      </c>
      <c r="AE291" s="34">
        <v>0.37</v>
      </c>
      <c r="AF291" s="34">
        <v>0.37</v>
      </c>
      <c r="AG291" s="34">
        <v>0.40000000000000008</v>
      </c>
      <c r="AH291" s="34">
        <v>0</v>
      </c>
      <c r="AI291" s="37">
        <f t="shared" si="40"/>
        <v>23336.340000000037</v>
      </c>
      <c r="AJ291" s="37">
        <f t="shared" si="41"/>
        <v>22217.053942387756</v>
      </c>
      <c r="AK291" s="37">
        <f t="shared" si="42"/>
        <v>32135.340000000044</v>
      </c>
      <c r="AL291" s="37">
        <f t="shared" si="43"/>
        <v>21156.974057188152</v>
      </c>
      <c r="AM291" s="37">
        <f t="shared" si="44"/>
        <v>29505.498300000043</v>
      </c>
      <c r="AN291" s="37">
        <f t="shared" si="45"/>
        <v>33811.706160000052</v>
      </c>
      <c r="AO291" s="37">
        <f t="shared" si="46"/>
        <v>0</v>
      </c>
    </row>
    <row r="292" spans="1:41" hidden="1" x14ac:dyDescent="0.3">
      <c r="A292" t="str">
        <f t="shared" si="38"/>
        <v>208sep</v>
      </c>
      <c r="B292" t="str">
        <f t="shared" si="39"/>
        <v>MEGACENTER FPsep</v>
      </c>
      <c r="C292" s="1" t="s">
        <v>79</v>
      </c>
      <c r="D292" s="1" t="s">
        <v>36</v>
      </c>
      <c r="E292" s="1">
        <v>208</v>
      </c>
      <c r="F292" s="1" t="s">
        <v>120</v>
      </c>
      <c r="G292" s="1" t="s">
        <v>120</v>
      </c>
      <c r="H292" s="1" t="s">
        <v>120</v>
      </c>
      <c r="I292" s="1" t="s">
        <v>125</v>
      </c>
      <c r="J292" s="1" t="s">
        <v>133</v>
      </c>
      <c r="K292" t="s">
        <v>88</v>
      </c>
      <c r="L292" s="6">
        <v>25540.720000000001</v>
      </c>
      <c r="M292" s="6">
        <v>12582.21</v>
      </c>
      <c r="N292" s="6">
        <v>24333.349999999991</v>
      </c>
      <c r="O292" s="6">
        <v>12627.799999999996</v>
      </c>
      <c r="P292" s="6">
        <v>16975</v>
      </c>
      <c r="Q292" s="6">
        <v>9127</v>
      </c>
      <c r="R292" s="6">
        <v>24049.201169999986</v>
      </c>
      <c r="S292" s="6">
        <v>12813.414383375994</v>
      </c>
      <c r="T292" s="6">
        <v>19184.140000000014</v>
      </c>
      <c r="U292" s="6">
        <v>10257.250000000013</v>
      </c>
      <c r="V292" s="30">
        <v>42122.539999999994</v>
      </c>
      <c r="W292" s="30">
        <v>22521.803083953731</v>
      </c>
      <c r="X292" s="30">
        <v>46334.793999999987</v>
      </c>
      <c r="Y292" s="30">
        <v>24396.000551443165</v>
      </c>
      <c r="Z292" s="30">
        <v>0</v>
      </c>
      <c r="AA292" s="30">
        <v>0</v>
      </c>
      <c r="AB292" s="34">
        <v>0.75042755255137716</v>
      </c>
      <c r="AC292" s="34">
        <v>0.73402265963913615</v>
      </c>
      <c r="AD292" s="34">
        <v>0.88038921734307618</v>
      </c>
      <c r="AE292" s="34">
        <v>0.8</v>
      </c>
      <c r="AF292" s="34">
        <v>0.8</v>
      </c>
      <c r="AG292" s="34">
        <v>0.85</v>
      </c>
      <c r="AH292" s="34">
        <v>0</v>
      </c>
      <c r="AI292" s="37">
        <f t="shared" si="40"/>
        <v>19166.46000000001</v>
      </c>
      <c r="AJ292" s="37">
        <f t="shared" si="41"/>
        <v>17861.230284929967</v>
      </c>
      <c r="AK292" s="37">
        <f t="shared" si="42"/>
        <v>16889.510000000013</v>
      </c>
      <c r="AL292" s="37">
        <f t="shared" si="43"/>
        <v>19239.36093599999</v>
      </c>
      <c r="AM292" s="37">
        <f t="shared" si="44"/>
        <v>33698.031999999999</v>
      </c>
      <c r="AN292" s="37">
        <f t="shared" si="45"/>
        <v>39384.574899999985</v>
      </c>
      <c r="AO292" s="37">
        <f t="shared" si="46"/>
        <v>0</v>
      </c>
    </row>
    <row r="293" spans="1:41" hidden="1" x14ac:dyDescent="0.3">
      <c r="A293" t="str">
        <f t="shared" si="38"/>
        <v>208oct</v>
      </c>
      <c r="B293" t="str">
        <f t="shared" si="39"/>
        <v>MEGACENTER FPoct</v>
      </c>
      <c r="C293" s="1" t="s">
        <v>79</v>
      </c>
      <c r="D293" s="1" t="s">
        <v>36</v>
      </c>
      <c r="E293" s="1">
        <v>208</v>
      </c>
      <c r="F293" s="1" t="s">
        <v>120</v>
      </c>
      <c r="G293" s="1" t="s">
        <v>120</v>
      </c>
      <c r="H293" s="1" t="s">
        <v>120</v>
      </c>
      <c r="I293" s="1" t="s">
        <v>125</v>
      </c>
      <c r="J293" s="1" t="s">
        <v>133</v>
      </c>
      <c r="K293" t="s">
        <v>89</v>
      </c>
      <c r="L293" s="6">
        <v>32106.789999999994</v>
      </c>
      <c r="M293" s="6">
        <v>16995.219999999994</v>
      </c>
      <c r="N293" s="6">
        <v>30566.729999999996</v>
      </c>
      <c r="O293" s="6">
        <v>16698.549999999992</v>
      </c>
      <c r="P293" s="6">
        <v>17161</v>
      </c>
      <c r="Q293" s="6">
        <v>9171</v>
      </c>
      <c r="R293" s="6">
        <v>34071.165648000024</v>
      </c>
      <c r="S293" s="6">
        <v>18633.520492891214</v>
      </c>
      <c r="T293" s="6">
        <v>0</v>
      </c>
      <c r="U293" s="6">
        <v>0</v>
      </c>
      <c r="V293" s="30">
        <v>49191.400000000023</v>
      </c>
      <c r="W293" s="30">
        <v>26902.776660000014</v>
      </c>
      <c r="X293" s="30">
        <v>54602.45400000002</v>
      </c>
      <c r="Y293" s="30">
        <v>28988.485412018978</v>
      </c>
      <c r="Z293" s="30">
        <v>0</v>
      </c>
      <c r="AA293" s="30">
        <v>0</v>
      </c>
      <c r="AB293" s="34">
        <v>0.88022502405254477</v>
      </c>
      <c r="AC293" s="34">
        <v>0.867136250788481</v>
      </c>
      <c r="AD293" s="34">
        <v>0</v>
      </c>
      <c r="AE293" s="34">
        <v>0.9</v>
      </c>
      <c r="AF293" s="34">
        <v>0.9</v>
      </c>
      <c r="AG293" s="34">
        <v>0.88</v>
      </c>
      <c r="AH293" s="34">
        <v>0</v>
      </c>
      <c r="AI293" s="37">
        <f t="shared" si="40"/>
        <v>28261.199999999997</v>
      </c>
      <c r="AJ293" s="37">
        <f t="shared" si="41"/>
        <v>26505.519651063783</v>
      </c>
      <c r="AK293" s="37">
        <f t="shared" si="42"/>
        <v>0</v>
      </c>
      <c r="AL293" s="37">
        <f t="shared" si="43"/>
        <v>30664.049083200021</v>
      </c>
      <c r="AM293" s="37">
        <f t="shared" si="44"/>
        <v>44272.260000000024</v>
      </c>
      <c r="AN293" s="37">
        <f t="shared" si="45"/>
        <v>48050.159520000016</v>
      </c>
      <c r="AO293" s="37">
        <f t="shared" si="46"/>
        <v>0</v>
      </c>
    </row>
    <row r="294" spans="1:41" hidden="1" x14ac:dyDescent="0.3">
      <c r="A294" t="str">
        <f t="shared" si="38"/>
        <v>208nov</v>
      </c>
      <c r="B294" t="str">
        <f t="shared" si="39"/>
        <v>MEGACENTER FPnov</v>
      </c>
      <c r="C294" s="1" t="s">
        <v>79</v>
      </c>
      <c r="D294" s="1" t="s">
        <v>36</v>
      </c>
      <c r="E294" s="1">
        <v>208</v>
      </c>
      <c r="F294" s="1" t="s">
        <v>120</v>
      </c>
      <c r="G294" s="1" t="s">
        <v>120</v>
      </c>
      <c r="H294" s="1" t="s">
        <v>120</v>
      </c>
      <c r="I294" s="1" t="s">
        <v>125</v>
      </c>
      <c r="J294" s="1" t="s">
        <v>133</v>
      </c>
      <c r="K294" t="s">
        <v>90</v>
      </c>
      <c r="L294" s="6">
        <v>46448.239999999991</v>
      </c>
      <c r="M294" s="6">
        <v>22811.679999999989</v>
      </c>
      <c r="N294" s="6">
        <v>49851.829999999987</v>
      </c>
      <c r="O294" s="6">
        <v>26317.479999999989</v>
      </c>
      <c r="P294" s="6">
        <v>26886</v>
      </c>
      <c r="Q294" s="6">
        <v>12997</v>
      </c>
      <c r="R294" s="6">
        <v>56926.553970000168</v>
      </c>
      <c r="S294" s="6">
        <v>27169.905678801682</v>
      </c>
      <c r="T294" s="6">
        <v>124150.83333333334</v>
      </c>
      <c r="U294" s="6">
        <v>52700.22312112341</v>
      </c>
      <c r="V294" s="30">
        <v>75858.820000000123</v>
      </c>
      <c r="W294" s="30">
        <v>36205.897609600062</v>
      </c>
      <c r="X294" s="30">
        <v>83444.702000000136</v>
      </c>
      <c r="Y294" s="30">
        <v>40885.749796691998</v>
      </c>
      <c r="Z294" s="30">
        <v>0</v>
      </c>
      <c r="AA294" s="30">
        <v>0</v>
      </c>
      <c r="AB294" s="34">
        <v>0.56825899108340816</v>
      </c>
      <c r="AC294" s="34">
        <v>0.64789251830414329</v>
      </c>
      <c r="AD294" s="34">
        <v>0.4873464158465462</v>
      </c>
      <c r="AE294" s="34">
        <v>0.48</v>
      </c>
      <c r="AF294" s="34">
        <v>0.48</v>
      </c>
      <c r="AG294" s="34">
        <v>0.6</v>
      </c>
      <c r="AH294" s="34">
        <v>0</v>
      </c>
      <c r="AI294" s="37">
        <f t="shared" si="40"/>
        <v>26394.629999999997</v>
      </c>
      <c r="AJ294" s="37">
        <f t="shared" si="41"/>
        <v>32298.627680770031</v>
      </c>
      <c r="AK294" s="37">
        <f t="shared" si="42"/>
        <v>60504.463649361918</v>
      </c>
      <c r="AL294" s="37">
        <f t="shared" si="43"/>
        <v>27324.745905600081</v>
      </c>
      <c r="AM294" s="37">
        <f t="shared" si="44"/>
        <v>36412.233600000058</v>
      </c>
      <c r="AN294" s="37">
        <f t="shared" si="45"/>
        <v>50066.821200000079</v>
      </c>
      <c r="AO294" s="37">
        <f t="shared" si="46"/>
        <v>0</v>
      </c>
    </row>
    <row r="295" spans="1:41" hidden="1" x14ac:dyDescent="0.3">
      <c r="A295" t="str">
        <f t="shared" si="38"/>
        <v>208dic</v>
      </c>
      <c r="B295" t="str">
        <f t="shared" si="39"/>
        <v>MEGACENTER FPdic</v>
      </c>
      <c r="C295" s="1" t="s">
        <v>79</v>
      </c>
      <c r="D295" s="1" t="s">
        <v>36</v>
      </c>
      <c r="E295" s="1">
        <v>208</v>
      </c>
      <c r="F295" s="1" t="s">
        <v>120</v>
      </c>
      <c r="G295" s="1" t="s">
        <v>120</v>
      </c>
      <c r="H295" s="1" t="s">
        <v>120</v>
      </c>
      <c r="I295" s="1" t="s">
        <v>125</v>
      </c>
      <c r="J295" s="1" t="s">
        <v>133</v>
      </c>
      <c r="K295" t="s">
        <v>91</v>
      </c>
      <c r="L295" s="6">
        <v>90541.599999999977</v>
      </c>
      <c r="M295" s="6">
        <v>43222.909999999996</v>
      </c>
      <c r="N295" s="6">
        <v>81150.869999999981</v>
      </c>
      <c r="O295" s="6">
        <v>43620.319999999992</v>
      </c>
      <c r="P295" s="6">
        <v>50846</v>
      </c>
      <c r="Q295" s="6">
        <v>27924</v>
      </c>
      <c r="R295" s="6">
        <v>92884.869550000265</v>
      </c>
      <c r="S295" s="6">
        <v>49117.519018040148</v>
      </c>
      <c r="T295" s="6">
        <v>124245.83333333333</v>
      </c>
      <c r="U295" s="6">
        <v>61113.542975215925</v>
      </c>
      <c r="V295" s="30">
        <v>129338.53000000023</v>
      </c>
      <c r="W295" s="30">
        <v>68394.21466400013</v>
      </c>
      <c r="X295" s="30">
        <v>143565.76830000023</v>
      </c>
      <c r="Y295" s="30">
        <v>75589.643554154303</v>
      </c>
      <c r="Z295" s="30">
        <v>0</v>
      </c>
      <c r="AA295" s="30">
        <v>0</v>
      </c>
      <c r="AB295" s="34">
        <v>0.55516083214787493</v>
      </c>
      <c r="AC295" s="34">
        <v>0.8064963555735547</v>
      </c>
      <c r="AD295" s="34">
        <v>0.61815525883153088</v>
      </c>
      <c r="AE295" s="34">
        <v>0.79999999999999993</v>
      </c>
      <c r="AF295" s="34">
        <v>0.79999999999999993</v>
      </c>
      <c r="AG295" s="34">
        <v>0.85000000000000009</v>
      </c>
      <c r="AH295" s="34">
        <v>0</v>
      </c>
      <c r="AI295" s="37">
        <f t="shared" si="40"/>
        <v>50265.150000000016</v>
      </c>
      <c r="AJ295" s="37">
        <f t="shared" si="41"/>
        <v>65447.880906623301</v>
      </c>
      <c r="AK295" s="37">
        <f t="shared" si="42"/>
        <v>76803.215262905913</v>
      </c>
      <c r="AL295" s="37">
        <f t="shared" si="43"/>
        <v>74307.895640000206</v>
      </c>
      <c r="AM295" s="37">
        <f t="shared" si="44"/>
        <v>103470.82400000018</v>
      </c>
      <c r="AN295" s="37">
        <f t="shared" si="45"/>
        <v>122030.90305500021</v>
      </c>
      <c r="AO295" s="37">
        <f t="shared" si="46"/>
        <v>0</v>
      </c>
    </row>
    <row r="296" spans="1:41" hidden="1" x14ac:dyDescent="0.3">
      <c r="A296" t="str">
        <f t="shared" si="38"/>
        <v>410ene</v>
      </c>
      <c r="B296" t="str">
        <f t="shared" si="39"/>
        <v>MONTEROene</v>
      </c>
      <c r="C296" s="1" t="s">
        <v>79</v>
      </c>
      <c r="D296" s="1" t="s">
        <v>40</v>
      </c>
      <c r="E296" s="1">
        <v>410</v>
      </c>
      <c r="F296" s="1" t="s">
        <v>119</v>
      </c>
      <c r="G296" s="1" t="s">
        <v>119</v>
      </c>
      <c r="H296" s="1" t="s">
        <v>119</v>
      </c>
      <c r="I296" s="1" t="s">
        <v>127</v>
      </c>
      <c r="J296" s="1" t="s">
        <v>129</v>
      </c>
      <c r="K296" t="s">
        <v>80</v>
      </c>
      <c r="L296" s="6">
        <v>24307.919999999998</v>
      </c>
      <c r="M296" s="6">
        <v>11991.509999999998</v>
      </c>
      <c r="N296" s="6">
        <v>23138.739999999998</v>
      </c>
      <c r="O296" s="6">
        <v>10960.05</v>
      </c>
      <c r="P296" s="6">
        <v>24210.842066666657</v>
      </c>
      <c r="Q296" s="6">
        <v>11146.681565999997</v>
      </c>
      <c r="R296" s="6">
        <v>17504.01999999999</v>
      </c>
      <c r="S296" s="6">
        <v>8303.9306603915757</v>
      </c>
      <c r="T296" s="6">
        <v>17504.01999999999</v>
      </c>
      <c r="U296" s="6">
        <v>8352.9099999999853</v>
      </c>
      <c r="V296" s="30">
        <v>24210.842066666657</v>
      </c>
      <c r="W296" s="30">
        <v>11553.402293134968</v>
      </c>
      <c r="X296" s="30">
        <v>25905.601011333318</v>
      </c>
      <c r="Y296" s="30">
        <v>12470.216122207743</v>
      </c>
      <c r="Z296" s="30">
        <v>16955.028735632182</v>
      </c>
      <c r="AA296" s="30">
        <v>9482.7115155401516</v>
      </c>
      <c r="AB296" s="34">
        <v>0.69301569200491042</v>
      </c>
      <c r="AC296" s="34">
        <v>0.566118984871259</v>
      </c>
      <c r="AD296" s="34">
        <v>0.61902203208653883</v>
      </c>
      <c r="AE296" s="34">
        <v>0.61902203208653861</v>
      </c>
      <c r="AF296" s="34">
        <v>0.61902203208653861</v>
      </c>
      <c r="AG296" s="34">
        <v>0.7</v>
      </c>
      <c r="AH296" s="34">
        <v>0.96333268365435942</v>
      </c>
      <c r="AI296" s="37">
        <f t="shared" si="40"/>
        <v>16845.77</v>
      </c>
      <c r="AJ296" s="37">
        <f t="shared" si="41"/>
        <v>13099.279999999995</v>
      </c>
      <c r="AK296" s="37">
        <f t="shared" si="42"/>
        <v>10835.374030083411</v>
      </c>
      <c r="AL296" s="37">
        <f t="shared" si="43"/>
        <v>10835.374030083407</v>
      </c>
      <c r="AM296" s="37">
        <f t="shared" si="44"/>
        <v>14987.044654634246</v>
      </c>
      <c r="AN296" s="37">
        <f t="shared" si="45"/>
        <v>18133.920707933321</v>
      </c>
      <c r="AO296" s="37">
        <f t="shared" si="46"/>
        <v>16333.33333333333</v>
      </c>
    </row>
    <row r="297" spans="1:41" hidden="1" x14ac:dyDescent="0.3">
      <c r="A297" t="str">
        <f t="shared" si="38"/>
        <v>410feb</v>
      </c>
      <c r="B297" t="str">
        <f t="shared" si="39"/>
        <v>MONTEROfeb</v>
      </c>
      <c r="C297" s="1" t="s">
        <v>79</v>
      </c>
      <c r="D297" s="1" t="s">
        <v>40</v>
      </c>
      <c r="E297" s="1">
        <v>410</v>
      </c>
      <c r="F297" s="1" t="s">
        <v>119</v>
      </c>
      <c r="G297" s="1" t="s">
        <v>119</v>
      </c>
      <c r="H297" s="1" t="s">
        <v>119</v>
      </c>
      <c r="I297" s="1" t="s">
        <v>127</v>
      </c>
      <c r="J297" s="1" t="s">
        <v>129</v>
      </c>
      <c r="K297" t="s">
        <v>81</v>
      </c>
      <c r="L297" s="6">
        <v>51470.17</v>
      </c>
      <c r="M297" s="6">
        <v>18431.969999999998</v>
      </c>
      <c r="N297" s="6">
        <v>18712.560000000001</v>
      </c>
      <c r="O297" s="6">
        <v>8231.1500000000015</v>
      </c>
      <c r="P297" s="6">
        <v>43680.615599999976</v>
      </c>
      <c r="Q297" s="6">
        <v>17250.89284199999</v>
      </c>
      <c r="R297" s="6">
        <v>36209.859999999986</v>
      </c>
      <c r="S297" s="6">
        <v>13007.708569360124</v>
      </c>
      <c r="T297" s="6">
        <v>36209.859999999986</v>
      </c>
      <c r="U297" s="6">
        <v>13013.149999999987</v>
      </c>
      <c r="V297" s="30">
        <v>43680.615599999976</v>
      </c>
      <c r="W297" s="30">
        <v>15698.000569323918</v>
      </c>
      <c r="X297" s="30">
        <v>45427.840223999985</v>
      </c>
      <c r="Y297" s="30">
        <v>18336.966127852349</v>
      </c>
      <c r="Z297" s="30">
        <v>29115.660919540253</v>
      </c>
      <c r="AA297" s="30">
        <v>12668.905468268804</v>
      </c>
      <c r="AB297" s="34">
        <v>0.26119323095299757</v>
      </c>
      <c r="AC297" s="34">
        <v>0.42781405224270919</v>
      </c>
      <c r="AD297" s="34">
        <v>0.16469301084335408</v>
      </c>
      <c r="AE297" s="34">
        <v>0.16469301084335392</v>
      </c>
      <c r="AF297" s="34">
        <v>0.16469301084335392</v>
      </c>
      <c r="AG297" s="34">
        <v>0.39</v>
      </c>
      <c r="AH297" s="34">
        <v>0.31503861432554447</v>
      </c>
      <c r="AI297" s="37">
        <f t="shared" si="40"/>
        <v>13443.660000000047</v>
      </c>
      <c r="AJ297" s="37">
        <f t="shared" si="41"/>
        <v>8005.4961214348305</v>
      </c>
      <c r="AK297" s="37">
        <f t="shared" si="42"/>
        <v>5963.5108656163311</v>
      </c>
      <c r="AL297" s="37">
        <f t="shared" si="43"/>
        <v>5963.5108656163247</v>
      </c>
      <c r="AM297" s="37">
        <f t="shared" si="44"/>
        <v>7193.8920986551702</v>
      </c>
      <c r="AN297" s="37">
        <f t="shared" si="45"/>
        <v>17716.857687359996</v>
      </c>
      <c r="AO297" s="37">
        <f t="shared" si="46"/>
        <v>9172.5574712643684</v>
      </c>
    </row>
    <row r="298" spans="1:41" hidden="1" x14ac:dyDescent="0.3">
      <c r="A298" t="str">
        <f t="shared" si="38"/>
        <v>410mar</v>
      </c>
      <c r="B298" t="str">
        <f t="shared" si="39"/>
        <v>MONTEROmar</v>
      </c>
      <c r="C298" s="1" t="s">
        <v>79</v>
      </c>
      <c r="D298" s="1" t="s">
        <v>40</v>
      </c>
      <c r="E298" s="1">
        <v>410</v>
      </c>
      <c r="F298" s="1" t="s">
        <v>119</v>
      </c>
      <c r="G298" s="1" t="s">
        <v>119</v>
      </c>
      <c r="H298" s="1" t="s">
        <v>119</v>
      </c>
      <c r="I298" s="1" t="s">
        <v>127</v>
      </c>
      <c r="J298" s="1" t="s">
        <v>129</v>
      </c>
      <c r="K298" t="s">
        <v>82</v>
      </c>
      <c r="L298" s="6">
        <v>37420.719999999994</v>
      </c>
      <c r="M298" s="6">
        <v>16809.98</v>
      </c>
      <c r="N298" s="6">
        <v>49498.53</v>
      </c>
      <c r="O298" s="6">
        <v>19246.470000000008</v>
      </c>
      <c r="P298" s="6">
        <v>27305.212920000005</v>
      </c>
      <c r="Q298" s="6">
        <v>11144.459254700003</v>
      </c>
      <c r="R298" s="6">
        <v>25026.01</v>
      </c>
      <c r="S298" s="6">
        <v>10571.308201852798</v>
      </c>
      <c r="T298" s="6">
        <v>25026.009999999995</v>
      </c>
      <c r="U298" s="6">
        <v>10663.619999999995</v>
      </c>
      <c r="V298" s="30">
        <v>25026.010000000006</v>
      </c>
      <c r="W298" s="30">
        <v>10663.62</v>
      </c>
      <c r="X298" s="30">
        <v>26027.050400000007</v>
      </c>
      <c r="Y298" s="30">
        <v>12398.172004524306</v>
      </c>
      <c r="Z298" s="30">
        <v>20877.219896154274</v>
      </c>
      <c r="AA298" s="30">
        <v>10438.609948077137</v>
      </c>
      <c r="AB298" s="34">
        <v>0.47667735949495416</v>
      </c>
      <c r="AC298" s="34">
        <v>0.24442764464135766</v>
      </c>
      <c r="AD298" s="34">
        <v>0.45705289441166497</v>
      </c>
      <c r="AE298" s="34">
        <v>0.45705289441166436</v>
      </c>
      <c r="AF298" s="34">
        <v>0.45705289441166436</v>
      </c>
      <c r="AG298" s="34">
        <v>0.68</v>
      </c>
      <c r="AH298" s="34">
        <v>0.733091497145685</v>
      </c>
      <c r="AI298" s="37">
        <f t="shared" si="40"/>
        <v>17837.610000000019</v>
      </c>
      <c r="AJ298" s="37">
        <f t="shared" si="41"/>
        <v>12098.80910110958</v>
      </c>
      <c r="AK298" s="37">
        <f t="shared" si="42"/>
        <v>11438.210306075269</v>
      </c>
      <c r="AL298" s="37">
        <f t="shared" si="43"/>
        <v>11438.210306075256</v>
      </c>
      <c r="AM298" s="37">
        <f t="shared" si="44"/>
        <v>11438.21030607526</v>
      </c>
      <c r="AN298" s="37">
        <f t="shared" si="45"/>
        <v>17698.394272000005</v>
      </c>
      <c r="AO298" s="37">
        <f t="shared" si="46"/>
        <v>15304.91238991142</v>
      </c>
    </row>
    <row r="299" spans="1:41" hidden="1" x14ac:dyDescent="0.3">
      <c r="A299" t="str">
        <f t="shared" si="38"/>
        <v>410abr</v>
      </c>
      <c r="B299" t="str">
        <f t="shared" si="39"/>
        <v>MONTEROabr</v>
      </c>
      <c r="C299" s="1" t="s">
        <v>79</v>
      </c>
      <c r="D299" s="1" t="s">
        <v>40</v>
      </c>
      <c r="E299" s="1">
        <v>410</v>
      </c>
      <c r="F299" s="1" t="s">
        <v>119</v>
      </c>
      <c r="G299" s="1" t="s">
        <v>119</v>
      </c>
      <c r="H299" s="1" t="s">
        <v>119</v>
      </c>
      <c r="I299" s="1" t="s">
        <v>127</v>
      </c>
      <c r="J299" s="1" t="s">
        <v>129</v>
      </c>
      <c r="K299" t="s">
        <v>83</v>
      </c>
      <c r="L299" s="6">
        <v>28843.199999999997</v>
      </c>
      <c r="M299" s="6">
        <v>15342.21</v>
      </c>
      <c r="N299" s="6">
        <v>21342.340000000004</v>
      </c>
      <c r="O299" s="6">
        <v>10073.84</v>
      </c>
      <c r="P299" s="6">
        <v>23194.17132999999</v>
      </c>
      <c r="Q299" s="6">
        <v>10897.188420049995</v>
      </c>
      <c r="R299" s="6">
        <v>26084.290000000015</v>
      </c>
      <c r="S299" s="6">
        <v>11912.011735938308</v>
      </c>
      <c r="T299" s="6">
        <v>26084.290000000015</v>
      </c>
      <c r="U299" s="6">
        <v>11909.670000000018</v>
      </c>
      <c r="V299" s="30">
        <v>26084.290000000008</v>
      </c>
      <c r="W299" s="30">
        <v>11909.670000000016</v>
      </c>
      <c r="X299" s="30">
        <v>27910.190300000006</v>
      </c>
      <c r="Y299" s="30">
        <v>13435.16812833955</v>
      </c>
      <c r="Z299" s="30">
        <v>0</v>
      </c>
      <c r="AA299" s="30">
        <v>0</v>
      </c>
      <c r="AB299" s="34">
        <v>0.77588859765906704</v>
      </c>
      <c r="AC299" s="34">
        <v>0.56874058385043147</v>
      </c>
      <c r="AD299" s="34">
        <v>0.64050849796462839</v>
      </c>
      <c r="AE299" s="34">
        <v>0.64050849796462828</v>
      </c>
      <c r="AF299" s="34">
        <v>0.64050849796462828</v>
      </c>
      <c r="AG299" s="34">
        <v>0.7</v>
      </c>
      <c r="AH299" s="34">
        <v>0</v>
      </c>
      <c r="AI299" s="37">
        <f t="shared" si="40"/>
        <v>22379.11</v>
      </c>
      <c r="AJ299" s="37">
        <f t="shared" si="41"/>
        <v>12138.25491233442</v>
      </c>
      <c r="AK299" s="37">
        <f t="shared" si="42"/>
        <v>16707.209408373787</v>
      </c>
      <c r="AL299" s="37">
        <f t="shared" si="43"/>
        <v>16707.209408373783</v>
      </c>
      <c r="AM299" s="37">
        <f t="shared" si="44"/>
        <v>16707.209408373779</v>
      </c>
      <c r="AN299" s="37">
        <f t="shared" si="45"/>
        <v>19537.133210000004</v>
      </c>
      <c r="AO299" s="37">
        <f t="shared" si="46"/>
        <v>0</v>
      </c>
    </row>
    <row r="300" spans="1:41" hidden="1" x14ac:dyDescent="0.3">
      <c r="A300" t="str">
        <f t="shared" si="38"/>
        <v>410may</v>
      </c>
      <c r="B300" t="str">
        <f t="shared" si="39"/>
        <v>MONTEROmay</v>
      </c>
      <c r="C300" s="1" t="s">
        <v>79</v>
      </c>
      <c r="D300" s="1" t="s">
        <v>40</v>
      </c>
      <c r="E300" s="1">
        <v>410</v>
      </c>
      <c r="F300" s="1" t="s">
        <v>119</v>
      </c>
      <c r="G300" s="1" t="s">
        <v>119</v>
      </c>
      <c r="H300" s="1" t="s">
        <v>119</v>
      </c>
      <c r="I300" s="1" t="s">
        <v>127</v>
      </c>
      <c r="J300" s="1" t="s">
        <v>129</v>
      </c>
      <c r="K300" t="s">
        <v>84</v>
      </c>
      <c r="L300" s="6">
        <v>27704.01</v>
      </c>
      <c r="M300" s="6">
        <v>14529.16</v>
      </c>
      <c r="N300" s="6">
        <v>20195.96</v>
      </c>
      <c r="O300" s="6">
        <v>9488.1200000000008</v>
      </c>
      <c r="P300" s="6">
        <v>25464.042549999987</v>
      </c>
      <c r="Q300" s="6">
        <v>10939.886576749996</v>
      </c>
      <c r="R300" s="6">
        <v>26868.729999999989</v>
      </c>
      <c r="S300" s="6">
        <v>12937.24474282031</v>
      </c>
      <c r="T300" s="6">
        <v>26868.729999999992</v>
      </c>
      <c r="U300" s="6">
        <v>12935.009999999998</v>
      </c>
      <c r="V300" s="30">
        <v>26868.729999999992</v>
      </c>
      <c r="W300" s="30">
        <v>12935.009999999998</v>
      </c>
      <c r="X300" s="30">
        <v>28749.541099999988</v>
      </c>
      <c r="Y300" s="30">
        <v>13839.207620562436</v>
      </c>
      <c r="Z300" s="30">
        <v>0</v>
      </c>
      <c r="AA300" s="30">
        <v>0</v>
      </c>
      <c r="AB300" s="34">
        <v>0.75697380992859886</v>
      </c>
      <c r="AC300" s="34">
        <v>0.55941435811914864</v>
      </c>
      <c r="AD300" s="34">
        <v>0.69030039027962631</v>
      </c>
      <c r="AE300" s="34">
        <v>0.69030039027962609</v>
      </c>
      <c r="AF300" s="34">
        <v>0.69030039027962609</v>
      </c>
      <c r="AG300" s="34">
        <v>0.7</v>
      </c>
      <c r="AH300" s="34">
        <v>0</v>
      </c>
      <c r="AI300" s="37">
        <f t="shared" si="40"/>
        <v>20971.21</v>
      </c>
      <c r="AJ300" s="37">
        <f t="shared" si="41"/>
        <v>11297.91</v>
      </c>
      <c r="AK300" s="37">
        <f t="shared" si="42"/>
        <v>18547.4948053179</v>
      </c>
      <c r="AL300" s="37">
        <f t="shared" si="43"/>
        <v>18547.494805317889</v>
      </c>
      <c r="AM300" s="37">
        <f t="shared" si="44"/>
        <v>18547.494805317892</v>
      </c>
      <c r="AN300" s="37">
        <f t="shared" si="45"/>
        <v>20124.678769999991</v>
      </c>
      <c r="AO300" s="37">
        <f t="shared" si="46"/>
        <v>0</v>
      </c>
    </row>
    <row r="301" spans="1:41" hidden="1" x14ac:dyDescent="0.3">
      <c r="A301" t="str">
        <f t="shared" si="38"/>
        <v>410jun</v>
      </c>
      <c r="B301" t="str">
        <f t="shared" si="39"/>
        <v>MONTEROjun</v>
      </c>
      <c r="C301" s="1" t="s">
        <v>79</v>
      </c>
      <c r="D301" s="1" t="s">
        <v>40</v>
      </c>
      <c r="E301" s="1">
        <v>410</v>
      </c>
      <c r="F301" s="1" t="s">
        <v>119</v>
      </c>
      <c r="G301" s="1" t="s">
        <v>119</v>
      </c>
      <c r="H301" s="1" t="s">
        <v>119</v>
      </c>
      <c r="I301" s="1" t="s">
        <v>127</v>
      </c>
      <c r="J301" s="1" t="s">
        <v>129</v>
      </c>
      <c r="K301" t="s">
        <v>85</v>
      </c>
      <c r="L301" s="6">
        <v>24066.039999999997</v>
      </c>
      <c r="M301" s="6">
        <v>12256.949999999997</v>
      </c>
      <c r="N301" s="6">
        <v>19248.259999999998</v>
      </c>
      <c r="O301" s="6">
        <v>9562.01</v>
      </c>
      <c r="P301" s="6">
        <v>22228.425999999985</v>
      </c>
      <c r="Q301" s="6">
        <v>10821.210369999993</v>
      </c>
      <c r="R301" s="6">
        <v>23241.999999999989</v>
      </c>
      <c r="S301" s="6">
        <v>11627.13000000001</v>
      </c>
      <c r="T301" s="6">
        <v>23242</v>
      </c>
      <c r="U301" s="6">
        <v>11627.130000000005</v>
      </c>
      <c r="V301" s="30">
        <v>23242</v>
      </c>
      <c r="W301" s="30">
        <v>11627.130000000005</v>
      </c>
      <c r="X301" s="30">
        <v>24868.939999999995</v>
      </c>
      <c r="Y301" s="30">
        <v>11971.197132023444</v>
      </c>
      <c r="Z301" s="30">
        <v>0</v>
      </c>
      <c r="AA301" s="30">
        <v>0</v>
      </c>
      <c r="AB301" s="34">
        <v>0.66609836932041988</v>
      </c>
      <c r="AC301" s="34">
        <v>0.6462802352004805</v>
      </c>
      <c r="AD301" s="34">
        <v>0.74875096807503694</v>
      </c>
      <c r="AE301" s="34">
        <v>0.74875096807503683</v>
      </c>
      <c r="AF301" s="34">
        <v>0.74875096807503683</v>
      </c>
      <c r="AG301" s="34">
        <v>0.70000000000000007</v>
      </c>
      <c r="AH301" s="34">
        <v>0</v>
      </c>
      <c r="AI301" s="37">
        <f t="shared" si="40"/>
        <v>16030.349999999997</v>
      </c>
      <c r="AJ301" s="37">
        <f t="shared" si="41"/>
        <v>12439.77</v>
      </c>
      <c r="AK301" s="37">
        <f t="shared" si="42"/>
        <v>17402.470000000008</v>
      </c>
      <c r="AL301" s="37">
        <f t="shared" si="43"/>
        <v>17402.469999999998</v>
      </c>
      <c r="AM301" s="37">
        <f t="shared" si="44"/>
        <v>17402.470000000005</v>
      </c>
      <c r="AN301" s="37">
        <f t="shared" si="45"/>
        <v>17408.257999999998</v>
      </c>
      <c r="AO301" s="37">
        <f t="shared" si="46"/>
        <v>0</v>
      </c>
    </row>
    <row r="302" spans="1:41" hidden="1" x14ac:dyDescent="0.3">
      <c r="A302" t="str">
        <f t="shared" si="38"/>
        <v>410jul</v>
      </c>
      <c r="B302" t="str">
        <f t="shared" si="39"/>
        <v>MONTEROjul</v>
      </c>
      <c r="C302" s="1" t="s">
        <v>79</v>
      </c>
      <c r="D302" s="1" t="s">
        <v>40</v>
      </c>
      <c r="E302" s="1">
        <v>410</v>
      </c>
      <c r="F302" s="1" t="s">
        <v>119</v>
      </c>
      <c r="G302" s="1" t="s">
        <v>119</v>
      </c>
      <c r="H302" s="1" t="s">
        <v>119</v>
      </c>
      <c r="I302" s="1" t="s">
        <v>127</v>
      </c>
      <c r="J302" s="1" t="s">
        <v>129</v>
      </c>
      <c r="K302" t="s">
        <v>86</v>
      </c>
      <c r="L302" s="6">
        <v>22128.62</v>
      </c>
      <c r="M302" s="6">
        <v>11666.049999999997</v>
      </c>
      <c r="N302" s="6">
        <v>24011.800000000003</v>
      </c>
      <c r="O302" s="6">
        <v>11649.730000000003</v>
      </c>
      <c r="P302" s="6">
        <v>23600.143399999994</v>
      </c>
      <c r="Q302" s="6">
        <v>11442.270962499995</v>
      </c>
      <c r="R302" s="6">
        <v>20775.199999999993</v>
      </c>
      <c r="S302" s="6">
        <v>10513.010000000006</v>
      </c>
      <c r="T302" s="6">
        <v>20775.199999999993</v>
      </c>
      <c r="U302" s="6">
        <v>10513.009999999998</v>
      </c>
      <c r="V302" s="30">
        <v>20775.199999999993</v>
      </c>
      <c r="W302" s="30">
        <v>10513.009999999998</v>
      </c>
      <c r="X302" s="30">
        <v>22437.215999999989</v>
      </c>
      <c r="Y302" s="30">
        <v>10800.634680440358</v>
      </c>
      <c r="Z302" s="30">
        <v>0</v>
      </c>
      <c r="AA302" s="30">
        <v>0</v>
      </c>
      <c r="AB302" s="34">
        <v>0.76862859048598597</v>
      </c>
      <c r="AC302" s="34">
        <v>0.5965277316443699</v>
      </c>
      <c r="AD302" s="34">
        <v>0.7879986714929339</v>
      </c>
      <c r="AE302" s="34">
        <v>0.7879986714929339</v>
      </c>
      <c r="AF302" s="34">
        <v>0.7879986714929339</v>
      </c>
      <c r="AG302" s="34">
        <v>0.7</v>
      </c>
      <c r="AH302" s="34">
        <v>0</v>
      </c>
      <c r="AI302" s="37">
        <f t="shared" si="40"/>
        <v>17008.689999999999</v>
      </c>
      <c r="AJ302" s="37">
        <f t="shared" si="41"/>
        <v>14323.704586698283</v>
      </c>
      <c r="AK302" s="37">
        <f t="shared" si="42"/>
        <v>16370.829999999994</v>
      </c>
      <c r="AL302" s="37">
        <f t="shared" si="43"/>
        <v>16370.829999999994</v>
      </c>
      <c r="AM302" s="37">
        <f t="shared" si="44"/>
        <v>16370.829999999994</v>
      </c>
      <c r="AN302" s="37">
        <f t="shared" si="45"/>
        <v>15706.051199999991</v>
      </c>
      <c r="AO302" s="37">
        <f t="shared" si="46"/>
        <v>0</v>
      </c>
    </row>
    <row r="303" spans="1:41" hidden="1" x14ac:dyDescent="0.3">
      <c r="A303" t="str">
        <f t="shared" si="38"/>
        <v>410ago</v>
      </c>
      <c r="B303" t="str">
        <f t="shared" si="39"/>
        <v>MONTEROago</v>
      </c>
      <c r="C303" s="1" t="s">
        <v>79</v>
      </c>
      <c r="D303" s="1" t="s">
        <v>40</v>
      </c>
      <c r="E303" s="1">
        <v>410</v>
      </c>
      <c r="F303" s="1" t="s">
        <v>119</v>
      </c>
      <c r="G303" s="1" t="s">
        <v>119</v>
      </c>
      <c r="H303" s="1" t="s">
        <v>119</v>
      </c>
      <c r="I303" s="1" t="s">
        <v>127</v>
      </c>
      <c r="J303" s="1" t="s">
        <v>129</v>
      </c>
      <c r="K303" t="s">
        <v>87</v>
      </c>
      <c r="L303" s="6">
        <v>92608.53</v>
      </c>
      <c r="M303" s="6">
        <v>32593.780000000002</v>
      </c>
      <c r="N303" s="6">
        <v>55937.409999999996</v>
      </c>
      <c r="O303" s="6">
        <v>20184.599999999999</v>
      </c>
      <c r="P303" s="6">
        <v>59565.252400000005</v>
      </c>
      <c r="Q303" s="6">
        <v>21657.731342500003</v>
      </c>
      <c r="R303" s="6">
        <v>40331.689408246937</v>
      </c>
      <c r="S303" s="6">
        <v>15418.804860772805</v>
      </c>
      <c r="T303" s="6">
        <v>56737.55000000001</v>
      </c>
      <c r="U303" s="6">
        <v>22229.969999999965</v>
      </c>
      <c r="V303" s="30">
        <v>56737.549999999974</v>
      </c>
      <c r="W303" s="30">
        <v>21690.765364999992</v>
      </c>
      <c r="X303" s="30">
        <v>59574.427499999976</v>
      </c>
      <c r="Y303" s="30">
        <v>24047.24181838963</v>
      </c>
      <c r="Z303" s="30">
        <v>0</v>
      </c>
      <c r="AA303" s="30">
        <v>0</v>
      </c>
      <c r="AB303" s="34">
        <v>0.14869299836634925</v>
      </c>
      <c r="AC303" s="34">
        <v>0.16025462396527551</v>
      </c>
      <c r="AD303" s="34">
        <v>0.2644271738910125</v>
      </c>
      <c r="AE303" s="34">
        <v>0.22</v>
      </c>
      <c r="AF303" s="34">
        <v>0.22</v>
      </c>
      <c r="AG303" s="34">
        <v>0.39</v>
      </c>
      <c r="AH303" s="34">
        <v>0</v>
      </c>
      <c r="AI303" s="37">
        <f t="shared" si="40"/>
        <v>13770.240000000005</v>
      </c>
      <c r="AJ303" s="37">
        <f t="shared" si="41"/>
        <v>8964.2286051414412</v>
      </c>
      <c r="AK303" s="37">
        <f t="shared" si="42"/>
        <v>15002.950000000019</v>
      </c>
      <c r="AL303" s="37">
        <f t="shared" si="43"/>
        <v>8872.9716698143257</v>
      </c>
      <c r="AM303" s="37">
        <f t="shared" si="44"/>
        <v>12482.260999999995</v>
      </c>
      <c r="AN303" s="37">
        <f t="shared" si="45"/>
        <v>23234.026724999992</v>
      </c>
      <c r="AO303" s="37">
        <f t="shared" si="46"/>
        <v>0</v>
      </c>
    </row>
    <row r="304" spans="1:41" hidden="1" x14ac:dyDescent="0.3">
      <c r="A304" t="str">
        <f t="shared" si="38"/>
        <v>410sep</v>
      </c>
      <c r="B304" t="str">
        <f t="shared" si="39"/>
        <v>MONTEROsep</v>
      </c>
      <c r="C304" s="1" t="s">
        <v>79</v>
      </c>
      <c r="D304" s="1" t="s">
        <v>40</v>
      </c>
      <c r="E304" s="1">
        <v>410</v>
      </c>
      <c r="F304" s="1" t="s">
        <v>119</v>
      </c>
      <c r="G304" s="1" t="s">
        <v>119</v>
      </c>
      <c r="H304" s="1" t="s">
        <v>119</v>
      </c>
      <c r="I304" s="1" t="s">
        <v>127</v>
      </c>
      <c r="J304" s="1" t="s">
        <v>129</v>
      </c>
      <c r="K304" t="s">
        <v>88</v>
      </c>
      <c r="L304" s="6">
        <v>19051.150000000001</v>
      </c>
      <c r="M304" s="6">
        <v>9276.260000000002</v>
      </c>
      <c r="N304" s="6">
        <v>24024.759999999995</v>
      </c>
      <c r="O304" s="6">
        <v>10226.769999999997</v>
      </c>
      <c r="P304" s="6">
        <v>22756.965459999996</v>
      </c>
      <c r="Q304" s="6">
        <v>10574.387586699999</v>
      </c>
      <c r="R304" s="6">
        <v>22754.689763453996</v>
      </c>
      <c r="S304" s="6">
        <v>10831.232327404105</v>
      </c>
      <c r="T304" s="6">
        <v>16562.590000000004</v>
      </c>
      <c r="U304" s="6">
        <v>8221.2300000000014</v>
      </c>
      <c r="V304" s="30">
        <v>16562.590000000004</v>
      </c>
      <c r="W304" s="30">
        <v>8221.2300000000014</v>
      </c>
      <c r="X304" s="30">
        <v>19046.978500000008</v>
      </c>
      <c r="Y304" s="30">
        <v>9073.1647259374568</v>
      </c>
      <c r="Z304" s="30">
        <v>0</v>
      </c>
      <c r="AA304" s="30">
        <v>0</v>
      </c>
      <c r="AB304" s="34">
        <v>0.57423305154806958</v>
      </c>
      <c r="AC304" s="34">
        <v>0.41497344083146281</v>
      </c>
      <c r="AD304" s="34">
        <v>0.75488918097954472</v>
      </c>
      <c r="AE304" s="34">
        <v>0.65</v>
      </c>
      <c r="AF304" s="34">
        <v>0.65</v>
      </c>
      <c r="AG304" s="34">
        <v>0.68</v>
      </c>
      <c r="AH304" s="34">
        <v>0</v>
      </c>
      <c r="AI304" s="37">
        <f t="shared" si="40"/>
        <v>10939.800000000007</v>
      </c>
      <c r="AJ304" s="37">
        <f t="shared" si="41"/>
        <v>9969.6373223500923</v>
      </c>
      <c r="AK304" s="37">
        <f t="shared" si="42"/>
        <v>12502.92</v>
      </c>
      <c r="AL304" s="37">
        <f t="shared" si="43"/>
        <v>14790.548346245097</v>
      </c>
      <c r="AM304" s="37">
        <f t="shared" si="44"/>
        <v>10765.683500000003</v>
      </c>
      <c r="AN304" s="37">
        <f t="shared" si="45"/>
        <v>12951.945380000006</v>
      </c>
      <c r="AO304" s="37">
        <f t="shared" si="46"/>
        <v>0</v>
      </c>
    </row>
    <row r="305" spans="1:41" hidden="1" x14ac:dyDescent="0.3">
      <c r="A305" t="str">
        <f t="shared" si="38"/>
        <v>410oct</v>
      </c>
      <c r="B305" t="str">
        <f t="shared" si="39"/>
        <v>MONTEROoct</v>
      </c>
      <c r="C305" s="1" t="s">
        <v>79</v>
      </c>
      <c r="D305" s="1" t="s">
        <v>40</v>
      </c>
      <c r="E305" s="1">
        <v>410</v>
      </c>
      <c r="F305" s="1" t="s">
        <v>119</v>
      </c>
      <c r="G305" s="1" t="s">
        <v>119</v>
      </c>
      <c r="H305" s="1" t="s">
        <v>119</v>
      </c>
      <c r="I305" s="1" t="s">
        <v>127</v>
      </c>
      <c r="J305" s="1" t="s">
        <v>129</v>
      </c>
      <c r="K305" t="s">
        <v>89</v>
      </c>
      <c r="L305" s="6">
        <v>13135.77</v>
      </c>
      <c r="M305" s="6">
        <v>6775.27</v>
      </c>
      <c r="N305" s="6">
        <v>17290.660000000003</v>
      </c>
      <c r="O305" s="6">
        <v>7751.9900000000007</v>
      </c>
      <c r="P305" s="6">
        <v>23594.088114999988</v>
      </c>
      <c r="Q305" s="6">
        <v>10684.543018424994</v>
      </c>
      <c r="R305" s="6">
        <v>23591.728706188489</v>
      </c>
      <c r="S305" s="6">
        <v>11548.151201679266</v>
      </c>
      <c r="T305" s="6">
        <v>12868.570000000005</v>
      </c>
      <c r="U305" s="6">
        <v>6548.8400000000038</v>
      </c>
      <c r="V305" s="30">
        <v>23591.728706188489</v>
      </c>
      <c r="W305" s="30">
        <v>11548.151201679266</v>
      </c>
      <c r="X305" s="30">
        <v>25243.149715621683</v>
      </c>
      <c r="Y305" s="30">
        <v>12151.330996773031</v>
      </c>
      <c r="Z305" s="30">
        <v>0</v>
      </c>
      <c r="AA305" s="30">
        <v>0</v>
      </c>
      <c r="AB305" s="34">
        <v>0.69259662737700201</v>
      </c>
      <c r="AC305" s="34">
        <v>0.51162824322495537</v>
      </c>
      <c r="AD305" s="34">
        <v>0.68889006315387058</v>
      </c>
      <c r="AE305" s="34">
        <v>0.7</v>
      </c>
      <c r="AF305" s="34">
        <v>0.7</v>
      </c>
      <c r="AG305" s="34">
        <v>0.7</v>
      </c>
      <c r="AH305" s="34">
        <v>0</v>
      </c>
      <c r="AI305" s="37">
        <f t="shared" si="40"/>
        <v>9097.7900000000027</v>
      </c>
      <c r="AJ305" s="37">
        <f t="shared" si="41"/>
        <v>8846.3900000000085</v>
      </c>
      <c r="AK305" s="37">
        <f t="shared" si="42"/>
        <v>8865.0300000000079</v>
      </c>
      <c r="AL305" s="37">
        <f t="shared" si="43"/>
        <v>16514.210094331942</v>
      </c>
      <c r="AM305" s="37">
        <f t="shared" si="44"/>
        <v>16514.210094331942</v>
      </c>
      <c r="AN305" s="37">
        <f t="shared" si="45"/>
        <v>17670.204800935178</v>
      </c>
      <c r="AO305" s="37">
        <f t="shared" si="46"/>
        <v>0</v>
      </c>
    </row>
    <row r="306" spans="1:41" hidden="1" x14ac:dyDescent="0.3">
      <c r="A306" t="str">
        <f t="shared" si="38"/>
        <v>410nov</v>
      </c>
      <c r="B306" t="str">
        <f t="shared" si="39"/>
        <v>MONTEROnov</v>
      </c>
      <c r="C306" s="1" t="s">
        <v>79</v>
      </c>
      <c r="D306" s="1" t="s">
        <v>40</v>
      </c>
      <c r="E306" s="1">
        <v>410</v>
      </c>
      <c r="F306" s="1" t="s">
        <v>119</v>
      </c>
      <c r="G306" s="1" t="s">
        <v>119</v>
      </c>
      <c r="H306" s="1" t="s">
        <v>119</v>
      </c>
      <c r="I306" s="1" t="s">
        <v>127</v>
      </c>
      <c r="J306" s="1" t="s">
        <v>129</v>
      </c>
      <c r="K306" t="s">
        <v>90</v>
      </c>
      <c r="L306" s="6">
        <v>16164.029999999999</v>
      </c>
      <c r="M306" s="6">
        <v>7500.6999999999989</v>
      </c>
      <c r="N306" s="6">
        <v>14330.63</v>
      </c>
      <c r="O306" s="6">
        <v>6306.79</v>
      </c>
      <c r="P306" s="6">
        <v>27368.282924999989</v>
      </c>
      <c r="Q306" s="6">
        <v>11520.902119874996</v>
      </c>
      <c r="R306" s="6">
        <v>27089.126439164989</v>
      </c>
      <c r="S306" s="6">
        <v>11120.08640327723</v>
      </c>
      <c r="T306" s="6">
        <v>14456.17816091954</v>
      </c>
      <c r="U306" s="6">
        <v>5803.4818430617343</v>
      </c>
      <c r="V306" s="30">
        <v>27089.126439164989</v>
      </c>
      <c r="W306" s="30">
        <v>11120.08640327723</v>
      </c>
      <c r="X306" s="30">
        <v>28985.365289906546</v>
      </c>
      <c r="Y306" s="30">
        <v>12644.665373278545</v>
      </c>
      <c r="Z306" s="30">
        <v>0</v>
      </c>
      <c r="AA306" s="30">
        <v>0</v>
      </c>
      <c r="AB306" s="34">
        <v>0.41803745724302649</v>
      </c>
      <c r="AC306" s="34">
        <v>0.44906399788425244</v>
      </c>
      <c r="AD306" s="34">
        <v>0.2644271738910125</v>
      </c>
      <c r="AE306" s="34">
        <v>0.34999999999999992</v>
      </c>
      <c r="AF306" s="34">
        <v>0.34999999999999992</v>
      </c>
      <c r="AG306" s="34">
        <v>0.52</v>
      </c>
      <c r="AH306" s="34">
        <v>0</v>
      </c>
      <c r="AI306" s="37">
        <f t="shared" si="40"/>
        <v>6757.1699999999973</v>
      </c>
      <c r="AJ306" s="37">
        <f t="shared" si="41"/>
        <v>6435.3700000000044</v>
      </c>
      <c r="AK306" s="37">
        <f t="shared" si="42"/>
        <v>3822.6063363569288</v>
      </c>
      <c r="AL306" s="37">
        <f t="shared" si="43"/>
        <v>9481.1942537077448</v>
      </c>
      <c r="AM306" s="37">
        <f t="shared" si="44"/>
        <v>9481.1942537077448</v>
      </c>
      <c r="AN306" s="37">
        <f t="shared" si="45"/>
        <v>15072.389950751403</v>
      </c>
      <c r="AO306" s="37">
        <f t="shared" si="46"/>
        <v>0</v>
      </c>
    </row>
    <row r="307" spans="1:41" hidden="1" x14ac:dyDescent="0.3">
      <c r="A307" t="str">
        <f t="shared" si="38"/>
        <v>410dic</v>
      </c>
      <c r="B307" t="str">
        <f t="shared" si="39"/>
        <v>MONTEROdic</v>
      </c>
      <c r="C307" s="1" t="s">
        <v>79</v>
      </c>
      <c r="D307" s="1" t="s">
        <v>40</v>
      </c>
      <c r="E307" s="1">
        <v>410</v>
      </c>
      <c r="F307" s="1" t="s">
        <v>119</v>
      </c>
      <c r="G307" s="1" t="s">
        <v>119</v>
      </c>
      <c r="H307" s="1" t="s">
        <v>119</v>
      </c>
      <c r="I307" s="1" t="s">
        <v>127</v>
      </c>
      <c r="J307" s="1" t="s">
        <v>129</v>
      </c>
      <c r="K307" t="s">
        <v>91</v>
      </c>
      <c r="L307" s="6">
        <v>50033.38</v>
      </c>
      <c r="M307" s="6">
        <v>24400.569999999989</v>
      </c>
      <c r="N307" s="6">
        <v>44290.23</v>
      </c>
      <c r="O307" s="6">
        <v>22065.5</v>
      </c>
      <c r="P307" s="6">
        <v>45801.140999999981</v>
      </c>
      <c r="Q307" s="6">
        <v>22050.98739749999</v>
      </c>
      <c r="R307" s="6">
        <v>45333.96936179998</v>
      </c>
      <c r="S307" s="6">
        <v>21397.633538769594</v>
      </c>
      <c r="T307" s="6">
        <v>53000.229885057473</v>
      </c>
      <c r="U307" s="6">
        <v>25764.240464356815</v>
      </c>
      <c r="V307" s="30">
        <v>45333.96936179998</v>
      </c>
      <c r="W307" s="30">
        <v>21397.633538769594</v>
      </c>
      <c r="X307" s="30">
        <v>48507.347217125978</v>
      </c>
      <c r="Y307" s="30">
        <v>23106.822518817233</v>
      </c>
      <c r="Z307" s="30">
        <v>0</v>
      </c>
      <c r="AA307" s="30">
        <v>0</v>
      </c>
      <c r="AB307" s="34">
        <v>0.4773391283978814</v>
      </c>
      <c r="AC307" s="34">
        <v>0.6560817137323518</v>
      </c>
      <c r="AD307" s="34">
        <v>0.45705289441166497</v>
      </c>
      <c r="AE307" s="34">
        <v>0.6</v>
      </c>
      <c r="AF307" s="34">
        <v>0.6</v>
      </c>
      <c r="AG307" s="34">
        <v>0.68</v>
      </c>
      <c r="AH307" s="34">
        <v>0</v>
      </c>
      <c r="AI307" s="37">
        <f t="shared" si="40"/>
        <v>23882.889999999989</v>
      </c>
      <c r="AJ307" s="37">
        <f t="shared" si="41"/>
        <v>29058.01000000002</v>
      </c>
      <c r="AK307" s="37">
        <f t="shared" si="42"/>
        <v>24223.908473449144</v>
      </c>
      <c r="AL307" s="37">
        <f t="shared" si="43"/>
        <v>27200.381617079987</v>
      </c>
      <c r="AM307" s="37">
        <f t="shared" si="44"/>
        <v>27200.381617079987</v>
      </c>
      <c r="AN307" s="37">
        <f t="shared" si="45"/>
        <v>32984.996107645668</v>
      </c>
      <c r="AO307" s="37">
        <f t="shared" si="46"/>
        <v>0</v>
      </c>
    </row>
    <row r="308" spans="1:41" hidden="1" x14ac:dyDescent="0.3">
      <c r="A308" t="str">
        <f t="shared" si="38"/>
        <v>FP-MUTjun</v>
      </c>
      <c r="B308" t="str">
        <f t="shared" si="39"/>
        <v>MUTUALISTAjun</v>
      </c>
      <c r="C308" s="1" t="s">
        <v>79</v>
      </c>
      <c r="D308" s="1" t="s">
        <v>41</v>
      </c>
      <c r="E308" s="1" t="s">
        <v>109</v>
      </c>
      <c r="F308" s="1" t="s">
        <v>121</v>
      </c>
      <c r="G308" s="1" t="s">
        <v>121</v>
      </c>
      <c r="H308" s="1" t="s">
        <v>303</v>
      </c>
      <c r="I308" s="1" t="s">
        <v>127</v>
      </c>
      <c r="J308" s="1" t="s">
        <v>129</v>
      </c>
      <c r="K308" t="s">
        <v>85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30">
        <v>0</v>
      </c>
      <c r="W308" s="30">
        <v>0</v>
      </c>
      <c r="X308" s="30">
        <v>36870.561000000009</v>
      </c>
      <c r="Y308" s="30">
        <v>18288.931483717875</v>
      </c>
      <c r="Z308" s="30">
        <v>0</v>
      </c>
      <c r="AA308" s="30">
        <v>0</v>
      </c>
      <c r="AB308" s="34">
        <v>0</v>
      </c>
      <c r="AC308" s="34">
        <v>0</v>
      </c>
      <c r="AD308" s="34">
        <v>0</v>
      </c>
      <c r="AE308" s="34">
        <v>0</v>
      </c>
      <c r="AF308" s="34">
        <v>0</v>
      </c>
      <c r="AG308" s="34">
        <v>0.7</v>
      </c>
      <c r="AH308" s="34">
        <v>0</v>
      </c>
      <c r="AI308" s="37">
        <f t="shared" si="40"/>
        <v>0</v>
      </c>
      <c r="AJ308" s="37">
        <f t="shared" si="41"/>
        <v>0</v>
      </c>
      <c r="AK308" s="37">
        <f t="shared" si="42"/>
        <v>0</v>
      </c>
      <c r="AL308" s="37">
        <f t="shared" si="43"/>
        <v>0</v>
      </c>
      <c r="AM308" s="37">
        <f t="shared" si="44"/>
        <v>0</v>
      </c>
      <c r="AN308" s="37">
        <f t="shared" si="45"/>
        <v>25809.392700000004</v>
      </c>
      <c r="AO308" s="37">
        <f t="shared" si="46"/>
        <v>0</v>
      </c>
    </row>
    <row r="309" spans="1:41" hidden="1" x14ac:dyDescent="0.3">
      <c r="A309" t="str">
        <f t="shared" si="38"/>
        <v>FP-MUTjul</v>
      </c>
      <c r="B309" t="str">
        <f t="shared" si="39"/>
        <v>MUTUALISTAjul</v>
      </c>
      <c r="C309" s="1" t="s">
        <v>79</v>
      </c>
      <c r="D309" s="1" t="s">
        <v>41</v>
      </c>
      <c r="E309" s="1" t="s">
        <v>109</v>
      </c>
      <c r="F309" s="1" t="s">
        <v>121</v>
      </c>
      <c r="G309" s="1" t="s">
        <v>121</v>
      </c>
      <c r="H309" s="1" t="s">
        <v>303</v>
      </c>
      <c r="I309" s="1" t="s">
        <v>127</v>
      </c>
      <c r="J309" s="1" t="s">
        <v>129</v>
      </c>
      <c r="K309" t="s">
        <v>86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30">
        <v>0</v>
      </c>
      <c r="W309" s="30">
        <v>0</v>
      </c>
      <c r="X309" s="30">
        <v>38314.874000000018</v>
      </c>
      <c r="Y309" s="30">
        <v>19005.355123109835</v>
      </c>
      <c r="Z309" s="30">
        <v>0</v>
      </c>
      <c r="AA309" s="30">
        <v>0</v>
      </c>
      <c r="AB309" s="34">
        <v>0</v>
      </c>
      <c r="AC309" s="34">
        <v>0</v>
      </c>
      <c r="AD309" s="34">
        <v>0</v>
      </c>
      <c r="AE309" s="34">
        <v>0</v>
      </c>
      <c r="AF309" s="34">
        <v>0</v>
      </c>
      <c r="AG309" s="34">
        <v>0.70000000000000007</v>
      </c>
      <c r="AH309" s="34">
        <v>0</v>
      </c>
      <c r="AI309" s="37">
        <f t="shared" si="40"/>
        <v>0</v>
      </c>
      <c r="AJ309" s="37">
        <f t="shared" si="41"/>
        <v>0</v>
      </c>
      <c r="AK309" s="37">
        <f t="shared" si="42"/>
        <v>0</v>
      </c>
      <c r="AL309" s="37">
        <f t="shared" si="43"/>
        <v>0</v>
      </c>
      <c r="AM309" s="37">
        <f t="shared" si="44"/>
        <v>0</v>
      </c>
      <c r="AN309" s="37">
        <f t="shared" si="45"/>
        <v>26820.411800000016</v>
      </c>
      <c r="AO309" s="37">
        <f t="shared" si="46"/>
        <v>0</v>
      </c>
    </row>
    <row r="310" spans="1:41" hidden="1" x14ac:dyDescent="0.3">
      <c r="A310" t="str">
        <f t="shared" si="38"/>
        <v>FP-MUTago</v>
      </c>
      <c r="B310" t="str">
        <f t="shared" si="39"/>
        <v>MUTUALISTAago</v>
      </c>
      <c r="C310" s="1" t="s">
        <v>79</v>
      </c>
      <c r="D310" s="1" t="s">
        <v>41</v>
      </c>
      <c r="E310" s="1" t="s">
        <v>109</v>
      </c>
      <c r="F310" s="1" t="s">
        <v>121</v>
      </c>
      <c r="G310" s="1" t="s">
        <v>121</v>
      </c>
      <c r="H310" s="1" t="s">
        <v>303</v>
      </c>
      <c r="I310" s="1" t="s">
        <v>127</v>
      </c>
      <c r="J310" s="1" t="s">
        <v>129</v>
      </c>
      <c r="K310" t="s">
        <v>87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30">
        <v>0</v>
      </c>
      <c r="W310" s="30">
        <v>0</v>
      </c>
      <c r="X310" s="30">
        <v>101052.35478000029</v>
      </c>
      <c r="Y310" s="30">
        <v>43943.745300056689</v>
      </c>
      <c r="Z310" s="30">
        <v>0</v>
      </c>
      <c r="AA310" s="30">
        <v>0</v>
      </c>
      <c r="AB310" s="34">
        <v>0</v>
      </c>
      <c r="AC310" s="34">
        <v>0</v>
      </c>
      <c r="AD310" s="34">
        <v>0</v>
      </c>
      <c r="AE310" s="34">
        <v>0</v>
      </c>
      <c r="AF310" s="34">
        <v>0</v>
      </c>
      <c r="AG310" s="34">
        <v>0.39</v>
      </c>
      <c r="AH310" s="34">
        <v>0</v>
      </c>
      <c r="AI310" s="37">
        <f t="shared" si="40"/>
        <v>0</v>
      </c>
      <c r="AJ310" s="37">
        <f t="shared" si="41"/>
        <v>0</v>
      </c>
      <c r="AK310" s="37">
        <f t="shared" si="42"/>
        <v>0</v>
      </c>
      <c r="AL310" s="37">
        <f t="shared" si="43"/>
        <v>0</v>
      </c>
      <c r="AM310" s="37">
        <f t="shared" si="44"/>
        <v>0</v>
      </c>
      <c r="AN310" s="37">
        <f t="shared" si="45"/>
        <v>39410.418364200115</v>
      </c>
      <c r="AO310" s="37">
        <f t="shared" si="46"/>
        <v>0</v>
      </c>
    </row>
    <row r="311" spans="1:41" hidden="1" x14ac:dyDescent="0.3">
      <c r="A311" t="str">
        <f t="shared" si="38"/>
        <v>FP-MUTsep</v>
      </c>
      <c r="B311" t="str">
        <f t="shared" si="39"/>
        <v>MUTUALISTAsep</v>
      </c>
      <c r="C311" s="1" t="s">
        <v>79</v>
      </c>
      <c r="D311" s="1" t="s">
        <v>41</v>
      </c>
      <c r="E311" s="1" t="s">
        <v>109</v>
      </c>
      <c r="F311" s="1" t="s">
        <v>121</v>
      </c>
      <c r="G311" s="1" t="s">
        <v>121</v>
      </c>
      <c r="H311" s="1" t="s">
        <v>303</v>
      </c>
      <c r="I311" s="1" t="s">
        <v>127</v>
      </c>
      <c r="J311" s="1" t="s">
        <v>129</v>
      </c>
      <c r="K311" t="s">
        <v>88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30">
        <v>0</v>
      </c>
      <c r="W311" s="30">
        <v>0</v>
      </c>
      <c r="X311" s="30">
        <v>39503.295000000013</v>
      </c>
      <c r="Y311" s="30">
        <v>19438.951732940171</v>
      </c>
      <c r="Z311" s="30">
        <v>0</v>
      </c>
      <c r="AA311" s="30">
        <v>0</v>
      </c>
      <c r="AB311" s="34">
        <v>0</v>
      </c>
      <c r="AC311" s="34">
        <v>0</v>
      </c>
      <c r="AD311" s="34">
        <v>0</v>
      </c>
      <c r="AE311" s="34">
        <v>0</v>
      </c>
      <c r="AF311" s="34">
        <v>0</v>
      </c>
      <c r="AG311" s="34">
        <v>0.68</v>
      </c>
      <c r="AH311" s="34">
        <v>0</v>
      </c>
      <c r="AI311" s="37">
        <f t="shared" si="40"/>
        <v>0</v>
      </c>
      <c r="AJ311" s="37">
        <f t="shared" si="41"/>
        <v>0</v>
      </c>
      <c r="AK311" s="37">
        <f t="shared" si="42"/>
        <v>0</v>
      </c>
      <c r="AL311" s="37">
        <f t="shared" si="43"/>
        <v>0</v>
      </c>
      <c r="AM311" s="37">
        <f t="shared" si="44"/>
        <v>0</v>
      </c>
      <c r="AN311" s="37">
        <f t="shared" si="45"/>
        <v>26862.240600000012</v>
      </c>
      <c r="AO311" s="37">
        <f t="shared" si="46"/>
        <v>0</v>
      </c>
    </row>
    <row r="312" spans="1:41" hidden="1" x14ac:dyDescent="0.3">
      <c r="A312" t="str">
        <f t="shared" si="38"/>
        <v>FP-MUToct</v>
      </c>
      <c r="B312" t="str">
        <f t="shared" si="39"/>
        <v>MUTUALISTAoct</v>
      </c>
      <c r="C312" s="1" t="s">
        <v>79</v>
      </c>
      <c r="D312" s="1" t="s">
        <v>41</v>
      </c>
      <c r="E312" s="1" t="s">
        <v>109</v>
      </c>
      <c r="F312" s="1" t="s">
        <v>121</v>
      </c>
      <c r="G312" s="1" t="s">
        <v>121</v>
      </c>
      <c r="H312" s="1" t="s">
        <v>303</v>
      </c>
      <c r="I312" s="1" t="s">
        <v>127</v>
      </c>
      <c r="J312" s="1" t="s">
        <v>129</v>
      </c>
      <c r="K312" t="s">
        <v>89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30">
        <v>0</v>
      </c>
      <c r="W312" s="30">
        <v>0</v>
      </c>
      <c r="X312" s="30">
        <v>32077.421999999991</v>
      </c>
      <c r="Y312" s="30">
        <v>15911.387221157394</v>
      </c>
      <c r="Z312" s="30">
        <v>0</v>
      </c>
      <c r="AA312" s="30">
        <v>0</v>
      </c>
      <c r="AB312" s="34">
        <v>0</v>
      </c>
      <c r="AC312" s="34">
        <v>0</v>
      </c>
      <c r="AD312" s="34">
        <v>0</v>
      </c>
      <c r="AE312" s="34">
        <v>0</v>
      </c>
      <c r="AF312" s="34">
        <v>0</v>
      </c>
      <c r="AG312" s="34">
        <v>0.7</v>
      </c>
      <c r="AH312" s="34">
        <v>0</v>
      </c>
      <c r="AI312" s="37">
        <f t="shared" si="40"/>
        <v>0</v>
      </c>
      <c r="AJ312" s="37">
        <f t="shared" si="41"/>
        <v>0</v>
      </c>
      <c r="AK312" s="37">
        <f t="shared" si="42"/>
        <v>0</v>
      </c>
      <c r="AL312" s="37">
        <f t="shared" si="43"/>
        <v>0</v>
      </c>
      <c r="AM312" s="37">
        <f t="shared" si="44"/>
        <v>0</v>
      </c>
      <c r="AN312" s="37">
        <f t="shared" si="45"/>
        <v>22454.195399999993</v>
      </c>
      <c r="AO312" s="37">
        <f t="shared" si="46"/>
        <v>0</v>
      </c>
    </row>
    <row r="313" spans="1:41" hidden="1" x14ac:dyDescent="0.3">
      <c r="A313" t="str">
        <f t="shared" si="38"/>
        <v>FP-MUTnov</v>
      </c>
      <c r="B313" t="str">
        <f t="shared" si="39"/>
        <v>MUTUALISTAnov</v>
      </c>
      <c r="C313" s="1" t="s">
        <v>79</v>
      </c>
      <c r="D313" s="1" t="s">
        <v>41</v>
      </c>
      <c r="E313" s="1" t="s">
        <v>109</v>
      </c>
      <c r="F313" s="1" t="s">
        <v>121</v>
      </c>
      <c r="G313" s="1" t="s">
        <v>121</v>
      </c>
      <c r="H313" s="1" t="s">
        <v>303</v>
      </c>
      <c r="I313" s="1" t="s">
        <v>127</v>
      </c>
      <c r="J313" s="1" t="s">
        <v>129</v>
      </c>
      <c r="K313" t="s">
        <v>90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30">
        <v>0</v>
      </c>
      <c r="W313" s="30">
        <v>0</v>
      </c>
      <c r="X313" s="30">
        <v>50115.960076519994</v>
      </c>
      <c r="Y313" s="30">
        <v>23079.047293226184</v>
      </c>
      <c r="Z313" s="30">
        <v>0</v>
      </c>
      <c r="AA313" s="30">
        <v>0</v>
      </c>
      <c r="AB313" s="34">
        <v>0</v>
      </c>
      <c r="AC313" s="34">
        <v>0</v>
      </c>
      <c r="AD313" s="34">
        <v>0</v>
      </c>
      <c r="AE313" s="34">
        <v>0</v>
      </c>
      <c r="AF313" s="34">
        <v>0</v>
      </c>
      <c r="AG313" s="34">
        <v>0.52000000000000013</v>
      </c>
      <c r="AH313" s="34">
        <v>0</v>
      </c>
      <c r="AI313" s="37">
        <f t="shared" si="40"/>
        <v>0</v>
      </c>
      <c r="AJ313" s="37">
        <f t="shared" si="41"/>
        <v>0</v>
      </c>
      <c r="AK313" s="37">
        <f t="shared" si="42"/>
        <v>0</v>
      </c>
      <c r="AL313" s="37">
        <f t="shared" si="43"/>
        <v>0</v>
      </c>
      <c r="AM313" s="37">
        <f t="shared" si="44"/>
        <v>0</v>
      </c>
      <c r="AN313" s="37">
        <f t="shared" si="45"/>
        <v>26060.299239790402</v>
      </c>
      <c r="AO313" s="37">
        <f t="shared" si="46"/>
        <v>0</v>
      </c>
    </row>
    <row r="314" spans="1:41" hidden="1" x14ac:dyDescent="0.3">
      <c r="A314" t="str">
        <f t="shared" si="38"/>
        <v>FP-MUTdic</v>
      </c>
      <c r="B314" t="str">
        <f t="shared" si="39"/>
        <v>MUTUALISTAdic</v>
      </c>
      <c r="C314" s="1" t="s">
        <v>79</v>
      </c>
      <c r="D314" s="1" t="s">
        <v>41</v>
      </c>
      <c r="E314" s="1" t="s">
        <v>109</v>
      </c>
      <c r="F314" s="1" t="s">
        <v>121</v>
      </c>
      <c r="G314" s="1" t="s">
        <v>121</v>
      </c>
      <c r="H314" s="1" t="s">
        <v>303</v>
      </c>
      <c r="I314" s="1" t="s">
        <v>127</v>
      </c>
      <c r="J314" s="1" t="s">
        <v>129</v>
      </c>
      <c r="K314" t="s">
        <v>91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30">
        <v>0</v>
      </c>
      <c r="W314" s="30">
        <v>0</v>
      </c>
      <c r="X314" s="30">
        <v>93821.371986615064</v>
      </c>
      <c r="Y314" s="30">
        <v>46168.025263868112</v>
      </c>
      <c r="Z314" s="30">
        <v>0</v>
      </c>
      <c r="AA314" s="30">
        <v>0</v>
      </c>
      <c r="AB314" s="34">
        <v>0</v>
      </c>
      <c r="AC314" s="34">
        <v>0</v>
      </c>
      <c r="AD314" s="34">
        <v>0</v>
      </c>
      <c r="AE314" s="34">
        <v>0</v>
      </c>
      <c r="AF314" s="34">
        <v>0</v>
      </c>
      <c r="AG314" s="34">
        <v>0.67999999999999994</v>
      </c>
      <c r="AH314" s="34">
        <v>0</v>
      </c>
      <c r="AI314" s="37">
        <f t="shared" si="40"/>
        <v>0</v>
      </c>
      <c r="AJ314" s="37">
        <f t="shared" si="41"/>
        <v>0</v>
      </c>
      <c r="AK314" s="37">
        <f t="shared" si="42"/>
        <v>0</v>
      </c>
      <c r="AL314" s="37">
        <f t="shared" si="43"/>
        <v>0</v>
      </c>
      <c r="AM314" s="37">
        <f t="shared" si="44"/>
        <v>0</v>
      </c>
      <c r="AN314" s="37">
        <f t="shared" si="45"/>
        <v>63798.53295089824</v>
      </c>
      <c r="AO314" s="37">
        <f t="shared" si="46"/>
        <v>0</v>
      </c>
    </row>
    <row r="315" spans="1:41" hidden="1" x14ac:dyDescent="0.3">
      <c r="A315" t="str">
        <f t="shared" si="38"/>
        <v>190ene</v>
      </c>
      <c r="B315" t="str">
        <f t="shared" si="39"/>
        <v>ORURO FPene</v>
      </c>
      <c r="C315" s="1" t="s">
        <v>79</v>
      </c>
      <c r="D315" s="1" t="s">
        <v>42</v>
      </c>
      <c r="E315" s="1">
        <v>190</v>
      </c>
      <c r="F315" s="1" t="s">
        <v>119</v>
      </c>
      <c r="G315" s="1" t="s">
        <v>119</v>
      </c>
      <c r="H315" s="1" t="s">
        <v>119</v>
      </c>
      <c r="I315" s="1" t="s">
        <v>125</v>
      </c>
      <c r="J315" s="1" t="s">
        <v>134</v>
      </c>
      <c r="K315" t="s">
        <v>80</v>
      </c>
      <c r="L315" s="6">
        <v>0</v>
      </c>
      <c r="M315" s="6">
        <v>0</v>
      </c>
      <c r="N315" s="6">
        <v>51777.02</v>
      </c>
      <c r="O315" s="6">
        <v>26070.609999999993</v>
      </c>
      <c r="P315" s="6">
        <v>57943.283349999983</v>
      </c>
      <c r="Q315" s="6">
        <v>29292.111715999996</v>
      </c>
      <c r="R315" s="6">
        <v>54494.250000000022</v>
      </c>
      <c r="S315" s="6">
        <v>26426.289603105884</v>
      </c>
      <c r="T315" s="6">
        <v>54494.250000000015</v>
      </c>
      <c r="U315" s="6">
        <v>26560.049999999996</v>
      </c>
      <c r="V315" s="30">
        <v>57943.283349999983</v>
      </c>
      <c r="W315" s="30">
        <v>28241.080534921875</v>
      </c>
      <c r="X315" s="30">
        <v>61419.880351</v>
      </c>
      <c r="Y315" s="30">
        <v>32737.554585460646</v>
      </c>
      <c r="Z315" s="30">
        <v>39394.10919540238</v>
      </c>
      <c r="AA315" s="30">
        <v>22179.972753562237</v>
      </c>
      <c r="AB315" s="34">
        <v>0</v>
      </c>
      <c r="AC315" s="34">
        <v>0.6939440936478305</v>
      </c>
      <c r="AD315" s="34">
        <v>0.65204160995527927</v>
      </c>
      <c r="AE315" s="34">
        <v>0.65204160995527904</v>
      </c>
      <c r="AF315" s="34">
        <v>0.65204160995527904</v>
      </c>
      <c r="AG315" s="34">
        <v>0.88</v>
      </c>
      <c r="AH315" s="34">
        <v>0.97836116754138658</v>
      </c>
      <c r="AI315" s="37">
        <f t="shared" si="40"/>
        <v>0</v>
      </c>
      <c r="AJ315" s="37">
        <f t="shared" si="41"/>
        <v>35930.357215685588</v>
      </c>
      <c r="AK315" s="37">
        <f t="shared" si="42"/>
        <v>35532.518503305488</v>
      </c>
      <c r="AL315" s="37">
        <f t="shared" si="43"/>
        <v>35532.51850330548</v>
      </c>
      <c r="AM315" s="37">
        <f t="shared" si="44"/>
        <v>37781.431761628904</v>
      </c>
      <c r="AN315" s="37">
        <f t="shared" si="45"/>
        <v>54049.494708880004</v>
      </c>
      <c r="AO315" s="37">
        <f t="shared" si="46"/>
        <v>38541.666666666744</v>
      </c>
    </row>
    <row r="316" spans="1:41" hidden="1" x14ac:dyDescent="0.3">
      <c r="A316" t="str">
        <f t="shared" si="38"/>
        <v>190feb</v>
      </c>
      <c r="B316" t="str">
        <f t="shared" si="39"/>
        <v>ORURO FPfeb</v>
      </c>
      <c r="C316" s="1" t="s">
        <v>79</v>
      </c>
      <c r="D316" s="1" t="s">
        <v>42</v>
      </c>
      <c r="E316" s="1">
        <v>190</v>
      </c>
      <c r="F316" s="1" t="s">
        <v>119</v>
      </c>
      <c r="G316" s="1" t="s">
        <v>119</v>
      </c>
      <c r="H316" s="1" t="s">
        <v>119</v>
      </c>
      <c r="I316" s="1" t="s">
        <v>125</v>
      </c>
      <c r="J316" s="1" t="s">
        <v>134</v>
      </c>
      <c r="K316" t="s">
        <v>81</v>
      </c>
      <c r="L316" s="6">
        <v>0</v>
      </c>
      <c r="M316" s="6">
        <v>0</v>
      </c>
      <c r="N316" s="6">
        <v>62509.57</v>
      </c>
      <c r="O316" s="6">
        <v>27685.34</v>
      </c>
      <c r="P316" s="6">
        <v>92470.390800000052</v>
      </c>
      <c r="Q316" s="6">
        <v>39019.387322000024</v>
      </c>
      <c r="R316" s="6">
        <v>83330.510000000082</v>
      </c>
      <c r="S316" s="6">
        <v>35789.764453334436</v>
      </c>
      <c r="T316" s="6">
        <v>83330.510000000068</v>
      </c>
      <c r="U316" s="6">
        <v>35822.020000000062</v>
      </c>
      <c r="V316" s="30">
        <v>95244.502524000054</v>
      </c>
      <c r="W316" s="30">
        <v>40943.592860583522</v>
      </c>
      <c r="X316" s="30">
        <v>100006.72765020008</v>
      </c>
      <c r="Y316" s="30">
        <v>44801.766774317883</v>
      </c>
      <c r="Z316" s="30">
        <v>67916.954022988619</v>
      </c>
      <c r="AA316" s="30">
        <v>32257.783568854742</v>
      </c>
      <c r="AB316" s="34">
        <v>0</v>
      </c>
      <c r="AC316" s="34">
        <v>0.48474789431157472</v>
      </c>
      <c r="AD316" s="34">
        <v>0.29747291188724084</v>
      </c>
      <c r="AE316" s="34">
        <v>0.29747291188724073</v>
      </c>
      <c r="AF316" s="34">
        <v>0.29747291188724073</v>
      </c>
      <c r="AG316" s="34">
        <v>0.39999999999999997</v>
      </c>
      <c r="AH316" s="34">
        <v>0.46232087023113944</v>
      </c>
      <c r="AI316" s="37">
        <f t="shared" si="40"/>
        <v>0</v>
      </c>
      <c r="AJ316" s="37">
        <f t="shared" si="41"/>
        <v>30301.382431821981</v>
      </c>
      <c r="AK316" s="37">
        <f t="shared" si="42"/>
        <v>24788.569458748862</v>
      </c>
      <c r="AL316" s="37">
        <f t="shared" si="43"/>
        <v>24788.569458748858</v>
      </c>
      <c r="AM316" s="37">
        <f t="shared" si="44"/>
        <v>28332.659507065946</v>
      </c>
      <c r="AN316" s="37">
        <f t="shared" si="45"/>
        <v>40002.691060080026</v>
      </c>
      <c r="AO316" s="37">
        <f t="shared" si="46"/>
        <v>31399.425287356386</v>
      </c>
    </row>
    <row r="317" spans="1:41" hidden="1" x14ac:dyDescent="0.3">
      <c r="A317" t="str">
        <f t="shared" si="38"/>
        <v>190mar</v>
      </c>
      <c r="B317" t="str">
        <f t="shared" si="39"/>
        <v>ORURO FPmar</v>
      </c>
      <c r="C317" s="1" t="s">
        <v>79</v>
      </c>
      <c r="D317" s="1" t="s">
        <v>42</v>
      </c>
      <c r="E317" s="1">
        <v>190</v>
      </c>
      <c r="F317" s="1" t="s">
        <v>119</v>
      </c>
      <c r="G317" s="1" t="s">
        <v>119</v>
      </c>
      <c r="H317" s="1" t="s">
        <v>119</v>
      </c>
      <c r="I317" s="1" t="s">
        <v>125</v>
      </c>
      <c r="J317" s="1" t="s">
        <v>134</v>
      </c>
      <c r="K317" t="s">
        <v>82</v>
      </c>
      <c r="L317" s="6">
        <v>0</v>
      </c>
      <c r="M317" s="6">
        <v>0</v>
      </c>
      <c r="N317" s="6">
        <v>91716.42</v>
      </c>
      <c r="O317" s="6">
        <v>38132.320000000007</v>
      </c>
      <c r="P317" s="6">
        <v>64310.563175000003</v>
      </c>
      <c r="Q317" s="6">
        <v>29291.885501625002</v>
      </c>
      <c r="R317" s="6">
        <v>71233.46000000005</v>
      </c>
      <c r="S317" s="6">
        <v>34535.651643767735</v>
      </c>
      <c r="T317" s="6">
        <v>71233.460000000021</v>
      </c>
      <c r="U317" s="6">
        <v>34549.340000000033</v>
      </c>
      <c r="V317" s="30">
        <v>71233.460000000181</v>
      </c>
      <c r="W317" s="30">
        <v>34549.340000000113</v>
      </c>
      <c r="X317" s="30">
        <v>75507.467600000193</v>
      </c>
      <c r="Y317" s="30">
        <v>39845.161985185245</v>
      </c>
      <c r="Z317" s="30">
        <v>72821.759116956368</v>
      </c>
      <c r="AA317" s="30">
        <v>37648.849463466446</v>
      </c>
      <c r="AB317" s="34">
        <v>0</v>
      </c>
      <c r="AC317" s="34">
        <v>0.40852305092464497</v>
      </c>
      <c r="AD317" s="34">
        <v>0.56279629533464315</v>
      </c>
      <c r="AE317" s="34">
        <v>0.56279629533464237</v>
      </c>
      <c r="AF317" s="34">
        <v>0.56279629533464237</v>
      </c>
      <c r="AG317" s="34">
        <v>0.85000000000000009</v>
      </c>
      <c r="AH317" s="34">
        <v>0.77338740309107468</v>
      </c>
      <c r="AI317" s="37">
        <f t="shared" si="40"/>
        <v>0</v>
      </c>
      <c r="AJ317" s="37">
        <f t="shared" si="41"/>
        <v>37468.271718286123</v>
      </c>
      <c r="AK317" s="37">
        <f t="shared" si="42"/>
        <v>40089.927391868499</v>
      </c>
      <c r="AL317" s="37">
        <f t="shared" si="43"/>
        <v>40089.927391868463</v>
      </c>
      <c r="AM317" s="37">
        <f t="shared" si="44"/>
        <v>40089.927391868536</v>
      </c>
      <c r="AN317" s="37">
        <f t="shared" si="45"/>
        <v>64181.347460000172</v>
      </c>
      <c r="AO317" s="37">
        <f t="shared" si="46"/>
        <v>56319.431171986675</v>
      </c>
    </row>
    <row r="318" spans="1:41" hidden="1" x14ac:dyDescent="0.3">
      <c r="A318" t="str">
        <f t="shared" si="38"/>
        <v>190abr</v>
      </c>
      <c r="B318" t="str">
        <f t="shared" si="39"/>
        <v>ORURO FPabr</v>
      </c>
      <c r="C318" s="1" t="s">
        <v>79</v>
      </c>
      <c r="D318" s="1" t="s">
        <v>42</v>
      </c>
      <c r="E318" s="1">
        <v>190</v>
      </c>
      <c r="F318" s="1" t="s">
        <v>119</v>
      </c>
      <c r="G318" s="1" t="s">
        <v>119</v>
      </c>
      <c r="H318" s="1" t="s">
        <v>119</v>
      </c>
      <c r="I318" s="1" t="s">
        <v>125</v>
      </c>
      <c r="J318" s="1" t="s">
        <v>134</v>
      </c>
      <c r="K318" t="s">
        <v>83</v>
      </c>
      <c r="L318" s="6">
        <v>0</v>
      </c>
      <c r="M318" s="6">
        <v>0</v>
      </c>
      <c r="N318" s="6">
        <v>56678.2</v>
      </c>
      <c r="O318" s="6">
        <v>28461.039999999997</v>
      </c>
      <c r="P318" s="6">
        <v>58756.714325000001</v>
      </c>
      <c r="Q318" s="6">
        <v>29607.526675375</v>
      </c>
      <c r="R318" s="6">
        <v>64874.380000000041</v>
      </c>
      <c r="S318" s="6">
        <v>33154.543892488669</v>
      </c>
      <c r="T318" s="6">
        <v>64874.380000000048</v>
      </c>
      <c r="U318" s="6">
        <v>32924.120000000061</v>
      </c>
      <c r="V318" s="30">
        <v>64874.380000000019</v>
      </c>
      <c r="W318" s="30">
        <v>32924.120000000046</v>
      </c>
      <c r="X318" s="30">
        <v>69415.586600000024</v>
      </c>
      <c r="Y318" s="30">
        <v>36999.36474008896</v>
      </c>
      <c r="Z318" s="30">
        <v>0</v>
      </c>
      <c r="AA318" s="30">
        <v>0</v>
      </c>
      <c r="AB318" s="34">
        <v>0</v>
      </c>
      <c r="AC318" s="34">
        <v>0.66508578153848286</v>
      </c>
      <c r="AD318" s="34">
        <v>0.70830743898025295</v>
      </c>
      <c r="AE318" s="34">
        <v>0.70830743898025361</v>
      </c>
      <c r="AF318" s="34">
        <v>0.70830743898025361</v>
      </c>
      <c r="AG318" s="34">
        <v>0.88</v>
      </c>
      <c r="AH318" s="34">
        <v>0</v>
      </c>
      <c r="AI318" s="37">
        <f t="shared" si="40"/>
        <v>0</v>
      </c>
      <c r="AJ318" s="37">
        <f t="shared" si="41"/>
        <v>37695.864943194436</v>
      </c>
      <c r="AK318" s="37">
        <f t="shared" si="42"/>
        <v>45951.005953231775</v>
      </c>
      <c r="AL318" s="37">
        <f t="shared" si="43"/>
        <v>45951.005953231812</v>
      </c>
      <c r="AM318" s="37">
        <f t="shared" si="44"/>
        <v>45951.005953231797</v>
      </c>
      <c r="AN318" s="37">
        <f t="shared" si="45"/>
        <v>61085.71620800002</v>
      </c>
      <c r="AO318" s="37">
        <f t="shared" si="46"/>
        <v>0</v>
      </c>
    </row>
    <row r="319" spans="1:41" hidden="1" x14ac:dyDescent="0.3">
      <c r="A319" t="str">
        <f t="shared" si="38"/>
        <v>190may</v>
      </c>
      <c r="B319" t="str">
        <f t="shared" si="39"/>
        <v>ORURO FPmay</v>
      </c>
      <c r="C319" s="1" t="s">
        <v>79</v>
      </c>
      <c r="D319" s="1" t="s">
        <v>42</v>
      </c>
      <c r="E319" s="1">
        <v>190</v>
      </c>
      <c r="F319" s="1" t="s">
        <v>119</v>
      </c>
      <c r="G319" s="1" t="s">
        <v>119</v>
      </c>
      <c r="H319" s="1" t="s">
        <v>119</v>
      </c>
      <c r="I319" s="1" t="s">
        <v>125</v>
      </c>
      <c r="J319" s="1" t="s">
        <v>134</v>
      </c>
      <c r="K319" t="s">
        <v>84</v>
      </c>
      <c r="L319" s="6">
        <v>59219.719999999987</v>
      </c>
      <c r="M319" s="6">
        <v>28642.009999999995</v>
      </c>
      <c r="N319" s="6">
        <v>61241.939999999988</v>
      </c>
      <c r="O319" s="6">
        <v>31065.76999999999</v>
      </c>
      <c r="P319" s="6">
        <v>63696.041900000033</v>
      </c>
      <c r="Q319" s="6">
        <v>30884.18948600001</v>
      </c>
      <c r="R319" s="6">
        <v>63097.089999999953</v>
      </c>
      <c r="S319" s="6">
        <v>33481.883484706334</v>
      </c>
      <c r="T319" s="6">
        <v>63097.08999999996</v>
      </c>
      <c r="U319" s="6">
        <v>32694.199999999932</v>
      </c>
      <c r="V319" s="30">
        <v>63097.08999999996</v>
      </c>
      <c r="W319" s="30">
        <v>32694.199999999928</v>
      </c>
      <c r="X319" s="30">
        <v>67513.88629999994</v>
      </c>
      <c r="Y319" s="30">
        <v>35985.734999675027</v>
      </c>
      <c r="Z319" s="30">
        <v>0</v>
      </c>
      <c r="AA319" s="30">
        <v>0</v>
      </c>
      <c r="AB319" s="34">
        <v>0.32337353165465915</v>
      </c>
      <c r="AC319" s="34">
        <v>0.69894045471841293</v>
      </c>
      <c r="AD319" s="34">
        <v>0.78490211546685218</v>
      </c>
      <c r="AE319" s="34">
        <v>0.7849021154668524</v>
      </c>
      <c r="AF319" s="34">
        <v>0.7849021154668524</v>
      </c>
      <c r="AG319" s="34">
        <v>0.87999999999999989</v>
      </c>
      <c r="AH319" s="34">
        <v>0</v>
      </c>
      <c r="AI319" s="37">
        <f t="shared" si="40"/>
        <v>19150.090000000047</v>
      </c>
      <c r="AJ319" s="37">
        <f t="shared" si="41"/>
        <v>42804.469391437749</v>
      </c>
      <c r="AK319" s="37">
        <f t="shared" si="42"/>
        <v>49525.039420802335</v>
      </c>
      <c r="AL319" s="37">
        <f t="shared" si="43"/>
        <v>49525.039420802343</v>
      </c>
      <c r="AM319" s="37">
        <f t="shared" si="44"/>
        <v>49525.03942080235</v>
      </c>
      <c r="AN319" s="37">
        <f t="shared" si="45"/>
        <v>59412.219943999939</v>
      </c>
      <c r="AO319" s="37">
        <f t="shared" si="46"/>
        <v>0</v>
      </c>
    </row>
    <row r="320" spans="1:41" hidden="1" x14ac:dyDescent="0.3">
      <c r="A320" t="str">
        <f t="shared" si="38"/>
        <v>190jun</v>
      </c>
      <c r="B320" t="str">
        <f t="shared" si="39"/>
        <v>ORURO FPjun</v>
      </c>
      <c r="C320" s="1" t="s">
        <v>79</v>
      </c>
      <c r="D320" s="1" t="s">
        <v>42</v>
      </c>
      <c r="E320" s="1">
        <v>190</v>
      </c>
      <c r="F320" s="1" t="s">
        <v>119</v>
      </c>
      <c r="G320" s="1" t="s">
        <v>119</v>
      </c>
      <c r="H320" s="1" t="s">
        <v>119</v>
      </c>
      <c r="I320" s="1" t="s">
        <v>125</v>
      </c>
      <c r="J320" s="1" t="s">
        <v>134</v>
      </c>
      <c r="K320" t="s">
        <v>85</v>
      </c>
      <c r="L320" s="6">
        <v>55780.59</v>
      </c>
      <c r="M320" s="6">
        <v>29201.389999999992</v>
      </c>
      <c r="N320" s="6">
        <v>38703.099999999991</v>
      </c>
      <c r="O320" s="6">
        <v>19732.289999999997</v>
      </c>
      <c r="P320" s="6">
        <v>53018.528399999988</v>
      </c>
      <c r="Q320" s="6">
        <v>27691.350029999994</v>
      </c>
      <c r="R320" s="6">
        <v>55492.849999999991</v>
      </c>
      <c r="S320" s="6">
        <v>29503.239999999987</v>
      </c>
      <c r="T320" s="6">
        <v>55492.849999999984</v>
      </c>
      <c r="U320" s="6">
        <v>29503.239999999983</v>
      </c>
      <c r="V320" s="30">
        <v>57157.635499999989</v>
      </c>
      <c r="W320" s="30">
        <v>30388.337199999987</v>
      </c>
      <c r="X320" s="30">
        <v>61158.669984999986</v>
      </c>
      <c r="Y320" s="30">
        <v>32598.326235187997</v>
      </c>
      <c r="Z320" s="30">
        <v>0</v>
      </c>
      <c r="AA320" s="30">
        <v>0</v>
      </c>
      <c r="AB320" s="34">
        <v>0.75522632514285071</v>
      </c>
      <c r="AC320" s="34">
        <v>0.70346321336083073</v>
      </c>
      <c r="AD320" s="34">
        <v>0.80830359226458959</v>
      </c>
      <c r="AE320" s="34">
        <v>0.80830359226458959</v>
      </c>
      <c r="AF320" s="34">
        <v>0.80830359226458959</v>
      </c>
      <c r="AG320" s="34">
        <v>0.88</v>
      </c>
      <c r="AH320" s="34">
        <v>0</v>
      </c>
      <c r="AI320" s="37">
        <f t="shared" si="40"/>
        <v>42126.970000000045</v>
      </c>
      <c r="AJ320" s="37">
        <f t="shared" si="41"/>
        <v>27226.207093025561</v>
      </c>
      <c r="AK320" s="37">
        <f t="shared" si="42"/>
        <v>44855.070000000014</v>
      </c>
      <c r="AL320" s="37">
        <f t="shared" si="43"/>
        <v>44855.070000000022</v>
      </c>
      <c r="AM320" s="37">
        <f t="shared" si="44"/>
        <v>46200.722100000021</v>
      </c>
      <c r="AN320" s="37">
        <f t="shared" si="45"/>
        <v>53819.629586799987</v>
      </c>
      <c r="AO320" s="37">
        <f t="shared" si="46"/>
        <v>0</v>
      </c>
    </row>
    <row r="321" spans="1:41" hidden="1" x14ac:dyDescent="0.3">
      <c r="A321" t="str">
        <f t="shared" si="38"/>
        <v>190jul</v>
      </c>
      <c r="B321" t="str">
        <f t="shared" si="39"/>
        <v>ORURO FPjul</v>
      </c>
      <c r="C321" s="1" t="s">
        <v>79</v>
      </c>
      <c r="D321" s="1" t="s">
        <v>42</v>
      </c>
      <c r="E321" s="1">
        <v>190</v>
      </c>
      <c r="F321" s="1" t="s">
        <v>119</v>
      </c>
      <c r="G321" s="1" t="s">
        <v>119</v>
      </c>
      <c r="H321" s="1" t="s">
        <v>119</v>
      </c>
      <c r="I321" s="1" t="s">
        <v>125</v>
      </c>
      <c r="J321" s="1" t="s">
        <v>134</v>
      </c>
      <c r="K321" t="s">
        <v>86</v>
      </c>
      <c r="L321" s="6">
        <v>54146.939999999995</v>
      </c>
      <c r="M321" s="6">
        <v>28216.53999999999</v>
      </c>
      <c r="N321" s="6">
        <v>49458.13</v>
      </c>
      <c r="O321" s="6">
        <v>25267.299999999996</v>
      </c>
      <c r="P321" s="6">
        <v>56651.818699999982</v>
      </c>
      <c r="Q321" s="6">
        <v>29555.572357999994</v>
      </c>
      <c r="R321" s="6">
        <v>49991.019999999982</v>
      </c>
      <c r="S321" s="6">
        <v>26683.930000000022</v>
      </c>
      <c r="T321" s="6">
        <v>49991.019999999968</v>
      </c>
      <c r="U321" s="6">
        <v>26683.929999999949</v>
      </c>
      <c r="V321" s="30">
        <v>51490.750599999999</v>
      </c>
      <c r="W321" s="30">
        <v>27484.447899999966</v>
      </c>
      <c r="X321" s="30">
        <v>57669.640672000016</v>
      </c>
      <c r="Y321" s="30">
        <v>30738.630531909901</v>
      </c>
      <c r="Z321" s="30">
        <v>0</v>
      </c>
      <c r="AA321" s="30">
        <v>0</v>
      </c>
      <c r="AB321" s="34">
        <v>0.76155254572095943</v>
      </c>
      <c r="AC321" s="34">
        <v>0.73401591270851496</v>
      </c>
      <c r="AD321" s="34">
        <v>0.82532522841102296</v>
      </c>
      <c r="AE321" s="34">
        <v>0.82532522841102296</v>
      </c>
      <c r="AF321" s="34">
        <v>0.82532522841102296</v>
      </c>
      <c r="AG321" s="34">
        <v>0.88</v>
      </c>
      <c r="AH321" s="34">
        <v>0</v>
      </c>
      <c r="AI321" s="37">
        <f t="shared" si="40"/>
        <v>41235.740000000042</v>
      </c>
      <c r="AJ321" s="37">
        <f t="shared" si="41"/>
        <v>36303.054432806384</v>
      </c>
      <c r="AK321" s="37">
        <f t="shared" si="42"/>
        <v>41258.849999999991</v>
      </c>
      <c r="AL321" s="37">
        <f t="shared" si="43"/>
        <v>41258.850000000006</v>
      </c>
      <c r="AM321" s="37">
        <f t="shared" si="44"/>
        <v>42496.615500000014</v>
      </c>
      <c r="AN321" s="37">
        <f t="shared" si="45"/>
        <v>50749.283791360016</v>
      </c>
      <c r="AO321" s="37">
        <f t="shared" si="46"/>
        <v>0</v>
      </c>
    </row>
    <row r="322" spans="1:41" hidden="1" x14ac:dyDescent="0.3">
      <c r="A322" t="str">
        <f t="shared" si="38"/>
        <v>190ago</v>
      </c>
      <c r="B322" t="str">
        <f t="shared" si="39"/>
        <v>ORURO FPago</v>
      </c>
      <c r="C322" s="1" t="s">
        <v>79</v>
      </c>
      <c r="D322" s="1" t="s">
        <v>42</v>
      </c>
      <c r="E322" s="1">
        <v>190</v>
      </c>
      <c r="F322" s="1" t="s">
        <v>119</v>
      </c>
      <c r="G322" s="1" t="s">
        <v>119</v>
      </c>
      <c r="H322" s="1" t="s">
        <v>119</v>
      </c>
      <c r="I322" s="1" t="s">
        <v>125</v>
      </c>
      <c r="J322" s="1" t="s">
        <v>134</v>
      </c>
      <c r="K322" t="s">
        <v>87</v>
      </c>
      <c r="L322" s="6">
        <v>155179.47</v>
      </c>
      <c r="M322" s="6">
        <v>57855.519999999982</v>
      </c>
      <c r="N322" s="6">
        <v>101721.26999999999</v>
      </c>
      <c r="O322" s="6">
        <v>41003.87999999999</v>
      </c>
      <c r="P322" s="6">
        <v>106281.74318000011</v>
      </c>
      <c r="Q322" s="6">
        <v>44941.467058700051</v>
      </c>
      <c r="R322" s="6">
        <v>88044.605329223152</v>
      </c>
      <c r="S322" s="6">
        <v>37658.438591415324</v>
      </c>
      <c r="T322" s="6">
        <v>138514.91000000015</v>
      </c>
      <c r="U322" s="6">
        <v>60743.110000000248</v>
      </c>
      <c r="V322" s="30">
        <v>138514.91000000018</v>
      </c>
      <c r="W322" s="30">
        <v>59245.597305200077</v>
      </c>
      <c r="X322" s="30">
        <v>146825.80460000018</v>
      </c>
      <c r="Y322" s="30">
        <v>65776.129353509721</v>
      </c>
      <c r="Z322" s="30">
        <v>0</v>
      </c>
      <c r="AA322" s="30">
        <v>0</v>
      </c>
      <c r="AB322" s="34">
        <v>0.26473289282403145</v>
      </c>
      <c r="AC322" s="34">
        <v>0.36083632065986693</v>
      </c>
      <c r="AD322" s="34">
        <v>0.38514359212304056</v>
      </c>
      <c r="AE322" s="34">
        <v>0.32</v>
      </c>
      <c r="AF322" s="34">
        <v>0.32</v>
      </c>
      <c r="AG322" s="34">
        <v>0.39999999999999997</v>
      </c>
      <c r="AH322" s="34">
        <v>0</v>
      </c>
      <c r="AI322" s="37">
        <f t="shared" si="40"/>
        <v>41081.110000000008</v>
      </c>
      <c r="AJ322" s="37">
        <f t="shared" si="41"/>
        <v>36704.728799648896</v>
      </c>
      <c r="AK322" s="37">
        <f t="shared" si="42"/>
        <v>53348.129999999728</v>
      </c>
      <c r="AL322" s="37">
        <f t="shared" si="43"/>
        <v>28174.27370535141</v>
      </c>
      <c r="AM322" s="37">
        <f t="shared" si="44"/>
        <v>44324.771200000061</v>
      </c>
      <c r="AN322" s="37">
        <f t="shared" si="45"/>
        <v>58730.32184000007</v>
      </c>
      <c r="AO322" s="37">
        <f t="shared" si="46"/>
        <v>0</v>
      </c>
    </row>
    <row r="323" spans="1:41" hidden="1" x14ac:dyDescent="0.3">
      <c r="A323" t="str">
        <f t="shared" si="38"/>
        <v>190sep</v>
      </c>
      <c r="B323" t="str">
        <f t="shared" si="39"/>
        <v>ORURO FPsep</v>
      </c>
      <c r="C323" s="1" t="s">
        <v>79</v>
      </c>
      <c r="D323" s="1" t="s">
        <v>42</v>
      </c>
      <c r="E323" s="1">
        <v>190</v>
      </c>
      <c r="F323" s="1" t="s">
        <v>119</v>
      </c>
      <c r="G323" s="1" t="s">
        <v>119</v>
      </c>
      <c r="H323" s="1" t="s">
        <v>119</v>
      </c>
      <c r="I323" s="1" t="s">
        <v>125</v>
      </c>
      <c r="J323" s="1" t="s">
        <v>134</v>
      </c>
      <c r="K323" t="s">
        <v>88</v>
      </c>
      <c r="L323" s="6">
        <v>41194.99</v>
      </c>
      <c r="M323" s="6">
        <v>19996.569999999996</v>
      </c>
      <c r="N323" s="6">
        <v>67563.039999999994</v>
      </c>
      <c r="O323" s="6">
        <v>32017.149999999994</v>
      </c>
      <c r="P323" s="6">
        <v>53441.805920000028</v>
      </c>
      <c r="Q323" s="6">
        <v>27607.589934300013</v>
      </c>
      <c r="R323" s="6">
        <v>55328.301668976026</v>
      </c>
      <c r="S323" s="6">
        <v>28034.850455670155</v>
      </c>
      <c r="T323" s="6">
        <v>46876.219999999943</v>
      </c>
      <c r="U323" s="6">
        <v>24875.46999999995</v>
      </c>
      <c r="V323" s="30">
        <v>50626.317599999944</v>
      </c>
      <c r="W323" s="30">
        <v>26865.50759999995</v>
      </c>
      <c r="X323" s="30">
        <v>58726.528415999936</v>
      </c>
      <c r="Y323" s="30">
        <v>30989.888973088742</v>
      </c>
      <c r="Z323" s="30">
        <v>0</v>
      </c>
      <c r="AA323" s="30">
        <v>0</v>
      </c>
      <c r="AB323" s="34">
        <v>0.59204772230797964</v>
      </c>
      <c r="AC323" s="34">
        <v>0.59027941339739554</v>
      </c>
      <c r="AD323" s="34">
        <v>0.83360902393580361</v>
      </c>
      <c r="AE323" s="34">
        <v>0.7</v>
      </c>
      <c r="AF323" s="34">
        <v>0.7</v>
      </c>
      <c r="AG323" s="34">
        <v>0.85</v>
      </c>
      <c r="AH323" s="34">
        <v>0</v>
      </c>
      <c r="AI323" s="37">
        <f t="shared" si="40"/>
        <v>24389.399999999998</v>
      </c>
      <c r="AJ323" s="37">
        <f t="shared" si="41"/>
        <v>39881.071618544767</v>
      </c>
      <c r="AK323" s="37">
        <f t="shared" si="42"/>
        <v>39076.439999999951</v>
      </c>
      <c r="AL323" s="37">
        <f t="shared" si="43"/>
        <v>38729.811168283217</v>
      </c>
      <c r="AM323" s="37">
        <f t="shared" si="44"/>
        <v>35438.422319999961</v>
      </c>
      <c r="AN323" s="37">
        <f t="shared" si="45"/>
        <v>49917.549153599946</v>
      </c>
      <c r="AO323" s="37">
        <f t="shared" si="46"/>
        <v>0</v>
      </c>
    </row>
    <row r="324" spans="1:41" hidden="1" x14ac:dyDescent="0.3">
      <c r="A324" t="str">
        <f t="shared" si="38"/>
        <v>190oct</v>
      </c>
      <c r="B324" t="str">
        <f t="shared" si="39"/>
        <v>ORURO FPoct</v>
      </c>
      <c r="C324" s="1" t="s">
        <v>79</v>
      </c>
      <c r="D324" s="1" t="s">
        <v>42</v>
      </c>
      <c r="E324" s="1">
        <v>190</v>
      </c>
      <c r="F324" s="1" t="s">
        <v>119</v>
      </c>
      <c r="G324" s="1" t="s">
        <v>119</v>
      </c>
      <c r="H324" s="1" t="s">
        <v>119</v>
      </c>
      <c r="I324" s="1" t="s">
        <v>125</v>
      </c>
      <c r="J324" s="1" t="s">
        <v>134</v>
      </c>
      <c r="K324" t="s">
        <v>89</v>
      </c>
      <c r="L324" s="6">
        <v>27154.239999999998</v>
      </c>
      <c r="M324" s="6">
        <v>13367.999999999998</v>
      </c>
      <c r="N324" s="6">
        <v>61191.05999999999</v>
      </c>
      <c r="O324" s="6">
        <v>30379.319999999989</v>
      </c>
      <c r="P324" s="6">
        <v>56216.638900000005</v>
      </c>
      <c r="Q324" s="6">
        <v>28794.528464000003</v>
      </c>
      <c r="R324" s="6">
        <v>54473.923094100006</v>
      </c>
      <c r="S324" s="6">
        <v>28587.914839783687</v>
      </c>
      <c r="T324" s="6">
        <v>62482.580000000038</v>
      </c>
      <c r="U324" s="6">
        <v>32367.810000000049</v>
      </c>
      <c r="V324" s="30">
        <v>63732.231600000006</v>
      </c>
      <c r="W324" s="30">
        <v>33446.675143680004</v>
      </c>
      <c r="X324" s="30">
        <v>68193.487812000007</v>
      </c>
      <c r="Y324" s="30">
        <v>36347.970996689633</v>
      </c>
      <c r="Z324" s="30">
        <v>0</v>
      </c>
      <c r="AA324" s="30">
        <v>0</v>
      </c>
      <c r="AB324" s="34">
        <v>0.59193334079687021</v>
      </c>
      <c r="AC324" s="34">
        <v>0.68290163016295846</v>
      </c>
      <c r="AD324" s="34">
        <v>0.66736824887832802</v>
      </c>
      <c r="AE324" s="34">
        <v>0.79999999999999993</v>
      </c>
      <c r="AF324" s="34">
        <v>0.79999999999999993</v>
      </c>
      <c r="AG324" s="34">
        <v>0.88</v>
      </c>
      <c r="AH324" s="34">
        <v>0</v>
      </c>
      <c r="AI324" s="37">
        <f t="shared" si="40"/>
        <v>16073.500000000004</v>
      </c>
      <c r="AJ324" s="37">
        <f t="shared" si="41"/>
        <v>41787.474625399394</v>
      </c>
      <c r="AK324" s="37">
        <f t="shared" si="42"/>
        <v>41698.890000000065</v>
      </c>
      <c r="AL324" s="37">
        <f t="shared" si="43"/>
        <v>43579.13847528</v>
      </c>
      <c r="AM324" s="37">
        <f t="shared" si="44"/>
        <v>50985.785280000004</v>
      </c>
      <c r="AN324" s="37">
        <f t="shared" si="45"/>
        <v>60010.269274560007</v>
      </c>
      <c r="AO324" s="37">
        <f t="shared" si="46"/>
        <v>0</v>
      </c>
    </row>
    <row r="325" spans="1:41" hidden="1" x14ac:dyDescent="0.3">
      <c r="A325" t="str">
        <f t="shared" ref="A325:A388" si="47">CONCATENATE(E325,K325)</f>
        <v>190nov</v>
      </c>
      <c r="B325" t="str">
        <f t="shared" ref="B325:B388" si="48">CONCATENATE(D325,K325)</f>
        <v>ORURO FPnov</v>
      </c>
      <c r="C325" s="1" t="s">
        <v>79</v>
      </c>
      <c r="D325" s="1" t="s">
        <v>42</v>
      </c>
      <c r="E325" s="1">
        <v>190</v>
      </c>
      <c r="F325" s="1" t="s">
        <v>119</v>
      </c>
      <c r="G325" s="1" t="s">
        <v>119</v>
      </c>
      <c r="H325" s="1" t="s">
        <v>119</v>
      </c>
      <c r="I325" s="1" t="s">
        <v>125</v>
      </c>
      <c r="J325" s="1" t="s">
        <v>134</v>
      </c>
      <c r="K325" t="s">
        <v>90</v>
      </c>
      <c r="L325" s="6">
        <v>67379.26999999999</v>
      </c>
      <c r="M325" s="6">
        <v>30289.739999999998</v>
      </c>
      <c r="N325" s="6">
        <v>74884.179999999993</v>
      </c>
      <c r="O325" s="6">
        <v>36459.019999999975</v>
      </c>
      <c r="P325" s="6">
        <v>83395.436500000142</v>
      </c>
      <c r="Q325" s="6">
        <v>37282.638392500055</v>
      </c>
      <c r="R325" s="6">
        <v>85063.345230000152</v>
      </c>
      <c r="S325" s="6">
        <v>40022.303930715076</v>
      </c>
      <c r="T325" s="6">
        <v>97796.551724137913</v>
      </c>
      <c r="U325" s="6">
        <v>41274.324166095677</v>
      </c>
      <c r="V325" s="30">
        <v>97796.551724137957</v>
      </c>
      <c r="W325" s="30">
        <v>46013.27758620691</v>
      </c>
      <c r="X325" s="30">
        <v>105131.29310344832</v>
      </c>
      <c r="Y325" s="30">
        <v>50821.995314496322</v>
      </c>
      <c r="Z325" s="30">
        <v>0</v>
      </c>
      <c r="AA325" s="30">
        <v>0</v>
      </c>
      <c r="AB325" s="34">
        <v>0.39679058559108821</v>
      </c>
      <c r="AC325" s="34">
        <v>0.54259129412098295</v>
      </c>
      <c r="AD325" s="34">
        <v>0.38514359212304056</v>
      </c>
      <c r="AE325" s="34">
        <v>0.5</v>
      </c>
      <c r="AF325" s="34">
        <v>0.5</v>
      </c>
      <c r="AG325" s="34">
        <v>0.6</v>
      </c>
      <c r="AH325" s="34">
        <v>0</v>
      </c>
      <c r="AI325" s="37">
        <f t="shared" ref="AI325:AI388" si="49">L325*AB325</f>
        <v>26735.460000000039</v>
      </c>
      <c r="AJ325" s="37">
        <f t="shared" ref="AJ325:AJ388" si="50">N325*AC325</f>
        <v>40631.504135388626</v>
      </c>
      <c r="AK325" s="37">
        <f t="shared" ref="AK325:AK388" si="51">T325*AD325</f>
        <v>37665.715228281209</v>
      </c>
      <c r="AL325" s="37">
        <f t="shared" ref="AL325:AL388" si="52">R325*AE325</f>
        <v>42531.672615000076</v>
      </c>
      <c r="AM325" s="37">
        <f t="shared" ref="AM325:AM388" si="53">V325*AF325</f>
        <v>48898.275862068978</v>
      </c>
      <c r="AN325" s="37">
        <f t="shared" ref="AN325:AN388" si="54">X325*AG325</f>
        <v>63078.775862068986</v>
      </c>
      <c r="AO325" s="37">
        <f t="shared" ref="AO325:AO388" si="55">Z325*AH325</f>
        <v>0</v>
      </c>
    </row>
    <row r="326" spans="1:41" hidden="1" x14ac:dyDescent="0.3">
      <c r="A326" t="str">
        <f t="shared" si="47"/>
        <v>190dic</v>
      </c>
      <c r="B326" t="str">
        <f t="shared" si="48"/>
        <v>ORURO FPdic</v>
      </c>
      <c r="C326" s="1" t="s">
        <v>79</v>
      </c>
      <c r="D326" s="1" t="s">
        <v>42</v>
      </c>
      <c r="E326" s="1">
        <v>190</v>
      </c>
      <c r="F326" s="1" t="s">
        <v>119</v>
      </c>
      <c r="G326" s="1" t="s">
        <v>119</v>
      </c>
      <c r="H326" s="1" t="s">
        <v>119</v>
      </c>
      <c r="I326" s="1" t="s">
        <v>125</v>
      </c>
      <c r="J326" s="1" t="s">
        <v>134</v>
      </c>
      <c r="K326" t="s">
        <v>91</v>
      </c>
      <c r="L326" s="6">
        <v>115318.93999999997</v>
      </c>
      <c r="M326" s="6">
        <v>53507.359999999971</v>
      </c>
      <c r="N326" s="6">
        <v>138236.94</v>
      </c>
      <c r="O326" s="6">
        <v>70253.669999999984</v>
      </c>
      <c r="P326" s="6">
        <v>141943.56290000008</v>
      </c>
      <c r="Q326" s="6">
        <v>74393.293429000027</v>
      </c>
      <c r="R326" s="6">
        <v>144782.43415800008</v>
      </c>
      <c r="S326" s="6">
        <v>72050.978358728738</v>
      </c>
      <c r="T326" s="6">
        <v>138991.52298850578</v>
      </c>
      <c r="U326" s="6">
        <v>69169.767764234814</v>
      </c>
      <c r="V326" s="30">
        <v>152021.5558659001</v>
      </c>
      <c r="W326" s="30">
        <v>75653.527276665176</v>
      </c>
      <c r="X326" s="30">
        <v>163423.17255584255</v>
      </c>
      <c r="Y326" s="30">
        <v>86238.129678983038</v>
      </c>
      <c r="Z326" s="30">
        <v>0</v>
      </c>
      <c r="AA326" s="30">
        <v>0</v>
      </c>
      <c r="AB326" s="34">
        <v>0.37327554346233194</v>
      </c>
      <c r="AC326" s="34">
        <v>0.68749362154902938</v>
      </c>
      <c r="AD326" s="34">
        <v>0.56279629533464315</v>
      </c>
      <c r="AE326" s="34">
        <v>0.65</v>
      </c>
      <c r="AF326" s="34">
        <v>0.65</v>
      </c>
      <c r="AG326" s="34">
        <v>0.85000000000000009</v>
      </c>
      <c r="AH326" s="34">
        <v>0</v>
      </c>
      <c r="AI326" s="37">
        <f t="shared" si="49"/>
        <v>43045.740000000042</v>
      </c>
      <c r="AJ326" s="37">
        <f t="shared" si="50"/>
        <v>95037.014512455877</v>
      </c>
      <c r="AK326" s="37">
        <f t="shared" si="51"/>
        <v>78223.914220850944</v>
      </c>
      <c r="AL326" s="37">
        <f t="shared" si="52"/>
        <v>94108.582202700054</v>
      </c>
      <c r="AM326" s="37">
        <f t="shared" si="53"/>
        <v>98814.011312835064</v>
      </c>
      <c r="AN326" s="37">
        <f t="shared" si="54"/>
        <v>138909.69667246618</v>
      </c>
      <c r="AO326" s="37">
        <f t="shared" si="55"/>
        <v>0</v>
      </c>
    </row>
    <row r="327" spans="1:41" hidden="1" x14ac:dyDescent="0.3">
      <c r="A327" t="str">
        <f t="shared" si="47"/>
        <v>309ene</v>
      </c>
      <c r="B327" t="str">
        <f t="shared" si="48"/>
        <v>PANDOene</v>
      </c>
      <c r="C327" s="1" t="s">
        <v>79</v>
      </c>
      <c r="D327" s="1" t="s">
        <v>52</v>
      </c>
      <c r="E327" s="1">
        <v>309</v>
      </c>
      <c r="F327" s="1" t="s">
        <v>119</v>
      </c>
      <c r="G327" s="1" t="s">
        <v>119</v>
      </c>
      <c r="H327" s="1" t="s">
        <v>119</v>
      </c>
      <c r="I327" s="1" t="s">
        <v>124</v>
      </c>
      <c r="J327" s="1" t="s">
        <v>131</v>
      </c>
      <c r="K327" t="s">
        <v>80</v>
      </c>
      <c r="L327" s="6">
        <v>179260.50999999995</v>
      </c>
      <c r="M327" s="6">
        <v>90946.819999999963</v>
      </c>
      <c r="N327" s="6">
        <v>167219.47</v>
      </c>
      <c r="O327" s="6">
        <v>87021.209999999992</v>
      </c>
      <c r="P327" s="6">
        <v>163822.40015000018</v>
      </c>
      <c r="Q327" s="6">
        <v>86070.347263000105</v>
      </c>
      <c r="R327" s="6">
        <v>148019.7300000003</v>
      </c>
      <c r="S327" s="6">
        <v>78136.468741004603</v>
      </c>
      <c r="T327" s="6">
        <v>148019.73000000024</v>
      </c>
      <c r="U327" s="6">
        <v>78439.60000000021</v>
      </c>
      <c r="V327" s="30">
        <v>163822.40015000018</v>
      </c>
      <c r="W327" s="30">
        <v>86813.856090711473</v>
      </c>
      <c r="X327" s="30">
        <v>172013.52015750017</v>
      </c>
      <c r="Y327" s="30">
        <v>91580.241306111071</v>
      </c>
      <c r="Z327" s="30">
        <v>163063.79310344785</v>
      </c>
      <c r="AA327" s="30">
        <v>90256.022596199546</v>
      </c>
      <c r="AB327" s="34">
        <v>0.72871699405518975</v>
      </c>
      <c r="AC327" s="34">
        <v>0.81905021191683547</v>
      </c>
      <c r="AD327" s="34">
        <v>0.89137323416875547</v>
      </c>
      <c r="AE327" s="34">
        <v>0.8913732341687548</v>
      </c>
      <c r="AF327" s="34">
        <v>0.8913732341687548</v>
      </c>
      <c r="AG327" s="34">
        <v>0.9</v>
      </c>
      <c r="AH327" s="34">
        <v>0.97779234556675154</v>
      </c>
      <c r="AI327" s="37">
        <f t="shared" si="49"/>
        <v>130630.18000000024</v>
      </c>
      <c r="AJ327" s="37">
        <f t="shared" si="50"/>
        <v>136961.14234012092</v>
      </c>
      <c r="AK327" s="37">
        <f t="shared" si="51"/>
        <v>131940.82545088619</v>
      </c>
      <c r="AL327" s="37">
        <f t="shared" si="52"/>
        <v>131940.82545088613</v>
      </c>
      <c r="AM327" s="37">
        <f t="shared" si="53"/>
        <v>146026.90265099355</v>
      </c>
      <c r="AN327" s="37">
        <f t="shared" si="54"/>
        <v>154812.16814175015</v>
      </c>
      <c r="AO327" s="37">
        <f t="shared" si="55"/>
        <v>159442.52873563176</v>
      </c>
    </row>
    <row r="328" spans="1:41" hidden="1" x14ac:dyDescent="0.3">
      <c r="A328" t="str">
        <f t="shared" si="47"/>
        <v>309feb</v>
      </c>
      <c r="B328" t="str">
        <f t="shared" si="48"/>
        <v>PANDOfeb</v>
      </c>
      <c r="C328" s="1" t="s">
        <v>79</v>
      </c>
      <c r="D328" s="1" t="s">
        <v>52</v>
      </c>
      <c r="E328" s="1">
        <v>309</v>
      </c>
      <c r="F328" s="1" t="s">
        <v>119</v>
      </c>
      <c r="G328" s="1" t="s">
        <v>119</v>
      </c>
      <c r="H328" s="1" t="s">
        <v>119</v>
      </c>
      <c r="I328" s="1" t="s">
        <v>124</v>
      </c>
      <c r="J328" s="1" t="s">
        <v>131</v>
      </c>
      <c r="K328" t="s">
        <v>81</v>
      </c>
      <c r="L328" s="6">
        <v>236405.92999999993</v>
      </c>
      <c r="M328" s="6">
        <v>99311.419999999969</v>
      </c>
      <c r="N328" s="6">
        <v>188631.09</v>
      </c>
      <c r="O328" s="6">
        <v>89707.179999999978</v>
      </c>
      <c r="P328" s="6">
        <v>250434.31080000033</v>
      </c>
      <c r="Q328" s="6">
        <v>113507.33636550016</v>
      </c>
      <c r="R328" s="6">
        <v>208087.66000000032</v>
      </c>
      <c r="S328" s="6">
        <v>93885.82476302961</v>
      </c>
      <c r="T328" s="6">
        <v>208087.66000000029</v>
      </c>
      <c r="U328" s="6">
        <v>94018.980000000316</v>
      </c>
      <c r="V328" s="30">
        <v>260451.68323200036</v>
      </c>
      <c r="W328" s="30">
        <v>117678.29767875628</v>
      </c>
      <c r="X328" s="30">
        <v>273474.26739360037</v>
      </c>
      <c r="Y328" s="30">
        <v>125916.17094074091</v>
      </c>
      <c r="Z328" s="30">
        <v>229826.29310344908</v>
      </c>
      <c r="AA328" s="30">
        <v>106845.69180464941</v>
      </c>
      <c r="AB328" s="34">
        <v>0.44181218296850677</v>
      </c>
      <c r="AC328" s="34">
        <v>0.58191136064657212</v>
      </c>
      <c r="AD328" s="34">
        <v>0.35833343983248128</v>
      </c>
      <c r="AE328" s="34">
        <v>0.35833343983248162</v>
      </c>
      <c r="AF328" s="34">
        <v>0.35833343983248162</v>
      </c>
      <c r="AG328" s="34">
        <v>0.4</v>
      </c>
      <c r="AH328" s="34">
        <v>0.47814660122493796</v>
      </c>
      <c r="AI328" s="37">
        <f t="shared" si="49"/>
        <v>104447.01999999997</v>
      </c>
      <c r="AJ328" s="37">
        <f t="shared" si="50"/>
        <v>109766.574242146</v>
      </c>
      <c r="AK328" s="37">
        <f t="shared" si="51"/>
        <v>74564.766994491933</v>
      </c>
      <c r="AL328" s="37">
        <f t="shared" si="52"/>
        <v>74564.766994492005</v>
      </c>
      <c r="AM328" s="37">
        <f t="shared" si="53"/>
        <v>93328.547562682565</v>
      </c>
      <c r="AN328" s="37">
        <f t="shared" si="54"/>
        <v>109389.70695744015</v>
      </c>
      <c r="AO328" s="37">
        <f t="shared" si="55"/>
        <v>109890.66091954058</v>
      </c>
    </row>
    <row r="329" spans="1:41" hidden="1" x14ac:dyDescent="0.3">
      <c r="A329" t="str">
        <f t="shared" si="47"/>
        <v>309mar</v>
      </c>
      <c r="B329" t="str">
        <f t="shared" si="48"/>
        <v>PANDOmar</v>
      </c>
      <c r="C329" s="1" t="s">
        <v>79</v>
      </c>
      <c r="D329" s="1" t="s">
        <v>52</v>
      </c>
      <c r="E329" s="1">
        <v>309</v>
      </c>
      <c r="F329" s="1" t="s">
        <v>119</v>
      </c>
      <c r="G329" s="1" t="s">
        <v>119</v>
      </c>
      <c r="H329" s="1" t="s">
        <v>119</v>
      </c>
      <c r="I329" s="1" t="s">
        <v>124</v>
      </c>
      <c r="J329" s="1" t="s">
        <v>131</v>
      </c>
      <c r="K329" t="s">
        <v>82</v>
      </c>
      <c r="L329" s="6">
        <v>207166.60999999996</v>
      </c>
      <c r="M329" s="6">
        <v>97997.999999999942</v>
      </c>
      <c r="N329" s="6">
        <v>258667.21999999991</v>
      </c>
      <c r="O329" s="6">
        <v>118497.06999999992</v>
      </c>
      <c r="P329" s="6">
        <v>185582.02674000023</v>
      </c>
      <c r="Q329" s="6">
        <v>90802.660505700114</v>
      </c>
      <c r="R329" s="6">
        <v>199569.04000000053</v>
      </c>
      <c r="S329" s="6">
        <v>99981.759812413497</v>
      </c>
      <c r="T329" s="6">
        <v>199569.04000000039</v>
      </c>
      <c r="U329" s="6">
        <v>99787.610000000452</v>
      </c>
      <c r="V329" s="30">
        <v>199569.03999999963</v>
      </c>
      <c r="W329" s="30">
        <v>99787.610000000073</v>
      </c>
      <c r="X329" s="30">
        <v>197573.34959999964</v>
      </c>
      <c r="Y329" s="30">
        <v>103766.39721722297</v>
      </c>
      <c r="Z329" s="30">
        <v>209530.80117200824</v>
      </c>
      <c r="AA329" s="30">
        <v>107908.36260358425</v>
      </c>
      <c r="AB329" s="34">
        <v>0.56689854605430867</v>
      </c>
      <c r="AC329" s="34">
        <v>0.4915818548538739</v>
      </c>
      <c r="AD329" s="34">
        <v>0.63749878531245363</v>
      </c>
      <c r="AE329" s="34">
        <v>0.63749878531245263</v>
      </c>
      <c r="AF329" s="34">
        <v>0.63749878531245263</v>
      </c>
      <c r="AG329" s="34">
        <v>0.85</v>
      </c>
      <c r="AH329" s="34">
        <v>0.7767367415523686</v>
      </c>
      <c r="AI329" s="37">
        <f t="shared" si="49"/>
        <v>117442.44999999998</v>
      </c>
      <c r="AJ329" s="37">
        <f t="shared" si="50"/>
        <v>127156.11179749503</v>
      </c>
      <c r="AK329" s="37">
        <f t="shared" si="51"/>
        <v>127225.02058597271</v>
      </c>
      <c r="AL329" s="37">
        <f t="shared" si="52"/>
        <v>127225.02058597261</v>
      </c>
      <c r="AM329" s="37">
        <f t="shared" si="53"/>
        <v>127225.02058597203</v>
      </c>
      <c r="AN329" s="37">
        <f t="shared" si="54"/>
        <v>167937.34715999968</v>
      </c>
      <c r="AO329" s="37">
        <f t="shared" si="55"/>
        <v>162750.27175720289</v>
      </c>
    </row>
    <row r="330" spans="1:41" hidden="1" x14ac:dyDescent="0.3">
      <c r="A330" t="str">
        <f t="shared" si="47"/>
        <v>309abr</v>
      </c>
      <c r="B330" t="str">
        <f t="shared" si="48"/>
        <v>PANDOabr</v>
      </c>
      <c r="C330" s="1" t="s">
        <v>79</v>
      </c>
      <c r="D330" s="1" t="s">
        <v>52</v>
      </c>
      <c r="E330" s="1">
        <v>309</v>
      </c>
      <c r="F330" s="1" t="s">
        <v>119</v>
      </c>
      <c r="G330" s="1" t="s">
        <v>119</v>
      </c>
      <c r="H330" s="1" t="s">
        <v>119</v>
      </c>
      <c r="I330" s="1" t="s">
        <v>124</v>
      </c>
      <c r="J330" s="1" t="s">
        <v>131</v>
      </c>
      <c r="K330" t="s">
        <v>83</v>
      </c>
      <c r="L330" s="6">
        <v>158359.98999999996</v>
      </c>
      <c r="M330" s="6">
        <v>83587.149999999965</v>
      </c>
      <c r="N330" s="6">
        <v>151188.6</v>
      </c>
      <c r="O330" s="6">
        <v>81085.040000000008</v>
      </c>
      <c r="P330" s="6">
        <v>153858.71743000028</v>
      </c>
      <c r="Q330" s="6">
        <v>83084.977764450174</v>
      </c>
      <c r="R330" s="6">
        <v>159987.30000000031</v>
      </c>
      <c r="S330" s="6">
        <v>87137.070990006963</v>
      </c>
      <c r="T330" s="6">
        <v>159987.30000000022</v>
      </c>
      <c r="U330" s="6">
        <v>86274.770000000179</v>
      </c>
      <c r="V330" s="30">
        <v>163187.04600000047</v>
      </c>
      <c r="W330" s="30">
        <v>88000.265400000309</v>
      </c>
      <c r="X330" s="30">
        <v>177057.94491000051</v>
      </c>
      <c r="Y330" s="30">
        <v>93756.18647329486</v>
      </c>
      <c r="Z330" s="30">
        <v>0</v>
      </c>
      <c r="AA330" s="30">
        <v>0</v>
      </c>
      <c r="AB330" s="34">
        <v>0.81736087505436283</v>
      </c>
      <c r="AC330" s="34">
        <v>0.89330729655976338</v>
      </c>
      <c r="AD330" s="34">
        <v>0.89038837847626573</v>
      </c>
      <c r="AE330" s="34">
        <v>0.89038837847626473</v>
      </c>
      <c r="AF330" s="34">
        <v>0.89038837847626473</v>
      </c>
      <c r="AG330" s="34">
        <v>0.88</v>
      </c>
      <c r="AH330" s="34">
        <v>0</v>
      </c>
      <c r="AI330" s="37">
        <f t="shared" si="49"/>
        <v>129437.26000000011</v>
      </c>
      <c r="AJ330" s="37">
        <f t="shared" si="50"/>
        <v>135057.87953665544</v>
      </c>
      <c r="AK330" s="37">
        <f t="shared" si="51"/>
        <v>142450.83262379607</v>
      </c>
      <c r="AL330" s="37">
        <f t="shared" si="52"/>
        <v>142450.83262379598</v>
      </c>
      <c r="AM330" s="37">
        <f t="shared" si="53"/>
        <v>145299.84927627203</v>
      </c>
      <c r="AN330" s="37">
        <f t="shared" si="54"/>
        <v>155810.99152080045</v>
      </c>
      <c r="AO330" s="37">
        <f t="shared" si="55"/>
        <v>0</v>
      </c>
    </row>
    <row r="331" spans="1:41" hidden="1" x14ac:dyDescent="0.3">
      <c r="A331" t="str">
        <f t="shared" si="47"/>
        <v>309may</v>
      </c>
      <c r="B331" t="str">
        <f t="shared" si="48"/>
        <v>PANDOmay</v>
      </c>
      <c r="C331" s="1" t="s">
        <v>79</v>
      </c>
      <c r="D331" s="1" t="s">
        <v>52</v>
      </c>
      <c r="E331" s="1">
        <v>309</v>
      </c>
      <c r="F331" s="1" t="s">
        <v>119</v>
      </c>
      <c r="G331" s="1" t="s">
        <v>119</v>
      </c>
      <c r="H331" s="1" t="s">
        <v>119</v>
      </c>
      <c r="I331" s="1" t="s">
        <v>124</v>
      </c>
      <c r="J331" s="1" t="s">
        <v>131</v>
      </c>
      <c r="K331" t="s">
        <v>84</v>
      </c>
      <c r="L331" s="6">
        <v>176204.02</v>
      </c>
      <c r="M331" s="6">
        <v>93058.349999999977</v>
      </c>
      <c r="N331" s="6">
        <v>144289.37</v>
      </c>
      <c r="O331" s="6">
        <v>78192.799999999988</v>
      </c>
      <c r="P331" s="6">
        <v>161902.19953000025</v>
      </c>
      <c r="Q331" s="6">
        <v>84517.402038350134</v>
      </c>
      <c r="R331" s="6">
        <v>171080.75000000064</v>
      </c>
      <c r="S331" s="6">
        <v>94867.479759929833</v>
      </c>
      <c r="T331" s="6">
        <v>171080.75000000047</v>
      </c>
      <c r="U331" s="6">
        <v>93993.760000000329</v>
      </c>
      <c r="V331" s="30">
        <v>172791.55750000046</v>
      </c>
      <c r="W331" s="30">
        <v>94933.69760000032</v>
      </c>
      <c r="X331" s="30">
        <v>183159.05095000053</v>
      </c>
      <c r="Y331" s="30">
        <v>97514.137656393796</v>
      </c>
      <c r="Z331" s="30">
        <v>0</v>
      </c>
      <c r="AA331" s="30">
        <v>0</v>
      </c>
      <c r="AB331" s="34">
        <v>0.82350164315206853</v>
      </c>
      <c r="AC331" s="34">
        <v>0.92256241745320589</v>
      </c>
      <c r="AD331" s="34">
        <v>0.95877523091725148</v>
      </c>
      <c r="AE331" s="34">
        <v>0.95877523091725148</v>
      </c>
      <c r="AF331" s="34">
        <v>0.95877523091725148</v>
      </c>
      <c r="AG331" s="34">
        <v>0.9</v>
      </c>
      <c r="AH331" s="34">
        <v>0</v>
      </c>
      <c r="AI331" s="37">
        <f t="shared" si="49"/>
        <v>145104.29999999993</v>
      </c>
      <c r="AJ331" s="37">
        <f t="shared" si="50"/>
        <v>133115.95000000007</v>
      </c>
      <c r="AK331" s="37">
        <f t="shared" si="51"/>
        <v>164027.985586747</v>
      </c>
      <c r="AL331" s="37">
        <f t="shared" si="52"/>
        <v>164027.98558674718</v>
      </c>
      <c r="AM331" s="37">
        <f t="shared" si="53"/>
        <v>165668.26544261447</v>
      </c>
      <c r="AN331" s="37">
        <f t="shared" si="54"/>
        <v>164843.14585500048</v>
      </c>
      <c r="AO331" s="37">
        <f t="shared" si="55"/>
        <v>0</v>
      </c>
    </row>
    <row r="332" spans="1:41" hidden="1" x14ac:dyDescent="0.3">
      <c r="A332" t="str">
        <f t="shared" si="47"/>
        <v>309jun</v>
      </c>
      <c r="B332" t="str">
        <f t="shared" si="48"/>
        <v>PANDOjun</v>
      </c>
      <c r="C332" s="1" t="s">
        <v>79</v>
      </c>
      <c r="D332" s="1" t="s">
        <v>52</v>
      </c>
      <c r="E332" s="1">
        <v>309</v>
      </c>
      <c r="F332" s="1" t="s">
        <v>119</v>
      </c>
      <c r="G332" s="1" t="s">
        <v>119</v>
      </c>
      <c r="H332" s="1" t="s">
        <v>119</v>
      </c>
      <c r="I332" s="1" t="s">
        <v>124</v>
      </c>
      <c r="J332" s="1" t="s">
        <v>131</v>
      </c>
      <c r="K332" t="s">
        <v>85</v>
      </c>
      <c r="L332" s="6">
        <v>167546.87</v>
      </c>
      <c r="M332" s="6">
        <v>89907.26</v>
      </c>
      <c r="N332" s="6">
        <v>106919.19</v>
      </c>
      <c r="O332" s="6">
        <v>58053.62</v>
      </c>
      <c r="P332" s="6">
        <v>149549.45040000012</v>
      </c>
      <c r="Q332" s="6">
        <v>82384.718996500073</v>
      </c>
      <c r="R332" s="6">
        <v>146862.30000000042</v>
      </c>
      <c r="S332" s="6">
        <v>80891.069355125481</v>
      </c>
      <c r="T332" s="6">
        <v>146862.30000000042</v>
      </c>
      <c r="U332" s="6">
        <v>80896.850000000355</v>
      </c>
      <c r="V332" s="30">
        <v>160079.9070000005</v>
      </c>
      <c r="W332" s="30">
        <v>88177.566500000408</v>
      </c>
      <c r="X332" s="30">
        <v>173686.69909500054</v>
      </c>
      <c r="Y332" s="30">
        <v>92471.044137797086</v>
      </c>
      <c r="Z332" s="30">
        <v>0</v>
      </c>
      <c r="AA332" s="30">
        <v>0</v>
      </c>
      <c r="AB332" s="34">
        <v>0.87329993093872804</v>
      </c>
      <c r="AC332" s="34">
        <v>0.9291305952811606</v>
      </c>
      <c r="AD332" s="34">
        <v>0.96291641411177198</v>
      </c>
      <c r="AE332" s="34">
        <v>0.96291641411177198</v>
      </c>
      <c r="AF332" s="34">
        <v>0.96291641411177198</v>
      </c>
      <c r="AG332" s="34">
        <v>0.9</v>
      </c>
      <c r="AH332" s="34">
        <v>0</v>
      </c>
      <c r="AI332" s="37">
        <f t="shared" si="49"/>
        <v>146318.67000000004</v>
      </c>
      <c r="AJ332" s="37">
        <f t="shared" si="50"/>
        <v>99341.89065167951</v>
      </c>
      <c r="AK332" s="37">
        <f t="shared" si="51"/>
        <v>141416.1192842077</v>
      </c>
      <c r="AL332" s="37">
        <f t="shared" si="52"/>
        <v>141416.1192842077</v>
      </c>
      <c r="AM332" s="37">
        <f t="shared" si="53"/>
        <v>154143.57001978642</v>
      </c>
      <c r="AN332" s="37">
        <f t="shared" si="54"/>
        <v>156318.02918550049</v>
      </c>
      <c r="AO332" s="37">
        <f t="shared" si="55"/>
        <v>0</v>
      </c>
    </row>
    <row r="333" spans="1:41" hidden="1" x14ac:dyDescent="0.3">
      <c r="A333" t="str">
        <f t="shared" si="47"/>
        <v>309jul</v>
      </c>
      <c r="B333" t="str">
        <f t="shared" si="48"/>
        <v>PANDOjul</v>
      </c>
      <c r="C333" s="1" t="s">
        <v>79</v>
      </c>
      <c r="D333" s="1" t="s">
        <v>52</v>
      </c>
      <c r="E333" s="1">
        <v>309</v>
      </c>
      <c r="F333" s="1" t="s">
        <v>119</v>
      </c>
      <c r="G333" s="1" t="s">
        <v>119</v>
      </c>
      <c r="H333" s="1" t="s">
        <v>119</v>
      </c>
      <c r="I333" s="1" t="s">
        <v>124</v>
      </c>
      <c r="J333" s="1" t="s">
        <v>131</v>
      </c>
      <c r="K333" t="s">
        <v>86</v>
      </c>
      <c r="L333" s="6">
        <v>164302.38999999996</v>
      </c>
      <c r="M333" s="6">
        <v>87403.759999999951</v>
      </c>
      <c r="N333" s="6">
        <v>183408.37</v>
      </c>
      <c r="O333" s="6">
        <v>100202.15</v>
      </c>
      <c r="P333" s="6">
        <v>159454.60525000026</v>
      </c>
      <c r="Q333" s="6">
        <v>89028.322773500142</v>
      </c>
      <c r="R333" s="6">
        <v>163343.75000000015</v>
      </c>
      <c r="S333" s="6">
        <v>89125.150000000009</v>
      </c>
      <c r="T333" s="6">
        <v>163343.75000000064</v>
      </c>
      <c r="U333" s="6">
        <v>89125.150000000605</v>
      </c>
      <c r="V333" s="30">
        <v>166610.62499999953</v>
      </c>
      <c r="W333" s="30">
        <v>90907.653000000006</v>
      </c>
      <c r="X333" s="30">
        <v>180772.52812499955</v>
      </c>
      <c r="Y333" s="30">
        <v>96243.54953055334</v>
      </c>
      <c r="Z333" s="30">
        <v>0</v>
      </c>
      <c r="AA333" s="30">
        <v>0</v>
      </c>
      <c r="AB333" s="34">
        <v>0.88058889465941403</v>
      </c>
      <c r="AC333" s="34">
        <v>0.94629471903310802</v>
      </c>
      <c r="AD333" s="34">
        <v>0.93182059307442122</v>
      </c>
      <c r="AE333" s="34">
        <v>0.93182059307442122</v>
      </c>
      <c r="AF333" s="34">
        <v>0.93182059307442122</v>
      </c>
      <c r="AG333" s="34">
        <v>0.90000000000000013</v>
      </c>
      <c r="AH333" s="34">
        <v>0</v>
      </c>
      <c r="AI333" s="37">
        <f t="shared" si="49"/>
        <v>144682.85999999993</v>
      </c>
      <c r="AJ333" s="37">
        <f t="shared" si="50"/>
        <v>173558.37195747031</v>
      </c>
      <c r="AK333" s="37">
        <f t="shared" si="51"/>
        <v>152207.07000000059</v>
      </c>
      <c r="AL333" s="37">
        <f t="shared" si="52"/>
        <v>152207.07000000012</v>
      </c>
      <c r="AM333" s="37">
        <f t="shared" si="53"/>
        <v>155251.21139999956</v>
      </c>
      <c r="AN333" s="37">
        <f t="shared" si="54"/>
        <v>162695.27531249961</v>
      </c>
      <c r="AO333" s="37">
        <f t="shared" si="55"/>
        <v>0</v>
      </c>
    </row>
    <row r="334" spans="1:41" hidden="1" x14ac:dyDescent="0.3">
      <c r="A334" t="str">
        <f t="shared" si="47"/>
        <v>309ago</v>
      </c>
      <c r="B334" t="str">
        <f t="shared" si="48"/>
        <v>PANDOago</v>
      </c>
      <c r="C334" s="1" t="s">
        <v>79</v>
      </c>
      <c r="D334" s="1" t="s">
        <v>52</v>
      </c>
      <c r="E334" s="1">
        <v>309</v>
      </c>
      <c r="F334" s="1" t="s">
        <v>119</v>
      </c>
      <c r="G334" s="1" t="s">
        <v>119</v>
      </c>
      <c r="H334" s="1" t="s">
        <v>119</v>
      </c>
      <c r="I334" s="1" t="s">
        <v>124</v>
      </c>
      <c r="J334" s="1" t="s">
        <v>131</v>
      </c>
      <c r="K334" t="s">
        <v>87</v>
      </c>
      <c r="L334" s="6">
        <v>383898.45999999996</v>
      </c>
      <c r="M334" s="6">
        <v>139294.62999999989</v>
      </c>
      <c r="N334" s="6">
        <v>255725.45999999996</v>
      </c>
      <c r="O334" s="6">
        <v>111190.00999999994</v>
      </c>
      <c r="P334" s="6">
        <v>265186.89010000078</v>
      </c>
      <c r="Q334" s="6">
        <v>118627.33698750034</v>
      </c>
      <c r="R334" s="6">
        <v>280157.93369728728</v>
      </c>
      <c r="S334" s="6">
        <v>144029.1937137754</v>
      </c>
      <c r="T334" s="6">
        <v>352680.1100000015</v>
      </c>
      <c r="U334" s="6">
        <v>158316.76000000173</v>
      </c>
      <c r="V334" s="30">
        <v>356206.91110000096</v>
      </c>
      <c r="W334" s="30">
        <v>183125.97299651051</v>
      </c>
      <c r="X334" s="30">
        <v>374017.25665500102</v>
      </c>
      <c r="Y334" s="30">
        <v>172209.33169546232</v>
      </c>
      <c r="Z334" s="30">
        <v>0</v>
      </c>
      <c r="AA334" s="30">
        <v>0</v>
      </c>
      <c r="AB334" s="34">
        <v>0.3690298992082432</v>
      </c>
      <c r="AC334" s="34">
        <v>0.43899425913814577</v>
      </c>
      <c r="AD334" s="34">
        <v>0.44829060533070364</v>
      </c>
      <c r="AE334" s="34">
        <v>0.70000000000000007</v>
      </c>
      <c r="AF334" s="34">
        <v>0.70000000000000007</v>
      </c>
      <c r="AG334" s="34">
        <v>0.39999999999999997</v>
      </c>
      <c r="AH334" s="34">
        <v>0</v>
      </c>
      <c r="AI334" s="37">
        <f t="shared" si="49"/>
        <v>141670.00999999978</v>
      </c>
      <c r="AJ334" s="37">
        <f t="shared" si="50"/>
        <v>112262.00885546152</v>
      </c>
      <c r="AK334" s="37">
        <f t="shared" si="51"/>
        <v>158103.17999999982</v>
      </c>
      <c r="AL334" s="37">
        <f t="shared" si="52"/>
        <v>196110.55358810112</v>
      </c>
      <c r="AM334" s="37">
        <f t="shared" si="53"/>
        <v>249344.83777000068</v>
      </c>
      <c r="AN334" s="37">
        <f t="shared" si="54"/>
        <v>149606.90266200039</v>
      </c>
      <c r="AO334" s="37">
        <f t="shared" si="55"/>
        <v>0</v>
      </c>
    </row>
    <row r="335" spans="1:41" hidden="1" x14ac:dyDescent="0.3">
      <c r="A335" t="str">
        <f t="shared" si="47"/>
        <v>309sep</v>
      </c>
      <c r="B335" t="str">
        <f t="shared" si="48"/>
        <v>PANDOsep</v>
      </c>
      <c r="C335" s="1" t="s">
        <v>79</v>
      </c>
      <c r="D335" s="1" t="s">
        <v>52</v>
      </c>
      <c r="E335" s="1">
        <v>309</v>
      </c>
      <c r="F335" s="1" t="s">
        <v>119</v>
      </c>
      <c r="G335" s="1" t="s">
        <v>119</v>
      </c>
      <c r="H335" s="1" t="s">
        <v>119</v>
      </c>
      <c r="I335" s="1" t="s">
        <v>124</v>
      </c>
      <c r="J335" s="1" t="s">
        <v>131</v>
      </c>
      <c r="K335" t="s">
        <v>88</v>
      </c>
      <c r="L335" s="6">
        <v>128094.12999999998</v>
      </c>
      <c r="M335" s="6">
        <v>65066.25999999998</v>
      </c>
      <c r="N335" s="6">
        <v>168292.75000000003</v>
      </c>
      <c r="O335" s="6">
        <v>84660.36</v>
      </c>
      <c r="P335" s="6">
        <v>150885.86318000022</v>
      </c>
      <c r="Q335" s="6">
        <v>80925.722161100115</v>
      </c>
      <c r="R335" s="6">
        <v>157774.25549175678</v>
      </c>
      <c r="S335" s="6">
        <v>83904.349070516255</v>
      </c>
      <c r="T335" s="6">
        <v>159670.37000000075</v>
      </c>
      <c r="U335" s="6">
        <v>85163.3900000008</v>
      </c>
      <c r="V335" s="30">
        <v>166057.18480000077</v>
      </c>
      <c r="W335" s="30">
        <v>88569.925600000832</v>
      </c>
      <c r="X335" s="30">
        <v>175190.32996400082</v>
      </c>
      <c r="Y335" s="30">
        <v>92767.242118233786</v>
      </c>
      <c r="Z335" s="30">
        <v>0</v>
      </c>
      <c r="AA335" s="30">
        <v>0</v>
      </c>
      <c r="AB335" s="34">
        <v>0.77885122448624433</v>
      </c>
      <c r="AC335" s="34">
        <v>0.72239913866074434</v>
      </c>
      <c r="AD335" s="34">
        <v>0.89275549370869589</v>
      </c>
      <c r="AE335" s="34">
        <v>0.8</v>
      </c>
      <c r="AF335" s="34">
        <v>0.8</v>
      </c>
      <c r="AG335" s="34">
        <v>0.88</v>
      </c>
      <c r="AH335" s="34">
        <v>0</v>
      </c>
      <c r="AI335" s="37">
        <f t="shared" si="49"/>
        <v>99766.27000000015</v>
      </c>
      <c r="AJ335" s="37">
        <f t="shared" si="50"/>
        <v>121574.53764284801</v>
      </c>
      <c r="AK335" s="37">
        <f t="shared" si="51"/>
        <v>142546.60000000082</v>
      </c>
      <c r="AL335" s="37">
        <f t="shared" si="52"/>
        <v>126219.40439340542</v>
      </c>
      <c r="AM335" s="37">
        <f t="shared" si="53"/>
        <v>132845.74784000064</v>
      </c>
      <c r="AN335" s="37">
        <f t="shared" si="54"/>
        <v>154167.49036832072</v>
      </c>
      <c r="AO335" s="37">
        <f t="shared" si="55"/>
        <v>0</v>
      </c>
    </row>
    <row r="336" spans="1:41" hidden="1" x14ac:dyDescent="0.3">
      <c r="A336" t="str">
        <f t="shared" si="47"/>
        <v>309oct</v>
      </c>
      <c r="B336" t="str">
        <f t="shared" si="48"/>
        <v>PANDOoct</v>
      </c>
      <c r="C336" s="1" t="s">
        <v>79</v>
      </c>
      <c r="D336" s="1" t="s">
        <v>52</v>
      </c>
      <c r="E336" s="1">
        <v>309</v>
      </c>
      <c r="F336" s="1" t="s">
        <v>119</v>
      </c>
      <c r="G336" s="1" t="s">
        <v>119</v>
      </c>
      <c r="H336" s="1" t="s">
        <v>119</v>
      </c>
      <c r="I336" s="1" t="s">
        <v>124</v>
      </c>
      <c r="J336" s="1" t="s">
        <v>131</v>
      </c>
      <c r="K336" t="s">
        <v>89</v>
      </c>
      <c r="L336" s="6">
        <v>90386.189999999988</v>
      </c>
      <c r="M336" s="6">
        <v>47116.359999999993</v>
      </c>
      <c r="N336" s="6">
        <v>155622.03999999998</v>
      </c>
      <c r="O336" s="6">
        <v>83947.919999999969</v>
      </c>
      <c r="P336" s="6">
        <v>160526.54468000011</v>
      </c>
      <c r="Q336" s="6">
        <v>88968.511503200061</v>
      </c>
      <c r="R336" s="6">
        <v>167855.06302427614</v>
      </c>
      <c r="S336" s="6">
        <v>90977.444159157676</v>
      </c>
      <c r="T336" s="6">
        <v>203085.41000000111</v>
      </c>
      <c r="U336" s="6">
        <v>106044.8200000011</v>
      </c>
      <c r="V336" s="30">
        <v>203085.41000000003</v>
      </c>
      <c r="W336" s="30">
        <v>110072.29222000003</v>
      </c>
      <c r="X336" s="30">
        <v>211208.82640000002</v>
      </c>
      <c r="Y336" s="30">
        <v>112447.87775973632</v>
      </c>
      <c r="Z336" s="30">
        <v>0</v>
      </c>
      <c r="AA336" s="30">
        <v>0</v>
      </c>
      <c r="AB336" s="34">
        <v>0.81191297033319076</v>
      </c>
      <c r="AC336" s="34">
        <v>0.88216704901978138</v>
      </c>
      <c r="AD336" s="34">
        <v>0.7227608324989967</v>
      </c>
      <c r="AE336" s="34">
        <v>0.9</v>
      </c>
      <c r="AF336" s="34">
        <v>0.9</v>
      </c>
      <c r="AG336" s="34">
        <v>0.9</v>
      </c>
      <c r="AH336" s="34">
        <v>0</v>
      </c>
      <c r="AI336" s="37">
        <f t="shared" si="49"/>
        <v>73385.720000000132</v>
      </c>
      <c r="AJ336" s="37">
        <f t="shared" si="50"/>
        <v>137284.63578923835</v>
      </c>
      <c r="AK336" s="37">
        <f t="shared" si="51"/>
        <v>146782.18000000087</v>
      </c>
      <c r="AL336" s="37">
        <f t="shared" si="52"/>
        <v>151069.55672184852</v>
      </c>
      <c r="AM336" s="37">
        <f t="shared" si="53"/>
        <v>182776.86900000004</v>
      </c>
      <c r="AN336" s="37">
        <f t="shared" si="54"/>
        <v>190087.94376000002</v>
      </c>
      <c r="AO336" s="37">
        <f t="shared" si="55"/>
        <v>0</v>
      </c>
    </row>
    <row r="337" spans="1:41" hidden="1" x14ac:dyDescent="0.3">
      <c r="A337" t="str">
        <f t="shared" si="47"/>
        <v>309nov</v>
      </c>
      <c r="B337" t="str">
        <f t="shared" si="48"/>
        <v>PANDOnov</v>
      </c>
      <c r="C337" s="1" t="s">
        <v>79</v>
      </c>
      <c r="D337" s="1" t="s">
        <v>52</v>
      </c>
      <c r="E337" s="1">
        <v>309</v>
      </c>
      <c r="F337" s="1" t="s">
        <v>119</v>
      </c>
      <c r="G337" s="1" t="s">
        <v>119</v>
      </c>
      <c r="H337" s="1" t="s">
        <v>119</v>
      </c>
      <c r="I337" s="1" t="s">
        <v>124</v>
      </c>
      <c r="J337" s="1" t="s">
        <v>131</v>
      </c>
      <c r="K337" t="s">
        <v>90</v>
      </c>
      <c r="L337" s="6">
        <v>180875.24</v>
      </c>
      <c r="M337" s="6">
        <v>86140.93</v>
      </c>
      <c r="N337" s="6">
        <v>181271.45999999996</v>
      </c>
      <c r="O337" s="6">
        <v>94797.26999999999</v>
      </c>
      <c r="P337" s="6">
        <v>210484.99939000042</v>
      </c>
      <c r="Q337" s="6">
        <v>106115.75154070021</v>
      </c>
      <c r="R337" s="6">
        <v>220094.27106715209</v>
      </c>
      <c r="S337" s="6">
        <v>108506.475636106</v>
      </c>
      <c r="T337" s="6">
        <v>289461.92528735637</v>
      </c>
      <c r="U337" s="6">
        <v>120148.16324358866</v>
      </c>
      <c r="V337" s="30">
        <v>286567.30603448278</v>
      </c>
      <c r="W337" s="30">
        <v>141277.68187500004</v>
      </c>
      <c r="X337" s="30">
        <v>309492.69051724143</v>
      </c>
      <c r="Y337" s="30">
        <v>153637.26699286734</v>
      </c>
      <c r="Z337" s="30">
        <v>0</v>
      </c>
      <c r="AA337" s="30">
        <v>0</v>
      </c>
      <c r="AB337" s="34">
        <v>0.51912163323183491</v>
      </c>
      <c r="AC337" s="34">
        <v>0.70095669987497133</v>
      </c>
      <c r="AD337" s="34">
        <v>0.44829060533070364</v>
      </c>
      <c r="AE337" s="34">
        <v>0.6</v>
      </c>
      <c r="AF337" s="34">
        <v>0.6</v>
      </c>
      <c r="AG337" s="34">
        <v>0.64999999999999991</v>
      </c>
      <c r="AH337" s="34">
        <v>0</v>
      </c>
      <c r="AI337" s="37">
        <f t="shared" si="49"/>
        <v>93896.250000000116</v>
      </c>
      <c r="AJ337" s="37">
        <f t="shared" si="50"/>
        <v>127063.44438311785</v>
      </c>
      <c r="AK337" s="37">
        <f t="shared" si="51"/>
        <v>129763.0617072599</v>
      </c>
      <c r="AL337" s="37">
        <f t="shared" si="52"/>
        <v>132056.56264029126</v>
      </c>
      <c r="AM337" s="37">
        <f t="shared" si="53"/>
        <v>171940.38362068965</v>
      </c>
      <c r="AN337" s="37">
        <f t="shared" si="54"/>
        <v>201170.24883620691</v>
      </c>
      <c r="AO337" s="37">
        <f t="shared" si="55"/>
        <v>0</v>
      </c>
    </row>
    <row r="338" spans="1:41" hidden="1" x14ac:dyDescent="0.3">
      <c r="A338" t="str">
        <f t="shared" si="47"/>
        <v>309dic</v>
      </c>
      <c r="B338" t="str">
        <f t="shared" si="48"/>
        <v>PANDOdic</v>
      </c>
      <c r="C338" s="1" t="s">
        <v>79</v>
      </c>
      <c r="D338" s="1" t="s">
        <v>52</v>
      </c>
      <c r="E338" s="1">
        <v>309</v>
      </c>
      <c r="F338" s="1" t="s">
        <v>119</v>
      </c>
      <c r="G338" s="1" t="s">
        <v>119</v>
      </c>
      <c r="H338" s="1" t="s">
        <v>119</v>
      </c>
      <c r="I338" s="1" t="s">
        <v>124</v>
      </c>
      <c r="J338" s="1" t="s">
        <v>131</v>
      </c>
      <c r="K338" t="s">
        <v>91</v>
      </c>
      <c r="L338" s="6">
        <v>363681.29000000004</v>
      </c>
      <c r="M338" s="6">
        <v>171267.51999999996</v>
      </c>
      <c r="N338" s="6">
        <v>408656.4</v>
      </c>
      <c r="O338" s="6">
        <v>217481.30000000002</v>
      </c>
      <c r="P338" s="6">
        <v>408498.19539999944</v>
      </c>
      <c r="Q338" s="6">
        <v>226391.08761299969</v>
      </c>
      <c r="R338" s="6">
        <v>422918.18169761938</v>
      </c>
      <c r="S338" s="6">
        <v>216534.10902918113</v>
      </c>
      <c r="T338" s="6">
        <v>410406.89655172429</v>
      </c>
      <c r="U338" s="6">
        <v>204052.92163566104</v>
      </c>
      <c r="V338" s="30">
        <v>422917.17169761937</v>
      </c>
      <c r="W338" s="30">
        <v>216533.59190918112</v>
      </c>
      <c r="X338" s="30">
        <v>456750.54543342901</v>
      </c>
      <c r="Y338" s="30">
        <v>239887.40699382525</v>
      </c>
      <c r="Z338" s="30">
        <v>0</v>
      </c>
      <c r="AA338" s="30">
        <v>0</v>
      </c>
      <c r="AB338" s="34">
        <v>0.48344903857990623</v>
      </c>
      <c r="AC338" s="34">
        <v>0.82393500975734424</v>
      </c>
      <c r="AD338" s="34">
        <v>0.63749878531245363</v>
      </c>
      <c r="AE338" s="34">
        <v>0.8</v>
      </c>
      <c r="AF338" s="34">
        <v>0.8</v>
      </c>
      <c r="AG338" s="34">
        <v>0.85</v>
      </c>
      <c r="AH338" s="34">
        <v>0</v>
      </c>
      <c r="AI338" s="37">
        <f t="shared" si="49"/>
        <v>175821.37000000008</v>
      </c>
      <c r="AJ338" s="37">
        <f t="shared" si="50"/>
        <v>336706.31492140121</v>
      </c>
      <c r="AK338" s="37">
        <f t="shared" si="51"/>
        <v>261633.89803557805</v>
      </c>
      <c r="AL338" s="37">
        <f t="shared" si="52"/>
        <v>338334.54535809555</v>
      </c>
      <c r="AM338" s="37">
        <f t="shared" si="53"/>
        <v>338333.73735809553</v>
      </c>
      <c r="AN338" s="37">
        <f t="shared" si="54"/>
        <v>388237.96361841465</v>
      </c>
      <c r="AO338" s="37">
        <f t="shared" si="55"/>
        <v>0</v>
      </c>
    </row>
    <row r="339" spans="1:41" hidden="1" x14ac:dyDescent="0.3">
      <c r="A339" t="str">
        <f t="shared" si="47"/>
        <v>207ene</v>
      </c>
      <c r="B339" t="str">
        <f t="shared" si="48"/>
        <v>PATINOene</v>
      </c>
      <c r="C339" s="1" t="s">
        <v>79</v>
      </c>
      <c r="D339" s="1" t="s">
        <v>53</v>
      </c>
      <c r="E339" s="1">
        <v>207</v>
      </c>
      <c r="F339" s="1" t="s">
        <v>119</v>
      </c>
      <c r="G339" s="1" t="s">
        <v>119</v>
      </c>
      <c r="H339" s="1" t="s">
        <v>119</v>
      </c>
      <c r="I339" s="1" t="s">
        <v>125</v>
      </c>
      <c r="J339" s="1" t="s">
        <v>130</v>
      </c>
      <c r="K339" t="s">
        <v>80</v>
      </c>
      <c r="L339" s="6">
        <v>103021.20999999998</v>
      </c>
      <c r="M339" s="6">
        <v>53350.639999999985</v>
      </c>
      <c r="N339" s="6">
        <v>82232.579999999987</v>
      </c>
      <c r="O339" s="6">
        <v>42855.969999999987</v>
      </c>
      <c r="P339" s="6">
        <v>97929.09877333339</v>
      </c>
      <c r="Q339" s="6">
        <v>51322.542055133359</v>
      </c>
      <c r="R339" s="6">
        <v>84799.240000000136</v>
      </c>
      <c r="S339" s="6">
        <v>45263.908259680247</v>
      </c>
      <c r="T339" s="6">
        <v>84799.240000000151</v>
      </c>
      <c r="U339" s="6">
        <v>45392.150000000198</v>
      </c>
      <c r="V339" s="30">
        <v>97929.09877333339</v>
      </c>
      <c r="W339" s="30">
        <v>52420.426655757481</v>
      </c>
      <c r="X339" s="30">
        <v>104784.13568746673</v>
      </c>
      <c r="Y339" s="30">
        <v>56088.032524790062</v>
      </c>
      <c r="Z339" s="30">
        <v>83718.965517241246</v>
      </c>
      <c r="AA339" s="30">
        <v>46505.598067665494</v>
      </c>
      <c r="AB339" s="34">
        <v>0.76809765678349251</v>
      </c>
      <c r="AC339" s="34">
        <v>0.82856616328954669</v>
      </c>
      <c r="AD339" s="34">
        <v>0.87528440788627393</v>
      </c>
      <c r="AE339" s="34">
        <v>0.87528440788627393</v>
      </c>
      <c r="AF339" s="34">
        <v>0.87528440788627393</v>
      </c>
      <c r="AG339" s="34">
        <v>0.89999999999999991</v>
      </c>
      <c r="AH339" s="34">
        <v>0.98332887122351043</v>
      </c>
      <c r="AI339" s="37">
        <f t="shared" si="49"/>
        <v>79130.350000000093</v>
      </c>
      <c r="AJ339" s="37">
        <f t="shared" si="50"/>
        <v>68135.133308000703</v>
      </c>
      <c r="AK339" s="37">
        <f t="shared" si="51"/>
        <v>74223.452572606169</v>
      </c>
      <c r="AL339" s="37">
        <f t="shared" si="52"/>
        <v>74223.452572606155</v>
      </c>
      <c r="AM339" s="37">
        <f t="shared" si="53"/>
        <v>85715.813234653557</v>
      </c>
      <c r="AN339" s="37">
        <f t="shared" si="54"/>
        <v>94305.722118720048</v>
      </c>
      <c r="AO339" s="37">
        <f t="shared" si="55"/>
        <v>82323.275862068826</v>
      </c>
    </row>
    <row r="340" spans="1:41" hidden="1" x14ac:dyDescent="0.3">
      <c r="A340" t="str">
        <f t="shared" si="47"/>
        <v>207feb</v>
      </c>
      <c r="B340" t="str">
        <f t="shared" si="48"/>
        <v>PATINOfeb</v>
      </c>
      <c r="C340" s="1" t="s">
        <v>79</v>
      </c>
      <c r="D340" s="1" t="s">
        <v>53</v>
      </c>
      <c r="E340" s="1">
        <v>207</v>
      </c>
      <c r="F340" s="1" t="s">
        <v>119</v>
      </c>
      <c r="G340" s="1" t="s">
        <v>119</v>
      </c>
      <c r="H340" s="1" t="s">
        <v>119</v>
      </c>
      <c r="I340" s="1" t="s">
        <v>125</v>
      </c>
      <c r="J340" s="1" t="s">
        <v>130</v>
      </c>
      <c r="K340" t="s">
        <v>81</v>
      </c>
      <c r="L340" s="6">
        <v>170921.14999999997</v>
      </c>
      <c r="M340" s="6">
        <v>65066.319999999956</v>
      </c>
      <c r="N340" s="6">
        <v>131326.56999999998</v>
      </c>
      <c r="O340" s="6">
        <v>61168.839999999967</v>
      </c>
      <c r="P340" s="6">
        <v>164296.79871000021</v>
      </c>
      <c r="Q340" s="6">
        <v>71474.282287200098</v>
      </c>
      <c r="R340" s="6">
        <v>162805.05000000042</v>
      </c>
      <c r="S340" s="6">
        <v>70697.195346580425</v>
      </c>
      <c r="T340" s="6">
        <v>162805.0500000004</v>
      </c>
      <c r="U340" s="6">
        <v>70664.940000000497</v>
      </c>
      <c r="V340" s="30">
        <v>172511.63864550024</v>
      </c>
      <c r="W340" s="30">
        <v>74878.049508820593</v>
      </c>
      <c r="X340" s="30">
        <v>176824.42961163778</v>
      </c>
      <c r="Y340" s="30">
        <v>80724.456489785778</v>
      </c>
      <c r="Z340" s="30">
        <v>144017.67241379336</v>
      </c>
      <c r="AA340" s="30">
        <v>65727.566170848266</v>
      </c>
      <c r="AB340" s="34">
        <v>0.33030476333677805</v>
      </c>
      <c r="AC340" s="34">
        <v>0.56231037953832419</v>
      </c>
      <c r="AD340" s="34">
        <v>0.31478387402449665</v>
      </c>
      <c r="AE340" s="34">
        <v>0.31478387402449609</v>
      </c>
      <c r="AF340" s="34">
        <v>0.31478387402449609</v>
      </c>
      <c r="AG340" s="34">
        <v>0.38999999999999996</v>
      </c>
      <c r="AH340" s="34">
        <v>0.42352920049921988</v>
      </c>
      <c r="AI340" s="37">
        <f t="shared" si="49"/>
        <v>56456.069999999927</v>
      </c>
      <c r="AJ340" s="37">
        <f t="shared" si="50"/>
        <v>73846.293420166287</v>
      </c>
      <c r="AK340" s="37">
        <f t="shared" si="51"/>
        <v>51248.404349752003</v>
      </c>
      <c r="AL340" s="37">
        <f t="shared" si="52"/>
        <v>51248.404349751923</v>
      </c>
      <c r="AM340" s="37">
        <f t="shared" si="53"/>
        <v>54303.881927144539</v>
      </c>
      <c r="AN340" s="37">
        <f t="shared" si="54"/>
        <v>68961.527548538725</v>
      </c>
      <c r="AO340" s="37">
        <f t="shared" si="55"/>
        <v>60995.689655172457</v>
      </c>
    </row>
    <row r="341" spans="1:41" hidden="1" x14ac:dyDescent="0.3">
      <c r="A341" t="str">
        <f t="shared" si="47"/>
        <v>207mar</v>
      </c>
      <c r="B341" t="str">
        <f t="shared" si="48"/>
        <v>PATINOmar</v>
      </c>
      <c r="C341" s="1" t="s">
        <v>79</v>
      </c>
      <c r="D341" s="1" t="s">
        <v>53</v>
      </c>
      <c r="E341" s="1">
        <v>207</v>
      </c>
      <c r="F341" s="1" t="s">
        <v>119</v>
      </c>
      <c r="G341" s="1" t="s">
        <v>119</v>
      </c>
      <c r="H341" s="1" t="s">
        <v>119</v>
      </c>
      <c r="I341" s="1" t="s">
        <v>125</v>
      </c>
      <c r="J341" s="1" t="s">
        <v>130</v>
      </c>
      <c r="K341" t="s">
        <v>82</v>
      </c>
      <c r="L341" s="6">
        <v>109707.97</v>
      </c>
      <c r="M341" s="6">
        <v>51242.379999999983</v>
      </c>
      <c r="N341" s="6">
        <v>162671.88999999998</v>
      </c>
      <c r="O341" s="6">
        <v>73082.949999999983</v>
      </c>
      <c r="P341" s="6">
        <v>111473.86610000009</v>
      </c>
      <c r="Q341" s="6">
        <v>53799.427446000045</v>
      </c>
      <c r="R341" s="6">
        <v>129778.63000000019</v>
      </c>
      <c r="S341" s="6">
        <v>64691.160062526869</v>
      </c>
      <c r="T341" s="6">
        <v>129778.63000000009</v>
      </c>
      <c r="U341" s="6">
        <v>64381.400000000183</v>
      </c>
      <c r="V341" s="30">
        <v>129778.63000000016</v>
      </c>
      <c r="W341" s="30">
        <v>64381.40000000022</v>
      </c>
      <c r="X341" s="30">
        <v>133671.98890000017</v>
      </c>
      <c r="Y341" s="30">
        <v>69280.468383834392</v>
      </c>
      <c r="Z341" s="30">
        <v>116823.77046677857</v>
      </c>
      <c r="AA341" s="30">
        <v>58996.00408572318</v>
      </c>
      <c r="AB341" s="34">
        <v>0.54528217047494409</v>
      </c>
      <c r="AC341" s="34">
        <v>0.47459817620280548</v>
      </c>
      <c r="AD341" s="34">
        <v>0.62368356555547066</v>
      </c>
      <c r="AE341" s="34">
        <v>0.62368356555546933</v>
      </c>
      <c r="AF341" s="34">
        <v>0.62368356555546933</v>
      </c>
      <c r="AG341" s="34">
        <v>0.79</v>
      </c>
      <c r="AH341" s="34">
        <v>0.73808749191950263</v>
      </c>
      <c r="AI341" s="37">
        <f t="shared" si="49"/>
        <v>59821.800000000054</v>
      </c>
      <c r="AJ341" s="37">
        <f t="shared" si="50"/>
        <v>77203.78231346338</v>
      </c>
      <c r="AK341" s="37">
        <f t="shared" si="51"/>
        <v>80940.798691304226</v>
      </c>
      <c r="AL341" s="37">
        <f t="shared" si="52"/>
        <v>80940.798691304124</v>
      </c>
      <c r="AM341" s="37">
        <f t="shared" si="53"/>
        <v>80940.798691304095</v>
      </c>
      <c r="AN341" s="37">
        <f t="shared" si="54"/>
        <v>105600.87123100014</v>
      </c>
      <c r="AO341" s="37">
        <f t="shared" si="55"/>
        <v>86226.163740404256</v>
      </c>
    </row>
    <row r="342" spans="1:41" hidden="1" x14ac:dyDescent="0.3">
      <c r="A342" t="str">
        <f t="shared" si="47"/>
        <v>207abr</v>
      </c>
      <c r="B342" t="str">
        <f t="shared" si="48"/>
        <v>PATINOabr</v>
      </c>
      <c r="C342" s="1" t="s">
        <v>79</v>
      </c>
      <c r="D342" s="1" t="s">
        <v>53</v>
      </c>
      <c r="E342" s="1">
        <v>207</v>
      </c>
      <c r="F342" s="1" t="s">
        <v>119</v>
      </c>
      <c r="G342" s="1" t="s">
        <v>119</v>
      </c>
      <c r="H342" s="1" t="s">
        <v>119</v>
      </c>
      <c r="I342" s="1" t="s">
        <v>125</v>
      </c>
      <c r="J342" s="1" t="s">
        <v>130</v>
      </c>
      <c r="K342" t="s">
        <v>83</v>
      </c>
      <c r="L342" s="6">
        <v>84843.109999999986</v>
      </c>
      <c r="M342" s="6">
        <v>45038.109999999993</v>
      </c>
      <c r="N342" s="6">
        <v>82595.139999999985</v>
      </c>
      <c r="O342" s="6">
        <v>45934.2</v>
      </c>
      <c r="P342" s="6">
        <v>94059.44648000013</v>
      </c>
      <c r="Q342" s="6">
        <v>51884.916120800073</v>
      </c>
      <c r="R342" s="6">
        <v>105367.54000000018</v>
      </c>
      <c r="S342" s="6">
        <v>58241.276451393343</v>
      </c>
      <c r="T342" s="6">
        <v>105367.5400000002</v>
      </c>
      <c r="U342" s="6">
        <v>57401.180000000204</v>
      </c>
      <c r="V342" s="30">
        <v>105367.54000000018</v>
      </c>
      <c r="W342" s="30">
        <v>57401.180000000197</v>
      </c>
      <c r="X342" s="30">
        <v>113270.10550000018</v>
      </c>
      <c r="Y342" s="30">
        <v>59755.83570263494</v>
      </c>
      <c r="Z342" s="30">
        <v>0</v>
      </c>
      <c r="AA342" s="30">
        <v>0</v>
      </c>
      <c r="AB342" s="34">
        <v>0.82569945868321037</v>
      </c>
      <c r="AC342" s="34">
        <v>0.9138327188959573</v>
      </c>
      <c r="AD342" s="34">
        <v>0.89416515453020151</v>
      </c>
      <c r="AE342" s="34">
        <v>0.89416515453020073</v>
      </c>
      <c r="AF342" s="34">
        <v>0.89416515453020073</v>
      </c>
      <c r="AG342" s="34">
        <v>0.85</v>
      </c>
      <c r="AH342" s="34">
        <v>0</v>
      </c>
      <c r="AI342" s="37">
        <f t="shared" si="49"/>
        <v>70054.910000000062</v>
      </c>
      <c r="AJ342" s="37">
        <f t="shared" si="50"/>
        <v>75478.14135379222</v>
      </c>
      <c r="AK342" s="37">
        <f t="shared" si="51"/>
        <v>94215.982686567368</v>
      </c>
      <c r="AL342" s="37">
        <f t="shared" si="52"/>
        <v>94215.982686567266</v>
      </c>
      <c r="AM342" s="37">
        <f t="shared" si="53"/>
        <v>94215.982686567266</v>
      </c>
      <c r="AN342" s="37">
        <f t="shared" si="54"/>
        <v>96279.589675000156</v>
      </c>
      <c r="AO342" s="37">
        <f t="shared" si="55"/>
        <v>0</v>
      </c>
    </row>
    <row r="343" spans="1:41" hidden="1" x14ac:dyDescent="0.3">
      <c r="A343" t="str">
        <f t="shared" si="47"/>
        <v>207may</v>
      </c>
      <c r="B343" t="str">
        <f t="shared" si="48"/>
        <v>PATINOmay</v>
      </c>
      <c r="C343" s="1" t="s">
        <v>79</v>
      </c>
      <c r="D343" s="1" t="s">
        <v>53</v>
      </c>
      <c r="E343" s="1">
        <v>207</v>
      </c>
      <c r="F343" s="1" t="s">
        <v>119</v>
      </c>
      <c r="G343" s="1" t="s">
        <v>119</v>
      </c>
      <c r="H343" s="1" t="s">
        <v>119</v>
      </c>
      <c r="I343" s="1" t="s">
        <v>125</v>
      </c>
      <c r="J343" s="1" t="s">
        <v>130</v>
      </c>
      <c r="K343" t="s">
        <v>84</v>
      </c>
      <c r="L343" s="6">
        <v>99975.040000000008</v>
      </c>
      <c r="M343" s="6">
        <v>53162.91</v>
      </c>
      <c r="N343" s="6">
        <v>103298.99999999997</v>
      </c>
      <c r="O343" s="6">
        <v>56399.379999999976</v>
      </c>
      <c r="P343" s="6">
        <v>103995.51829500012</v>
      </c>
      <c r="Q343" s="6">
        <v>53927.325014575057</v>
      </c>
      <c r="R343" s="6">
        <v>99344.360000000102</v>
      </c>
      <c r="S343" s="6">
        <v>54700.195572566729</v>
      </c>
      <c r="T343" s="6">
        <v>99344.360000000102</v>
      </c>
      <c r="U343" s="6">
        <v>54731.430000000058</v>
      </c>
      <c r="V343" s="30">
        <v>102324.69080000011</v>
      </c>
      <c r="W343" s="30">
        <v>56373.37290000006</v>
      </c>
      <c r="X343" s="30">
        <v>109999.04261000014</v>
      </c>
      <c r="Y343" s="30">
        <v>58879.427111058452</v>
      </c>
      <c r="Z343" s="30">
        <v>0</v>
      </c>
      <c r="AA343" s="30">
        <v>0</v>
      </c>
      <c r="AB343" s="34">
        <v>0.83142162283706111</v>
      </c>
      <c r="AC343" s="34">
        <v>0.9246544446576167</v>
      </c>
      <c r="AD343" s="34">
        <v>0.95862304596190684</v>
      </c>
      <c r="AE343" s="34">
        <v>0.95862304596190651</v>
      </c>
      <c r="AF343" s="34">
        <v>0.95862304596190651</v>
      </c>
      <c r="AG343" s="34">
        <v>0.9</v>
      </c>
      <c r="AH343" s="34">
        <v>0</v>
      </c>
      <c r="AI343" s="37">
        <f t="shared" si="49"/>
        <v>83121.410000000105</v>
      </c>
      <c r="AJ343" s="37">
        <f t="shared" si="50"/>
        <v>95515.879478687115</v>
      </c>
      <c r="AK343" s="37">
        <f t="shared" si="51"/>
        <v>95233.792982336323</v>
      </c>
      <c r="AL343" s="37">
        <f t="shared" si="52"/>
        <v>95233.792982336279</v>
      </c>
      <c r="AM343" s="37">
        <f t="shared" si="53"/>
        <v>98090.806771806383</v>
      </c>
      <c r="AN343" s="37">
        <f t="shared" si="54"/>
        <v>98999.138349000117</v>
      </c>
      <c r="AO343" s="37">
        <f t="shared" si="55"/>
        <v>0</v>
      </c>
    </row>
    <row r="344" spans="1:41" hidden="1" x14ac:dyDescent="0.3">
      <c r="A344" t="str">
        <f t="shared" si="47"/>
        <v>207jun</v>
      </c>
      <c r="B344" t="str">
        <f t="shared" si="48"/>
        <v>PATINOjun</v>
      </c>
      <c r="C344" s="1" t="s">
        <v>79</v>
      </c>
      <c r="D344" s="1" t="s">
        <v>53</v>
      </c>
      <c r="E344" s="1">
        <v>207</v>
      </c>
      <c r="F344" s="1" t="s">
        <v>119</v>
      </c>
      <c r="G344" s="1" t="s">
        <v>119</v>
      </c>
      <c r="H344" s="1" t="s">
        <v>119</v>
      </c>
      <c r="I344" s="1" t="s">
        <v>125</v>
      </c>
      <c r="J344" s="1" t="s">
        <v>130</v>
      </c>
      <c r="K344" t="s">
        <v>85</v>
      </c>
      <c r="L344" s="6">
        <v>80007.900000000009</v>
      </c>
      <c r="M344" s="6">
        <v>42704.020000000004</v>
      </c>
      <c r="N344" s="6">
        <v>89906.97</v>
      </c>
      <c r="O344" s="6">
        <v>49165.54</v>
      </c>
      <c r="P344" s="6">
        <v>91031.177325000055</v>
      </c>
      <c r="Q344" s="6">
        <v>49666.745674125043</v>
      </c>
      <c r="R344" s="6">
        <v>93463.180000000109</v>
      </c>
      <c r="S344" s="6">
        <v>52172.574199317613</v>
      </c>
      <c r="T344" s="6">
        <v>93463.180000000109</v>
      </c>
      <c r="U344" s="6">
        <v>52173.760000000046</v>
      </c>
      <c r="V344" s="30">
        <v>100940.23440000012</v>
      </c>
      <c r="W344" s="30">
        <v>56347.660800000049</v>
      </c>
      <c r="X344" s="30">
        <v>108510.75198000013</v>
      </c>
      <c r="Y344" s="30">
        <v>58082.786544105096</v>
      </c>
      <c r="Z344" s="30">
        <v>0</v>
      </c>
      <c r="AA344" s="30">
        <v>0</v>
      </c>
      <c r="AB344" s="34">
        <v>0.82674385904392023</v>
      </c>
      <c r="AC344" s="34">
        <v>0.93689723763835808</v>
      </c>
      <c r="AD344" s="34">
        <v>0.97026387570167094</v>
      </c>
      <c r="AE344" s="34">
        <v>0.97026387570167094</v>
      </c>
      <c r="AF344" s="34">
        <v>0.97026387570167094</v>
      </c>
      <c r="AG344" s="34">
        <v>0.89999999999999991</v>
      </c>
      <c r="AH344" s="34">
        <v>0</v>
      </c>
      <c r="AI344" s="37">
        <f t="shared" si="49"/>
        <v>66146.040000000066</v>
      </c>
      <c r="AJ344" s="37">
        <f t="shared" si="50"/>
        <v>84233.591837434738</v>
      </c>
      <c r="AK344" s="37">
        <f t="shared" si="51"/>
        <v>90683.947262203001</v>
      </c>
      <c r="AL344" s="37">
        <f t="shared" si="52"/>
        <v>90683.947262203001</v>
      </c>
      <c r="AM344" s="37">
        <f t="shared" si="53"/>
        <v>97938.663043179244</v>
      </c>
      <c r="AN344" s="37">
        <f t="shared" si="54"/>
        <v>97659.676782000111</v>
      </c>
      <c r="AO344" s="37">
        <f t="shared" si="55"/>
        <v>0</v>
      </c>
    </row>
    <row r="345" spans="1:41" hidden="1" x14ac:dyDescent="0.3">
      <c r="A345" t="str">
        <f t="shared" si="47"/>
        <v>207jul</v>
      </c>
      <c r="B345" t="str">
        <f t="shared" si="48"/>
        <v>PATINOjul</v>
      </c>
      <c r="C345" s="1" t="s">
        <v>79</v>
      </c>
      <c r="D345" s="1" t="s">
        <v>53</v>
      </c>
      <c r="E345" s="1">
        <v>207</v>
      </c>
      <c r="F345" s="1" t="s">
        <v>119</v>
      </c>
      <c r="G345" s="1" t="s">
        <v>119</v>
      </c>
      <c r="H345" s="1" t="s">
        <v>119</v>
      </c>
      <c r="I345" s="1" t="s">
        <v>125</v>
      </c>
      <c r="J345" s="1" t="s">
        <v>130</v>
      </c>
      <c r="K345" t="s">
        <v>86</v>
      </c>
      <c r="L345" s="6">
        <v>89525.25</v>
      </c>
      <c r="M345" s="6">
        <v>47718.909999999989</v>
      </c>
      <c r="N345" s="6">
        <v>93588.289999999979</v>
      </c>
      <c r="O345" s="6">
        <v>51244.929999999978</v>
      </c>
      <c r="P345" s="6">
        <v>97612.725400000054</v>
      </c>
      <c r="Q345" s="6">
        <v>53693.363458500025</v>
      </c>
      <c r="R345" s="6">
        <v>94595.379999999946</v>
      </c>
      <c r="S345" s="6">
        <v>52435.470000000649</v>
      </c>
      <c r="T345" s="6">
        <v>94595.380000000237</v>
      </c>
      <c r="U345" s="6">
        <v>52435.470000000234</v>
      </c>
      <c r="V345" s="30">
        <v>97433.241400000814</v>
      </c>
      <c r="W345" s="30">
        <v>54008.53410000055</v>
      </c>
      <c r="X345" s="30">
        <v>104740.73450500087</v>
      </c>
      <c r="Y345" s="30">
        <v>56064.801079325654</v>
      </c>
      <c r="Z345" s="30">
        <v>0</v>
      </c>
      <c r="AA345" s="30">
        <v>0</v>
      </c>
      <c r="AB345" s="34">
        <v>0.86107963954303457</v>
      </c>
      <c r="AC345" s="34">
        <v>0.9385446333489208</v>
      </c>
      <c r="AD345" s="34">
        <v>0.96019308765396416</v>
      </c>
      <c r="AE345" s="34">
        <v>0.96019308765396416</v>
      </c>
      <c r="AF345" s="34">
        <v>0.96019308765396416</v>
      </c>
      <c r="AG345" s="34">
        <v>0.9</v>
      </c>
      <c r="AH345" s="34">
        <v>0</v>
      </c>
      <c r="AI345" s="37">
        <f t="shared" si="49"/>
        <v>77088.370000000054</v>
      </c>
      <c r="AJ345" s="37">
        <f t="shared" si="50"/>
        <v>87836.787323802448</v>
      </c>
      <c r="AK345" s="37">
        <f t="shared" si="51"/>
        <v>90829.830000000278</v>
      </c>
      <c r="AL345" s="37">
        <f t="shared" si="52"/>
        <v>90829.83</v>
      </c>
      <c r="AM345" s="37">
        <f t="shared" si="53"/>
        <v>93554.724900000831</v>
      </c>
      <c r="AN345" s="37">
        <f t="shared" si="54"/>
        <v>94266.661054500786</v>
      </c>
      <c r="AO345" s="37">
        <f t="shared" si="55"/>
        <v>0</v>
      </c>
    </row>
    <row r="346" spans="1:41" hidden="1" x14ac:dyDescent="0.3">
      <c r="A346" t="str">
        <f t="shared" si="47"/>
        <v>207ago</v>
      </c>
      <c r="B346" t="str">
        <f t="shared" si="48"/>
        <v>PATINOago</v>
      </c>
      <c r="C346" s="1" t="s">
        <v>79</v>
      </c>
      <c r="D346" s="1" t="s">
        <v>53</v>
      </c>
      <c r="E346" s="1">
        <v>207</v>
      </c>
      <c r="F346" s="1" t="s">
        <v>119</v>
      </c>
      <c r="G346" s="1" t="s">
        <v>119</v>
      </c>
      <c r="H346" s="1" t="s">
        <v>119</v>
      </c>
      <c r="I346" s="1" t="s">
        <v>125</v>
      </c>
      <c r="J346" s="1" t="s">
        <v>130</v>
      </c>
      <c r="K346" t="s">
        <v>87</v>
      </c>
      <c r="L346" s="6">
        <v>269005.47999999992</v>
      </c>
      <c r="M346" s="6">
        <v>83411.319999999905</v>
      </c>
      <c r="N346" s="6">
        <v>168150.88</v>
      </c>
      <c r="O346" s="6">
        <v>70964.25999999998</v>
      </c>
      <c r="P346" s="6">
        <v>180354.58800000016</v>
      </c>
      <c r="Q346" s="6">
        <v>76389.906301500072</v>
      </c>
      <c r="R346" s="6">
        <v>168776.8757977472</v>
      </c>
      <c r="S346" s="6">
        <v>75978.286177871865</v>
      </c>
      <c r="T346" s="6">
        <v>267293.78000000096</v>
      </c>
      <c r="U346" s="6">
        <v>121074.16000000111</v>
      </c>
      <c r="V346" s="30">
        <v>267293.7800000009</v>
      </c>
      <c r="W346" s="30">
        <v>120327.64094260042</v>
      </c>
      <c r="X346" s="30">
        <v>275312.59340000094</v>
      </c>
      <c r="Y346" s="30">
        <v>127812.1365948014</v>
      </c>
      <c r="Z346" s="30">
        <v>0</v>
      </c>
      <c r="AA346" s="30">
        <v>0</v>
      </c>
      <c r="AB346" s="34">
        <v>0.27490176036562819</v>
      </c>
      <c r="AC346" s="34">
        <v>0.37940199190459983</v>
      </c>
      <c r="AD346" s="34">
        <v>0.42286730353396929</v>
      </c>
      <c r="AE346" s="34">
        <v>0.33</v>
      </c>
      <c r="AF346" s="34">
        <v>0.33</v>
      </c>
      <c r="AG346" s="34">
        <v>0.44</v>
      </c>
      <c r="AH346" s="34">
        <v>0</v>
      </c>
      <c r="AI346" s="37">
        <f t="shared" si="49"/>
        <v>73950.080000000758</v>
      </c>
      <c r="AJ346" s="37">
        <f t="shared" si="50"/>
        <v>63796.778812511337</v>
      </c>
      <c r="AK346" s="37">
        <f t="shared" si="51"/>
        <v>113029.80000000242</v>
      </c>
      <c r="AL346" s="37">
        <f t="shared" si="52"/>
        <v>55696.369013256575</v>
      </c>
      <c r="AM346" s="37">
        <f t="shared" si="53"/>
        <v>88206.947400000296</v>
      </c>
      <c r="AN346" s="37">
        <f t="shared" si="54"/>
        <v>121137.54109600042</v>
      </c>
      <c r="AO346" s="37">
        <f t="shared" si="55"/>
        <v>0</v>
      </c>
    </row>
    <row r="347" spans="1:41" hidden="1" x14ac:dyDescent="0.3">
      <c r="A347" t="str">
        <f t="shared" si="47"/>
        <v>207sep</v>
      </c>
      <c r="B347" t="str">
        <f t="shared" si="48"/>
        <v>PATINOsep</v>
      </c>
      <c r="C347" s="1" t="s">
        <v>79</v>
      </c>
      <c r="D347" s="1" t="s">
        <v>53</v>
      </c>
      <c r="E347" s="1">
        <v>207</v>
      </c>
      <c r="F347" s="1" t="s">
        <v>119</v>
      </c>
      <c r="G347" s="1" t="s">
        <v>119</v>
      </c>
      <c r="H347" s="1" t="s">
        <v>119</v>
      </c>
      <c r="I347" s="1" t="s">
        <v>125</v>
      </c>
      <c r="J347" s="1" t="s">
        <v>130</v>
      </c>
      <c r="K347" t="s">
        <v>88</v>
      </c>
      <c r="L347" s="6">
        <v>79819.010000000009</v>
      </c>
      <c r="M347" s="6">
        <v>40482.439999999995</v>
      </c>
      <c r="N347" s="6">
        <v>100909.23999999998</v>
      </c>
      <c r="O347" s="6">
        <v>50780.729999999996</v>
      </c>
      <c r="P347" s="6">
        <v>92001.397224999979</v>
      </c>
      <c r="Q347" s="6">
        <v>49096.006387499991</v>
      </c>
      <c r="R347" s="6">
        <v>95523.210710772983</v>
      </c>
      <c r="S347" s="6">
        <v>50722.824887420458</v>
      </c>
      <c r="T347" s="6">
        <v>97527.710000000225</v>
      </c>
      <c r="U347" s="6">
        <v>52921.640000000232</v>
      </c>
      <c r="V347" s="30">
        <v>100453.54130000023</v>
      </c>
      <c r="W347" s="30">
        <v>54509.289200000239</v>
      </c>
      <c r="X347" s="30">
        <v>105476.21836500026</v>
      </c>
      <c r="Y347" s="30">
        <v>54666.964049958871</v>
      </c>
      <c r="Z347" s="30">
        <v>0</v>
      </c>
      <c r="AA347" s="30">
        <v>0</v>
      </c>
      <c r="AB347" s="34">
        <v>0.74455884631994373</v>
      </c>
      <c r="AC347" s="34">
        <v>0.70079890290566904</v>
      </c>
      <c r="AD347" s="34">
        <v>0.91312858673704234</v>
      </c>
      <c r="AE347" s="34">
        <v>0.8</v>
      </c>
      <c r="AF347" s="34">
        <v>0.8</v>
      </c>
      <c r="AG347" s="34">
        <v>0.79</v>
      </c>
      <c r="AH347" s="34">
        <v>0</v>
      </c>
      <c r="AI347" s="37">
        <f t="shared" si="49"/>
        <v>59429.950000000063</v>
      </c>
      <c r="AJ347" s="37">
        <f t="shared" si="50"/>
        <v>70717.084685044843</v>
      </c>
      <c r="AK347" s="37">
        <f t="shared" si="51"/>
        <v>89055.340000000317</v>
      </c>
      <c r="AL347" s="37">
        <f t="shared" si="52"/>
        <v>76418.568568618386</v>
      </c>
      <c r="AM347" s="37">
        <f t="shared" si="53"/>
        <v>80362.833040000187</v>
      </c>
      <c r="AN347" s="37">
        <f t="shared" si="54"/>
        <v>83326.212508350203</v>
      </c>
      <c r="AO347" s="37">
        <f t="shared" si="55"/>
        <v>0</v>
      </c>
    </row>
    <row r="348" spans="1:41" hidden="1" x14ac:dyDescent="0.3">
      <c r="A348" t="str">
        <f t="shared" si="47"/>
        <v>207oct</v>
      </c>
      <c r="B348" t="str">
        <f t="shared" si="48"/>
        <v>PATINOoct</v>
      </c>
      <c r="C348" s="1" t="s">
        <v>79</v>
      </c>
      <c r="D348" s="1" t="s">
        <v>53</v>
      </c>
      <c r="E348" s="1">
        <v>207</v>
      </c>
      <c r="F348" s="1" t="s">
        <v>119</v>
      </c>
      <c r="G348" s="1" t="s">
        <v>119</v>
      </c>
      <c r="H348" s="1" t="s">
        <v>119</v>
      </c>
      <c r="I348" s="1" t="s">
        <v>125</v>
      </c>
      <c r="J348" s="1" t="s">
        <v>130</v>
      </c>
      <c r="K348" t="s">
        <v>89</v>
      </c>
      <c r="L348" s="6">
        <v>47656.840000000004</v>
      </c>
      <c r="M348" s="6">
        <v>24655.56</v>
      </c>
      <c r="N348" s="6">
        <v>98707.49000000002</v>
      </c>
      <c r="O348" s="6">
        <v>53713.30999999999</v>
      </c>
      <c r="P348" s="6">
        <v>97288.332225000064</v>
      </c>
      <c r="Q348" s="6">
        <v>53309.729272250028</v>
      </c>
      <c r="R348" s="6">
        <v>101012.52958257306</v>
      </c>
      <c r="S348" s="6">
        <v>55152.841152084897</v>
      </c>
      <c r="T348" s="6">
        <v>115756.58000000023</v>
      </c>
      <c r="U348" s="6">
        <v>60774.250000000131</v>
      </c>
      <c r="V348" s="30">
        <v>115756.58000000005</v>
      </c>
      <c r="W348" s="30">
        <v>63203.092680000031</v>
      </c>
      <c r="X348" s="30">
        <v>124438.32350000004</v>
      </c>
      <c r="Y348" s="30">
        <v>66608.372441184067</v>
      </c>
      <c r="Z348" s="30">
        <v>0</v>
      </c>
      <c r="AA348" s="30">
        <v>0</v>
      </c>
      <c r="AB348" s="34">
        <v>0.84107989535185346</v>
      </c>
      <c r="AC348" s="34">
        <v>0.87536452757963723</v>
      </c>
      <c r="AD348" s="34">
        <v>0.7263413449153393</v>
      </c>
      <c r="AE348" s="34">
        <v>0.9</v>
      </c>
      <c r="AF348" s="34">
        <v>0.9</v>
      </c>
      <c r="AG348" s="34">
        <v>0.89999999999999991</v>
      </c>
      <c r="AH348" s="34">
        <v>0</v>
      </c>
      <c r="AI348" s="37">
        <f t="shared" si="49"/>
        <v>40083.210000000028</v>
      </c>
      <c r="AJ348" s="37">
        <f t="shared" si="50"/>
        <v>86405.035352421779</v>
      </c>
      <c r="AK348" s="37">
        <f t="shared" si="51"/>
        <v>84078.790000000241</v>
      </c>
      <c r="AL348" s="37">
        <f t="shared" si="52"/>
        <v>90911.276624315753</v>
      </c>
      <c r="AM348" s="37">
        <f t="shared" si="53"/>
        <v>104180.92200000005</v>
      </c>
      <c r="AN348" s="37">
        <f t="shared" si="54"/>
        <v>111994.49115000003</v>
      </c>
      <c r="AO348" s="37">
        <f t="shared" si="55"/>
        <v>0</v>
      </c>
    </row>
    <row r="349" spans="1:41" hidden="1" x14ac:dyDescent="0.3">
      <c r="A349" t="str">
        <f t="shared" si="47"/>
        <v>207nov</v>
      </c>
      <c r="B349" t="str">
        <f t="shared" si="48"/>
        <v>PATINOnov</v>
      </c>
      <c r="C349" s="1" t="s">
        <v>79</v>
      </c>
      <c r="D349" s="1" t="s">
        <v>53</v>
      </c>
      <c r="E349" s="1">
        <v>207</v>
      </c>
      <c r="F349" s="1" t="s">
        <v>119</v>
      </c>
      <c r="G349" s="1" t="s">
        <v>119</v>
      </c>
      <c r="H349" s="1" t="s">
        <v>119</v>
      </c>
      <c r="I349" s="1" t="s">
        <v>125</v>
      </c>
      <c r="J349" s="1" t="s">
        <v>130</v>
      </c>
      <c r="K349" t="s">
        <v>90</v>
      </c>
      <c r="L349" s="6">
        <v>114426.95999999998</v>
      </c>
      <c r="M349" s="6">
        <v>53218.829999999973</v>
      </c>
      <c r="N349" s="6">
        <v>129413.23999999996</v>
      </c>
      <c r="O349" s="6">
        <v>67787.669999999955</v>
      </c>
      <c r="P349" s="6">
        <v>142001.00060000029</v>
      </c>
      <c r="Q349" s="6">
        <v>69666.400736250129</v>
      </c>
      <c r="R349" s="6">
        <v>145977.02861680029</v>
      </c>
      <c r="S349" s="6">
        <v>72404.606193932952</v>
      </c>
      <c r="T349" s="6">
        <v>215571.98275862072</v>
      </c>
      <c r="U349" s="6">
        <v>88210.884576887503</v>
      </c>
      <c r="V349" s="30">
        <v>213416.26293103452</v>
      </c>
      <c r="W349" s="30">
        <v>105854.46641379314</v>
      </c>
      <c r="X349" s="30">
        <v>226221.23870689658</v>
      </c>
      <c r="Y349" s="30">
        <v>112357.24459197609</v>
      </c>
      <c r="Z349" s="30">
        <v>0</v>
      </c>
      <c r="AA349" s="30">
        <v>0</v>
      </c>
      <c r="AB349" s="34">
        <v>0.40874484474637829</v>
      </c>
      <c r="AC349" s="34">
        <v>0.65394296562556309</v>
      </c>
      <c r="AD349" s="34">
        <v>0.42286730353396929</v>
      </c>
      <c r="AE349" s="34">
        <v>0.6</v>
      </c>
      <c r="AF349" s="34">
        <v>0.6</v>
      </c>
      <c r="AG349" s="34">
        <v>0.64999999999999991</v>
      </c>
      <c r="AH349" s="34">
        <v>0</v>
      </c>
      <c r="AI349" s="37">
        <f t="shared" si="49"/>
        <v>46771.430000000029</v>
      </c>
      <c r="AJ349" s="37">
        <f t="shared" si="50"/>
        <v>84628.877956812721</v>
      </c>
      <c r="AK349" s="37">
        <f t="shared" si="51"/>
        <v>91158.343066609261</v>
      </c>
      <c r="AL349" s="37">
        <f t="shared" si="52"/>
        <v>87586.21717008017</v>
      </c>
      <c r="AM349" s="37">
        <f t="shared" si="53"/>
        <v>128049.7577586207</v>
      </c>
      <c r="AN349" s="37">
        <f t="shared" si="54"/>
        <v>147043.80515948276</v>
      </c>
      <c r="AO349" s="37">
        <f t="shared" si="55"/>
        <v>0</v>
      </c>
    </row>
    <row r="350" spans="1:41" hidden="1" x14ac:dyDescent="0.3">
      <c r="A350" t="str">
        <f t="shared" si="47"/>
        <v>207dic</v>
      </c>
      <c r="B350" t="str">
        <f t="shared" si="48"/>
        <v>PATINOdic</v>
      </c>
      <c r="C350" s="1" t="s">
        <v>79</v>
      </c>
      <c r="D350" s="1" t="s">
        <v>53</v>
      </c>
      <c r="E350" s="1">
        <v>207</v>
      </c>
      <c r="F350" s="1" t="s">
        <v>119</v>
      </c>
      <c r="G350" s="1" t="s">
        <v>119</v>
      </c>
      <c r="H350" s="1" t="s">
        <v>119</v>
      </c>
      <c r="I350" s="1" t="s">
        <v>125</v>
      </c>
      <c r="J350" s="1" t="s">
        <v>130</v>
      </c>
      <c r="K350" t="s">
        <v>91</v>
      </c>
      <c r="L350" s="6">
        <v>233933.2399999999</v>
      </c>
      <c r="M350" s="6">
        <v>112196.67999999993</v>
      </c>
      <c r="N350" s="6">
        <v>238460.24</v>
      </c>
      <c r="O350" s="6">
        <v>127751.69</v>
      </c>
      <c r="P350" s="6">
        <v>244997.5564500007</v>
      </c>
      <c r="Q350" s="6">
        <v>133260.88579050038</v>
      </c>
      <c r="R350" s="6">
        <v>251857.48803060071</v>
      </c>
      <c r="S350" s="6">
        <v>132980.75368015718</v>
      </c>
      <c r="T350" s="6">
        <v>242514.87068965516</v>
      </c>
      <c r="U350" s="6">
        <v>120377.90259441519</v>
      </c>
      <c r="V350" s="30">
        <v>259413.21267151873</v>
      </c>
      <c r="W350" s="30">
        <v>136970.17629056191</v>
      </c>
      <c r="X350" s="30">
        <v>276275.07149516739</v>
      </c>
      <c r="Y350" s="30">
        <v>144896.18993571601</v>
      </c>
      <c r="Z350" s="30">
        <v>0</v>
      </c>
      <c r="AA350" s="30">
        <v>0</v>
      </c>
      <c r="AB350" s="34">
        <v>0.48981555592527293</v>
      </c>
      <c r="AC350" s="34">
        <v>0.82341429202066618</v>
      </c>
      <c r="AD350" s="34">
        <v>0.62368356555547066</v>
      </c>
      <c r="AE350" s="34">
        <v>0.8</v>
      </c>
      <c r="AF350" s="34">
        <v>0.8</v>
      </c>
      <c r="AG350" s="34">
        <v>0.83</v>
      </c>
      <c r="AH350" s="34">
        <v>0</v>
      </c>
      <c r="AI350" s="37">
        <f t="shared" si="49"/>
        <v>114584.14000000025</v>
      </c>
      <c r="AJ350" s="37">
        <f t="shared" si="50"/>
        <v>196351.56969467812</v>
      </c>
      <c r="AK350" s="37">
        <f t="shared" si="51"/>
        <v>151252.53925194804</v>
      </c>
      <c r="AL350" s="37">
        <f t="shared" si="52"/>
        <v>201485.99042448058</v>
      </c>
      <c r="AM350" s="37">
        <f t="shared" si="53"/>
        <v>207530.57013721499</v>
      </c>
      <c r="AN350" s="37">
        <f t="shared" si="54"/>
        <v>229308.30934098893</v>
      </c>
      <c r="AO350" s="37">
        <f t="shared" si="55"/>
        <v>0</v>
      </c>
    </row>
    <row r="351" spans="1:41" hidden="1" x14ac:dyDescent="0.3">
      <c r="A351" t="str">
        <f t="shared" si="47"/>
        <v>417ene</v>
      </c>
      <c r="B351" t="str">
        <f t="shared" si="48"/>
        <v>PATIO DESIGN CENTER FAIR PLAYene</v>
      </c>
      <c r="C351" s="1" t="s">
        <v>79</v>
      </c>
      <c r="D351" s="1" t="s">
        <v>54</v>
      </c>
      <c r="E351" s="1">
        <v>417</v>
      </c>
      <c r="F351" s="1" t="s">
        <v>120</v>
      </c>
      <c r="G351" s="1" t="s">
        <v>119</v>
      </c>
      <c r="H351" s="1" t="s">
        <v>119</v>
      </c>
      <c r="I351" s="1" t="s">
        <v>127</v>
      </c>
      <c r="J351" s="1" t="s">
        <v>131</v>
      </c>
      <c r="K351" t="s">
        <v>80</v>
      </c>
      <c r="L351" s="6">
        <v>69869.760000000009</v>
      </c>
      <c r="M351" s="6">
        <v>37167.089999999997</v>
      </c>
      <c r="N351" s="6">
        <v>69361.739999999991</v>
      </c>
      <c r="O351" s="6">
        <v>35804.969999999987</v>
      </c>
      <c r="P351" s="6">
        <v>75917.019450000007</v>
      </c>
      <c r="Q351" s="6">
        <v>38596.467520749997</v>
      </c>
      <c r="R351" s="6">
        <v>47723.300000000076</v>
      </c>
      <c r="S351" s="6">
        <v>24689.391224016876</v>
      </c>
      <c r="T351" s="6">
        <v>47723.300000000032</v>
      </c>
      <c r="U351" s="6">
        <v>24811.380000000026</v>
      </c>
      <c r="V351" s="30">
        <v>75917.019450000007</v>
      </c>
      <c r="W351" s="30">
        <v>39469.316204900795</v>
      </c>
      <c r="X351" s="30">
        <v>78953.700228000016</v>
      </c>
      <c r="Y351" s="30">
        <v>41923.533801920996</v>
      </c>
      <c r="Z351" s="30">
        <v>82792.385057471198</v>
      </c>
      <c r="AA351" s="30">
        <v>45290.547059273958</v>
      </c>
      <c r="AB351" s="34">
        <v>0.86463943771955187</v>
      </c>
      <c r="AC351" s="34">
        <v>0.8046934251987613</v>
      </c>
      <c r="AD351" s="34">
        <v>0.86767955077877557</v>
      </c>
      <c r="AE351" s="34">
        <v>0.86767955077877501</v>
      </c>
      <c r="AF351" s="34">
        <v>0.86767955077877501</v>
      </c>
      <c r="AG351" s="34">
        <v>0.9</v>
      </c>
      <c r="AH351" s="34">
        <v>0.97537810094839783</v>
      </c>
      <c r="AI351" s="37">
        <f t="shared" si="49"/>
        <v>60412.150000000045</v>
      </c>
      <c r="AJ351" s="37">
        <f t="shared" si="50"/>
        <v>55814.936138345925</v>
      </c>
      <c r="AK351" s="37">
        <f t="shared" si="51"/>
        <v>41408.531505680767</v>
      </c>
      <c r="AL351" s="37">
        <f t="shared" si="52"/>
        <v>41408.531505680781</v>
      </c>
      <c r="AM351" s="37">
        <f t="shared" si="53"/>
        <v>65871.645332839529</v>
      </c>
      <c r="AN351" s="37">
        <f t="shared" si="54"/>
        <v>71058.330205200022</v>
      </c>
      <c r="AO351" s="37">
        <f t="shared" si="55"/>
        <v>80753.879310344768</v>
      </c>
    </row>
    <row r="352" spans="1:41" hidden="1" x14ac:dyDescent="0.3">
      <c r="A352" t="str">
        <f t="shared" si="47"/>
        <v>417feb</v>
      </c>
      <c r="B352" t="str">
        <f t="shared" si="48"/>
        <v>PATIO DESIGN CENTER FAIR PLAYfeb</v>
      </c>
      <c r="C352" s="1" t="s">
        <v>79</v>
      </c>
      <c r="D352" s="1" t="s">
        <v>54</v>
      </c>
      <c r="E352" s="1">
        <v>417</v>
      </c>
      <c r="F352" s="1" t="s">
        <v>120</v>
      </c>
      <c r="G352" s="1" t="s">
        <v>119</v>
      </c>
      <c r="H352" s="1" t="s">
        <v>119</v>
      </c>
      <c r="I352" s="1" t="s">
        <v>127</v>
      </c>
      <c r="J352" s="1" t="s">
        <v>131</v>
      </c>
      <c r="K352" t="s">
        <v>81</v>
      </c>
      <c r="L352" s="6">
        <v>95861.949999999983</v>
      </c>
      <c r="M352" s="6">
        <v>44662.379999999983</v>
      </c>
      <c r="N352" s="6">
        <v>101352.61999999998</v>
      </c>
      <c r="O352" s="6">
        <v>46154.929999999978</v>
      </c>
      <c r="P352" s="6">
        <v>126654.50850000011</v>
      </c>
      <c r="Q352" s="6">
        <v>54130.360365000044</v>
      </c>
      <c r="R352" s="6">
        <v>102464.69999999998</v>
      </c>
      <c r="S352" s="6">
        <v>42259.027130909089</v>
      </c>
      <c r="T352" s="6">
        <v>102464.70000000001</v>
      </c>
      <c r="U352" s="6">
        <v>42282.120000000046</v>
      </c>
      <c r="V352" s="30">
        <v>130454.14375500011</v>
      </c>
      <c r="W352" s="30">
        <v>53831.980777244949</v>
      </c>
      <c r="X352" s="30">
        <v>135672.30950520013</v>
      </c>
      <c r="Y352" s="30">
        <v>61146.379262884628</v>
      </c>
      <c r="Z352" s="30">
        <v>117351.72413793109</v>
      </c>
      <c r="AA352" s="30">
        <v>53412.867085268728</v>
      </c>
      <c r="AB352" s="34">
        <v>0.53974866983198333</v>
      </c>
      <c r="AC352" s="34">
        <v>0.54020874559181609</v>
      </c>
      <c r="AD352" s="34">
        <v>0.26091657075129704</v>
      </c>
      <c r="AE352" s="34">
        <v>0.26091657075129704</v>
      </c>
      <c r="AF352" s="34">
        <v>0.26091657075129704</v>
      </c>
      <c r="AG352" s="34">
        <v>0.4</v>
      </c>
      <c r="AH352" s="34">
        <v>0.37954474220341561</v>
      </c>
      <c r="AI352" s="37">
        <f t="shared" si="49"/>
        <v>51741.360000000088</v>
      </c>
      <c r="AJ352" s="37">
        <f t="shared" si="50"/>
        <v>54751.571712643999</v>
      </c>
      <c r="AK352" s="37">
        <f t="shared" si="51"/>
        <v>26734.73814706043</v>
      </c>
      <c r="AL352" s="37">
        <f t="shared" si="52"/>
        <v>26734.73814706042</v>
      </c>
      <c r="AM352" s="37">
        <f t="shared" si="53"/>
        <v>34037.647828851361</v>
      </c>
      <c r="AN352" s="37">
        <f t="shared" si="54"/>
        <v>54268.923802080055</v>
      </c>
      <c r="AO352" s="37">
        <f t="shared" si="55"/>
        <v>44540.229885057401</v>
      </c>
    </row>
    <row r="353" spans="1:41" hidden="1" x14ac:dyDescent="0.3">
      <c r="A353" t="str">
        <f t="shared" si="47"/>
        <v>417mar</v>
      </c>
      <c r="B353" t="str">
        <f t="shared" si="48"/>
        <v>PATIO DESIGN CENTER FAIR PLAYmar</v>
      </c>
      <c r="C353" s="1" t="s">
        <v>79</v>
      </c>
      <c r="D353" s="1" t="s">
        <v>54</v>
      </c>
      <c r="E353" s="1">
        <v>417</v>
      </c>
      <c r="F353" s="1" t="s">
        <v>120</v>
      </c>
      <c r="G353" s="1" t="s">
        <v>119</v>
      </c>
      <c r="H353" s="1" t="s">
        <v>119</v>
      </c>
      <c r="I353" s="1" t="s">
        <v>127</v>
      </c>
      <c r="J353" s="1" t="s">
        <v>131</v>
      </c>
      <c r="K353" t="s">
        <v>82</v>
      </c>
      <c r="L353" s="6">
        <v>79229.08</v>
      </c>
      <c r="M353" s="6">
        <v>38937.449999999983</v>
      </c>
      <c r="N353" s="6">
        <v>135813.31999999998</v>
      </c>
      <c r="O353" s="6">
        <v>61575.509999999973</v>
      </c>
      <c r="P353" s="6">
        <v>87409.006125000073</v>
      </c>
      <c r="Q353" s="6">
        <v>41384.620620000023</v>
      </c>
      <c r="R353" s="6">
        <v>70662.26000000014</v>
      </c>
      <c r="S353" s="6">
        <v>33186.640776577216</v>
      </c>
      <c r="T353" s="6">
        <v>70662.260000000068</v>
      </c>
      <c r="U353" s="6">
        <v>33022.940000000031</v>
      </c>
      <c r="V353" s="30">
        <v>70662.260000000271</v>
      </c>
      <c r="W353" s="30">
        <v>33022.940000000126</v>
      </c>
      <c r="X353" s="30">
        <v>74195.373000000298</v>
      </c>
      <c r="Y353" s="30">
        <v>38801.147256529781</v>
      </c>
      <c r="Z353" s="30">
        <v>74679.758545697856</v>
      </c>
      <c r="AA353" s="30">
        <v>37339.879272848928</v>
      </c>
      <c r="AB353" s="34">
        <v>0.60404349009227476</v>
      </c>
      <c r="AC353" s="34">
        <v>0.48473163409976644</v>
      </c>
      <c r="AD353" s="34">
        <v>0.53161664490828642</v>
      </c>
      <c r="AE353" s="34">
        <v>0.53161664490828542</v>
      </c>
      <c r="AF353" s="34">
        <v>0.53161664490828542</v>
      </c>
      <c r="AG353" s="34">
        <v>0.85000000000000009</v>
      </c>
      <c r="AH353" s="34">
        <v>0.70355690386578673</v>
      </c>
      <c r="AI353" s="37">
        <f t="shared" si="49"/>
        <v>47857.810000000049</v>
      </c>
      <c r="AJ353" s="37">
        <f t="shared" si="50"/>
        <v>65833.012536114475</v>
      </c>
      <c r="AK353" s="37">
        <f t="shared" si="51"/>
        <v>37565.233582837049</v>
      </c>
      <c r="AL353" s="37">
        <f t="shared" si="52"/>
        <v>37565.233582837012</v>
      </c>
      <c r="AM353" s="37">
        <f t="shared" si="53"/>
        <v>37565.233582837085</v>
      </c>
      <c r="AN353" s="37">
        <f t="shared" si="54"/>
        <v>63066.06705000026</v>
      </c>
      <c r="AO353" s="37">
        <f t="shared" si="55"/>
        <v>52541.459703855711</v>
      </c>
    </row>
    <row r="354" spans="1:41" hidden="1" x14ac:dyDescent="0.3">
      <c r="A354" t="str">
        <f t="shared" si="47"/>
        <v>417abr</v>
      </c>
      <c r="B354" t="str">
        <f t="shared" si="48"/>
        <v>PATIO DESIGN CENTER FAIR PLAYabr</v>
      </c>
      <c r="C354" s="1" t="s">
        <v>79</v>
      </c>
      <c r="D354" s="1" t="s">
        <v>54</v>
      </c>
      <c r="E354" s="1">
        <v>417</v>
      </c>
      <c r="F354" s="1" t="s">
        <v>120</v>
      </c>
      <c r="G354" s="1" t="s">
        <v>119</v>
      </c>
      <c r="H354" s="1" t="s">
        <v>119</v>
      </c>
      <c r="I354" s="1" t="s">
        <v>127</v>
      </c>
      <c r="J354" s="1" t="s">
        <v>131</v>
      </c>
      <c r="K354" t="s">
        <v>83</v>
      </c>
      <c r="L354" s="6">
        <v>64192.909999999989</v>
      </c>
      <c r="M354" s="6">
        <v>34102.239999999991</v>
      </c>
      <c r="N354" s="6">
        <v>79092.889999999985</v>
      </c>
      <c r="O354" s="6">
        <v>42123.779999999977</v>
      </c>
      <c r="P354" s="6">
        <v>79042.603645000039</v>
      </c>
      <c r="Q354" s="6">
        <v>42155.303836450017</v>
      </c>
      <c r="R354" s="6">
        <v>65650.79000000011</v>
      </c>
      <c r="S354" s="6">
        <v>34646.956822786247</v>
      </c>
      <c r="T354" s="6">
        <v>65650.790000000066</v>
      </c>
      <c r="U354" s="6">
        <v>34561.460000000094</v>
      </c>
      <c r="V354" s="30">
        <v>65650.790000000125</v>
      </c>
      <c r="W354" s="30">
        <v>34561.460000000123</v>
      </c>
      <c r="X354" s="30">
        <v>69261.583450000137</v>
      </c>
      <c r="Y354" s="30">
        <v>36554.667564939351</v>
      </c>
      <c r="Z354" s="30">
        <v>0</v>
      </c>
      <c r="AA354" s="30">
        <v>0</v>
      </c>
      <c r="AB354" s="34">
        <v>0.82480588588365988</v>
      </c>
      <c r="AC354" s="34">
        <v>0.89564243623393125</v>
      </c>
      <c r="AD354" s="34">
        <v>0.8353615568639059</v>
      </c>
      <c r="AE354" s="34">
        <v>0.83536155686390612</v>
      </c>
      <c r="AF354" s="34">
        <v>0.83536155686390612</v>
      </c>
      <c r="AG354" s="34">
        <v>0.88</v>
      </c>
      <c r="AH354" s="34">
        <v>0</v>
      </c>
      <c r="AI354" s="37">
        <f t="shared" si="49"/>
        <v>52946.690000000039</v>
      </c>
      <c r="AJ354" s="37">
        <f t="shared" si="50"/>
        <v>70838.948688382327</v>
      </c>
      <c r="AK354" s="37">
        <f t="shared" si="51"/>
        <v>54842.146143745398</v>
      </c>
      <c r="AL354" s="37">
        <f t="shared" si="52"/>
        <v>54842.146143745449</v>
      </c>
      <c r="AM354" s="37">
        <f t="shared" si="53"/>
        <v>54842.146143745464</v>
      </c>
      <c r="AN354" s="37">
        <f t="shared" si="54"/>
        <v>60950.193436000118</v>
      </c>
      <c r="AO354" s="37">
        <f t="shared" si="55"/>
        <v>0</v>
      </c>
    </row>
    <row r="355" spans="1:41" hidden="1" x14ac:dyDescent="0.3">
      <c r="A355" t="str">
        <f t="shared" si="47"/>
        <v>417may</v>
      </c>
      <c r="B355" t="str">
        <f t="shared" si="48"/>
        <v>PATIO DESIGN CENTER FAIR PLAYmay</v>
      </c>
      <c r="C355" s="1" t="s">
        <v>79</v>
      </c>
      <c r="D355" s="1" t="s">
        <v>54</v>
      </c>
      <c r="E355" s="1">
        <v>417</v>
      </c>
      <c r="F355" s="1" t="s">
        <v>120</v>
      </c>
      <c r="G355" s="1" t="s">
        <v>119</v>
      </c>
      <c r="H355" s="1" t="s">
        <v>119</v>
      </c>
      <c r="I355" s="1" t="s">
        <v>127</v>
      </c>
      <c r="J355" s="1" t="s">
        <v>131</v>
      </c>
      <c r="K355" t="s">
        <v>84</v>
      </c>
      <c r="L355" s="6">
        <v>78722.340000000011</v>
      </c>
      <c r="M355" s="6">
        <v>41784.870000000003</v>
      </c>
      <c r="N355" s="6">
        <v>82820.589999999982</v>
      </c>
      <c r="O355" s="6">
        <v>44530.75999999998</v>
      </c>
      <c r="P355" s="6">
        <v>77457.386129999999</v>
      </c>
      <c r="Q355" s="6">
        <v>39750.241051050012</v>
      </c>
      <c r="R355" s="6">
        <v>61856.209999999992</v>
      </c>
      <c r="S355" s="6">
        <v>33725.330095718549</v>
      </c>
      <c r="T355" s="6">
        <v>61856.210000000028</v>
      </c>
      <c r="U355" s="6">
        <v>33735.300000000017</v>
      </c>
      <c r="V355" s="30">
        <v>64330.458400000032</v>
      </c>
      <c r="W355" s="30">
        <v>35084.712000000021</v>
      </c>
      <c r="X355" s="30">
        <v>67868.633612000034</v>
      </c>
      <c r="Y355" s="30">
        <v>36037.487123546176</v>
      </c>
      <c r="Z355" s="30">
        <v>0</v>
      </c>
      <c r="AA355" s="30">
        <v>0</v>
      </c>
      <c r="AB355" s="34">
        <v>0.80871401942574439</v>
      </c>
      <c r="AC355" s="34">
        <v>0.90456419671992605</v>
      </c>
      <c r="AD355" s="34">
        <v>0.92743578618479139</v>
      </c>
      <c r="AE355" s="34">
        <v>0.92743578618479117</v>
      </c>
      <c r="AF355" s="34">
        <v>0.92743578618479117</v>
      </c>
      <c r="AG355" s="34">
        <v>0.9</v>
      </c>
      <c r="AH355" s="34">
        <v>0</v>
      </c>
      <c r="AI355" s="37">
        <f t="shared" si="49"/>
        <v>63663.860000000066</v>
      </c>
      <c r="AJ355" s="37">
        <f t="shared" si="50"/>
        <v>74916.540465220329</v>
      </c>
      <c r="AK355" s="37">
        <f t="shared" si="51"/>
        <v>57367.662751761578</v>
      </c>
      <c r="AL355" s="37">
        <f t="shared" si="52"/>
        <v>57367.662751761534</v>
      </c>
      <c r="AM355" s="37">
        <f t="shared" si="53"/>
        <v>59662.369261832035</v>
      </c>
      <c r="AN355" s="37">
        <f t="shared" si="54"/>
        <v>61081.770250800029</v>
      </c>
      <c r="AO355" s="37">
        <f t="shared" si="55"/>
        <v>0</v>
      </c>
    </row>
    <row r="356" spans="1:41" hidden="1" x14ac:dyDescent="0.3">
      <c r="A356" t="str">
        <f t="shared" si="47"/>
        <v>417jun</v>
      </c>
      <c r="B356" t="str">
        <f t="shared" si="48"/>
        <v>PATIO DESIGN CENTER FAIR PLAYjun</v>
      </c>
      <c r="C356" s="1" t="s">
        <v>79</v>
      </c>
      <c r="D356" s="1" t="s">
        <v>54</v>
      </c>
      <c r="E356" s="1">
        <v>417</v>
      </c>
      <c r="F356" s="1" t="s">
        <v>120</v>
      </c>
      <c r="G356" s="1" t="s">
        <v>119</v>
      </c>
      <c r="H356" s="1" t="s">
        <v>119</v>
      </c>
      <c r="I356" s="1" t="s">
        <v>127</v>
      </c>
      <c r="J356" s="1" t="s">
        <v>131</v>
      </c>
      <c r="K356" t="s">
        <v>85</v>
      </c>
      <c r="L356" s="6">
        <v>65218.83</v>
      </c>
      <c r="M356" s="6">
        <v>33933.050000000003</v>
      </c>
      <c r="N356" s="6">
        <v>81649.509999999995</v>
      </c>
      <c r="O356" s="6">
        <v>43121.9</v>
      </c>
      <c r="P356" s="6">
        <v>70045.70689999999</v>
      </c>
      <c r="Q356" s="6">
        <v>37616.947488499995</v>
      </c>
      <c r="R356" s="6">
        <v>63810.270000000033</v>
      </c>
      <c r="S356" s="6">
        <v>35384.404034678104</v>
      </c>
      <c r="T356" s="6">
        <v>63810.270000000048</v>
      </c>
      <c r="U356" s="6">
        <v>35388.11000000003</v>
      </c>
      <c r="V356" s="30">
        <v>65724.578100000057</v>
      </c>
      <c r="W356" s="30">
        <v>36449.753300000033</v>
      </c>
      <c r="X356" s="30">
        <v>69339.429895500056</v>
      </c>
      <c r="Y356" s="30">
        <v>36818.463537938274</v>
      </c>
      <c r="Z356" s="30">
        <v>0</v>
      </c>
      <c r="AA356" s="30">
        <v>0</v>
      </c>
      <c r="AB356" s="34">
        <v>0.83695414345826258</v>
      </c>
      <c r="AC356" s="34">
        <v>0.89089969581320716</v>
      </c>
      <c r="AD356" s="34">
        <v>0.9463304821485794</v>
      </c>
      <c r="AE356" s="34">
        <v>0.9463304821485794</v>
      </c>
      <c r="AF356" s="34">
        <v>0.9463304821485794</v>
      </c>
      <c r="AG356" s="34">
        <v>0.9</v>
      </c>
      <c r="AH356" s="34">
        <v>0</v>
      </c>
      <c r="AI356" s="37">
        <f t="shared" si="49"/>
        <v>54585.170000000042</v>
      </c>
      <c r="AJ356" s="37">
        <f t="shared" si="50"/>
        <v>72741.523622297405</v>
      </c>
      <c r="AK356" s="37">
        <f t="shared" si="51"/>
        <v>60385.603575131077</v>
      </c>
      <c r="AL356" s="37">
        <f t="shared" si="52"/>
        <v>60385.603575131063</v>
      </c>
      <c r="AM356" s="37">
        <f t="shared" si="53"/>
        <v>62197.171682385015</v>
      </c>
      <c r="AN356" s="37">
        <f t="shared" si="54"/>
        <v>62405.486905950049</v>
      </c>
      <c r="AO356" s="37">
        <f t="shared" si="55"/>
        <v>0</v>
      </c>
    </row>
    <row r="357" spans="1:41" hidden="1" x14ac:dyDescent="0.3">
      <c r="A357" t="str">
        <f t="shared" si="47"/>
        <v>417jul</v>
      </c>
      <c r="B357" t="str">
        <f t="shared" si="48"/>
        <v>PATIO DESIGN CENTER FAIR PLAYjul</v>
      </c>
      <c r="C357" s="1" t="s">
        <v>79</v>
      </c>
      <c r="D357" s="1" t="s">
        <v>54</v>
      </c>
      <c r="E357" s="1">
        <v>417</v>
      </c>
      <c r="F357" s="1" t="s">
        <v>120</v>
      </c>
      <c r="G357" s="1" t="s">
        <v>119</v>
      </c>
      <c r="H357" s="1" t="s">
        <v>119</v>
      </c>
      <c r="I357" s="1" t="s">
        <v>127</v>
      </c>
      <c r="J357" s="1" t="s">
        <v>131</v>
      </c>
      <c r="K357" t="s">
        <v>86</v>
      </c>
      <c r="L357" s="6">
        <v>75729.7</v>
      </c>
      <c r="M357" s="6">
        <v>40117.719999999979</v>
      </c>
      <c r="N357" s="6">
        <v>88204.229999999981</v>
      </c>
      <c r="O357" s="6">
        <v>48264.399999999972</v>
      </c>
      <c r="P357" s="6">
        <v>74880.978800000026</v>
      </c>
      <c r="Q357" s="6">
        <v>41144.54454000001</v>
      </c>
      <c r="R357" s="6">
        <v>65428.229999999938</v>
      </c>
      <c r="S357" s="6">
        <v>36118.920000000006</v>
      </c>
      <c r="T357" s="6">
        <v>65428.23000000001</v>
      </c>
      <c r="U357" s="6">
        <v>36118.92000000002</v>
      </c>
      <c r="V357" s="30">
        <v>66736.794600000008</v>
      </c>
      <c r="W357" s="30">
        <v>36841.298400000022</v>
      </c>
      <c r="X357" s="30">
        <v>70407.318303000007</v>
      </c>
      <c r="Y357" s="30">
        <v>37385.500366094784</v>
      </c>
      <c r="Z357" s="30">
        <v>0</v>
      </c>
      <c r="AA357" s="30">
        <v>0</v>
      </c>
      <c r="AB357" s="34">
        <v>0.89211339804594536</v>
      </c>
      <c r="AC357" s="34">
        <v>0.95497092775944137</v>
      </c>
      <c r="AD357" s="34">
        <v>0.95113699392448792</v>
      </c>
      <c r="AE357" s="34">
        <v>0.95113699392448792</v>
      </c>
      <c r="AF357" s="34">
        <v>0.95113699392448792</v>
      </c>
      <c r="AG357" s="34">
        <v>0.9</v>
      </c>
      <c r="AH357" s="34">
        <v>0</v>
      </c>
      <c r="AI357" s="37">
        <f t="shared" si="49"/>
        <v>67559.480000000025</v>
      </c>
      <c r="AJ357" s="37">
        <f t="shared" si="50"/>
        <v>84232.475355407136</v>
      </c>
      <c r="AK357" s="37">
        <f t="shared" si="51"/>
        <v>62231.210000000006</v>
      </c>
      <c r="AL357" s="37">
        <f t="shared" si="52"/>
        <v>62231.209999999941</v>
      </c>
      <c r="AM357" s="37">
        <f t="shared" si="53"/>
        <v>63475.834200000005</v>
      </c>
      <c r="AN357" s="37">
        <f t="shared" si="54"/>
        <v>63366.586472700008</v>
      </c>
      <c r="AO357" s="37">
        <f t="shared" si="55"/>
        <v>0</v>
      </c>
    </row>
    <row r="358" spans="1:41" hidden="1" x14ac:dyDescent="0.3">
      <c r="A358" t="str">
        <f t="shared" si="47"/>
        <v>417ago</v>
      </c>
      <c r="B358" t="str">
        <f t="shared" si="48"/>
        <v>PATIO DESIGN CENTER FAIR PLAYago</v>
      </c>
      <c r="C358" s="1" t="s">
        <v>79</v>
      </c>
      <c r="D358" s="1" t="s">
        <v>54</v>
      </c>
      <c r="E358" s="1">
        <v>417</v>
      </c>
      <c r="F358" s="1" t="s">
        <v>120</v>
      </c>
      <c r="G358" s="1" t="s">
        <v>119</v>
      </c>
      <c r="H358" s="1" t="s">
        <v>119</v>
      </c>
      <c r="I358" s="1" t="s">
        <v>127</v>
      </c>
      <c r="J358" s="1" t="s">
        <v>131</v>
      </c>
      <c r="K358" t="s">
        <v>87</v>
      </c>
      <c r="L358" s="6">
        <v>174693.19000000003</v>
      </c>
      <c r="M358" s="6">
        <v>72507.480000000025</v>
      </c>
      <c r="N358" s="6">
        <v>110699.69999999998</v>
      </c>
      <c r="O358" s="6">
        <v>47495.669999999976</v>
      </c>
      <c r="P358" s="6">
        <v>118965.1330000001</v>
      </c>
      <c r="Q358" s="6">
        <v>52148.097562500043</v>
      </c>
      <c r="R358" s="6">
        <v>120475.10119295075</v>
      </c>
      <c r="S358" s="6">
        <v>52811.465358941896</v>
      </c>
      <c r="T358" s="6">
        <v>142959.53999999992</v>
      </c>
      <c r="U358" s="6">
        <v>63882.269999999888</v>
      </c>
      <c r="V358" s="30">
        <v>142959.54000000015</v>
      </c>
      <c r="W358" s="30">
        <v>62667.743954400074</v>
      </c>
      <c r="X358" s="30">
        <v>150107.51700000017</v>
      </c>
      <c r="Y358" s="30">
        <v>67652.206984359698</v>
      </c>
      <c r="Z358" s="30">
        <v>0</v>
      </c>
      <c r="AA358" s="30">
        <v>0</v>
      </c>
      <c r="AB358" s="34">
        <v>0.41475486251066906</v>
      </c>
      <c r="AC358" s="34">
        <v>0.37294594536343351</v>
      </c>
      <c r="AD358" s="34">
        <v>0.4075625872886825</v>
      </c>
      <c r="AE358" s="34">
        <v>0.32000000000000006</v>
      </c>
      <c r="AF358" s="34">
        <v>0.32000000000000006</v>
      </c>
      <c r="AG358" s="34">
        <v>0.40000000000000008</v>
      </c>
      <c r="AH358" s="34">
        <v>0</v>
      </c>
      <c r="AI358" s="37">
        <f t="shared" si="49"/>
        <v>72454.850000000195</v>
      </c>
      <c r="AJ358" s="37">
        <f t="shared" si="50"/>
        <v>41285.004267948476</v>
      </c>
      <c r="AK358" s="37">
        <f t="shared" si="51"/>
        <v>58264.959999999868</v>
      </c>
      <c r="AL358" s="37">
        <f t="shared" si="52"/>
        <v>38552.032381744248</v>
      </c>
      <c r="AM358" s="37">
        <f t="shared" si="53"/>
        <v>45747.052800000056</v>
      </c>
      <c r="AN358" s="37">
        <f t="shared" si="54"/>
        <v>60043.006800000076</v>
      </c>
      <c r="AO358" s="37">
        <f t="shared" si="55"/>
        <v>0</v>
      </c>
    </row>
    <row r="359" spans="1:41" hidden="1" x14ac:dyDescent="0.3">
      <c r="A359" t="str">
        <f t="shared" si="47"/>
        <v>417sep</v>
      </c>
      <c r="B359" t="str">
        <f t="shared" si="48"/>
        <v>PATIO DESIGN CENTER FAIR PLAYsep</v>
      </c>
      <c r="C359" s="1" t="s">
        <v>79</v>
      </c>
      <c r="D359" s="1" t="s">
        <v>54</v>
      </c>
      <c r="E359" s="1">
        <v>417</v>
      </c>
      <c r="F359" s="1" t="s">
        <v>120</v>
      </c>
      <c r="G359" s="1" t="s">
        <v>119</v>
      </c>
      <c r="H359" s="1" t="s">
        <v>119</v>
      </c>
      <c r="I359" s="1" t="s">
        <v>127</v>
      </c>
      <c r="J359" s="1" t="s">
        <v>131</v>
      </c>
      <c r="K359" t="s">
        <v>88</v>
      </c>
      <c r="L359" s="6">
        <v>58730.400000000001</v>
      </c>
      <c r="M359" s="6">
        <v>30138.720000000008</v>
      </c>
      <c r="N359" s="6">
        <v>42022.380000000005</v>
      </c>
      <c r="O359" s="6">
        <v>20110.039999999994</v>
      </c>
      <c r="P359" s="6">
        <v>69311.993250000014</v>
      </c>
      <c r="Q359" s="6">
        <v>36417.238523000007</v>
      </c>
      <c r="R359" s="6">
        <v>70692.878763521439</v>
      </c>
      <c r="S359" s="6">
        <v>37311.701411386617</v>
      </c>
      <c r="T359" s="6">
        <v>59805.989999999983</v>
      </c>
      <c r="U359" s="6">
        <v>32162.159999999974</v>
      </c>
      <c r="V359" s="30">
        <v>66384.648899999986</v>
      </c>
      <c r="W359" s="30">
        <v>35699.997599999973</v>
      </c>
      <c r="X359" s="30">
        <v>69703.881344999987</v>
      </c>
      <c r="Y359" s="30">
        <v>36788.102200866539</v>
      </c>
      <c r="Z359" s="30">
        <v>0</v>
      </c>
      <c r="AA359" s="30">
        <v>0</v>
      </c>
      <c r="AB359" s="34">
        <v>0.76384666203533447</v>
      </c>
      <c r="AC359" s="34">
        <v>0.66340251804407002</v>
      </c>
      <c r="AD359" s="34">
        <v>0.90346736171410225</v>
      </c>
      <c r="AE359" s="34">
        <v>0.8</v>
      </c>
      <c r="AF359" s="34">
        <v>0.8</v>
      </c>
      <c r="AG359" s="34">
        <v>0.87999999999999989</v>
      </c>
      <c r="AH359" s="34">
        <v>0</v>
      </c>
      <c r="AI359" s="37">
        <f t="shared" si="49"/>
        <v>44861.020000000011</v>
      </c>
      <c r="AJ359" s="37">
        <f t="shared" si="50"/>
        <v>27877.75270620477</v>
      </c>
      <c r="AK359" s="37">
        <f t="shared" si="51"/>
        <v>54032.759999999966</v>
      </c>
      <c r="AL359" s="37">
        <f t="shared" si="52"/>
        <v>56554.303010817152</v>
      </c>
      <c r="AM359" s="37">
        <f t="shared" si="53"/>
        <v>53107.719119999994</v>
      </c>
      <c r="AN359" s="37">
        <f t="shared" si="54"/>
        <v>61339.415583599985</v>
      </c>
      <c r="AO359" s="37">
        <f t="shared" si="55"/>
        <v>0</v>
      </c>
    </row>
    <row r="360" spans="1:41" hidden="1" x14ac:dyDescent="0.3">
      <c r="A360" t="str">
        <f t="shared" si="47"/>
        <v>417oct</v>
      </c>
      <c r="B360" t="str">
        <f t="shared" si="48"/>
        <v>PATIO DESIGN CENTER FAIR PLAYoct</v>
      </c>
      <c r="C360" s="1" t="s">
        <v>79</v>
      </c>
      <c r="D360" s="1" t="s">
        <v>54</v>
      </c>
      <c r="E360" s="1">
        <v>417</v>
      </c>
      <c r="F360" s="1" t="s">
        <v>120</v>
      </c>
      <c r="G360" s="1" t="s">
        <v>119</v>
      </c>
      <c r="H360" s="1" t="s">
        <v>119</v>
      </c>
      <c r="I360" s="1" t="s">
        <v>127</v>
      </c>
      <c r="J360" s="1" t="s">
        <v>131</v>
      </c>
      <c r="K360" t="s">
        <v>89</v>
      </c>
      <c r="L360" s="6">
        <v>46473.48</v>
      </c>
      <c r="M360" s="6">
        <v>23765.259999999995</v>
      </c>
      <c r="N360" s="6">
        <v>50542.01999999999</v>
      </c>
      <c r="O360" s="6">
        <v>27381.159999999989</v>
      </c>
      <c r="P360" s="6">
        <v>72071.518149999989</v>
      </c>
      <c r="Q360" s="6">
        <v>39488.586778500008</v>
      </c>
      <c r="R360" s="6">
        <v>73507.380988222896</v>
      </c>
      <c r="S360" s="6">
        <v>39870.403448012104</v>
      </c>
      <c r="T360" s="6">
        <v>48312.750000000116</v>
      </c>
      <c r="U360" s="6">
        <v>25717.210000000119</v>
      </c>
      <c r="V360" s="30">
        <v>73507.380988222896</v>
      </c>
      <c r="W360" s="30">
        <v>39870.403448012104</v>
      </c>
      <c r="X360" s="30">
        <v>76447.676227751814</v>
      </c>
      <c r="Y360" s="30">
        <v>40592.863021711368</v>
      </c>
      <c r="Z360" s="30">
        <v>0</v>
      </c>
      <c r="AA360" s="30">
        <v>0</v>
      </c>
      <c r="AB360" s="34">
        <v>0.8495236423009429</v>
      </c>
      <c r="AC360" s="34">
        <v>0.87288899720224333</v>
      </c>
      <c r="AD360" s="34">
        <v>0.83662780528949432</v>
      </c>
      <c r="AE360" s="34">
        <v>0.9</v>
      </c>
      <c r="AF360" s="34">
        <v>0.9</v>
      </c>
      <c r="AG360" s="34">
        <v>0.9</v>
      </c>
      <c r="AH360" s="34">
        <v>0</v>
      </c>
      <c r="AI360" s="37">
        <f t="shared" si="49"/>
        <v>39480.320000000029</v>
      </c>
      <c r="AJ360" s="37">
        <f t="shared" si="50"/>
        <v>44117.573154375721</v>
      </c>
      <c r="AK360" s="37">
        <f t="shared" si="51"/>
        <v>40419.790000000117</v>
      </c>
      <c r="AL360" s="37">
        <f t="shared" si="52"/>
        <v>66156.642889400609</v>
      </c>
      <c r="AM360" s="37">
        <f t="shared" si="53"/>
        <v>66156.642889400609</v>
      </c>
      <c r="AN360" s="37">
        <f t="shared" si="54"/>
        <v>68802.908604976634</v>
      </c>
      <c r="AO360" s="37">
        <f t="shared" si="55"/>
        <v>0</v>
      </c>
    </row>
    <row r="361" spans="1:41" hidden="1" x14ac:dyDescent="0.3">
      <c r="A361" t="str">
        <f t="shared" si="47"/>
        <v>417nov</v>
      </c>
      <c r="B361" t="str">
        <f t="shared" si="48"/>
        <v>PATIO DESIGN CENTER FAIR PLAYnov</v>
      </c>
      <c r="C361" s="1" t="s">
        <v>79</v>
      </c>
      <c r="D361" s="1" t="s">
        <v>54</v>
      </c>
      <c r="E361" s="1">
        <v>417</v>
      </c>
      <c r="F361" s="1" t="s">
        <v>120</v>
      </c>
      <c r="G361" s="1" t="s">
        <v>119</v>
      </c>
      <c r="H361" s="1" t="s">
        <v>119</v>
      </c>
      <c r="I361" s="1" t="s">
        <v>127</v>
      </c>
      <c r="J361" s="1" t="s">
        <v>131</v>
      </c>
      <c r="K361" t="s">
        <v>90</v>
      </c>
      <c r="L361" s="6">
        <v>75486.429999999993</v>
      </c>
      <c r="M361" s="6">
        <v>35604.689999999995</v>
      </c>
      <c r="N361" s="6">
        <v>52174.51999999999</v>
      </c>
      <c r="O361" s="6">
        <v>26600.55999999999</v>
      </c>
      <c r="P361" s="6">
        <v>85395.26080000012</v>
      </c>
      <c r="Q361" s="6">
        <v>42345.323030000058</v>
      </c>
      <c r="R361" s="6">
        <v>86216.805906526512</v>
      </c>
      <c r="S361" s="6">
        <v>42556.615395461486</v>
      </c>
      <c r="T361" s="6">
        <v>39206.6091954023</v>
      </c>
      <c r="U361" s="6">
        <v>14727.938627647678</v>
      </c>
      <c r="V361" s="30">
        <v>86216.805906526512</v>
      </c>
      <c r="W361" s="30">
        <v>42556.615395461486</v>
      </c>
      <c r="X361" s="30">
        <v>90958.73023138546</v>
      </c>
      <c r="Y361" s="30">
        <v>44646.206240079599</v>
      </c>
      <c r="Z361" s="30">
        <v>0</v>
      </c>
      <c r="AA361" s="30">
        <v>0</v>
      </c>
      <c r="AB361" s="34">
        <v>0.45707645731822283</v>
      </c>
      <c r="AC361" s="34">
        <v>0.60336723755984933</v>
      </c>
      <c r="AD361" s="34">
        <v>0.4075625872886825</v>
      </c>
      <c r="AE361" s="34">
        <v>0.6</v>
      </c>
      <c r="AF361" s="34">
        <v>0.6</v>
      </c>
      <c r="AG361" s="34">
        <v>0.65</v>
      </c>
      <c r="AH361" s="34">
        <v>0</v>
      </c>
      <c r="AI361" s="37">
        <f t="shared" si="49"/>
        <v>34503.070000000014</v>
      </c>
      <c r="AJ361" s="37">
        <f t="shared" si="50"/>
        <v>31480.396003411104</v>
      </c>
      <c r="AK361" s="37">
        <f t="shared" si="51"/>
        <v>15979.147082494412</v>
      </c>
      <c r="AL361" s="37">
        <f t="shared" si="52"/>
        <v>51730.083543915905</v>
      </c>
      <c r="AM361" s="37">
        <f t="shared" si="53"/>
        <v>51730.083543915905</v>
      </c>
      <c r="AN361" s="37">
        <f t="shared" si="54"/>
        <v>59123.17465040055</v>
      </c>
      <c r="AO361" s="37">
        <f t="shared" si="55"/>
        <v>0</v>
      </c>
    </row>
    <row r="362" spans="1:41" hidden="1" x14ac:dyDescent="0.3">
      <c r="A362" t="str">
        <f t="shared" si="47"/>
        <v>417dic</v>
      </c>
      <c r="B362" t="str">
        <f t="shared" si="48"/>
        <v>PATIO DESIGN CENTER FAIR PLAYdic</v>
      </c>
      <c r="C362" s="1" t="s">
        <v>79</v>
      </c>
      <c r="D362" s="1" t="s">
        <v>54</v>
      </c>
      <c r="E362" s="1">
        <v>417</v>
      </c>
      <c r="F362" s="1" t="s">
        <v>120</v>
      </c>
      <c r="G362" s="1" t="s">
        <v>119</v>
      </c>
      <c r="H362" s="1" t="s">
        <v>119</v>
      </c>
      <c r="I362" s="1" t="s">
        <v>127</v>
      </c>
      <c r="J362" s="1" t="s">
        <v>131</v>
      </c>
      <c r="K362" t="s">
        <v>91</v>
      </c>
      <c r="L362" s="6">
        <v>192805.33999999997</v>
      </c>
      <c r="M362" s="6">
        <v>94375.389999999985</v>
      </c>
      <c r="N362" s="6">
        <v>130441.87</v>
      </c>
      <c r="O362" s="6">
        <v>69169.37</v>
      </c>
      <c r="P362" s="6">
        <v>133761.43600000037</v>
      </c>
      <c r="Q362" s="6">
        <v>73350.022452500198</v>
      </c>
      <c r="R362" s="6">
        <v>135048.28789503835</v>
      </c>
      <c r="S362" s="6">
        <v>70873.341487316138</v>
      </c>
      <c r="T362" s="6">
        <v>183617.31321839083</v>
      </c>
      <c r="U362" s="6">
        <v>85544.955869606987</v>
      </c>
      <c r="V362" s="30">
        <v>135048.28789503835</v>
      </c>
      <c r="W362" s="30">
        <v>70873.341487316138</v>
      </c>
      <c r="X362" s="30">
        <v>142475.94372926542</v>
      </c>
      <c r="Y362" s="30">
        <v>74509.094699911497</v>
      </c>
      <c r="Z362" s="30">
        <v>0</v>
      </c>
      <c r="AA362" s="30">
        <v>0</v>
      </c>
      <c r="AB362" s="34">
        <v>0.60995691301911137</v>
      </c>
      <c r="AC362" s="34">
        <v>0.80575812075554931</v>
      </c>
      <c r="AD362" s="34">
        <v>0.53161664490828642</v>
      </c>
      <c r="AE362" s="34">
        <v>0.8</v>
      </c>
      <c r="AF362" s="34">
        <v>0.8</v>
      </c>
      <c r="AG362" s="34">
        <v>0.84999999999999987</v>
      </c>
      <c r="AH362" s="34">
        <v>0</v>
      </c>
      <c r="AI362" s="37">
        <f t="shared" si="49"/>
        <v>117602.95000000017</v>
      </c>
      <c r="AJ362" s="37">
        <f t="shared" si="50"/>
        <v>105104.59603903966</v>
      </c>
      <c r="AK362" s="37">
        <f t="shared" si="51"/>
        <v>97614.020000234887</v>
      </c>
      <c r="AL362" s="37">
        <f t="shared" si="52"/>
        <v>108038.63031603069</v>
      </c>
      <c r="AM362" s="37">
        <f t="shared" si="53"/>
        <v>108038.63031603069</v>
      </c>
      <c r="AN362" s="37">
        <f t="shared" si="54"/>
        <v>121104.55216987559</v>
      </c>
      <c r="AO362" s="37">
        <f t="shared" si="55"/>
        <v>0</v>
      </c>
    </row>
    <row r="363" spans="1:41" hidden="1" x14ac:dyDescent="0.3">
      <c r="A363" t="str">
        <f t="shared" si="47"/>
        <v>130ene</v>
      </c>
      <c r="B363" t="str">
        <f t="shared" si="48"/>
        <v>POCITOSene</v>
      </c>
      <c r="C363" s="1" t="s">
        <v>79</v>
      </c>
      <c r="D363" s="1" t="s">
        <v>55</v>
      </c>
      <c r="E363" s="1">
        <v>130</v>
      </c>
      <c r="F363" s="1" t="s">
        <v>122</v>
      </c>
      <c r="G363" s="1" t="s">
        <v>122</v>
      </c>
      <c r="H363" s="1" t="s">
        <v>122</v>
      </c>
      <c r="I363" s="1" t="s">
        <v>126</v>
      </c>
      <c r="J363" s="1" t="s">
        <v>122</v>
      </c>
      <c r="K363" t="s">
        <v>80</v>
      </c>
      <c r="L363" s="6">
        <v>21433.760000000002</v>
      </c>
      <c r="M363" s="6">
        <v>9923.82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4">
        <v>0.46666377913491769</v>
      </c>
      <c r="AC363" s="34">
        <v>0</v>
      </c>
      <c r="AD363" s="34">
        <v>0</v>
      </c>
      <c r="AE363" s="34">
        <v>0</v>
      </c>
      <c r="AF363" s="34">
        <v>0</v>
      </c>
      <c r="AG363" s="34">
        <v>0</v>
      </c>
      <c r="AH363" s="34">
        <v>0</v>
      </c>
      <c r="AI363" s="37">
        <f t="shared" si="49"/>
        <v>10002.359442670835</v>
      </c>
      <c r="AJ363" s="37">
        <f t="shared" si="50"/>
        <v>0</v>
      </c>
      <c r="AK363" s="37">
        <f t="shared" si="51"/>
        <v>0</v>
      </c>
      <c r="AL363" s="37">
        <f t="shared" si="52"/>
        <v>0</v>
      </c>
      <c r="AM363" s="37">
        <f t="shared" si="53"/>
        <v>0</v>
      </c>
      <c r="AN363" s="37">
        <f t="shared" si="54"/>
        <v>0</v>
      </c>
      <c r="AO363" s="37">
        <f t="shared" si="55"/>
        <v>0</v>
      </c>
    </row>
    <row r="364" spans="1:41" hidden="1" x14ac:dyDescent="0.3">
      <c r="A364" t="str">
        <f t="shared" si="47"/>
        <v>130feb</v>
      </c>
      <c r="B364" t="str">
        <f t="shared" si="48"/>
        <v>POCITOSfeb</v>
      </c>
      <c r="C364" s="1" t="s">
        <v>79</v>
      </c>
      <c r="D364" s="1" t="s">
        <v>55</v>
      </c>
      <c r="E364" s="1">
        <v>130</v>
      </c>
      <c r="F364" s="1" t="s">
        <v>122</v>
      </c>
      <c r="G364" s="1" t="s">
        <v>122</v>
      </c>
      <c r="H364" s="1" t="s">
        <v>122</v>
      </c>
      <c r="I364" s="1" t="s">
        <v>126</v>
      </c>
      <c r="J364" s="1" t="s">
        <v>122</v>
      </c>
      <c r="K364" t="s">
        <v>81</v>
      </c>
      <c r="L364" s="6">
        <v>36564.58</v>
      </c>
      <c r="M364" s="6">
        <v>13021.859999999999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4">
        <v>0.280212315957651</v>
      </c>
      <c r="AC364" s="34">
        <v>0</v>
      </c>
      <c r="AD364" s="34">
        <v>0</v>
      </c>
      <c r="AE364" s="34">
        <v>0</v>
      </c>
      <c r="AF364" s="34">
        <v>0</v>
      </c>
      <c r="AG364" s="34">
        <v>0</v>
      </c>
      <c r="AH364" s="34">
        <v>0</v>
      </c>
      <c r="AI364" s="37">
        <f t="shared" si="49"/>
        <v>10245.845643818808</v>
      </c>
      <c r="AJ364" s="37">
        <f t="shared" si="50"/>
        <v>0</v>
      </c>
      <c r="AK364" s="37">
        <f t="shared" si="51"/>
        <v>0</v>
      </c>
      <c r="AL364" s="37">
        <f t="shared" si="52"/>
        <v>0</v>
      </c>
      <c r="AM364" s="37">
        <f t="shared" si="53"/>
        <v>0</v>
      </c>
      <c r="AN364" s="37">
        <f t="shared" si="54"/>
        <v>0</v>
      </c>
      <c r="AO364" s="37">
        <f t="shared" si="55"/>
        <v>0</v>
      </c>
    </row>
    <row r="365" spans="1:41" hidden="1" x14ac:dyDescent="0.3">
      <c r="A365" t="str">
        <f t="shared" si="47"/>
        <v>130mar</v>
      </c>
      <c r="B365" t="str">
        <f t="shared" si="48"/>
        <v>POCITOSmar</v>
      </c>
      <c r="C365" s="1" t="s">
        <v>79</v>
      </c>
      <c r="D365" s="1" t="s">
        <v>55</v>
      </c>
      <c r="E365" s="1">
        <v>130</v>
      </c>
      <c r="F365" s="1" t="s">
        <v>122</v>
      </c>
      <c r="G365" s="1" t="s">
        <v>122</v>
      </c>
      <c r="H365" s="1" t="s">
        <v>122</v>
      </c>
      <c r="I365" s="1" t="s">
        <v>126</v>
      </c>
      <c r="J365" s="1" t="s">
        <v>122</v>
      </c>
      <c r="K365" t="s">
        <v>82</v>
      </c>
      <c r="L365" s="6">
        <v>31746.78</v>
      </c>
      <c r="M365" s="6">
        <v>14141.959999999997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4">
        <v>0.33135084929595443</v>
      </c>
      <c r="AC365" s="34">
        <v>0</v>
      </c>
      <c r="AD365" s="34">
        <v>0</v>
      </c>
      <c r="AE365" s="34">
        <v>0</v>
      </c>
      <c r="AF365" s="34">
        <v>0</v>
      </c>
      <c r="AG365" s="34">
        <v>0</v>
      </c>
      <c r="AH365" s="34">
        <v>0</v>
      </c>
      <c r="AI365" s="37">
        <f t="shared" si="49"/>
        <v>10519.322515411819</v>
      </c>
      <c r="AJ365" s="37">
        <f t="shared" si="50"/>
        <v>0</v>
      </c>
      <c r="AK365" s="37">
        <f t="shared" si="51"/>
        <v>0</v>
      </c>
      <c r="AL365" s="37">
        <f t="shared" si="52"/>
        <v>0</v>
      </c>
      <c r="AM365" s="37">
        <f t="shared" si="53"/>
        <v>0</v>
      </c>
      <c r="AN365" s="37">
        <f t="shared" si="54"/>
        <v>0</v>
      </c>
      <c r="AO365" s="37">
        <f t="shared" si="55"/>
        <v>0</v>
      </c>
    </row>
    <row r="366" spans="1:41" hidden="1" x14ac:dyDescent="0.3">
      <c r="A366" t="str">
        <f t="shared" si="47"/>
        <v>130abr</v>
      </c>
      <c r="B366" t="str">
        <f t="shared" si="48"/>
        <v>POCITOSabr</v>
      </c>
      <c r="C366" s="1" t="s">
        <v>79</v>
      </c>
      <c r="D366" s="1" t="s">
        <v>55</v>
      </c>
      <c r="E366" s="1">
        <v>130</v>
      </c>
      <c r="F366" s="1" t="s">
        <v>122</v>
      </c>
      <c r="G366" s="1" t="s">
        <v>122</v>
      </c>
      <c r="H366" s="1" t="s">
        <v>122</v>
      </c>
      <c r="I366" s="1" t="s">
        <v>126</v>
      </c>
      <c r="J366" s="1" t="s">
        <v>122</v>
      </c>
      <c r="K366" t="s">
        <v>83</v>
      </c>
      <c r="L366" s="6">
        <v>20840.500000000004</v>
      </c>
      <c r="M366" s="6">
        <v>10133.050000000001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4">
        <v>0.53660933079427697</v>
      </c>
      <c r="AC366" s="34">
        <v>0</v>
      </c>
      <c r="AD366" s="34">
        <v>0</v>
      </c>
      <c r="AE366" s="34">
        <v>0</v>
      </c>
      <c r="AF366" s="34">
        <v>0</v>
      </c>
      <c r="AG366" s="34">
        <v>0</v>
      </c>
      <c r="AH366" s="34">
        <v>0</v>
      </c>
      <c r="AI366" s="37">
        <f t="shared" si="49"/>
        <v>11183.206758418131</v>
      </c>
      <c r="AJ366" s="37">
        <f t="shared" si="50"/>
        <v>0</v>
      </c>
      <c r="AK366" s="37">
        <f t="shared" si="51"/>
        <v>0</v>
      </c>
      <c r="AL366" s="37">
        <f t="shared" si="52"/>
        <v>0</v>
      </c>
      <c r="AM366" s="37">
        <f t="shared" si="53"/>
        <v>0</v>
      </c>
      <c r="AN366" s="37">
        <f t="shared" si="54"/>
        <v>0</v>
      </c>
      <c r="AO366" s="37">
        <f t="shared" si="55"/>
        <v>0</v>
      </c>
    </row>
    <row r="367" spans="1:41" hidden="1" x14ac:dyDescent="0.3">
      <c r="A367" t="str">
        <f t="shared" si="47"/>
        <v>130may</v>
      </c>
      <c r="B367" t="str">
        <f t="shared" si="48"/>
        <v>POCITOSmay</v>
      </c>
      <c r="C367" s="1" t="s">
        <v>79</v>
      </c>
      <c r="D367" s="1" t="s">
        <v>55</v>
      </c>
      <c r="E367" s="1">
        <v>130</v>
      </c>
      <c r="F367" s="1" t="s">
        <v>122</v>
      </c>
      <c r="G367" s="1" t="s">
        <v>122</v>
      </c>
      <c r="H367" s="1" t="s">
        <v>122</v>
      </c>
      <c r="I367" s="1" t="s">
        <v>126</v>
      </c>
      <c r="J367" s="1" t="s">
        <v>122</v>
      </c>
      <c r="K367" t="s">
        <v>84</v>
      </c>
      <c r="L367" s="6">
        <v>20273.900000000001</v>
      </c>
      <c r="M367" s="6">
        <v>10083.5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4">
        <v>0.5622312583527117</v>
      </c>
      <c r="AC367" s="34">
        <v>0</v>
      </c>
      <c r="AD367" s="34">
        <v>0</v>
      </c>
      <c r="AE367" s="34">
        <v>0</v>
      </c>
      <c r="AF367" s="34">
        <v>0</v>
      </c>
      <c r="AG367" s="34">
        <v>0</v>
      </c>
      <c r="AH367" s="34">
        <v>0</v>
      </c>
      <c r="AI367" s="37">
        <f t="shared" si="49"/>
        <v>11398.620308717043</v>
      </c>
      <c r="AJ367" s="37">
        <f t="shared" si="50"/>
        <v>0</v>
      </c>
      <c r="AK367" s="37">
        <f t="shared" si="51"/>
        <v>0</v>
      </c>
      <c r="AL367" s="37">
        <f t="shared" si="52"/>
        <v>0</v>
      </c>
      <c r="AM367" s="37">
        <f t="shared" si="53"/>
        <v>0</v>
      </c>
      <c r="AN367" s="37">
        <f t="shared" si="54"/>
        <v>0</v>
      </c>
      <c r="AO367" s="37">
        <f t="shared" si="55"/>
        <v>0</v>
      </c>
    </row>
    <row r="368" spans="1:41" hidden="1" x14ac:dyDescent="0.3">
      <c r="A368" t="str">
        <f t="shared" si="47"/>
        <v>130jun</v>
      </c>
      <c r="B368" t="str">
        <f t="shared" si="48"/>
        <v>POCITOSjun</v>
      </c>
      <c r="C368" s="1" t="s">
        <v>79</v>
      </c>
      <c r="D368" s="1" t="s">
        <v>55</v>
      </c>
      <c r="E368" s="1">
        <v>130</v>
      </c>
      <c r="F368" s="1" t="s">
        <v>122</v>
      </c>
      <c r="G368" s="1" t="s">
        <v>122</v>
      </c>
      <c r="H368" s="1" t="s">
        <v>122</v>
      </c>
      <c r="I368" s="1" t="s">
        <v>126</v>
      </c>
      <c r="J368" s="1" t="s">
        <v>122</v>
      </c>
      <c r="K368" t="s">
        <v>85</v>
      </c>
      <c r="L368" s="6">
        <v>23995.629999999997</v>
      </c>
      <c r="M368" s="6">
        <v>11970.2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4">
        <v>0.45817526041450557</v>
      </c>
      <c r="AC368" s="34">
        <v>0</v>
      </c>
      <c r="AD368" s="34">
        <v>0</v>
      </c>
      <c r="AE368" s="34">
        <v>0</v>
      </c>
      <c r="AF368" s="34">
        <v>0</v>
      </c>
      <c r="AG368" s="34">
        <v>0</v>
      </c>
      <c r="AH368" s="34">
        <v>0</v>
      </c>
      <c r="AI368" s="37">
        <f t="shared" si="49"/>
        <v>10994.204024060122</v>
      </c>
      <c r="AJ368" s="37">
        <f t="shared" si="50"/>
        <v>0</v>
      </c>
      <c r="AK368" s="37">
        <f t="shared" si="51"/>
        <v>0</v>
      </c>
      <c r="AL368" s="37">
        <f t="shared" si="52"/>
        <v>0</v>
      </c>
      <c r="AM368" s="37">
        <f t="shared" si="53"/>
        <v>0</v>
      </c>
      <c r="AN368" s="37">
        <f t="shared" si="54"/>
        <v>0</v>
      </c>
      <c r="AO368" s="37">
        <f t="shared" si="55"/>
        <v>0</v>
      </c>
    </row>
    <row r="369" spans="1:41" hidden="1" x14ac:dyDescent="0.3">
      <c r="A369" t="str">
        <f t="shared" si="47"/>
        <v>130jul</v>
      </c>
      <c r="B369" t="str">
        <f t="shared" si="48"/>
        <v>POCITOSjul</v>
      </c>
      <c r="C369" s="1" t="s">
        <v>79</v>
      </c>
      <c r="D369" s="1" t="s">
        <v>55</v>
      </c>
      <c r="E369" s="1">
        <v>130</v>
      </c>
      <c r="F369" s="1" t="s">
        <v>122</v>
      </c>
      <c r="G369" s="1" t="s">
        <v>122</v>
      </c>
      <c r="H369" s="1" t="s">
        <v>122</v>
      </c>
      <c r="I369" s="1" t="s">
        <v>126</v>
      </c>
      <c r="J369" s="1" t="s">
        <v>122</v>
      </c>
      <c r="K369" t="s">
        <v>86</v>
      </c>
      <c r="L369" s="6">
        <v>16979.869999999995</v>
      </c>
      <c r="M369" s="6">
        <v>8284.7099999999973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4">
        <v>0.51339867785354976</v>
      </c>
      <c r="AC369" s="34">
        <v>0</v>
      </c>
      <c r="AD369" s="34">
        <v>0</v>
      </c>
      <c r="AE369" s="34">
        <v>0</v>
      </c>
      <c r="AF369" s="34">
        <v>0</v>
      </c>
      <c r="AG369" s="34">
        <v>0</v>
      </c>
      <c r="AH369" s="34">
        <v>0</v>
      </c>
      <c r="AI369" s="37">
        <f t="shared" si="49"/>
        <v>8717.4428081251517</v>
      </c>
      <c r="AJ369" s="37">
        <f t="shared" si="50"/>
        <v>0</v>
      </c>
      <c r="AK369" s="37">
        <f t="shared" si="51"/>
        <v>0</v>
      </c>
      <c r="AL369" s="37">
        <f t="shared" si="52"/>
        <v>0</v>
      </c>
      <c r="AM369" s="37">
        <f t="shared" si="53"/>
        <v>0</v>
      </c>
      <c r="AN369" s="37">
        <f t="shared" si="54"/>
        <v>0</v>
      </c>
      <c r="AO369" s="37">
        <f t="shared" si="55"/>
        <v>0</v>
      </c>
    </row>
    <row r="370" spans="1:41" hidden="1" x14ac:dyDescent="0.3">
      <c r="A370" t="str">
        <f t="shared" si="47"/>
        <v>170ene</v>
      </c>
      <c r="B370" t="str">
        <f t="shared" si="48"/>
        <v>POTOSI FPene</v>
      </c>
      <c r="C370" s="1" t="s">
        <v>79</v>
      </c>
      <c r="D370" s="1" t="s">
        <v>56</v>
      </c>
      <c r="E370" s="1">
        <v>170</v>
      </c>
      <c r="F370" s="1" t="s">
        <v>119</v>
      </c>
      <c r="G370" s="1" t="s">
        <v>119</v>
      </c>
      <c r="H370" s="1" t="s">
        <v>119</v>
      </c>
      <c r="I370" s="1" t="s">
        <v>126</v>
      </c>
      <c r="J370" s="1" t="s">
        <v>134</v>
      </c>
      <c r="K370" t="s">
        <v>80</v>
      </c>
      <c r="L370" s="6">
        <v>0</v>
      </c>
      <c r="M370" s="6">
        <v>0</v>
      </c>
      <c r="N370" s="6">
        <v>51010.04</v>
      </c>
      <c r="O370" s="6">
        <v>24230.85</v>
      </c>
      <c r="P370" s="6">
        <v>56300.546416666642</v>
      </c>
      <c r="Q370" s="6">
        <v>26811.821706416653</v>
      </c>
      <c r="R370" s="6">
        <v>48775.35</v>
      </c>
      <c r="S370" s="6">
        <v>24021.730047082307</v>
      </c>
      <c r="T370" s="6">
        <v>48775.349999999991</v>
      </c>
      <c r="U370" s="6">
        <v>24141.539999999979</v>
      </c>
      <c r="V370" s="30">
        <v>56300.546416666642</v>
      </c>
      <c r="W370" s="30">
        <v>27866.163817170222</v>
      </c>
      <c r="X370" s="30">
        <v>60804.590129999982</v>
      </c>
      <c r="Y370" s="30">
        <v>32212.052985796068</v>
      </c>
      <c r="Z370" s="30">
        <v>43109.195402298938</v>
      </c>
      <c r="AA370" s="30">
        <v>24083.072442097811</v>
      </c>
      <c r="AB370" s="34">
        <v>0</v>
      </c>
      <c r="AC370" s="34">
        <v>0.59342380477359269</v>
      </c>
      <c r="AD370" s="34">
        <v>0.70694226044226083</v>
      </c>
      <c r="AE370" s="34">
        <v>0.70694226044226038</v>
      </c>
      <c r="AF370" s="34">
        <v>0.70694226044226038</v>
      </c>
      <c r="AG370" s="34">
        <v>0.88</v>
      </c>
      <c r="AH370" s="34">
        <v>0.97786628449540069</v>
      </c>
      <c r="AI370" s="37">
        <f t="shared" si="49"/>
        <v>0</v>
      </c>
      <c r="AJ370" s="37">
        <f t="shared" si="50"/>
        <v>30270.572018453153</v>
      </c>
      <c r="AK370" s="37">
        <f t="shared" si="51"/>
        <v>34481.356182862422</v>
      </c>
      <c r="AL370" s="37">
        <f t="shared" si="52"/>
        <v>34481.356182862401</v>
      </c>
      <c r="AM370" s="37">
        <f t="shared" si="53"/>
        <v>39801.235547932716</v>
      </c>
      <c r="AN370" s="37">
        <f t="shared" si="54"/>
        <v>53508.039314399983</v>
      </c>
      <c r="AO370" s="37">
        <f t="shared" si="55"/>
        <v>42155.028735632273</v>
      </c>
    </row>
    <row r="371" spans="1:41" hidden="1" x14ac:dyDescent="0.3">
      <c r="A371" t="str">
        <f t="shared" si="47"/>
        <v>170feb</v>
      </c>
      <c r="B371" t="str">
        <f t="shared" si="48"/>
        <v>POTOSI FPfeb</v>
      </c>
      <c r="C371" s="1" t="s">
        <v>79</v>
      </c>
      <c r="D371" s="1" t="s">
        <v>56</v>
      </c>
      <c r="E371" s="1">
        <v>170</v>
      </c>
      <c r="F371" s="1" t="s">
        <v>119</v>
      </c>
      <c r="G371" s="1" t="s">
        <v>119</v>
      </c>
      <c r="H371" s="1" t="s">
        <v>119</v>
      </c>
      <c r="I371" s="1" t="s">
        <v>126</v>
      </c>
      <c r="J371" s="1" t="s">
        <v>134</v>
      </c>
      <c r="K371" t="s">
        <v>81</v>
      </c>
      <c r="L371" s="6">
        <v>0</v>
      </c>
      <c r="M371" s="6">
        <v>0</v>
      </c>
      <c r="N371" s="6">
        <v>64752.009999999995</v>
      </c>
      <c r="O371" s="6">
        <v>25946.249999999996</v>
      </c>
      <c r="P371" s="6">
        <v>87509.340899999981</v>
      </c>
      <c r="Q371" s="6">
        <v>33594.722495999995</v>
      </c>
      <c r="R371" s="6">
        <v>86227.339999999953</v>
      </c>
      <c r="S371" s="6">
        <v>35327.407982898083</v>
      </c>
      <c r="T371" s="6">
        <v>86227.339999999909</v>
      </c>
      <c r="U371" s="6">
        <v>35313.909999999945</v>
      </c>
      <c r="V371" s="30">
        <v>87509.340899999981</v>
      </c>
      <c r="W371" s="30">
        <v>35838.946077913533</v>
      </c>
      <c r="X371" s="30">
        <v>91009.714535999985</v>
      </c>
      <c r="Y371" s="30">
        <v>39637.135164993364</v>
      </c>
      <c r="Z371" s="30">
        <v>83088.936781609213</v>
      </c>
      <c r="AA371" s="30">
        <v>38300.960459047921</v>
      </c>
      <c r="AB371" s="34">
        <v>0</v>
      </c>
      <c r="AC371" s="34">
        <v>0.4020080886188368</v>
      </c>
      <c r="AD371" s="34">
        <v>0.27908399015962532</v>
      </c>
      <c r="AE371" s="34">
        <v>0.27908399015962509</v>
      </c>
      <c r="AF371" s="34">
        <v>0.27908399015962509</v>
      </c>
      <c r="AG371" s="34">
        <v>0.4</v>
      </c>
      <c r="AH371" s="34">
        <v>0.4501823451190472</v>
      </c>
      <c r="AI371" s="37">
        <f t="shared" si="49"/>
        <v>0</v>
      </c>
      <c r="AJ371" s="37">
        <f t="shared" si="50"/>
        <v>26030.831774327806</v>
      </c>
      <c r="AK371" s="37">
        <f t="shared" si="51"/>
        <v>24064.670108050643</v>
      </c>
      <c r="AL371" s="37">
        <f t="shared" si="52"/>
        <v>24064.670108050635</v>
      </c>
      <c r="AM371" s="37">
        <f t="shared" si="53"/>
        <v>24422.456034610874</v>
      </c>
      <c r="AN371" s="37">
        <f t="shared" si="54"/>
        <v>36403.885814399997</v>
      </c>
      <c r="AO371" s="37">
        <f t="shared" si="55"/>
        <v>37405.172413793094</v>
      </c>
    </row>
    <row r="372" spans="1:41" hidden="1" x14ac:dyDescent="0.3">
      <c r="A372" t="str">
        <f t="shared" si="47"/>
        <v>170mar</v>
      </c>
      <c r="B372" t="str">
        <f t="shared" si="48"/>
        <v>POTOSI FPmar</v>
      </c>
      <c r="C372" s="1" t="s">
        <v>79</v>
      </c>
      <c r="D372" s="1" t="s">
        <v>56</v>
      </c>
      <c r="E372" s="1">
        <v>170</v>
      </c>
      <c r="F372" s="1" t="s">
        <v>119</v>
      </c>
      <c r="G372" s="1" t="s">
        <v>119</v>
      </c>
      <c r="H372" s="1" t="s">
        <v>119</v>
      </c>
      <c r="I372" s="1" t="s">
        <v>126</v>
      </c>
      <c r="J372" s="1" t="s">
        <v>134</v>
      </c>
      <c r="K372" t="s">
        <v>82</v>
      </c>
      <c r="L372" s="6">
        <v>0</v>
      </c>
      <c r="M372" s="6">
        <v>0</v>
      </c>
      <c r="N372" s="6">
        <v>79433.39</v>
      </c>
      <c r="O372" s="6">
        <v>31586.390000000003</v>
      </c>
      <c r="P372" s="6">
        <v>62308.933319999989</v>
      </c>
      <c r="Q372" s="6">
        <v>27560.171034200001</v>
      </c>
      <c r="R372" s="6">
        <v>70847.560000000056</v>
      </c>
      <c r="S372" s="6">
        <v>34178.133996602446</v>
      </c>
      <c r="T372" s="6">
        <v>70847.560000000056</v>
      </c>
      <c r="U372" s="6">
        <v>34109.720000000081</v>
      </c>
      <c r="V372" s="30">
        <v>70847.560000000201</v>
      </c>
      <c r="W372" s="30">
        <v>34109.720000000154</v>
      </c>
      <c r="X372" s="30">
        <v>74744.175800000216</v>
      </c>
      <c r="Y372" s="30">
        <v>39156.507201228407</v>
      </c>
      <c r="Z372" s="30">
        <v>88136.426313545206</v>
      </c>
      <c r="AA372" s="30">
        <v>45302.123125162238</v>
      </c>
      <c r="AB372" s="34">
        <v>0</v>
      </c>
      <c r="AC372" s="34">
        <v>0.33726154512196921</v>
      </c>
      <c r="AD372" s="34">
        <v>0.53397814644009844</v>
      </c>
      <c r="AE372" s="34">
        <v>0.53397814644009678</v>
      </c>
      <c r="AF372" s="34">
        <v>0.53397814644009678</v>
      </c>
      <c r="AG372" s="34">
        <v>0.85</v>
      </c>
      <c r="AH372" s="34">
        <v>0.74017822168555891</v>
      </c>
      <c r="AI372" s="37">
        <f t="shared" si="49"/>
        <v>0</v>
      </c>
      <c r="AJ372" s="37">
        <f t="shared" si="50"/>
        <v>26789.827845675976</v>
      </c>
      <c r="AK372" s="37">
        <f t="shared" si="51"/>
        <v>37831.048768603694</v>
      </c>
      <c r="AL372" s="37">
        <f t="shared" si="52"/>
        <v>37831.04876860357</v>
      </c>
      <c r="AM372" s="37">
        <f t="shared" si="53"/>
        <v>37831.04876860365</v>
      </c>
      <c r="AN372" s="37">
        <f t="shared" si="54"/>
        <v>63532.549430000181</v>
      </c>
      <c r="AO372" s="37">
        <f t="shared" si="55"/>
        <v>65236.66329448019</v>
      </c>
    </row>
    <row r="373" spans="1:41" hidden="1" x14ac:dyDescent="0.3">
      <c r="A373" t="str">
        <f t="shared" si="47"/>
        <v>170abr</v>
      </c>
      <c r="B373" t="str">
        <f t="shared" si="48"/>
        <v>POTOSI FPabr</v>
      </c>
      <c r="C373" s="1" t="s">
        <v>79</v>
      </c>
      <c r="D373" s="1" t="s">
        <v>56</v>
      </c>
      <c r="E373" s="1">
        <v>170</v>
      </c>
      <c r="F373" s="1" t="s">
        <v>119</v>
      </c>
      <c r="G373" s="1" t="s">
        <v>119</v>
      </c>
      <c r="H373" s="1" t="s">
        <v>119</v>
      </c>
      <c r="I373" s="1" t="s">
        <v>126</v>
      </c>
      <c r="J373" s="1" t="s">
        <v>134</v>
      </c>
      <c r="K373" t="s">
        <v>83</v>
      </c>
      <c r="L373" s="6">
        <v>0</v>
      </c>
      <c r="M373" s="6">
        <v>0</v>
      </c>
      <c r="N373" s="6">
        <v>51291.139999999992</v>
      </c>
      <c r="O373" s="6">
        <v>25515.05999999999</v>
      </c>
      <c r="P373" s="6">
        <v>53203.52643000002</v>
      </c>
      <c r="Q373" s="6">
        <v>26865.786830550009</v>
      </c>
      <c r="R373" s="6">
        <v>66866.120000000083</v>
      </c>
      <c r="S373" s="6">
        <v>33147.890859511768</v>
      </c>
      <c r="T373" s="6">
        <v>66866.120000000083</v>
      </c>
      <c r="U373" s="6">
        <v>32916.040000000088</v>
      </c>
      <c r="V373" s="30">
        <v>66866.120000000155</v>
      </c>
      <c r="W373" s="30">
        <v>32916.040000000125</v>
      </c>
      <c r="X373" s="30">
        <v>72215.409600000174</v>
      </c>
      <c r="Y373" s="30">
        <v>38257.088740385407</v>
      </c>
      <c r="Z373" s="30">
        <v>0</v>
      </c>
      <c r="AA373" s="30">
        <v>0</v>
      </c>
      <c r="AB373" s="34">
        <v>0</v>
      </c>
      <c r="AC373" s="34">
        <v>0.6591840736556086</v>
      </c>
      <c r="AD373" s="34">
        <v>0.67637877844930427</v>
      </c>
      <c r="AE373" s="34">
        <v>0.67637877844930427</v>
      </c>
      <c r="AF373" s="34">
        <v>0.67637877844930427</v>
      </c>
      <c r="AG373" s="34">
        <v>0.88</v>
      </c>
      <c r="AH373" s="34">
        <v>0</v>
      </c>
      <c r="AI373" s="37">
        <f t="shared" si="49"/>
        <v>0</v>
      </c>
      <c r="AJ373" s="37">
        <f t="shared" si="50"/>
        <v>33810.302607640129</v>
      </c>
      <c r="AK373" s="37">
        <f t="shared" si="51"/>
        <v>45226.824565244649</v>
      </c>
      <c r="AL373" s="37">
        <f t="shared" si="52"/>
        <v>45226.824565244649</v>
      </c>
      <c r="AM373" s="37">
        <f t="shared" si="53"/>
        <v>45226.8245652447</v>
      </c>
      <c r="AN373" s="37">
        <f t="shared" si="54"/>
        <v>63549.560448000157</v>
      </c>
      <c r="AO373" s="37">
        <f t="shared" si="55"/>
        <v>0</v>
      </c>
    </row>
    <row r="374" spans="1:41" hidden="1" x14ac:dyDescent="0.3">
      <c r="A374" t="str">
        <f t="shared" si="47"/>
        <v>170may</v>
      </c>
      <c r="B374" t="str">
        <f t="shared" si="48"/>
        <v>POTOSI FPmay</v>
      </c>
      <c r="C374" s="1" t="s">
        <v>79</v>
      </c>
      <c r="D374" s="1" t="s">
        <v>56</v>
      </c>
      <c r="E374" s="1">
        <v>170</v>
      </c>
      <c r="F374" s="1" t="s">
        <v>119</v>
      </c>
      <c r="G374" s="1" t="s">
        <v>119</v>
      </c>
      <c r="H374" s="1" t="s">
        <v>119</v>
      </c>
      <c r="I374" s="1" t="s">
        <v>126</v>
      </c>
      <c r="J374" s="1" t="s">
        <v>134</v>
      </c>
      <c r="K374" t="s">
        <v>84</v>
      </c>
      <c r="L374" s="6">
        <v>0</v>
      </c>
      <c r="M374" s="6">
        <v>0</v>
      </c>
      <c r="N374" s="6">
        <v>53737.510000000009</v>
      </c>
      <c r="O374" s="6">
        <v>26808.83</v>
      </c>
      <c r="P374" s="6">
        <v>59194.319149999981</v>
      </c>
      <c r="Q374" s="6">
        <v>27600.006316499992</v>
      </c>
      <c r="R374" s="6">
        <v>64396.21</v>
      </c>
      <c r="S374" s="6">
        <v>33346.477360307712</v>
      </c>
      <c r="T374" s="6">
        <v>64396.210000000028</v>
      </c>
      <c r="U374" s="6">
        <v>33104.00999999998</v>
      </c>
      <c r="V374" s="30">
        <v>64396.210000000028</v>
      </c>
      <c r="W374" s="30">
        <v>33104.00999999998</v>
      </c>
      <c r="X374" s="30">
        <v>69547.906800000041</v>
      </c>
      <c r="Y374" s="30">
        <v>36843.943098754484</v>
      </c>
      <c r="Z374" s="30">
        <v>0</v>
      </c>
      <c r="AA374" s="30">
        <v>0</v>
      </c>
      <c r="AB374" s="34">
        <v>0</v>
      </c>
      <c r="AC374" s="34">
        <v>0.68020973286266406</v>
      </c>
      <c r="AD374" s="34">
        <v>0.76537494830435182</v>
      </c>
      <c r="AE374" s="34">
        <v>0.76537494830435193</v>
      </c>
      <c r="AF374" s="34">
        <v>0.76537494830435193</v>
      </c>
      <c r="AG374" s="34">
        <v>0.88</v>
      </c>
      <c r="AH374" s="34">
        <v>0</v>
      </c>
      <c r="AI374" s="37">
        <f t="shared" si="49"/>
        <v>0</v>
      </c>
      <c r="AJ374" s="37">
        <f t="shared" si="50"/>
        <v>36552.777321804744</v>
      </c>
      <c r="AK374" s="37">
        <f t="shared" si="51"/>
        <v>49287.245899746202</v>
      </c>
      <c r="AL374" s="37">
        <f t="shared" si="52"/>
        <v>49287.245899746187</v>
      </c>
      <c r="AM374" s="37">
        <f t="shared" si="53"/>
        <v>49287.245899746209</v>
      </c>
      <c r="AN374" s="37">
        <f t="shared" si="54"/>
        <v>61202.157984000034</v>
      </c>
      <c r="AO374" s="37">
        <f t="shared" si="55"/>
        <v>0</v>
      </c>
    </row>
    <row r="375" spans="1:41" hidden="1" x14ac:dyDescent="0.3">
      <c r="A375" t="str">
        <f t="shared" si="47"/>
        <v>170jun</v>
      </c>
      <c r="B375" t="str">
        <f t="shared" si="48"/>
        <v>POTOSI FPjun</v>
      </c>
      <c r="C375" s="1" t="s">
        <v>79</v>
      </c>
      <c r="D375" s="1" t="s">
        <v>56</v>
      </c>
      <c r="E375" s="1">
        <v>170</v>
      </c>
      <c r="F375" s="1" t="s">
        <v>119</v>
      </c>
      <c r="G375" s="1" t="s">
        <v>119</v>
      </c>
      <c r="H375" s="1" t="s">
        <v>119</v>
      </c>
      <c r="I375" s="1" t="s">
        <v>126</v>
      </c>
      <c r="J375" s="1" t="s">
        <v>134</v>
      </c>
      <c r="K375" t="s">
        <v>85</v>
      </c>
      <c r="L375" s="6">
        <v>0</v>
      </c>
      <c r="M375" s="6">
        <v>0</v>
      </c>
      <c r="N375" s="6">
        <v>44356.710000000006</v>
      </c>
      <c r="O375" s="6">
        <v>21910.409999999996</v>
      </c>
      <c r="P375" s="6">
        <v>52286.935849999994</v>
      </c>
      <c r="Q375" s="6">
        <v>26267.056105999993</v>
      </c>
      <c r="R375" s="6">
        <v>50646.979999999923</v>
      </c>
      <c r="S375" s="6">
        <v>26547.809999999998</v>
      </c>
      <c r="T375" s="6">
        <v>50646.979999999938</v>
      </c>
      <c r="U375" s="6">
        <v>26547.80999999995</v>
      </c>
      <c r="V375" s="30">
        <v>50646.979999999952</v>
      </c>
      <c r="W375" s="30">
        <v>26547.809999999954</v>
      </c>
      <c r="X375" s="30">
        <v>54698.738399999951</v>
      </c>
      <c r="Y375" s="30">
        <v>28977.395552374186</v>
      </c>
      <c r="Z375" s="30">
        <v>0</v>
      </c>
      <c r="AA375" s="30">
        <v>0</v>
      </c>
      <c r="AB375" s="34">
        <v>0</v>
      </c>
      <c r="AC375" s="34">
        <v>0.66335681860013473</v>
      </c>
      <c r="AD375" s="34">
        <v>0.80447679210093104</v>
      </c>
      <c r="AE375" s="34">
        <v>0.80447679210093115</v>
      </c>
      <c r="AF375" s="34">
        <v>0.80447679210093115</v>
      </c>
      <c r="AG375" s="34">
        <v>0.88</v>
      </c>
      <c r="AH375" s="34">
        <v>0</v>
      </c>
      <c r="AI375" s="37">
        <f t="shared" si="49"/>
        <v>0</v>
      </c>
      <c r="AJ375" s="37">
        <f t="shared" si="50"/>
        <v>29424.326029168787</v>
      </c>
      <c r="AK375" s="37">
        <f t="shared" si="51"/>
        <v>40744.319999999963</v>
      </c>
      <c r="AL375" s="37">
        <f t="shared" si="52"/>
        <v>40744.319999999956</v>
      </c>
      <c r="AM375" s="37">
        <f t="shared" si="53"/>
        <v>40744.319999999978</v>
      </c>
      <c r="AN375" s="37">
        <f t="shared" si="54"/>
        <v>48134.889791999958</v>
      </c>
      <c r="AO375" s="37">
        <f t="shared" si="55"/>
        <v>0</v>
      </c>
    </row>
    <row r="376" spans="1:41" hidden="1" x14ac:dyDescent="0.3">
      <c r="A376" t="str">
        <f t="shared" si="47"/>
        <v>170jul</v>
      </c>
      <c r="B376" t="str">
        <f t="shared" si="48"/>
        <v>POTOSI FPjul</v>
      </c>
      <c r="C376" s="1" t="s">
        <v>79</v>
      </c>
      <c r="D376" s="1" t="s">
        <v>56</v>
      </c>
      <c r="E376" s="1">
        <v>170</v>
      </c>
      <c r="F376" s="1" t="s">
        <v>119</v>
      </c>
      <c r="G376" s="1" t="s">
        <v>119</v>
      </c>
      <c r="H376" s="1" t="s">
        <v>119</v>
      </c>
      <c r="I376" s="1" t="s">
        <v>126</v>
      </c>
      <c r="J376" s="1" t="s">
        <v>134</v>
      </c>
      <c r="K376" t="s">
        <v>86</v>
      </c>
      <c r="L376" s="6">
        <v>0</v>
      </c>
      <c r="M376" s="6">
        <v>0</v>
      </c>
      <c r="N376" s="6">
        <v>63092.6</v>
      </c>
      <c r="O376" s="6">
        <v>31570.89</v>
      </c>
      <c r="P376" s="6">
        <v>56141.934899999978</v>
      </c>
      <c r="Q376" s="6">
        <v>28754.946488999991</v>
      </c>
      <c r="R376" s="6">
        <v>55693.669999999969</v>
      </c>
      <c r="S376" s="6">
        <v>29296.49999999992</v>
      </c>
      <c r="T376" s="6">
        <v>55693.670000000006</v>
      </c>
      <c r="U376" s="6">
        <v>29296.500000000011</v>
      </c>
      <c r="V376" s="30">
        <v>55693.670000000049</v>
      </c>
      <c r="W376" s="30">
        <v>29296.500000000036</v>
      </c>
      <c r="X376" s="30">
        <v>60149.163600000044</v>
      </c>
      <c r="Y376" s="30">
        <v>31864.831927854306</v>
      </c>
      <c r="Z376" s="30">
        <v>0</v>
      </c>
      <c r="AA376" s="30">
        <v>0</v>
      </c>
      <c r="AB376" s="34">
        <v>0</v>
      </c>
      <c r="AC376" s="34">
        <v>0.69085363463374105</v>
      </c>
      <c r="AD376" s="34">
        <v>0.82476859578476314</v>
      </c>
      <c r="AE376" s="34">
        <v>0.82476859578476314</v>
      </c>
      <c r="AF376" s="34">
        <v>0.82476859578476314</v>
      </c>
      <c r="AG376" s="34">
        <v>0.88</v>
      </c>
      <c r="AH376" s="34">
        <v>0</v>
      </c>
      <c r="AI376" s="37">
        <f t="shared" si="49"/>
        <v>0</v>
      </c>
      <c r="AJ376" s="37">
        <f t="shared" si="50"/>
        <v>43587.752028492767</v>
      </c>
      <c r="AK376" s="37">
        <f t="shared" si="51"/>
        <v>45934.389999999992</v>
      </c>
      <c r="AL376" s="37">
        <f t="shared" si="52"/>
        <v>45934.389999999963</v>
      </c>
      <c r="AM376" s="37">
        <f t="shared" si="53"/>
        <v>45934.390000000029</v>
      </c>
      <c r="AN376" s="37">
        <f t="shared" si="54"/>
        <v>52931.263968000036</v>
      </c>
      <c r="AO376" s="37">
        <f t="shared" si="55"/>
        <v>0</v>
      </c>
    </row>
    <row r="377" spans="1:41" hidden="1" x14ac:dyDescent="0.3">
      <c r="A377" t="str">
        <f t="shared" si="47"/>
        <v>170ago</v>
      </c>
      <c r="B377" t="str">
        <f t="shared" si="48"/>
        <v>POTOSI FPago</v>
      </c>
      <c r="C377" s="1" t="s">
        <v>79</v>
      </c>
      <c r="D377" s="1" t="s">
        <v>56</v>
      </c>
      <c r="E377" s="1">
        <v>170</v>
      </c>
      <c r="F377" s="1" t="s">
        <v>119</v>
      </c>
      <c r="G377" s="1" t="s">
        <v>119</v>
      </c>
      <c r="H377" s="1" t="s">
        <v>119</v>
      </c>
      <c r="I377" s="1" t="s">
        <v>126</v>
      </c>
      <c r="J377" s="1" t="s">
        <v>134</v>
      </c>
      <c r="K377" t="s">
        <v>87</v>
      </c>
      <c r="L377" s="6">
        <v>0</v>
      </c>
      <c r="M377" s="6">
        <v>0</v>
      </c>
      <c r="N377" s="6">
        <v>100350.15</v>
      </c>
      <c r="O377" s="6">
        <v>38082.12999999999</v>
      </c>
      <c r="P377" s="6">
        <v>102039.73232</v>
      </c>
      <c r="Q377" s="6">
        <v>39581.825223399996</v>
      </c>
      <c r="R377" s="6">
        <v>92961.286692306327</v>
      </c>
      <c r="S377" s="6">
        <v>38802.041065368663</v>
      </c>
      <c r="T377" s="6">
        <v>136201.94</v>
      </c>
      <c r="U377" s="6">
        <v>58214.97000000003</v>
      </c>
      <c r="V377" s="30">
        <v>136201.94000000018</v>
      </c>
      <c r="W377" s="30">
        <v>56850.68975600008</v>
      </c>
      <c r="X377" s="30">
        <v>141650.0176000002</v>
      </c>
      <c r="Y377" s="30">
        <v>61692.32507057226</v>
      </c>
      <c r="Z377" s="30">
        <v>0</v>
      </c>
      <c r="AA377" s="30">
        <v>0</v>
      </c>
      <c r="AB377" s="34">
        <v>0</v>
      </c>
      <c r="AC377" s="34">
        <v>0.28639037451220278</v>
      </c>
      <c r="AD377" s="34">
        <v>0.40117644432964827</v>
      </c>
      <c r="AE377" s="34">
        <v>0.32</v>
      </c>
      <c r="AF377" s="34">
        <v>0.32</v>
      </c>
      <c r="AG377" s="34">
        <v>0.4</v>
      </c>
      <c r="AH377" s="34">
        <v>0</v>
      </c>
      <c r="AI377" s="37">
        <f t="shared" si="49"/>
        <v>0</v>
      </c>
      <c r="AJ377" s="37">
        <f t="shared" si="50"/>
        <v>28739.317040855723</v>
      </c>
      <c r="AK377" s="37">
        <f t="shared" si="51"/>
        <v>54641.010000000097</v>
      </c>
      <c r="AL377" s="37">
        <f t="shared" si="52"/>
        <v>29747.611741538025</v>
      </c>
      <c r="AM377" s="37">
        <f t="shared" si="53"/>
        <v>43584.620800000055</v>
      </c>
      <c r="AN377" s="37">
        <f t="shared" si="54"/>
        <v>56660.007040000084</v>
      </c>
      <c r="AO377" s="37">
        <f t="shared" si="55"/>
        <v>0</v>
      </c>
    </row>
    <row r="378" spans="1:41" hidden="1" x14ac:dyDescent="0.3">
      <c r="A378" t="str">
        <f t="shared" si="47"/>
        <v>170sep</v>
      </c>
      <c r="B378" t="str">
        <f t="shared" si="48"/>
        <v>POTOSI FPsep</v>
      </c>
      <c r="C378" s="1" t="s">
        <v>79</v>
      </c>
      <c r="D378" s="1" t="s">
        <v>56</v>
      </c>
      <c r="E378" s="1">
        <v>170</v>
      </c>
      <c r="F378" s="1" t="s">
        <v>119</v>
      </c>
      <c r="G378" s="1" t="s">
        <v>119</v>
      </c>
      <c r="H378" s="1" t="s">
        <v>119</v>
      </c>
      <c r="I378" s="1" t="s">
        <v>126</v>
      </c>
      <c r="J378" s="1" t="s">
        <v>134</v>
      </c>
      <c r="K378" t="s">
        <v>88</v>
      </c>
      <c r="L378" s="6">
        <v>0</v>
      </c>
      <c r="M378" s="6">
        <v>0</v>
      </c>
      <c r="N378" s="6">
        <v>58295.69</v>
      </c>
      <c r="O378" s="6">
        <v>27825.18</v>
      </c>
      <c r="P378" s="6">
        <v>53203.622780000012</v>
      </c>
      <c r="Q378" s="6">
        <v>27317.647947100009</v>
      </c>
      <c r="R378" s="6">
        <v>55624.387616490014</v>
      </c>
      <c r="S378" s="6">
        <v>27945.692338524586</v>
      </c>
      <c r="T378" s="6">
        <v>48305.099999999977</v>
      </c>
      <c r="U378" s="6">
        <v>24972.959999999963</v>
      </c>
      <c r="V378" s="30">
        <v>48305.099999999977</v>
      </c>
      <c r="W378" s="30">
        <v>24972.959999999963</v>
      </c>
      <c r="X378" s="30">
        <v>51203.405999999974</v>
      </c>
      <c r="Y378" s="30">
        <v>26824.117254717468</v>
      </c>
      <c r="Z378" s="30">
        <v>0</v>
      </c>
      <c r="AA378" s="30">
        <v>0</v>
      </c>
      <c r="AB378" s="34">
        <v>0</v>
      </c>
      <c r="AC378" s="34">
        <v>0.59858826916313201</v>
      </c>
      <c r="AD378" s="34">
        <v>0.82070423205831278</v>
      </c>
      <c r="AE378" s="34">
        <v>0.7</v>
      </c>
      <c r="AF378" s="34">
        <v>0.7</v>
      </c>
      <c r="AG378" s="34">
        <v>0.85000000000000009</v>
      </c>
      <c r="AH378" s="34">
        <v>0</v>
      </c>
      <c r="AI378" s="37">
        <f t="shared" si="49"/>
        <v>0</v>
      </c>
      <c r="AJ378" s="37">
        <f t="shared" si="50"/>
        <v>34895.116176770505</v>
      </c>
      <c r="AK378" s="37">
        <f t="shared" si="51"/>
        <v>39644.199999999983</v>
      </c>
      <c r="AL378" s="37">
        <f t="shared" si="52"/>
        <v>38937.071331543004</v>
      </c>
      <c r="AM378" s="37">
        <f t="shared" si="53"/>
        <v>33813.569999999985</v>
      </c>
      <c r="AN378" s="37">
        <f t="shared" si="54"/>
        <v>43522.89509999998</v>
      </c>
      <c r="AO378" s="37">
        <f t="shared" si="55"/>
        <v>0</v>
      </c>
    </row>
    <row r="379" spans="1:41" hidden="1" x14ac:dyDescent="0.3">
      <c r="A379" t="str">
        <f t="shared" si="47"/>
        <v>170oct</v>
      </c>
      <c r="B379" t="str">
        <f t="shared" si="48"/>
        <v>POTOSI FPoct</v>
      </c>
      <c r="C379" s="1" t="s">
        <v>79</v>
      </c>
      <c r="D379" s="1" t="s">
        <v>56</v>
      </c>
      <c r="E379" s="1">
        <v>170</v>
      </c>
      <c r="F379" s="1" t="s">
        <v>119</v>
      </c>
      <c r="G379" s="1" t="s">
        <v>119</v>
      </c>
      <c r="H379" s="1" t="s">
        <v>119</v>
      </c>
      <c r="I379" s="1" t="s">
        <v>126</v>
      </c>
      <c r="J379" s="1" t="s">
        <v>134</v>
      </c>
      <c r="K379" t="s">
        <v>89</v>
      </c>
      <c r="L379" s="6">
        <v>0</v>
      </c>
      <c r="M379" s="6">
        <v>0</v>
      </c>
      <c r="N379" s="6">
        <v>56877.069999999992</v>
      </c>
      <c r="O379" s="6">
        <v>27862.879999999994</v>
      </c>
      <c r="P379" s="6">
        <v>56133.646874999991</v>
      </c>
      <c r="Q379" s="6">
        <v>28971.414827625002</v>
      </c>
      <c r="R379" s="6">
        <v>54660.138644531246</v>
      </c>
      <c r="S379" s="6">
        <v>28510.728316987494</v>
      </c>
      <c r="T379" s="6">
        <v>63166.03000000005</v>
      </c>
      <c r="U379" s="6">
        <v>33035.240000000063</v>
      </c>
      <c r="V379" s="30">
        <v>63166.030000000013</v>
      </c>
      <c r="W379" s="30">
        <v>32947.401248000002</v>
      </c>
      <c r="X379" s="30">
        <v>69482.633000000016</v>
      </c>
      <c r="Y379" s="30">
        <v>36809.363421468785</v>
      </c>
      <c r="Z379" s="30">
        <v>0</v>
      </c>
      <c r="AA379" s="30">
        <v>0</v>
      </c>
      <c r="AB379" s="34">
        <v>0</v>
      </c>
      <c r="AC379" s="34">
        <v>0.67623029469849749</v>
      </c>
      <c r="AD379" s="34">
        <v>0.69418325007919679</v>
      </c>
      <c r="AE379" s="34">
        <v>0.8</v>
      </c>
      <c r="AF379" s="34">
        <v>0.8</v>
      </c>
      <c r="AG379" s="34">
        <v>0.88</v>
      </c>
      <c r="AH379" s="34">
        <v>0</v>
      </c>
      <c r="AI379" s="37">
        <f t="shared" si="49"/>
        <v>0</v>
      </c>
      <c r="AJ379" s="37">
        <f t="shared" si="50"/>
        <v>38461.997807687068</v>
      </c>
      <c r="AK379" s="37">
        <f t="shared" si="51"/>
        <v>43848.800000000083</v>
      </c>
      <c r="AL379" s="37">
        <f t="shared" si="52"/>
        <v>43728.110915625002</v>
      </c>
      <c r="AM379" s="37">
        <f t="shared" si="53"/>
        <v>50532.824000000015</v>
      </c>
      <c r="AN379" s="37">
        <f t="shared" si="54"/>
        <v>61144.717040000018</v>
      </c>
      <c r="AO379" s="37">
        <f t="shared" si="55"/>
        <v>0</v>
      </c>
    </row>
    <row r="380" spans="1:41" hidden="1" x14ac:dyDescent="0.3">
      <c r="A380" t="str">
        <f t="shared" si="47"/>
        <v>170nov</v>
      </c>
      <c r="B380" t="str">
        <f t="shared" si="48"/>
        <v>POTOSI FPnov</v>
      </c>
      <c r="C380" s="1" t="s">
        <v>79</v>
      </c>
      <c r="D380" s="1" t="s">
        <v>56</v>
      </c>
      <c r="E380" s="1">
        <v>170</v>
      </c>
      <c r="F380" s="1" t="s">
        <v>119</v>
      </c>
      <c r="G380" s="1" t="s">
        <v>119</v>
      </c>
      <c r="H380" s="1" t="s">
        <v>119</v>
      </c>
      <c r="I380" s="1" t="s">
        <v>126</v>
      </c>
      <c r="J380" s="1" t="s">
        <v>134</v>
      </c>
      <c r="K380" t="s">
        <v>90</v>
      </c>
      <c r="L380" s="6">
        <v>0</v>
      </c>
      <c r="M380" s="6">
        <v>0</v>
      </c>
      <c r="N380" s="6">
        <v>59420.969999999987</v>
      </c>
      <c r="O380" s="6">
        <v>28634.01</v>
      </c>
      <c r="P380" s="6">
        <v>75193.114125000066</v>
      </c>
      <c r="Q380" s="6">
        <v>33947.888708375023</v>
      </c>
      <c r="R380" s="6">
        <v>78614.40081768758</v>
      </c>
      <c r="S380" s="6">
        <v>36555.696380224726</v>
      </c>
      <c r="T380" s="6">
        <v>103380.31609195402</v>
      </c>
      <c r="U380" s="6">
        <v>42005.907938733202</v>
      </c>
      <c r="V380" s="30">
        <v>98211.300287356324</v>
      </c>
      <c r="W380" s="30">
        <v>45668.254633620694</v>
      </c>
      <c r="X380" s="30">
        <v>108032.43031609195</v>
      </c>
      <c r="Y380" s="30">
        <v>51292.919987868809</v>
      </c>
      <c r="Z380" s="30">
        <v>0</v>
      </c>
      <c r="AA380" s="30">
        <v>0</v>
      </c>
      <c r="AB380" s="34">
        <v>0</v>
      </c>
      <c r="AC380" s="34">
        <v>0.51780033703374595</v>
      </c>
      <c r="AD380" s="34">
        <v>0.40117644432964827</v>
      </c>
      <c r="AE380" s="34">
        <v>0.5</v>
      </c>
      <c r="AF380" s="34">
        <v>0.5</v>
      </c>
      <c r="AG380" s="34">
        <v>0.6</v>
      </c>
      <c r="AH380" s="34">
        <v>0</v>
      </c>
      <c r="AI380" s="37">
        <f t="shared" si="49"/>
        <v>0</v>
      </c>
      <c r="AJ380" s="37">
        <f t="shared" si="50"/>
        <v>30768.198292872101</v>
      </c>
      <c r="AK380" s="37">
        <f t="shared" si="51"/>
        <v>41473.747623445233</v>
      </c>
      <c r="AL380" s="37">
        <f t="shared" si="52"/>
        <v>39307.20040884379</v>
      </c>
      <c r="AM380" s="37">
        <f t="shared" si="53"/>
        <v>49105.650143678162</v>
      </c>
      <c r="AN380" s="37">
        <f t="shared" si="54"/>
        <v>64819.458189655168</v>
      </c>
      <c r="AO380" s="37">
        <f t="shared" si="55"/>
        <v>0</v>
      </c>
    </row>
    <row r="381" spans="1:41" hidden="1" x14ac:dyDescent="0.3">
      <c r="A381" t="str">
        <f t="shared" si="47"/>
        <v>170dic</v>
      </c>
      <c r="B381" t="str">
        <f t="shared" si="48"/>
        <v>POTOSI FPdic</v>
      </c>
      <c r="C381" s="1" t="s">
        <v>79</v>
      </c>
      <c r="D381" s="1" t="s">
        <v>56</v>
      </c>
      <c r="E381" s="1">
        <v>170</v>
      </c>
      <c r="F381" s="1" t="s">
        <v>119</v>
      </c>
      <c r="G381" s="1" t="s">
        <v>119</v>
      </c>
      <c r="H381" s="1" t="s">
        <v>119</v>
      </c>
      <c r="I381" s="1" t="s">
        <v>126</v>
      </c>
      <c r="J381" s="1" t="s">
        <v>134</v>
      </c>
      <c r="K381" t="s">
        <v>91</v>
      </c>
      <c r="L381" s="6">
        <v>0</v>
      </c>
      <c r="M381" s="6">
        <v>0</v>
      </c>
      <c r="N381" s="6">
        <v>151874.21</v>
      </c>
      <c r="O381" s="6">
        <v>77457.069999999978</v>
      </c>
      <c r="P381" s="6">
        <v>153117.5835000001</v>
      </c>
      <c r="Q381" s="6">
        <v>80126.651692500047</v>
      </c>
      <c r="R381" s="6">
        <v>158514.9783183751</v>
      </c>
      <c r="S381" s="6">
        <v>78781.944224232429</v>
      </c>
      <c r="T381" s="6">
        <v>130660.05747126436</v>
      </c>
      <c r="U381" s="6">
        <v>64047.410116071704</v>
      </c>
      <c r="V381" s="30">
        <v>158514.9783183751</v>
      </c>
      <c r="W381" s="30">
        <v>78781.944224232429</v>
      </c>
      <c r="X381" s="30">
        <v>174366.47615021258</v>
      </c>
      <c r="Y381" s="30">
        <v>91346.009317137999</v>
      </c>
      <c r="Z381" s="30">
        <v>0</v>
      </c>
      <c r="AA381" s="30">
        <v>0</v>
      </c>
      <c r="AB381" s="34">
        <v>0</v>
      </c>
      <c r="AC381" s="34">
        <v>0.67077617871540307</v>
      </c>
      <c r="AD381" s="34">
        <v>0.53397814644009844</v>
      </c>
      <c r="AE381" s="34">
        <v>0.65</v>
      </c>
      <c r="AF381" s="34">
        <v>0.65</v>
      </c>
      <c r="AG381" s="34">
        <v>0.85000000000000009</v>
      </c>
      <c r="AH381" s="34">
        <v>0</v>
      </c>
      <c r="AI381" s="37">
        <f t="shared" si="49"/>
        <v>0</v>
      </c>
      <c r="AJ381" s="37">
        <f t="shared" si="50"/>
        <v>101873.60222922065</v>
      </c>
      <c r="AK381" s="37">
        <f t="shared" si="51"/>
        <v>69769.615302262479</v>
      </c>
      <c r="AL381" s="37">
        <f t="shared" si="52"/>
        <v>103034.73590694382</v>
      </c>
      <c r="AM381" s="37">
        <f t="shared" si="53"/>
        <v>103034.73590694382</v>
      </c>
      <c r="AN381" s="37">
        <f t="shared" si="54"/>
        <v>148211.5047276807</v>
      </c>
      <c r="AO381" s="37">
        <f t="shared" si="55"/>
        <v>0</v>
      </c>
    </row>
    <row r="382" spans="1:41" hidden="1" x14ac:dyDescent="0.3">
      <c r="A382" t="str">
        <f t="shared" si="47"/>
        <v>406ene</v>
      </c>
      <c r="B382" t="str">
        <f t="shared" si="48"/>
        <v>POZOSene</v>
      </c>
      <c r="C382" s="1" t="s">
        <v>79</v>
      </c>
      <c r="D382" s="1" t="s">
        <v>57</v>
      </c>
      <c r="E382" s="1">
        <v>406</v>
      </c>
      <c r="F382" s="1" t="s">
        <v>119</v>
      </c>
      <c r="G382" s="1" t="s">
        <v>120</v>
      </c>
      <c r="H382" s="1" t="s">
        <v>119</v>
      </c>
      <c r="I382" s="1" t="s">
        <v>127</v>
      </c>
      <c r="J382" s="1" t="s">
        <v>129</v>
      </c>
      <c r="K382" t="s">
        <v>80</v>
      </c>
      <c r="L382" s="6">
        <v>24187.770000000004</v>
      </c>
      <c r="M382" s="6">
        <v>10730.149999999998</v>
      </c>
      <c r="N382" s="6">
        <v>17813.77</v>
      </c>
      <c r="O382" s="6">
        <v>8064.74</v>
      </c>
      <c r="P382" s="6">
        <v>20300.387649999997</v>
      </c>
      <c r="Q382" s="6">
        <v>8970.5214432499997</v>
      </c>
      <c r="R382" s="6">
        <v>13855.250000000004</v>
      </c>
      <c r="S382" s="6">
        <v>5652.4683367202797</v>
      </c>
      <c r="T382" s="6">
        <v>13855.249999999996</v>
      </c>
      <c r="U382" s="6">
        <v>5942.7599999999984</v>
      </c>
      <c r="V382" s="30">
        <v>20300.387649999997</v>
      </c>
      <c r="W382" s="30">
        <v>8707.1927039146885</v>
      </c>
      <c r="X382" s="30">
        <v>20300.387649999997</v>
      </c>
      <c r="Y382" s="30">
        <v>9963.0942217422125</v>
      </c>
      <c r="Z382" s="30">
        <v>14318.965517241384</v>
      </c>
      <c r="AA382" s="30">
        <v>7713.8118182552653</v>
      </c>
      <c r="AB382" s="34">
        <v>0.50413659465093363</v>
      </c>
      <c r="AC382" s="34">
        <v>0.49314363938375022</v>
      </c>
      <c r="AD382" s="34">
        <v>0.46809999423498244</v>
      </c>
      <c r="AE382" s="34">
        <v>0.46809999423498211</v>
      </c>
      <c r="AF382" s="34">
        <v>0.46809999423498211</v>
      </c>
      <c r="AG382" s="34">
        <v>0.7</v>
      </c>
      <c r="AH382" s="34">
        <v>0.90347180413405581</v>
      </c>
      <c r="AI382" s="37">
        <f t="shared" si="49"/>
        <v>12193.940000000015</v>
      </c>
      <c r="AJ382" s="37">
        <f t="shared" si="50"/>
        <v>8784.747368945069</v>
      </c>
      <c r="AK382" s="37">
        <f t="shared" si="51"/>
        <v>6485.6424451242392</v>
      </c>
      <c r="AL382" s="37">
        <f t="shared" si="52"/>
        <v>6485.6424451242374</v>
      </c>
      <c r="AM382" s="37">
        <f t="shared" si="53"/>
        <v>9502.6113419329013</v>
      </c>
      <c r="AN382" s="37">
        <f t="shared" si="54"/>
        <v>14210.271354999997</v>
      </c>
      <c r="AO382" s="37">
        <f t="shared" si="55"/>
        <v>12936.781609195406</v>
      </c>
    </row>
    <row r="383" spans="1:41" hidden="1" x14ac:dyDescent="0.3">
      <c r="A383" t="str">
        <f t="shared" si="47"/>
        <v>406feb</v>
      </c>
      <c r="B383" t="str">
        <f t="shared" si="48"/>
        <v>POZOSfeb</v>
      </c>
      <c r="C383" s="1" t="s">
        <v>79</v>
      </c>
      <c r="D383" s="1" t="s">
        <v>57</v>
      </c>
      <c r="E383" s="1">
        <v>406</v>
      </c>
      <c r="F383" s="1" t="s">
        <v>119</v>
      </c>
      <c r="G383" s="1" t="s">
        <v>120</v>
      </c>
      <c r="H383" s="1" t="s">
        <v>119</v>
      </c>
      <c r="I383" s="1" t="s">
        <v>127</v>
      </c>
      <c r="J383" s="1" t="s">
        <v>129</v>
      </c>
      <c r="K383" t="s">
        <v>81</v>
      </c>
      <c r="L383" s="6">
        <v>52842</v>
      </c>
      <c r="M383" s="6">
        <v>19004.740000000002</v>
      </c>
      <c r="N383" s="6">
        <v>21274.239999999998</v>
      </c>
      <c r="O383" s="6">
        <v>8038.3299999999981</v>
      </c>
      <c r="P383" s="6">
        <v>33228.583199999979</v>
      </c>
      <c r="Q383" s="6">
        <v>10605.491746499994</v>
      </c>
      <c r="R383" s="6">
        <v>21961.199999999983</v>
      </c>
      <c r="S383" s="6">
        <v>7349.8156036774462</v>
      </c>
      <c r="T383" s="6">
        <v>21961.199999999983</v>
      </c>
      <c r="U383" s="6">
        <v>7444.4499999999789</v>
      </c>
      <c r="V383" s="30">
        <v>33228.583199999979</v>
      </c>
      <c r="W383" s="30">
        <v>11263.889323135318</v>
      </c>
      <c r="X383" s="30">
        <v>33228.583199999979</v>
      </c>
      <c r="Y383" s="30">
        <v>13893.304146440354</v>
      </c>
      <c r="Z383" s="30">
        <v>22781.465517241399</v>
      </c>
      <c r="AA383" s="30">
        <v>9683.7366757757118</v>
      </c>
      <c r="AB383" s="34">
        <v>0.22937322584308012</v>
      </c>
      <c r="AC383" s="34">
        <v>0.29301959541739248</v>
      </c>
      <c r="AD383" s="34">
        <v>0.14893816208650121</v>
      </c>
      <c r="AE383" s="34">
        <v>0.14893816208650124</v>
      </c>
      <c r="AF383" s="34">
        <v>0.14893816208650124</v>
      </c>
      <c r="AG383" s="34">
        <v>0.39</v>
      </c>
      <c r="AH383" s="34">
        <v>0.29244634489369886</v>
      </c>
      <c r="AI383" s="37">
        <f t="shared" si="49"/>
        <v>12120.540000000039</v>
      </c>
      <c r="AJ383" s="37">
        <f t="shared" si="50"/>
        <v>6233.769197612507</v>
      </c>
      <c r="AK383" s="37">
        <f t="shared" si="51"/>
        <v>3270.8607652140677</v>
      </c>
      <c r="AL383" s="37">
        <f t="shared" si="52"/>
        <v>3270.8607652140681</v>
      </c>
      <c r="AM383" s="37">
        <f t="shared" si="53"/>
        <v>4949.0041105463888</v>
      </c>
      <c r="AN383" s="37">
        <f t="shared" si="54"/>
        <v>12959.147447999992</v>
      </c>
      <c r="AO383" s="37">
        <f t="shared" si="55"/>
        <v>6662.3563218390855</v>
      </c>
    </row>
    <row r="384" spans="1:41" hidden="1" x14ac:dyDescent="0.3">
      <c r="A384" t="str">
        <f t="shared" si="47"/>
        <v>406mar</v>
      </c>
      <c r="B384" t="str">
        <f t="shared" si="48"/>
        <v>POZOSmar</v>
      </c>
      <c r="C384" s="1" t="s">
        <v>79</v>
      </c>
      <c r="D384" s="1" t="s">
        <v>57</v>
      </c>
      <c r="E384" s="1">
        <v>406</v>
      </c>
      <c r="F384" s="1" t="s">
        <v>119</v>
      </c>
      <c r="G384" s="1" t="s">
        <v>120</v>
      </c>
      <c r="H384" s="1" t="s">
        <v>119</v>
      </c>
      <c r="I384" s="1" t="s">
        <v>127</v>
      </c>
      <c r="J384" s="1" t="s">
        <v>129</v>
      </c>
      <c r="K384" t="s">
        <v>82</v>
      </c>
      <c r="L384" s="6">
        <v>35848.950000000004</v>
      </c>
      <c r="M384" s="6">
        <v>15487.060000000001</v>
      </c>
      <c r="N384" s="6">
        <v>33473.99</v>
      </c>
      <c r="O384" s="6">
        <v>11013.849999999999</v>
      </c>
      <c r="P384" s="6">
        <v>21623.977749999998</v>
      </c>
      <c r="Q384" s="6">
        <v>7698.2071037499991</v>
      </c>
      <c r="R384" s="6">
        <v>21277.160000000003</v>
      </c>
      <c r="S384" s="6">
        <v>8896.9345703098334</v>
      </c>
      <c r="T384" s="6">
        <v>21277.159999999996</v>
      </c>
      <c r="U384" s="6">
        <v>9008.159999999998</v>
      </c>
      <c r="V384" s="30">
        <v>21277.160000000011</v>
      </c>
      <c r="W384" s="30">
        <v>9008.1600000000035</v>
      </c>
      <c r="X384" s="30">
        <v>10638.580000000005</v>
      </c>
      <c r="Y384" s="30">
        <v>5171.36090513419</v>
      </c>
      <c r="Z384" s="30">
        <v>9253.7843248043228</v>
      </c>
      <c r="AA384" s="30">
        <v>4228.9794364355757</v>
      </c>
      <c r="AB384" s="34">
        <v>0.36281229994183933</v>
      </c>
      <c r="AC384" s="34">
        <v>0.1982963735339339</v>
      </c>
      <c r="AD384" s="34">
        <v>0.40216723540678284</v>
      </c>
      <c r="AE384" s="34">
        <v>0.40216723540678267</v>
      </c>
      <c r="AF384" s="34">
        <v>0.40216723540678267</v>
      </c>
      <c r="AG384" s="34">
        <v>0.68000000000000016</v>
      </c>
      <c r="AH384" s="34">
        <v>0.50901933717158798</v>
      </c>
      <c r="AI384" s="37">
        <f t="shared" si="49"/>
        <v>13006.440000000002</v>
      </c>
      <c r="AJ384" s="37">
        <f t="shared" si="50"/>
        <v>6637.7708247111677</v>
      </c>
      <c r="AK384" s="37">
        <f t="shared" si="51"/>
        <v>8556.9766145077829</v>
      </c>
      <c r="AL384" s="37">
        <f t="shared" si="52"/>
        <v>8556.9766145077811</v>
      </c>
      <c r="AM384" s="37">
        <f t="shared" si="53"/>
        <v>8556.9766145077847</v>
      </c>
      <c r="AN384" s="37">
        <f t="shared" si="54"/>
        <v>7234.2344000000057</v>
      </c>
      <c r="AO384" s="37">
        <f t="shared" si="55"/>
        <v>4710.3551633407269</v>
      </c>
    </row>
    <row r="385" spans="1:41" hidden="1" x14ac:dyDescent="0.3">
      <c r="A385" t="str">
        <f t="shared" si="47"/>
        <v>406abr</v>
      </c>
      <c r="B385" t="str">
        <f t="shared" si="48"/>
        <v>POZOSabr</v>
      </c>
      <c r="C385" s="1" t="s">
        <v>79</v>
      </c>
      <c r="D385" s="1" t="s">
        <v>57</v>
      </c>
      <c r="E385" s="1">
        <v>406</v>
      </c>
      <c r="F385" s="1" t="s">
        <v>119</v>
      </c>
      <c r="G385" s="1" t="s">
        <v>120</v>
      </c>
      <c r="H385" s="1" t="s">
        <v>119</v>
      </c>
      <c r="I385" s="1" t="s">
        <v>127</v>
      </c>
      <c r="J385" s="1" t="s">
        <v>129</v>
      </c>
      <c r="K385" t="s">
        <v>83</v>
      </c>
      <c r="L385" s="6">
        <v>29283.17</v>
      </c>
      <c r="M385" s="6">
        <v>14018.729999999998</v>
      </c>
      <c r="N385" s="6">
        <v>15001.33</v>
      </c>
      <c r="O385" s="6">
        <v>6322.6200000000008</v>
      </c>
      <c r="P385" s="6">
        <v>22245.522749999989</v>
      </c>
      <c r="Q385" s="6">
        <v>9115.6231147499966</v>
      </c>
      <c r="R385" s="6">
        <v>17232.180000000004</v>
      </c>
      <c r="S385" s="6">
        <v>7666.3199999999943</v>
      </c>
      <c r="T385" s="6">
        <v>17232.180000000008</v>
      </c>
      <c r="U385" s="6">
        <v>7666.320000000007</v>
      </c>
      <c r="V385" s="30">
        <v>17232.180000000015</v>
      </c>
      <c r="W385" s="30">
        <v>7666.3200000000106</v>
      </c>
      <c r="X385" s="30">
        <v>0</v>
      </c>
      <c r="Y385" s="30">
        <v>0</v>
      </c>
      <c r="Z385" s="30">
        <v>0</v>
      </c>
      <c r="AA385" s="30">
        <v>0</v>
      </c>
      <c r="AB385" s="34">
        <v>0.53721506244030348</v>
      </c>
      <c r="AC385" s="34">
        <v>0.38191809194499204</v>
      </c>
      <c r="AD385" s="34">
        <v>0.50693934255561446</v>
      </c>
      <c r="AE385" s="34">
        <v>0.50693934255561413</v>
      </c>
      <c r="AF385" s="34">
        <v>0.50693934255561413</v>
      </c>
      <c r="AG385" s="34">
        <v>0</v>
      </c>
      <c r="AH385" s="34">
        <v>0</v>
      </c>
      <c r="AI385" s="37">
        <f t="shared" si="49"/>
        <v>15731.360000000021</v>
      </c>
      <c r="AJ385" s="37">
        <f t="shared" si="50"/>
        <v>5729.2793302371674</v>
      </c>
      <c r="AK385" s="37">
        <f t="shared" si="51"/>
        <v>8735.6700000000128</v>
      </c>
      <c r="AL385" s="37">
        <f t="shared" si="52"/>
        <v>8735.6700000000037</v>
      </c>
      <c r="AM385" s="37">
        <f t="shared" si="53"/>
        <v>8735.670000000011</v>
      </c>
      <c r="AN385" s="37">
        <f t="shared" si="54"/>
        <v>0</v>
      </c>
      <c r="AO385" s="37">
        <f t="shared" si="55"/>
        <v>0</v>
      </c>
    </row>
    <row r="386" spans="1:41" hidden="1" x14ac:dyDescent="0.3">
      <c r="A386" t="str">
        <f t="shared" si="47"/>
        <v>406may</v>
      </c>
      <c r="B386" t="str">
        <f t="shared" si="48"/>
        <v>POZOSmay</v>
      </c>
      <c r="C386" s="1" t="s">
        <v>79</v>
      </c>
      <c r="D386" s="1" t="s">
        <v>57</v>
      </c>
      <c r="E386" s="1">
        <v>406</v>
      </c>
      <c r="F386" s="1" t="s">
        <v>119</v>
      </c>
      <c r="G386" s="1" t="s">
        <v>120</v>
      </c>
      <c r="H386" s="1" t="s">
        <v>119</v>
      </c>
      <c r="I386" s="1" t="s">
        <v>127</v>
      </c>
      <c r="J386" s="1" t="s">
        <v>129</v>
      </c>
      <c r="K386" t="s">
        <v>84</v>
      </c>
      <c r="L386" s="6">
        <v>26131.389999999992</v>
      </c>
      <c r="M386" s="6">
        <v>12242.339999999997</v>
      </c>
      <c r="N386" s="6">
        <v>17410.680000000004</v>
      </c>
      <c r="O386" s="6">
        <v>7706.8000000000011</v>
      </c>
      <c r="P386" s="6">
        <v>21528.850299999995</v>
      </c>
      <c r="Q386" s="6">
        <v>8583.043459499997</v>
      </c>
      <c r="R386" s="6">
        <v>15017.42</v>
      </c>
      <c r="S386" s="6">
        <v>7062.03</v>
      </c>
      <c r="T386" s="6">
        <v>15017.419999999995</v>
      </c>
      <c r="U386" s="6">
        <v>7062.0299999999916</v>
      </c>
      <c r="V386" s="30">
        <v>15017.419999999995</v>
      </c>
      <c r="W386" s="30">
        <v>7062.0299999999916</v>
      </c>
      <c r="X386" s="30">
        <v>20588.398387096764</v>
      </c>
      <c r="Y386" s="30">
        <v>10104.445124002867</v>
      </c>
      <c r="Z386" s="30">
        <v>0</v>
      </c>
      <c r="AA386" s="30">
        <v>0</v>
      </c>
      <c r="AB386" s="34">
        <v>0.5245706409035269</v>
      </c>
      <c r="AC386" s="34">
        <v>0.44114443949708282</v>
      </c>
      <c r="AD386" s="34">
        <v>0.5786433355396603</v>
      </c>
      <c r="AE386" s="34">
        <v>0.57864333553965996</v>
      </c>
      <c r="AF386" s="34">
        <v>0.57864333553965996</v>
      </c>
      <c r="AG386" s="34">
        <v>0.70000000000000007</v>
      </c>
      <c r="AH386" s="34">
        <v>0</v>
      </c>
      <c r="AI386" s="37">
        <f t="shared" si="49"/>
        <v>13707.760000000009</v>
      </c>
      <c r="AJ386" s="37">
        <f t="shared" si="50"/>
        <v>7680.6246698630712</v>
      </c>
      <c r="AK386" s="37">
        <f t="shared" si="51"/>
        <v>8689.7300000000014</v>
      </c>
      <c r="AL386" s="37">
        <f t="shared" si="52"/>
        <v>8689.73</v>
      </c>
      <c r="AM386" s="37">
        <f t="shared" si="53"/>
        <v>8689.7299999999977</v>
      </c>
      <c r="AN386" s="37">
        <f t="shared" si="54"/>
        <v>14411.878870967736</v>
      </c>
      <c r="AO386" s="37">
        <f t="shared" si="55"/>
        <v>0</v>
      </c>
    </row>
    <row r="387" spans="1:41" hidden="1" x14ac:dyDescent="0.3">
      <c r="A387" t="str">
        <f t="shared" si="47"/>
        <v>406jun</v>
      </c>
      <c r="B387" t="str">
        <f t="shared" si="48"/>
        <v>POZOSjun</v>
      </c>
      <c r="C387" s="1" t="s">
        <v>79</v>
      </c>
      <c r="D387" s="1" t="s">
        <v>57</v>
      </c>
      <c r="E387" s="1">
        <v>406</v>
      </c>
      <c r="F387" s="1" t="s">
        <v>119</v>
      </c>
      <c r="G387" s="1" t="s">
        <v>120</v>
      </c>
      <c r="H387" s="1" t="s">
        <v>119</v>
      </c>
      <c r="I387" s="1" t="s">
        <v>127</v>
      </c>
      <c r="J387" s="1" t="s">
        <v>129</v>
      </c>
      <c r="K387" t="s">
        <v>85</v>
      </c>
      <c r="L387" s="6">
        <v>20423.8</v>
      </c>
      <c r="M387" s="6">
        <v>9603.11</v>
      </c>
      <c r="N387" s="6">
        <v>17480.75</v>
      </c>
      <c r="O387" s="6">
        <v>7638.2399999999989</v>
      </c>
      <c r="P387" s="6">
        <v>18139.233799999995</v>
      </c>
      <c r="Q387" s="6">
        <v>7749.6786289999982</v>
      </c>
      <c r="R387" s="6">
        <v>16472.439999999984</v>
      </c>
      <c r="S387" s="6">
        <v>7929.3299999999927</v>
      </c>
      <c r="T387" s="6">
        <v>16472.439999999984</v>
      </c>
      <c r="U387" s="6">
        <v>7929.3299999999817</v>
      </c>
      <c r="V387" s="30">
        <v>16472.439999999988</v>
      </c>
      <c r="W387" s="30">
        <v>7929.3299999999836</v>
      </c>
      <c r="X387" s="30">
        <v>22583.183870967725</v>
      </c>
      <c r="Y387" s="30">
        <v>11083.452819354439</v>
      </c>
      <c r="Z387" s="30">
        <v>0</v>
      </c>
      <c r="AA387" s="30">
        <v>0</v>
      </c>
      <c r="AB387" s="34">
        <v>0.56327813629197321</v>
      </c>
      <c r="AC387" s="34">
        <v>0.42491361196358474</v>
      </c>
      <c r="AD387" s="34">
        <v>0.62443511708040866</v>
      </c>
      <c r="AE387" s="34">
        <v>0.62443511708040855</v>
      </c>
      <c r="AF387" s="34">
        <v>0.62443511708040855</v>
      </c>
      <c r="AG387" s="34">
        <v>0.7</v>
      </c>
      <c r="AH387" s="34">
        <v>0</v>
      </c>
      <c r="AI387" s="37">
        <f t="shared" si="49"/>
        <v>11504.280000000002</v>
      </c>
      <c r="AJ387" s="37">
        <f t="shared" si="50"/>
        <v>7427.8086223324335</v>
      </c>
      <c r="AK387" s="37">
        <f t="shared" si="51"/>
        <v>10285.969999999998</v>
      </c>
      <c r="AL387" s="37">
        <f t="shared" si="52"/>
        <v>10285.969999999996</v>
      </c>
      <c r="AM387" s="37">
        <f t="shared" si="53"/>
        <v>10285.969999999998</v>
      </c>
      <c r="AN387" s="37">
        <f t="shared" si="54"/>
        <v>15808.228709677407</v>
      </c>
      <c r="AO387" s="37">
        <f t="shared" si="55"/>
        <v>0</v>
      </c>
    </row>
    <row r="388" spans="1:41" hidden="1" x14ac:dyDescent="0.3">
      <c r="A388" t="str">
        <f t="shared" si="47"/>
        <v>406jul</v>
      </c>
      <c r="B388" t="str">
        <f t="shared" si="48"/>
        <v>POZOSjul</v>
      </c>
      <c r="C388" s="1" t="s">
        <v>79</v>
      </c>
      <c r="D388" s="1" t="s">
        <v>57</v>
      </c>
      <c r="E388" s="1">
        <v>406</v>
      </c>
      <c r="F388" s="1" t="s">
        <v>119</v>
      </c>
      <c r="G388" s="1" t="s">
        <v>120</v>
      </c>
      <c r="H388" s="1" t="s">
        <v>119</v>
      </c>
      <c r="I388" s="1" t="s">
        <v>127</v>
      </c>
      <c r="J388" s="1" t="s">
        <v>129</v>
      </c>
      <c r="K388" t="s">
        <v>86</v>
      </c>
      <c r="L388" s="6">
        <v>21974.33</v>
      </c>
      <c r="M388" s="6">
        <v>10308.520000000004</v>
      </c>
      <c r="N388" s="6">
        <v>21129.540000000005</v>
      </c>
      <c r="O388" s="6">
        <v>9246.0600000000013</v>
      </c>
      <c r="P388" s="6">
        <v>20472.420299999987</v>
      </c>
      <c r="Q388" s="6">
        <v>8857.719417499995</v>
      </c>
      <c r="R388" s="6">
        <v>15451.319999999996</v>
      </c>
      <c r="S388" s="6">
        <v>7430.5999999999985</v>
      </c>
      <c r="T388" s="6">
        <v>15451.319999999992</v>
      </c>
      <c r="U388" s="6">
        <v>7430.5999999999949</v>
      </c>
      <c r="V388" s="30">
        <v>15451.319999999985</v>
      </c>
      <c r="W388" s="30">
        <v>7430.5999999999913</v>
      </c>
      <c r="X388" s="30">
        <v>21183.26129032256</v>
      </c>
      <c r="Y388" s="30">
        <v>10396.393990006796</v>
      </c>
      <c r="Z388" s="30">
        <v>0</v>
      </c>
      <c r="AA388" s="30">
        <v>0</v>
      </c>
      <c r="AB388" s="34">
        <v>0.50973749825364456</v>
      </c>
      <c r="AC388" s="34">
        <v>0.44201952181107346</v>
      </c>
      <c r="AD388" s="34">
        <v>0.66263464869020905</v>
      </c>
      <c r="AE388" s="34">
        <v>0.66263464869020905</v>
      </c>
      <c r="AF388" s="34">
        <v>0.66263464869020905</v>
      </c>
      <c r="AG388" s="34">
        <v>0.7</v>
      </c>
      <c r="AH388" s="34">
        <v>0</v>
      </c>
      <c r="AI388" s="37">
        <f t="shared" si="49"/>
        <v>11201.14000000001</v>
      </c>
      <c r="AJ388" s="37">
        <f t="shared" si="50"/>
        <v>9339.6691668879503</v>
      </c>
      <c r="AK388" s="37">
        <f t="shared" si="51"/>
        <v>10238.579999999996</v>
      </c>
      <c r="AL388" s="37">
        <f t="shared" si="52"/>
        <v>10238.579999999998</v>
      </c>
      <c r="AM388" s="37">
        <f t="shared" si="53"/>
        <v>10238.579999999991</v>
      </c>
      <c r="AN388" s="37">
        <f t="shared" si="54"/>
        <v>14828.282903225791</v>
      </c>
      <c r="AO388" s="37">
        <f t="shared" si="55"/>
        <v>0</v>
      </c>
    </row>
    <row r="389" spans="1:41" hidden="1" x14ac:dyDescent="0.3">
      <c r="A389" t="str">
        <f t="shared" ref="A389:A452" si="56">CONCATENATE(E389,K389)</f>
        <v>406ago</v>
      </c>
      <c r="B389" t="str">
        <f t="shared" ref="B389:B452" si="57">CONCATENATE(D389,K389)</f>
        <v>POZOSago</v>
      </c>
      <c r="C389" s="1" t="s">
        <v>79</v>
      </c>
      <c r="D389" s="1" t="s">
        <v>57</v>
      </c>
      <c r="E389" s="1">
        <v>406</v>
      </c>
      <c r="F389" s="1" t="s">
        <v>119</v>
      </c>
      <c r="G389" s="1" t="s">
        <v>120</v>
      </c>
      <c r="H389" s="1" t="s">
        <v>119</v>
      </c>
      <c r="I389" s="1" t="s">
        <v>127</v>
      </c>
      <c r="J389" s="1" t="s">
        <v>129</v>
      </c>
      <c r="K389" t="s">
        <v>87</v>
      </c>
      <c r="L389" s="6">
        <v>73010.510000000009</v>
      </c>
      <c r="M389" s="6">
        <v>19650.479999999996</v>
      </c>
      <c r="N389" s="6">
        <v>39274.560000000005</v>
      </c>
      <c r="O389" s="6">
        <v>11675.730000000007</v>
      </c>
      <c r="P389" s="6">
        <v>39947.511499999986</v>
      </c>
      <c r="Q389" s="6">
        <v>11488.750884999998</v>
      </c>
      <c r="R389" s="6">
        <v>27660.324336351128</v>
      </c>
      <c r="S389" s="6">
        <v>9217.8030850890136</v>
      </c>
      <c r="T389" s="6">
        <v>41348.169999999991</v>
      </c>
      <c r="U389" s="6">
        <v>15947.180000000004</v>
      </c>
      <c r="V389" s="30">
        <v>41348.169999999976</v>
      </c>
      <c r="W389" s="30">
        <v>13779.277652499992</v>
      </c>
      <c r="X389" s="30">
        <v>52718.916749999968</v>
      </c>
      <c r="Y389" s="30">
        <v>22042.466880701038</v>
      </c>
      <c r="Z389" s="30">
        <v>0</v>
      </c>
      <c r="AA389" s="30">
        <v>0</v>
      </c>
      <c r="AB389" s="34">
        <v>0.11020207912532078</v>
      </c>
      <c r="AC389" s="34">
        <v>9.4031720932217622E-2</v>
      </c>
      <c r="AD389" s="34">
        <v>0.23451993159552187</v>
      </c>
      <c r="AE389" s="34">
        <v>0.17</v>
      </c>
      <c r="AF389" s="34">
        <v>0.17</v>
      </c>
      <c r="AG389" s="34">
        <v>0.39</v>
      </c>
      <c r="AH389" s="34">
        <v>0</v>
      </c>
      <c r="AI389" s="37">
        <f t="shared" ref="AI389:AI452" si="58">L389*AB389</f>
        <v>8045.9100000000244</v>
      </c>
      <c r="AJ389" s="37">
        <f t="shared" ref="AJ389:AJ452" si="59">N389*AC389</f>
        <v>3693.0544656556372</v>
      </c>
      <c r="AK389" s="37">
        <f t="shared" ref="AK389:AK452" si="60">T389*AD389</f>
        <v>9696.9700000000066</v>
      </c>
      <c r="AL389" s="37">
        <f t="shared" ref="AL389:AL452" si="61">R389*AE389</f>
        <v>4702.2551371796917</v>
      </c>
      <c r="AM389" s="37">
        <f t="shared" ref="AM389:AM452" si="62">V389*AF389</f>
        <v>7029.1888999999965</v>
      </c>
      <c r="AN389" s="37">
        <f t="shared" ref="AN389:AN452" si="63">X389*AG389</f>
        <v>20560.377532499988</v>
      </c>
      <c r="AO389" s="37">
        <f t="shared" ref="AO389:AO452" si="64">Z389*AH389</f>
        <v>0</v>
      </c>
    </row>
    <row r="390" spans="1:41" hidden="1" x14ac:dyDescent="0.3">
      <c r="A390" t="str">
        <f t="shared" si="56"/>
        <v>406sep</v>
      </c>
      <c r="B390" t="str">
        <f t="shared" si="57"/>
        <v>POZOSsep</v>
      </c>
      <c r="C390" s="1" t="s">
        <v>79</v>
      </c>
      <c r="D390" s="1" t="s">
        <v>57</v>
      </c>
      <c r="E390" s="1">
        <v>406</v>
      </c>
      <c r="F390" s="1" t="s">
        <v>119</v>
      </c>
      <c r="G390" s="1" t="s">
        <v>120</v>
      </c>
      <c r="H390" s="1" t="s">
        <v>119</v>
      </c>
      <c r="I390" s="1" t="s">
        <v>127</v>
      </c>
      <c r="J390" s="1" t="s">
        <v>129</v>
      </c>
      <c r="K390" t="s">
        <v>88</v>
      </c>
      <c r="L390" s="6">
        <v>23196.159999999996</v>
      </c>
      <c r="M390" s="6">
        <v>9963.369999999999</v>
      </c>
      <c r="N390" s="6">
        <v>17462.080000000002</v>
      </c>
      <c r="O390" s="6">
        <v>6160.800000000002</v>
      </c>
      <c r="P390" s="6">
        <v>18539.168099999995</v>
      </c>
      <c r="Q390" s="6">
        <v>7614.106085999998</v>
      </c>
      <c r="R390" s="6">
        <v>17982.993056999996</v>
      </c>
      <c r="S390" s="6">
        <v>7786.6359936809968</v>
      </c>
      <c r="T390" s="6">
        <v>14217.239999999996</v>
      </c>
      <c r="U390" s="6">
        <v>7038.2399999999961</v>
      </c>
      <c r="V390" s="30">
        <v>14217.239999999996</v>
      </c>
      <c r="W390" s="30">
        <v>7038.2399999999961</v>
      </c>
      <c r="X390" s="30">
        <v>19491.377419354834</v>
      </c>
      <c r="Y390" s="30">
        <v>9474.6617662946428</v>
      </c>
      <c r="Z390" s="30">
        <v>0</v>
      </c>
      <c r="AA390" s="30">
        <v>0</v>
      </c>
      <c r="AB390" s="34">
        <v>0.40577492136629562</v>
      </c>
      <c r="AC390" s="34">
        <v>0.24454913253908292</v>
      </c>
      <c r="AD390" s="34">
        <v>0.63889967391701941</v>
      </c>
      <c r="AE390" s="34">
        <v>0.54999999999999993</v>
      </c>
      <c r="AF390" s="34">
        <v>0.54999999999999993</v>
      </c>
      <c r="AG390" s="34">
        <v>0.68</v>
      </c>
      <c r="AH390" s="34">
        <v>0</v>
      </c>
      <c r="AI390" s="37">
        <f t="shared" si="58"/>
        <v>9412.420000000011</v>
      </c>
      <c r="AJ390" s="37">
        <f t="shared" si="59"/>
        <v>4270.3365163280696</v>
      </c>
      <c r="AK390" s="37">
        <f t="shared" si="60"/>
        <v>9083.3900000000031</v>
      </c>
      <c r="AL390" s="37">
        <f t="shared" si="61"/>
        <v>9890.6461813499973</v>
      </c>
      <c r="AM390" s="37">
        <f t="shared" si="62"/>
        <v>7819.4819999999972</v>
      </c>
      <c r="AN390" s="37">
        <f t="shared" si="63"/>
        <v>13254.136645161288</v>
      </c>
      <c r="AO390" s="37">
        <f t="shared" si="64"/>
        <v>0</v>
      </c>
    </row>
    <row r="391" spans="1:41" hidden="1" x14ac:dyDescent="0.3">
      <c r="A391" t="str">
        <f t="shared" si="56"/>
        <v>406oct</v>
      </c>
      <c r="B391" t="str">
        <f t="shared" si="57"/>
        <v>POZOSoct</v>
      </c>
      <c r="C391" s="1" t="s">
        <v>79</v>
      </c>
      <c r="D391" s="1" t="s">
        <v>57</v>
      </c>
      <c r="E391" s="1">
        <v>406</v>
      </c>
      <c r="F391" s="1" t="s">
        <v>119</v>
      </c>
      <c r="G391" s="1" t="s">
        <v>120</v>
      </c>
      <c r="H391" s="1" t="s">
        <v>119</v>
      </c>
      <c r="I391" s="1" t="s">
        <v>127</v>
      </c>
      <c r="J391" s="1" t="s">
        <v>129</v>
      </c>
      <c r="K391" t="s">
        <v>89</v>
      </c>
      <c r="L391" s="6">
        <v>12680.22</v>
      </c>
      <c r="M391" s="6">
        <v>5619.6399999999994</v>
      </c>
      <c r="N391" s="6">
        <v>17251.260000000002</v>
      </c>
      <c r="O391" s="6">
        <v>6865.5099999999984</v>
      </c>
      <c r="P391" s="6">
        <v>19378.373599999995</v>
      </c>
      <c r="Q391" s="6">
        <v>7960.9742489999981</v>
      </c>
      <c r="R391" s="6">
        <v>18797.022391999995</v>
      </c>
      <c r="S391" s="6">
        <v>8458.6600763999995</v>
      </c>
      <c r="T391" s="6">
        <v>8919.8899999999976</v>
      </c>
      <c r="U391" s="6">
        <v>4654.1299999999965</v>
      </c>
      <c r="V391" s="30">
        <v>18797.022391999995</v>
      </c>
      <c r="W391" s="30">
        <v>8458.6600763999995</v>
      </c>
      <c r="X391" s="30">
        <v>18608.172580645169</v>
      </c>
      <c r="Y391" s="30">
        <v>9132.5830773191083</v>
      </c>
      <c r="Z391" s="30">
        <v>0</v>
      </c>
      <c r="AA391" s="30">
        <v>0</v>
      </c>
      <c r="AB391" s="34">
        <v>0.45436593371408357</v>
      </c>
      <c r="AC391" s="34">
        <v>0.41226684425398824</v>
      </c>
      <c r="AD391" s="34">
        <v>0.76899378803998697</v>
      </c>
      <c r="AE391" s="34">
        <v>0.6</v>
      </c>
      <c r="AF391" s="34">
        <v>0.6</v>
      </c>
      <c r="AG391" s="34">
        <v>0.7</v>
      </c>
      <c r="AH391" s="34">
        <v>0</v>
      </c>
      <c r="AI391" s="37">
        <f t="shared" si="58"/>
        <v>5761.4599999999964</v>
      </c>
      <c r="AJ391" s="37">
        <f t="shared" si="59"/>
        <v>7112.1225196050582</v>
      </c>
      <c r="AK391" s="37">
        <f t="shared" si="60"/>
        <v>6859.3399999999974</v>
      </c>
      <c r="AL391" s="37">
        <f t="shared" si="61"/>
        <v>11278.213435199998</v>
      </c>
      <c r="AM391" s="37">
        <f t="shared" si="62"/>
        <v>11278.213435199998</v>
      </c>
      <c r="AN391" s="37">
        <f t="shared" si="63"/>
        <v>13025.720806451618</v>
      </c>
      <c r="AO391" s="37">
        <f t="shared" si="64"/>
        <v>0</v>
      </c>
    </row>
    <row r="392" spans="1:41" hidden="1" x14ac:dyDescent="0.3">
      <c r="A392" t="str">
        <f t="shared" si="56"/>
        <v>406nov</v>
      </c>
      <c r="B392" t="str">
        <f t="shared" si="57"/>
        <v>POZOSnov</v>
      </c>
      <c r="C392" s="1" t="s">
        <v>79</v>
      </c>
      <c r="D392" s="1" t="s">
        <v>57</v>
      </c>
      <c r="E392" s="1">
        <v>406</v>
      </c>
      <c r="F392" s="1" t="s">
        <v>119</v>
      </c>
      <c r="G392" s="1" t="s">
        <v>120</v>
      </c>
      <c r="H392" s="1" t="s">
        <v>119</v>
      </c>
      <c r="I392" s="1" t="s">
        <v>127</v>
      </c>
      <c r="J392" s="1" t="s">
        <v>129</v>
      </c>
      <c r="K392" t="s">
        <v>90</v>
      </c>
      <c r="L392" s="6">
        <v>18221.5</v>
      </c>
      <c r="M392" s="6">
        <v>6939.2999999999984</v>
      </c>
      <c r="N392" s="6">
        <v>14408.12</v>
      </c>
      <c r="O392" s="6">
        <v>5603.7900000000009</v>
      </c>
      <c r="P392" s="6">
        <v>24266.261549999996</v>
      </c>
      <c r="Q392" s="6">
        <v>9240.8793252499981</v>
      </c>
      <c r="R392" s="6">
        <v>23052.948472499997</v>
      </c>
      <c r="S392" s="6">
        <v>9082.8616981649993</v>
      </c>
      <c r="T392" s="6">
        <v>8452.5862068965507</v>
      </c>
      <c r="U392" s="6">
        <v>3220.2210985916595</v>
      </c>
      <c r="V392" s="30">
        <v>23052.948472499997</v>
      </c>
      <c r="W392" s="30">
        <v>9082.8616981649993</v>
      </c>
      <c r="X392" s="30">
        <v>31604.848712298386</v>
      </c>
      <c r="Y392" s="30">
        <v>14177.547352798019</v>
      </c>
      <c r="Z392" s="30">
        <v>0</v>
      </c>
      <c r="AA392" s="30">
        <v>0</v>
      </c>
      <c r="AB392" s="34">
        <v>0.20162061301210107</v>
      </c>
      <c r="AC392" s="34">
        <v>0.30375307980680549</v>
      </c>
      <c r="AD392" s="34">
        <v>0.23451993159552187</v>
      </c>
      <c r="AE392" s="34">
        <v>0.35</v>
      </c>
      <c r="AF392" s="34">
        <v>0.35</v>
      </c>
      <c r="AG392" s="34">
        <v>0.52</v>
      </c>
      <c r="AH392" s="34">
        <v>0</v>
      </c>
      <c r="AI392" s="37">
        <f t="shared" si="58"/>
        <v>3673.83</v>
      </c>
      <c r="AJ392" s="37">
        <f t="shared" si="59"/>
        <v>4376.5108242260303</v>
      </c>
      <c r="AK392" s="37">
        <f t="shared" si="60"/>
        <v>1982.2999390466307</v>
      </c>
      <c r="AL392" s="37">
        <f t="shared" si="61"/>
        <v>8068.5319653749984</v>
      </c>
      <c r="AM392" s="37">
        <f t="shared" si="62"/>
        <v>8068.5319653749984</v>
      </c>
      <c r="AN392" s="37">
        <f t="shared" si="63"/>
        <v>16434.52133039516</v>
      </c>
      <c r="AO392" s="37">
        <f t="shared" si="64"/>
        <v>0</v>
      </c>
    </row>
    <row r="393" spans="1:41" hidden="1" x14ac:dyDescent="0.3">
      <c r="A393" t="str">
        <f t="shared" si="56"/>
        <v>406dic</v>
      </c>
      <c r="B393" t="str">
        <f t="shared" si="57"/>
        <v>POZOSdic</v>
      </c>
      <c r="C393" s="1" t="s">
        <v>79</v>
      </c>
      <c r="D393" s="1" t="s">
        <v>57</v>
      </c>
      <c r="E393" s="1">
        <v>406</v>
      </c>
      <c r="F393" s="1" t="s">
        <v>119</v>
      </c>
      <c r="G393" s="1" t="s">
        <v>120</v>
      </c>
      <c r="H393" s="1" t="s">
        <v>119</v>
      </c>
      <c r="I393" s="1" t="s">
        <v>127</v>
      </c>
      <c r="J393" s="1" t="s">
        <v>129</v>
      </c>
      <c r="K393" t="s">
        <v>91</v>
      </c>
      <c r="L393" s="6">
        <v>51908.919999999991</v>
      </c>
      <c r="M393" s="6">
        <v>21372.539999999986</v>
      </c>
      <c r="N393" s="6">
        <v>40631.210000000006</v>
      </c>
      <c r="O393" s="6">
        <v>17648.230000000003</v>
      </c>
      <c r="P393" s="6">
        <v>41225.952250000017</v>
      </c>
      <c r="Q393" s="6">
        <v>18266.054139250005</v>
      </c>
      <c r="R393" s="6">
        <v>39164.654637500018</v>
      </c>
      <c r="S393" s="6">
        <v>17937.41182397501</v>
      </c>
      <c r="T393" s="6">
        <v>32429.798850574709</v>
      </c>
      <c r="U393" s="6">
        <v>15434.82785331063</v>
      </c>
      <c r="V393" s="30">
        <v>39164.654637500018</v>
      </c>
      <c r="W393" s="30">
        <v>17937.41182397501</v>
      </c>
      <c r="X393" s="30">
        <v>53693.47813205648</v>
      </c>
      <c r="Y393" s="30">
        <v>26100.133069713651</v>
      </c>
      <c r="Z393" s="30">
        <v>0</v>
      </c>
      <c r="AA393" s="30">
        <v>0</v>
      </c>
      <c r="AB393" s="34">
        <v>0.28291399628426095</v>
      </c>
      <c r="AC393" s="34">
        <v>0.43230940479298524</v>
      </c>
      <c r="AD393" s="34">
        <v>0.40216723540678284</v>
      </c>
      <c r="AE393" s="34">
        <v>0.6</v>
      </c>
      <c r="AF393" s="34">
        <v>0.6</v>
      </c>
      <c r="AG393" s="34">
        <v>0.68</v>
      </c>
      <c r="AH393" s="34">
        <v>0</v>
      </c>
      <c r="AI393" s="37">
        <f t="shared" si="58"/>
        <v>14685.759999999997</v>
      </c>
      <c r="AJ393" s="37">
        <f t="shared" si="59"/>
        <v>17565.254211118794</v>
      </c>
      <c r="AK393" s="37">
        <f t="shared" si="60"/>
        <v>13042.202548533694</v>
      </c>
      <c r="AL393" s="37">
        <f t="shared" si="61"/>
        <v>23498.792782500012</v>
      </c>
      <c r="AM393" s="37">
        <f t="shared" si="62"/>
        <v>23498.792782500012</v>
      </c>
      <c r="AN393" s="37">
        <f t="shared" si="63"/>
        <v>36511.565129798408</v>
      </c>
      <c r="AO393" s="37">
        <f t="shared" si="64"/>
        <v>0</v>
      </c>
    </row>
    <row r="394" spans="1:41" hidden="1" x14ac:dyDescent="0.3">
      <c r="A394" t="str">
        <f t="shared" si="56"/>
        <v>409ene</v>
      </c>
      <c r="B394" t="str">
        <f t="shared" si="57"/>
        <v>RAMADAene</v>
      </c>
      <c r="C394" s="1" t="s">
        <v>79</v>
      </c>
      <c r="D394" s="1" t="s">
        <v>58</v>
      </c>
      <c r="E394" s="1">
        <v>409</v>
      </c>
      <c r="F394" s="1" t="s">
        <v>119</v>
      </c>
      <c r="G394" s="1" t="s">
        <v>119</v>
      </c>
      <c r="H394" s="1" t="s">
        <v>119</v>
      </c>
      <c r="I394" s="1" t="s">
        <v>127</v>
      </c>
      <c r="J394" s="1" t="s">
        <v>129</v>
      </c>
      <c r="K394" t="s">
        <v>80</v>
      </c>
      <c r="L394" s="6">
        <v>45021.150000000009</v>
      </c>
      <c r="M394" s="6">
        <v>19463.600000000002</v>
      </c>
      <c r="N394" s="6">
        <v>36282.36</v>
      </c>
      <c r="O394" s="6">
        <v>14658.920000000002</v>
      </c>
      <c r="P394" s="6">
        <v>40178.690683333305</v>
      </c>
      <c r="Q394" s="6">
        <v>15847.570255666653</v>
      </c>
      <c r="R394" s="6">
        <v>25052.150000000027</v>
      </c>
      <c r="S394" s="6">
        <v>10171.390205229138</v>
      </c>
      <c r="T394" s="6">
        <v>25052.150000000023</v>
      </c>
      <c r="U394" s="6">
        <v>10272.670000000022</v>
      </c>
      <c r="V394" s="30">
        <v>40178.690683333305</v>
      </c>
      <c r="W394" s="30">
        <v>16475.329679167578</v>
      </c>
      <c r="X394" s="30">
        <v>42589.412124333299</v>
      </c>
      <c r="Y394" s="30">
        <v>20783.890543036563</v>
      </c>
      <c r="Z394" s="30">
        <v>23139.367816091963</v>
      </c>
      <c r="AA394" s="30">
        <v>12703.76737021448</v>
      </c>
      <c r="AB394" s="34">
        <v>0.46666377913491769</v>
      </c>
      <c r="AC394" s="34">
        <v>0.38023577253024343</v>
      </c>
      <c r="AD394" s="34">
        <v>0.47029959574266894</v>
      </c>
      <c r="AE394" s="34">
        <v>0.47029959574266866</v>
      </c>
      <c r="AF394" s="34">
        <v>0.47029959574266866</v>
      </c>
      <c r="AG394" s="34">
        <v>0.70000000000000007</v>
      </c>
      <c r="AH394" s="34">
        <v>0.94405464141570949</v>
      </c>
      <c r="AI394" s="37">
        <f t="shared" si="58"/>
        <v>21009.740000000005</v>
      </c>
      <c r="AJ394" s="37">
        <f t="shared" si="59"/>
        <v>13795.851183820403</v>
      </c>
      <c r="AK394" s="37">
        <f t="shared" si="60"/>
        <v>11782.016017484715</v>
      </c>
      <c r="AL394" s="37">
        <f t="shared" si="61"/>
        <v>11782.01601748471</v>
      </c>
      <c r="AM394" s="37">
        <f t="shared" si="62"/>
        <v>18896.02198584138</v>
      </c>
      <c r="AN394" s="37">
        <f t="shared" si="63"/>
        <v>29812.588487033314</v>
      </c>
      <c r="AO394" s="37">
        <f t="shared" si="64"/>
        <v>21844.827586206906</v>
      </c>
    </row>
    <row r="395" spans="1:41" hidden="1" x14ac:dyDescent="0.3">
      <c r="A395" t="str">
        <f t="shared" si="56"/>
        <v>409feb</v>
      </c>
      <c r="B395" t="str">
        <f t="shared" si="57"/>
        <v>RAMADAfeb</v>
      </c>
      <c r="C395" s="1" t="s">
        <v>79</v>
      </c>
      <c r="D395" s="1" t="s">
        <v>58</v>
      </c>
      <c r="E395" s="1">
        <v>409</v>
      </c>
      <c r="F395" s="1" t="s">
        <v>119</v>
      </c>
      <c r="G395" s="1" t="s">
        <v>119</v>
      </c>
      <c r="H395" s="1" t="s">
        <v>119</v>
      </c>
      <c r="I395" s="1" t="s">
        <v>127</v>
      </c>
      <c r="J395" s="1" t="s">
        <v>129</v>
      </c>
      <c r="K395" t="s">
        <v>81</v>
      </c>
      <c r="L395" s="6">
        <v>81612.33</v>
      </c>
      <c r="M395" s="6">
        <v>29301.95</v>
      </c>
      <c r="N395" s="6">
        <v>46264.660000000011</v>
      </c>
      <c r="O395" s="6">
        <v>15129.180000000013</v>
      </c>
      <c r="P395" s="6">
        <v>69292.915499999974</v>
      </c>
      <c r="Q395" s="6">
        <v>19691.879302499994</v>
      </c>
      <c r="R395" s="6">
        <v>43571.349999999948</v>
      </c>
      <c r="S395" s="6">
        <v>13929.254286166324</v>
      </c>
      <c r="T395" s="6">
        <v>43571.349999999977</v>
      </c>
      <c r="U395" s="6">
        <v>13979.509999999969</v>
      </c>
      <c r="V395" s="30">
        <v>69292.915499999974</v>
      </c>
      <c r="W395" s="30">
        <v>22232.063159883801</v>
      </c>
      <c r="X395" s="30">
        <v>72064.632119999966</v>
      </c>
      <c r="Y395" s="30">
        <v>29914.528889840454</v>
      </c>
      <c r="Z395" s="30">
        <v>40606.32183908049</v>
      </c>
      <c r="AA395" s="30">
        <v>18431.649988780016</v>
      </c>
      <c r="AB395" s="34">
        <v>0.280212315957651</v>
      </c>
      <c r="AC395" s="34">
        <v>0.22307504486656005</v>
      </c>
      <c r="AD395" s="34">
        <v>0.14921969886624559</v>
      </c>
      <c r="AE395" s="34">
        <v>0.14921969886624525</v>
      </c>
      <c r="AF395" s="34">
        <v>0.14921969886624525</v>
      </c>
      <c r="AG395" s="34">
        <v>0.39000000000000007</v>
      </c>
      <c r="AH395" s="34">
        <v>0.32694076852310511</v>
      </c>
      <c r="AI395" s="37">
        <f t="shared" si="58"/>
        <v>22868.780000000079</v>
      </c>
      <c r="AJ395" s="37">
        <f t="shared" si="59"/>
        <v>10320.491105236148</v>
      </c>
      <c r="AK395" s="37">
        <f t="shared" si="60"/>
        <v>6501.7037261957857</v>
      </c>
      <c r="AL395" s="37">
        <f t="shared" si="61"/>
        <v>6501.7037261957676</v>
      </c>
      <c r="AM395" s="37">
        <f t="shared" si="62"/>
        <v>10339.867984474175</v>
      </c>
      <c r="AN395" s="37">
        <f t="shared" si="63"/>
        <v>28105.206526799993</v>
      </c>
      <c r="AO395" s="37">
        <f t="shared" si="64"/>
        <v>13275.862068965522</v>
      </c>
    </row>
    <row r="396" spans="1:41" hidden="1" x14ac:dyDescent="0.3">
      <c r="A396" t="str">
        <f t="shared" si="56"/>
        <v>409mar</v>
      </c>
      <c r="B396" t="str">
        <f t="shared" si="57"/>
        <v>RAMADAmar</v>
      </c>
      <c r="C396" s="1" t="s">
        <v>79</v>
      </c>
      <c r="D396" s="1" t="s">
        <v>58</v>
      </c>
      <c r="E396" s="1">
        <v>409</v>
      </c>
      <c r="F396" s="1" t="s">
        <v>119</v>
      </c>
      <c r="G396" s="1" t="s">
        <v>119</v>
      </c>
      <c r="H396" s="1" t="s">
        <v>119</v>
      </c>
      <c r="I396" s="1" t="s">
        <v>127</v>
      </c>
      <c r="J396" s="1" t="s">
        <v>129</v>
      </c>
      <c r="K396" t="s">
        <v>82</v>
      </c>
      <c r="L396" s="6">
        <v>57762.549999999996</v>
      </c>
      <c r="M396" s="6">
        <v>24158.30999999999</v>
      </c>
      <c r="N396" s="6">
        <v>75249.42</v>
      </c>
      <c r="O396" s="6">
        <v>23872.319999999992</v>
      </c>
      <c r="P396" s="6">
        <v>44171.007075000001</v>
      </c>
      <c r="Q396" s="6">
        <v>15070.923060749998</v>
      </c>
      <c r="R396" s="6">
        <v>36896.100000000013</v>
      </c>
      <c r="S396" s="6">
        <v>15273.615819986835</v>
      </c>
      <c r="T396" s="6">
        <v>36896.10000000002</v>
      </c>
      <c r="U396" s="6">
        <v>15292.610000000033</v>
      </c>
      <c r="V396" s="30">
        <v>36896.100000000028</v>
      </c>
      <c r="W396" s="30">
        <v>15292.610000000037</v>
      </c>
      <c r="X396" s="30">
        <v>38740.905000000028</v>
      </c>
      <c r="Y396" s="30">
        <v>18723.590817819655</v>
      </c>
      <c r="Z396" s="30">
        <v>28963.37558414488</v>
      </c>
      <c r="AA396" s="30">
        <v>14829.248299082179</v>
      </c>
      <c r="AB396" s="34">
        <v>0.33135084929595443</v>
      </c>
      <c r="AC396" s="34">
        <v>0.17487582707298313</v>
      </c>
      <c r="AD396" s="34">
        <v>0.4003272592364151</v>
      </c>
      <c r="AE396" s="34">
        <v>0.40032725923641499</v>
      </c>
      <c r="AF396" s="34">
        <v>0.40032725923641499</v>
      </c>
      <c r="AG396" s="34">
        <v>0.68</v>
      </c>
      <c r="AH396" s="34">
        <v>0.74159061917378066</v>
      </c>
      <c r="AI396" s="37">
        <f t="shared" si="58"/>
        <v>19139.670000000031</v>
      </c>
      <c r="AJ396" s="37">
        <f t="shared" si="59"/>
        <v>13159.304559262278</v>
      </c>
      <c r="AK396" s="37">
        <f t="shared" si="60"/>
        <v>14770.514589512703</v>
      </c>
      <c r="AL396" s="37">
        <f t="shared" si="61"/>
        <v>14770.514589512697</v>
      </c>
      <c r="AM396" s="37">
        <f t="shared" si="62"/>
        <v>14770.514589512703</v>
      </c>
      <c r="AN396" s="37">
        <f t="shared" si="63"/>
        <v>26343.815400000021</v>
      </c>
      <c r="AO396" s="37">
        <f t="shared" si="64"/>
        <v>21478.967632808763</v>
      </c>
    </row>
    <row r="397" spans="1:41" hidden="1" x14ac:dyDescent="0.3">
      <c r="A397" t="str">
        <f t="shared" si="56"/>
        <v>409abr</v>
      </c>
      <c r="B397" t="str">
        <f t="shared" si="57"/>
        <v>RAMADAabr</v>
      </c>
      <c r="C397" s="1" t="s">
        <v>79</v>
      </c>
      <c r="D397" s="1" t="s">
        <v>58</v>
      </c>
      <c r="E397" s="1">
        <v>409</v>
      </c>
      <c r="F397" s="1" t="s">
        <v>119</v>
      </c>
      <c r="G397" s="1" t="s">
        <v>119</v>
      </c>
      <c r="H397" s="1" t="s">
        <v>119</v>
      </c>
      <c r="I397" s="1" t="s">
        <v>127</v>
      </c>
      <c r="J397" s="1" t="s">
        <v>129</v>
      </c>
      <c r="K397" t="s">
        <v>83</v>
      </c>
      <c r="L397" s="6">
        <v>54083.069999999992</v>
      </c>
      <c r="M397" s="6">
        <v>25429.029999999995</v>
      </c>
      <c r="N397" s="6">
        <v>34854.429999999993</v>
      </c>
      <c r="O397" s="6">
        <v>14229.100000000002</v>
      </c>
      <c r="P397" s="6">
        <v>3722.3030249999983</v>
      </c>
      <c r="Q397" s="6">
        <v>1526.1442402499993</v>
      </c>
      <c r="R397" s="6">
        <v>36544.020000000026</v>
      </c>
      <c r="S397" s="6">
        <v>17020.350000000017</v>
      </c>
      <c r="T397" s="6">
        <v>36544.020000000033</v>
      </c>
      <c r="U397" s="6">
        <v>17020.350000000028</v>
      </c>
      <c r="V397" s="30">
        <v>36544.020000000033</v>
      </c>
      <c r="W397" s="30">
        <v>17020.350000000028</v>
      </c>
      <c r="X397" s="30">
        <v>39102.101400000029</v>
      </c>
      <c r="Y397" s="30">
        <v>19082.061830949478</v>
      </c>
      <c r="Z397" s="30">
        <v>0</v>
      </c>
      <c r="AA397" s="30">
        <v>0</v>
      </c>
      <c r="AB397" s="34">
        <v>0.53660933079427697</v>
      </c>
      <c r="AC397" s="34">
        <v>0.33505455373220827</v>
      </c>
      <c r="AD397" s="34">
        <v>0.61483848793865636</v>
      </c>
      <c r="AE397" s="34">
        <v>0.61483848793865603</v>
      </c>
      <c r="AF397" s="34">
        <v>0.61483848793865603</v>
      </c>
      <c r="AG397" s="34">
        <v>0.7</v>
      </c>
      <c r="AH397" s="34">
        <v>0</v>
      </c>
      <c r="AI397" s="37">
        <f t="shared" si="58"/>
        <v>29021.480000000032</v>
      </c>
      <c r="AJ397" s="37">
        <f t="shared" si="59"/>
        <v>11678.135489240489</v>
      </c>
      <c r="AK397" s="37">
        <f t="shared" si="60"/>
        <v>22468.670000000038</v>
      </c>
      <c r="AL397" s="37">
        <f t="shared" si="61"/>
        <v>22468.67000000002</v>
      </c>
      <c r="AM397" s="37">
        <f t="shared" si="62"/>
        <v>22468.670000000024</v>
      </c>
      <c r="AN397" s="37">
        <f t="shared" si="63"/>
        <v>27371.47098000002</v>
      </c>
      <c r="AO397" s="37">
        <f t="shared" si="64"/>
        <v>0</v>
      </c>
    </row>
    <row r="398" spans="1:41" hidden="1" x14ac:dyDescent="0.3">
      <c r="A398" t="str">
        <f t="shared" si="56"/>
        <v>409may</v>
      </c>
      <c r="B398" t="str">
        <f t="shared" si="57"/>
        <v>RAMADAmay</v>
      </c>
      <c r="C398" s="1" t="s">
        <v>79</v>
      </c>
      <c r="D398" s="1" t="s">
        <v>58</v>
      </c>
      <c r="E398" s="1">
        <v>409</v>
      </c>
      <c r="F398" s="1" t="s">
        <v>119</v>
      </c>
      <c r="G398" s="1" t="s">
        <v>119</v>
      </c>
      <c r="H398" s="1" t="s">
        <v>119</v>
      </c>
      <c r="I398" s="1" t="s">
        <v>127</v>
      </c>
      <c r="J398" s="1" t="s">
        <v>129</v>
      </c>
      <c r="K398" t="s">
        <v>84</v>
      </c>
      <c r="L398" s="6">
        <v>48457.320000000007</v>
      </c>
      <c r="M398" s="6">
        <v>23342.910000000007</v>
      </c>
      <c r="N398" s="6">
        <v>37059.110000000008</v>
      </c>
      <c r="O398" s="6">
        <v>14821.340000000006</v>
      </c>
      <c r="P398" s="6">
        <v>41568.562724999982</v>
      </c>
      <c r="Q398" s="6">
        <v>15445.532997874992</v>
      </c>
      <c r="R398" s="6">
        <v>30891.090000000011</v>
      </c>
      <c r="S398" s="6">
        <v>15221.580000000005</v>
      </c>
      <c r="T398" s="6">
        <v>30891.090000000011</v>
      </c>
      <c r="U398" s="6">
        <v>15221.580000000016</v>
      </c>
      <c r="V398" s="30">
        <v>30891.090000000011</v>
      </c>
      <c r="W398" s="30">
        <v>15221.580000000016</v>
      </c>
      <c r="X398" s="30">
        <v>33053.466300000015</v>
      </c>
      <c r="Y398" s="30">
        <v>16130.29134193296</v>
      </c>
      <c r="Z398" s="30">
        <v>0</v>
      </c>
      <c r="AA398" s="30">
        <v>0</v>
      </c>
      <c r="AB398" s="34">
        <v>0.5622312583527117</v>
      </c>
      <c r="AC398" s="34">
        <v>0.34623251042457165</v>
      </c>
      <c r="AD398" s="34">
        <v>0.69390526523991247</v>
      </c>
      <c r="AE398" s="34">
        <v>0.69390526523991214</v>
      </c>
      <c r="AF398" s="34">
        <v>0.69390526523991214</v>
      </c>
      <c r="AG398" s="34">
        <v>0.7</v>
      </c>
      <c r="AH398" s="34">
        <v>0</v>
      </c>
      <c r="AI398" s="37">
        <f t="shared" si="58"/>
        <v>27244.220000000027</v>
      </c>
      <c r="AJ398" s="37">
        <f t="shared" si="59"/>
        <v>12831.06868940035</v>
      </c>
      <c r="AK398" s="37">
        <f t="shared" si="60"/>
        <v>21435.490000000016</v>
      </c>
      <c r="AL398" s="37">
        <f t="shared" si="61"/>
        <v>21435.490000000005</v>
      </c>
      <c r="AM398" s="37">
        <f t="shared" si="62"/>
        <v>21435.490000000005</v>
      </c>
      <c r="AN398" s="37">
        <f t="shared" si="63"/>
        <v>23137.426410000007</v>
      </c>
      <c r="AO398" s="37">
        <f t="shared" si="64"/>
        <v>0</v>
      </c>
    </row>
    <row r="399" spans="1:41" hidden="1" x14ac:dyDescent="0.3">
      <c r="A399" t="str">
        <f t="shared" si="56"/>
        <v>409jun</v>
      </c>
      <c r="B399" t="str">
        <f t="shared" si="57"/>
        <v>RAMADAjun</v>
      </c>
      <c r="C399" s="1" t="s">
        <v>79</v>
      </c>
      <c r="D399" s="1" t="s">
        <v>58</v>
      </c>
      <c r="E399" s="1">
        <v>409</v>
      </c>
      <c r="F399" s="1" t="s">
        <v>119</v>
      </c>
      <c r="G399" s="1" t="s">
        <v>119</v>
      </c>
      <c r="H399" s="1" t="s">
        <v>119</v>
      </c>
      <c r="I399" s="1" t="s">
        <v>127</v>
      </c>
      <c r="J399" s="1" t="s">
        <v>129</v>
      </c>
      <c r="K399" t="s">
        <v>85</v>
      </c>
      <c r="L399" s="6">
        <v>40967.379999999997</v>
      </c>
      <c r="M399" s="6">
        <v>18939.409999999996</v>
      </c>
      <c r="N399" s="6">
        <v>32611.279999999999</v>
      </c>
      <c r="O399" s="6">
        <v>13748.919999999998</v>
      </c>
      <c r="P399" s="6">
        <v>37962.380474999976</v>
      </c>
      <c r="Q399" s="6">
        <v>15934.474769624991</v>
      </c>
      <c r="R399" s="6">
        <v>28361.970000000008</v>
      </c>
      <c r="S399" s="6">
        <v>13495.160109647524</v>
      </c>
      <c r="T399" s="6">
        <v>28361.970000000019</v>
      </c>
      <c r="U399" s="6">
        <v>13517.120000000012</v>
      </c>
      <c r="V399" s="30">
        <v>28361.970000000008</v>
      </c>
      <c r="W399" s="30">
        <v>13517.120000000006</v>
      </c>
      <c r="X399" s="30">
        <v>30347.307900000011</v>
      </c>
      <c r="Y399" s="30">
        <v>14809.669685697796</v>
      </c>
      <c r="Z399" s="30">
        <v>0</v>
      </c>
      <c r="AA399" s="30">
        <v>0</v>
      </c>
      <c r="AB399" s="34">
        <v>0.45817526041450557</v>
      </c>
      <c r="AC399" s="34">
        <v>0.39444449211916488</v>
      </c>
      <c r="AD399" s="34">
        <v>0.64228802218018044</v>
      </c>
      <c r="AE399" s="34">
        <v>0.64228802218018044</v>
      </c>
      <c r="AF399" s="34">
        <v>0.64228802218018044</v>
      </c>
      <c r="AG399" s="34">
        <v>0.70000000000000007</v>
      </c>
      <c r="AH399" s="34">
        <v>0</v>
      </c>
      <c r="AI399" s="37">
        <f t="shared" si="58"/>
        <v>18770.240000000005</v>
      </c>
      <c r="AJ399" s="37">
        <f t="shared" si="59"/>
        <v>12863.33977695588</v>
      </c>
      <c r="AK399" s="37">
        <f t="shared" si="60"/>
        <v>18216.553616433626</v>
      </c>
      <c r="AL399" s="37">
        <f t="shared" si="61"/>
        <v>18216.553616433619</v>
      </c>
      <c r="AM399" s="37">
        <f t="shared" si="62"/>
        <v>18216.553616433619</v>
      </c>
      <c r="AN399" s="37">
        <f t="shared" si="63"/>
        <v>21243.11553000001</v>
      </c>
      <c r="AO399" s="37">
        <f t="shared" si="64"/>
        <v>0</v>
      </c>
    </row>
    <row r="400" spans="1:41" hidden="1" x14ac:dyDescent="0.3">
      <c r="A400" t="str">
        <f t="shared" si="56"/>
        <v>409jul</v>
      </c>
      <c r="B400" t="str">
        <f t="shared" si="57"/>
        <v>RAMADAjul</v>
      </c>
      <c r="C400" s="1" t="s">
        <v>79</v>
      </c>
      <c r="D400" s="1" t="s">
        <v>58</v>
      </c>
      <c r="E400" s="1">
        <v>409</v>
      </c>
      <c r="F400" s="1" t="s">
        <v>119</v>
      </c>
      <c r="G400" s="1" t="s">
        <v>119</v>
      </c>
      <c r="H400" s="1" t="s">
        <v>119</v>
      </c>
      <c r="I400" s="1" t="s">
        <v>127</v>
      </c>
      <c r="J400" s="1" t="s">
        <v>129</v>
      </c>
      <c r="K400" t="s">
        <v>86</v>
      </c>
      <c r="L400" s="6">
        <v>45227.97</v>
      </c>
      <c r="M400" s="6">
        <v>21319.449999999997</v>
      </c>
      <c r="N400" s="6">
        <v>39625.14</v>
      </c>
      <c r="O400" s="6">
        <v>16869.689999999999</v>
      </c>
      <c r="P400" s="6">
        <v>42176.716699999961</v>
      </c>
      <c r="Q400" s="6">
        <v>17874.359858499985</v>
      </c>
      <c r="R400" s="6">
        <v>29472.979999999992</v>
      </c>
      <c r="S400" s="6">
        <v>14504.620000000012</v>
      </c>
      <c r="T400" s="6">
        <v>29472.979999999989</v>
      </c>
      <c r="U400" s="6">
        <v>14504.619999999992</v>
      </c>
      <c r="V400" s="30">
        <v>29472.980000000014</v>
      </c>
      <c r="W400" s="30">
        <v>14504.620000000004</v>
      </c>
      <c r="X400" s="30">
        <v>35072.846200000015</v>
      </c>
      <c r="Y400" s="30">
        <v>17115.760939021584</v>
      </c>
      <c r="Z400" s="30">
        <v>0</v>
      </c>
      <c r="AA400" s="30">
        <v>0</v>
      </c>
      <c r="AB400" s="34">
        <v>0.51339867785354976</v>
      </c>
      <c r="AC400" s="34">
        <v>0.398127056760602</v>
      </c>
      <c r="AD400" s="34">
        <v>0.68316810855230881</v>
      </c>
      <c r="AE400" s="34">
        <v>0.68316810855230892</v>
      </c>
      <c r="AF400" s="34">
        <v>0.68316810855230892</v>
      </c>
      <c r="AG400" s="34">
        <v>0.70000000000000007</v>
      </c>
      <c r="AH400" s="34">
        <v>0</v>
      </c>
      <c r="AI400" s="37">
        <f t="shared" si="58"/>
        <v>23219.980000000014</v>
      </c>
      <c r="AJ400" s="37">
        <f t="shared" si="59"/>
        <v>15775.840361926801</v>
      </c>
      <c r="AK400" s="37">
        <f t="shared" si="60"/>
        <v>20135.000000000018</v>
      </c>
      <c r="AL400" s="37">
        <f t="shared" si="61"/>
        <v>20135.000000000025</v>
      </c>
      <c r="AM400" s="37">
        <f t="shared" si="62"/>
        <v>20135.00000000004</v>
      </c>
      <c r="AN400" s="37">
        <f t="shared" si="63"/>
        <v>24550.992340000012</v>
      </c>
      <c r="AO400" s="37">
        <f t="shared" si="64"/>
        <v>0</v>
      </c>
    </row>
    <row r="401" spans="1:41" hidden="1" x14ac:dyDescent="0.3">
      <c r="A401" t="str">
        <f t="shared" si="56"/>
        <v>409ago</v>
      </c>
      <c r="B401" t="str">
        <f t="shared" si="57"/>
        <v>RAMADAago</v>
      </c>
      <c r="C401" s="1" t="s">
        <v>79</v>
      </c>
      <c r="D401" s="1" t="s">
        <v>58</v>
      </c>
      <c r="E401" s="1">
        <v>409</v>
      </c>
      <c r="F401" s="1" t="s">
        <v>119</v>
      </c>
      <c r="G401" s="1" t="s">
        <v>119</v>
      </c>
      <c r="H401" s="1" t="s">
        <v>119</v>
      </c>
      <c r="I401" s="1" t="s">
        <v>127</v>
      </c>
      <c r="J401" s="1" t="s">
        <v>129</v>
      </c>
      <c r="K401" t="s">
        <v>87</v>
      </c>
      <c r="L401" s="6">
        <v>143802.85</v>
      </c>
      <c r="M401" s="6">
        <v>42365.240000000005</v>
      </c>
      <c r="N401" s="6">
        <v>91904.320000000022</v>
      </c>
      <c r="O401" s="6">
        <v>26554.710000000028</v>
      </c>
      <c r="P401" s="6">
        <v>105868.13183999993</v>
      </c>
      <c r="Q401" s="6">
        <v>30627.660260199984</v>
      </c>
      <c r="R401" s="6">
        <v>60222.657955105264</v>
      </c>
      <c r="S401" s="6">
        <v>19774.109739558811</v>
      </c>
      <c r="T401" s="6">
        <v>83583.420000000115</v>
      </c>
      <c r="U401" s="6">
        <v>33599.430000000095</v>
      </c>
      <c r="V401" s="30">
        <v>83583.420000000231</v>
      </c>
      <c r="W401" s="30">
        <v>27444.615957000075</v>
      </c>
      <c r="X401" s="30">
        <v>86926.756800000236</v>
      </c>
      <c r="Y401" s="30">
        <v>36083.899981112438</v>
      </c>
      <c r="Z401" s="30">
        <v>0</v>
      </c>
      <c r="AA401" s="30">
        <v>0</v>
      </c>
      <c r="AB401" s="34">
        <v>0.17609052949924087</v>
      </c>
      <c r="AC401" s="34">
        <v>9.6353156550621946E-2</v>
      </c>
      <c r="AD401" s="34">
        <v>0.27022620036366224</v>
      </c>
      <c r="AE401" s="34">
        <v>0.16999999999999998</v>
      </c>
      <c r="AF401" s="34">
        <v>0.16999999999999998</v>
      </c>
      <c r="AG401" s="34">
        <v>0.39</v>
      </c>
      <c r="AH401" s="34">
        <v>0</v>
      </c>
      <c r="AI401" s="37">
        <f t="shared" si="58"/>
        <v>25322.319999999909</v>
      </c>
      <c r="AJ401" s="37">
        <f t="shared" si="59"/>
        <v>8855.2713326384583</v>
      </c>
      <c r="AK401" s="37">
        <f t="shared" si="60"/>
        <v>22586.430000000164</v>
      </c>
      <c r="AL401" s="37">
        <f t="shared" si="61"/>
        <v>10237.851852367894</v>
      </c>
      <c r="AM401" s="37">
        <f t="shared" si="62"/>
        <v>14209.181400000038</v>
      </c>
      <c r="AN401" s="37">
        <f t="shared" si="63"/>
        <v>33901.435152000093</v>
      </c>
      <c r="AO401" s="37">
        <f t="shared" si="64"/>
        <v>0</v>
      </c>
    </row>
    <row r="402" spans="1:41" hidden="1" x14ac:dyDescent="0.3">
      <c r="A402" t="str">
        <f t="shared" si="56"/>
        <v>409sep</v>
      </c>
      <c r="B402" t="str">
        <f t="shared" si="57"/>
        <v>RAMADAsep</v>
      </c>
      <c r="C402" s="1" t="s">
        <v>79</v>
      </c>
      <c r="D402" s="1" t="s">
        <v>58</v>
      </c>
      <c r="E402" s="1">
        <v>409</v>
      </c>
      <c r="F402" s="1" t="s">
        <v>119</v>
      </c>
      <c r="G402" s="1" t="s">
        <v>119</v>
      </c>
      <c r="H402" s="1" t="s">
        <v>119</v>
      </c>
      <c r="I402" s="1" t="s">
        <v>127</v>
      </c>
      <c r="J402" s="1" t="s">
        <v>129</v>
      </c>
      <c r="K402" t="s">
        <v>88</v>
      </c>
      <c r="L402" s="6">
        <v>36836.21</v>
      </c>
      <c r="M402" s="6">
        <v>15341.949999999995</v>
      </c>
      <c r="N402" s="6">
        <v>40711.74</v>
      </c>
      <c r="O402" s="6">
        <v>13393.929999999993</v>
      </c>
      <c r="P402" s="6">
        <v>39357.899784999972</v>
      </c>
      <c r="Q402" s="6">
        <v>16092.008329674987</v>
      </c>
      <c r="R402" s="6">
        <v>39751.478782849968</v>
      </c>
      <c r="S402" s="6">
        <v>18285.680240110989</v>
      </c>
      <c r="T402" s="6">
        <v>30387.150000000012</v>
      </c>
      <c r="U402" s="6">
        <v>15606.870000000014</v>
      </c>
      <c r="V402" s="30">
        <v>30387.150000000012</v>
      </c>
      <c r="W402" s="30">
        <v>15606.870000000012</v>
      </c>
      <c r="X402" s="30">
        <v>34337.479500000023</v>
      </c>
      <c r="Y402" s="30">
        <v>16595.402607999749</v>
      </c>
      <c r="Z402" s="30">
        <v>0</v>
      </c>
      <c r="AA402" s="30">
        <v>0</v>
      </c>
      <c r="AB402" s="34">
        <v>0.35747868741110961</v>
      </c>
      <c r="AC402" s="34">
        <v>0.22471160532238202</v>
      </c>
      <c r="AD402" s="34">
        <v>0.7425852704185818</v>
      </c>
      <c r="AE402" s="34">
        <v>0.6</v>
      </c>
      <c r="AF402" s="34">
        <v>0.6</v>
      </c>
      <c r="AG402" s="34">
        <v>0.68</v>
      </c>
      <c r="AH402" s="34">
        <v>0</v>
      </c>
      <c r="AI402" s="37">
        <f t="shared" si="58"/>
        <v>13168.159999999989</v>
      </c>
      <c r="AJ402" s="37">
        <f t="shared" si="59"/>
        <v>9148.4004508674316</v>
      </c>
      <c r="AK402" s="37">
        <f t="shared" si="60"/>
        <v>22565.050000000017</v>
      </c>
      <c r="AL402" s="37">
        <f t="shared" si="61"/>
        <v>23850.88726970998</v>
      </c>
      <c r="AM402" s="37">
        <f t="shared" si="62"/>
        <v>18232.290000000008</v>
      </c>
      <c r="AN402" s="37">
        <f t="shared" si="63"/>
        <v>23349.486060000017</v>
      </c>
      <c r="AO402" s="37">
        <f t="shared" si="64"/>
        <v>0</v>
      </c>
    </row>
    <row r="403" spans="1:41" hidden="1" x14ac:dyDescent="0.3">
      <c r="A403" t="str">
        <f t="shared" si="56"/>
        <v>409oct</v>
      </c>
      <c r="B403" t="str">
        <f t="shared" si="57"/>
        <v>RAMADAoct</v>
      </c>
      <c r="C403" s="1" t="s">
        <v>79</v>
      </c>
      <c r="D403" s="1" t="s">
        <v>58</v>
      </c>
      <c r="E403" s="1">
        <v>409</v>
      </c>
      <c r="F403" s="1" t="s">
        <v>119</v>
      </c>
      <c r="G403" s="1" t="s">
        <v>119</v>
      </c>
      <c r="H403" s="1" t="s">
        <v>119</v>
      </c>
      <c r="I403" s="1" t="s">
        <v>127</v>
      </c>
      <c r="J403" s="1" t="s">
        <v>129</v>
      </c>
      <c r="K403" t="s">
        <v>89</v>
      </c>
      <c r="L403" s="6">
        <v>31229.559999999998</v>
      </c>
      <c r="M403" s="6">
        <v>13723.169999999998</v>
      </c>
      <c r="N403" s="6">
        <v>33788.01999999999</v>
      </c>
      <c r="O403" s="6">
        <v>12620.769999999993</v>
      </c>
      <c r="P403" s="6">
        <v>41781.493924999966</v>
      </c>
      <c r="Q403" s="6">
        <v>17053.200689124984</v>
      </c>
      <c r="R403" s="6">
        <v>48529.205193887457</v>
      </c>
      <c r="S403" s="6">
        <v>23536.664519035417</v>
      </c>
      <c r="T403" s="6">
        <v>18249.290000000008</v>
      </c>
      <c r="U403" s="6">
        <v>9636.9500000000044</v>
      </c>
      <c r="V403" s="30">
        <v>48529.205193887457</v>
      </c>
      <c r="W403" s="30">
        <v>23536.664519035417</v>
      </c>
      <c r="X403" s="30">
        <v>41249.824414804338</v>
      </c>
      <c r="Y403" s="30">
        <v>20130.163643816471</v>
      </c>
      <c r="Z403" s="30">
        <v>0</v>
      </c>
      <c r="AA403" s="30">
        <v>0</v>
      </c>
      <c r="AB403" s="34">
        <v>0.42331047891805146</v>
      </c>
      <c r="AC403" s="34">
        <v>0.36352489478244021</v>
      </c>
      <c r="AD403" s="34">
        <v>0.73905834144780447</v>
      </c>
      <c r="AE403" s="34">
        <v>0.7</v>
      </c>
      <c r="AF403" s="34">
        <v>0.7</v>
      </c>
      <c r="AG403" s="34">
        <v>0.7</v>
      </c>
      <c r="AH403" s="34">
        <v>0</v>
      </c>
      <c r="AI403" s="37">
        <f t="shared" si="58"/>
        <v>13219.800000000023</v>
      </c>
      <c r="AJ403" s="37">
        <f t="shared" si="59"/>
        <v>12282.786415406981</v>
      </c>
      <c r="AK403" s="37">
        <f t="shared" si="60"/>
        <v>13487.29000000001</v>
      </c>
      <c r="AL403" s="37">
        <f t="shared" si="61"/>
        <v>33970.443635721218</v>
      </c>
      <c r="AM403" s="37">
        <f t="shared" si="62"/>
        <v>33970.443635721218</v>
      </c>
      <c r="AN403" s="37">
        <f t="shared" si="63"/>
        <v>28874.877090363036</v>
      </c>
      <c r="AO403" s="37">
        <f t="shared" si="64"/>
        <v>0</v>
      </c>
    </row>
    <row r="404" spans="1:41" hidden="1" x14ac:dyDescent="0.3">
      <c r="A404" t="str">
        <f t="shared" si="56"/>
        <v>409nov</v>
      </c>
      <c r="B404" t="str">
        <f t="shared" si="57"/>
        <v>RAMADAnov</v>
      </c>
      <c r="C404" s="1" t="s">
        <v>79</v>
      </c>
      <c r="D404" s="1" t="s">
        <v>58</v>
      </c>
      <c r="E404" s="1">
        <v>409</v>
      </c>
      <c r="F404" s="1" t="s">
        <v>119</v>
      </c>
      <c r="G404" s="1" t="s">
        <v>119</v>
      </c>
      <c r="H404" s="1" t="s">
        <v>119</v>
      </c>
      <c r="I404" s="1" t="s">
        <v>127</v>
      </c>
      <c r="J404" s="1" t="s">
        <v>129</v>
      </c>
      <c r="K404" t="s">
        <v>90</v>
      </c>
      <c r="L404" s="6">
        <v>41243.18</v>
      </c>
      <c r="M404" s="6">
        <v>16004.799999999997</v>
      </c>
      <c r="N404" s="6">
        <v>25850.739999999998</v>
      </c>
      <c r="O404" s="6">
        <v>9646.7799999999988</v>
      </c>
      <c r="P404" s="6">
        <v>47711.310049999985</v>
      </c>
      <c r="Q404" s="6">
        <v>17236.665662999992</v>
      </c>
      <c r="R404" s="6">
        <v>38550.738520399987</v>
      </c>
      <c r="S404" s="6">
        <v>15323.918561858995</v>
      </c>
      <c r="T404" s="6">
        <v>17444.540229885057</v>
      </c>
      <c r="U404" s="6">
        <v>6819.3976887574217</v>
      </c>
      <c r="V404" s="30">
        <v>38550.738520399987</v>
      </c>
      <c r="W404" s="30">
        <v>15323.918561858995</v>
      </c>
      <c r="X404" s="30">
        <v>46646.393609683975</v>
      </c>
      <c r="Y404" s="30">
        <v>20789.249576071539</v>
      </c>
      <c r="Z404" s="30">
        <v>0</v>
      </c>
      <c r="AA404" s="30">
        <v>0</v>
      </c>
      <c r="AB404" s="34">
        <v>0.27866182966492897</v>
      </c>
      <c r="AC404" s="34">
        <v>0.23724262521794548</v>
      </c>
      <c r="AD404" s="34">
        <v>0.27022620036366224</v>
      </c>
      <c r="AE404" s="34">
        <v>0.35</v>
      </c>
      <c r="AF404" s="34">
        <v>0.35</v>
      </c>
      <c r="AG404" s="34">
        <v>0.52</v>
      </c>
      <c r="AH404" s="34">
        <v>0</v>
      </c>
      <c r="AI404" s="37">
        <f t="shared" si="58"/>
        <v>11492.900000000005</v>
      </c>
      <c r="AJ404" s="37">
        <f t="shared" si="59"/>
        <v>6132.8974214265518</v>
      </c>
      <c r="AK404" s="37">
        <f t="shared" si="60"/>
        <v>4713.9718234128859</v>
      </c>
      <c r="AL404" s="37">
        <f t="shared" si="61"/>
        <v>13492.758482139994</v>
      </c>
      <c r="AM404" s="37">
        <f t="shared" si="62"/>
        <v>13492.758482139994</v>
      </c>
      <c r="AN404" s="37">
        <f t="shared" si="63"/>
        <v>24256.124677035667</v>
      </c>
      <c r="AO404" s="37">
        <f t="shared" si="64"/>
        <v>0</v>
      </c>
    </row>
    <row r="405" spans="1:41" hidden="1" x14ac:dyDescent="0.3">
      <c r="A405" t="str">
        <f t="shared" si="56"/>
        <v>409dic</v>
      </c>
      <c r="B405" t="str">
        <f t="shared" si="57"/>
        <v>RAMADAdic</v>
      </c>
      <c r="C405" s="1" t="s">
        <v>79</v>
      </c>
      <c r="D405" s="1" t="s">
        <v>58</v>
      </c>
      <c r="E405" s="1">
        <v>409</v>
      </c>
      <c r="F405" s="1" t="s">
        <v>119</v>
      </c>
      <c r="G405" s="1" t="s">
        <v>119</v>
      </c>
      <c r="H405" s="1" t="s">
        <v>119</v>
      </c>
      <c r="I405" s="1" t="s">
        <v>127</v>
      </c>
      <c r="J405" s="1" t="s">
        <v>129</v>
      </c>
      <c r="K405" t="s">
        <v>91</v>
      </c>
      <c r="L405" s="6">
        <v>96111.689999999988</v>
      </c>
      <c r="M405" s="6">
        <v>38492.619999999988</v>
      </c>
      <c r="N405" s="6">
        <v>63440.45</v>
      </c>
      <c r="O405" s="6">
        <v>26199.729999999992</v>
      </c>
      <c r="P405" s="6">
        <v>68053.075100000031</v>
      </c>
      <c r="Q405" s="6">
        <v>28230.358040000017</v>
      </c>
      <c r="R405" s="6">
        <v>72170.286143550038</v>
      </c>
      <c r="S405" s="6">
        <v>33487.012770607224</v>
      </c>
      <c r="T405" s="6">
        <v>56886.594827586203</v>
      </c>
      <c r="U405" s="6">
        <v>26785.297966355924</v>
      </c>
      <c r="V405" s="30">
        <v>72170.286143550038</v>
      </c>
      <c r="W405" s="30">
        <v>33487.012770607224</v>
      </c>
      <c r="X405" s="30">
        <v>77222.206173598548</v>
      </c>
      <c r="Y405" s="30">
        <v>37321.714359635247</v>
      </c>
      <c r="Z405" s="30">
        <v>0</v>
      </c>
      <c r="AA405" s="30">
        <v>0</v>
      </c>
      <c r="AB405" s="34">
        <v>0.30740641434980498</v>
      </c>
      <c r="AC405" s="34">
        <v>0.44584053664295747</v>
      </c>
      <c r="AD405" s="34">
        <v>0.4003272592364151</v>
      </c>
      <c r="AE405" s="34">
        <v>0.6</v>
      </c>
      <c r="AF405" s="34">
        <v>0.6</v>
      </c>
      <c r="AG405" s="34">
        <v>0.68</v>
      </c>
      <c r="AH405" s="34">
        <v>0</v>
      </c>
      <c r="AI405" s="37">
        <f t="shared" si="58"/>
        <v>29545.350000000002</v>
      </c>
      <c r="AJ405" s="37">
        <f t="shared" si="59"/>
        <v>28284.324272870712</v>
      </c>
      <c r="AK405" s="37">
        <f t="shared" si="60"/>
        <v>22773.254594620012</v>
      </c>
      <c r="AL405" s="37">
        <f t="shared" si="61"/>
        <v>43302.171686130023</v>
      </c>
      <c r="AM405" s="37">
        <f t="shared" si="62"/>
        <v>43302.171686130023</v>
      </c>
      <c r="AN405" s="37">
        <f t="shared" si="63"/>
        <v>52511.100198047017</v>
      </c>
      <c r="AO405" s="37">
        <f t="shared" si="64"/>
        <v>0</v>
      </c>
    </row>
    <row r="406" spans="1:41" hidden="1" x14ac:dyDescent="0.3">
      <c r="A406" t="str">
        <f t="shared" si="56"/>
        <v>301ene</v>
      </c>
      <c r="B406" t="str">
        <f t="shared" si="57"/>
        <v>SAN MARTINene</v>
      </c>
      <c r="C406" s="1" t="s">
        <v>79</v>
      </c>
      <c r="D406" s="1" t="s">
        <v>59</v>
      </c>
      <c r="E406" s="1">
        <v>301</v>
      </c>
      <c r="F406" s="1" t="s">
        <v>119</v>
      </c>
      <c r="G406" s="1" t="s">
        <v>119</v>
      </c>
      <c r="H406" s="1" t="s">
        <v>119</v>
      </c>
      <c r="I406" s="1" t="s">
        <v>124</v>
      </c>
      <c r="J406" s="1" t="s">
        <v>129</v>
      </c>
      <c r="K406" t="s">
        <v>80</v>
      </c>
      <c r="L406" s="6">
        <v>43807.320000000007</v>
      </c>
      <c r="M406" s="6">
        <v>20984.65</v>
      </c>
      <c r="N406" s="6">
        <v>40623.100000000006</v>
      </c>
      <c r="O406" s="6">
        <v>18691.04</v>
      </c>
      <c r="P406" s="6">
        <v>38581.197350000002</v>
      </c>
      <c r="Q406" s="6">
        <v>17452.000923750002</v>
      </c>
      <c r="R406" s="6">
        <v>34338.87000000001</v>
      </c>
      <c r="S406" s="6">
        <v>16756.74877537533</v>
      </c>
      <c r="T406" s="6">
        <v>34338.87000000001</v>
      </c>
      <c r="U406" s="6">
        <v>16705.250000000007</v>
      </c>
      <c r="V406" s="30">
        <v>38581.197350000002</v>
      </c>
      <c r="W406" s="30">
        <v>18769.066863035612</v>
      </c>
      <c r="X406" s="30">
        <v>41281.88116450001</v>
      </c>
      <c r="Y406" s="30">
        <v>20481.025796236056</v>
      </c>
      <c r="Z406" s="30">
        <v>28607.040229885071</v>
      </c>
      <c r="AA406" s="30">
        <v>16265.162768511214</v>
      </c>
      <c r="AB406" s="34">
        <v>0.59940096769215745</v>
      </c>
      <c r="AC406" s="34">
        <v>0.56857781335959801</v>
      </c>
      <c r="AD406" s="34">
        <v>0.63199267119538849</v>
      </c>
      <c r="AE406" s="34">
        <v>0.63199267119538771</v>
      </c>
      <c r="AF406" s="34">
        <v>0.63199267119538771</v>
      </c>
      <c r="AG406" s="34">
        <v>0.7</v>
      </c>
      <c r="AH406" s="34">
        <v>0.98149217749428697</v>
      </c>
      <c r="AI406" s="37">
        <f t="shared" si="58"/>
        <v>26258.150000000009</v>
      </c>
      <c r="AJ406" s="37">
        <f t="shared" si="59"/>
        <v>23097.39336988829</v>
      </c>
      <c r="AK406" s="37">
        <f t="shared" si="60"/>
        <v>21701.914177131195</v>
      </c>
      <c r="AL406" s="37">
        <f t="shared" si="61"/>
        <v>21701.91417713117</v>
      </c>
      <c r="AM406" s="37">
        <f t="shared" si="62"/>
        <v>24383.033971142915</v>
      </c>
      <c r="AN406" s="37">
        <f t="shared" si="63"/>
        <v>28897.316815150003</v>
      </c>
      <c r="AO406" s="37">
        <f t="shared" si="64"/>
        <v>28077.586206896565</v>
      </c>
    </row>
    <row r="407" spans="1:41" hidden="1" x14ac:dyDescent="0.3">
      <c r="A407" t="str">
        <f t="shared" si="56"/>
        <v>301feb</v>
      </c>
      <c r="B407" t="str">
        <f t="shared" si="57"/>
        <v>SAN MARTINfeb</v>
      </c>
      <c r="C407" s="1" t="s">
        <v>79</v>
      </c>
      <c r="D407" s="1" t="s">
        <v>59</v>
      </c>
      <c r="E407" s="1">
        <v>301</v>
      </c>
      <c r="F407" s="1" t="s">
        <v>119</v>
      </c>
      <c r="G407" s="1" t="s">
        <v>119</v>
      </c>
      <c r="H407" s="1" t="s">
        <v>119</v>
      </c>
      <c r="I407" s="1" t="s">
        <v>124</v>
      </c>
      <c r="J407" s="1" t="s">
        <v>129</v>
      </c>
      <c r="K407" t="s">
        <v>81</v>
      </c>
      <c r="L407" s="6">
        <v>80154.12</v>
      </c>
      <c r="M407" s="6">
        <v>29988.879999999997</v>
      </c>
      <c r="N407" s="6">
        <v>46072</v>
      </c>
      <c r="O407" s="6">
        <v>19468.130000000008</v>
      </c>
      <c r="P407" s="6">
        <v>72167.434449999986</v>
      </c>
      <c r="Q407" s="6">
        <v>28583.867993749995</v>
      </c>
      <c r="R407" s="6">
        <v>52763.929999999986</v>
      </c>
      <c r="S407" s="6">
        <v>19659.979146070615</v>
      </c>
      <c r="T407" s="6">
        <v>52763.929999999978</v>
      </c>
      <c r="U407" s="6">
        <v>19573.539999999979</v>
      </c>
      <c r="V407" s="30">
        <v>72167.434449999986</v>
      </c>
      <c r="W407" s="30">
        <v>26771.549520751236</v>
      </c>
      <c r="X407" s="30">
        <v>75054.131827999983</v>
      </c>
      <c r="Y407" s="30">
        <v>32597.608958720441</v>
      </c>
      <c r="Z407" s="30">
        <v>47271.408045977078</v>
      </c>
      <c r="AA407" s="30">
        <v>20529.712163911445</v>
      </c>
      <c r="AB407" s="34">
        <v>0.29459408948660482</v>
      </c>
      <c r="AC407" s="34">
        <v>0.40129250800562893</v>
      </c>
      <c r="AD407" s="34">
        <v>0.21834023298353802</v>
      </c>
      <c r="AE407" s="34">
        <v>0.21834023298353714</v>
      </c>
      <c r="AF407" s="34">
        <v>0.21834023298353714</v>
      </c>
      <c r="AG407" s="34">
        <v>0.39000000000000007</v>
      </c>
      <c r="AH407" s="34">
        <v>0.3861292548228164</v>
      </c>
      <c r="AI407" s="37">
        <f t="shared" si="58"/>
        <v>23612.930000000058</v>
      </c>
      <c r="AJ407" s="37">
        <f t="shared" si="59"/>
        <v>18488.348428835336</v>
      </c>
      <c r="AK407" s="37">
        <f t="shared" si="60"/>
        <v>11520.488769327087</v>
      </c>
      <c r="AL407" s="37">
        <f t="shared" si="61"/>
        <v>11520.488769327041</v>
      </c>
      <c r="AM407" s="37">
        <f t="shared" si="62"/>
        <v>15757.054451637141</v>
      </c>
      <c r="AN407" s="37">
        <f t="shared" si="63"/>
        <v>29271.11141292</v>
      </c>
      <c r="AO407" s="37">
        <f t="shared" si="64"/>
        <v>18252.873563218418</v>
      </c>
    </row>
    <row r="408" spans="1:41" hidden="1" x14ac:dyDescent="0.3">
      <c r="A408" t="str">
        <f t="shared" si="56"/>
        <v>301mar</v>
      </c>
      <c r="B408" t="str">
        <f t="shared" si="57"/>
        <v>SAN MARTINmar</v>
      </c>
      <c r="C408" s="1" t="s">
        <v>79</v>
      </c>
      <c r="D408" s="1" t="s">
        <v>59</v>
      </c>
      <c r="E408" s="1">
        <v>301</v>
      </c>
      <c r="F408" s="1" t="s">
        <v>119</v>
      </c>
      <c r="G408" s="1" t="s">
        <v>119</v>
      </c>
      <c r="H408" s="1" t="s">
        <v>119</v>
      </c>
      <c r="I408" s="1" t="s">
        <v>124</v>
      </c>
      <c r="J408" s="1" t="s">
        <v>129</v>
      </c>
      <c r="K408" t="s">
        <v>82</v>
      </c>
      <c r="L408" s="6">
        <v>49930.28</v>
      </c>
      <c r="M408" s="6">
        <v>22023.279999999999</v>
      </c>
      <c r="N408" s="6">
        <v>71681.310000000012</v>
      </c>
      <c r="O408" s="6">
        <v>29193.130000000008</v>
      </c>
      <c r="P408" s="6">
        <v>41600.356134999987</v>
      </c>
      <c r="Q408" s="6">
        <v>17521.793113599997</v>
      </c>
      <c r="R408" s="6">
        <v>45949.160000000025</v>
      </c>
      <c r="S408" s="6">
        <v>21198.502054722147</v>
      </c>
      <c r="T408" s="6">
        <v>45949.160000000011</v>
      </c>
      <c r="U408" s="6">
        <v>21166.770000000011</v>
      </c>
      <c r="V408" s="30">
        <v>45949.160000000062</v>
      </c>
      <c r="W408" s="30">
        <v>21166.770000000037</v>
      </c>
      <c r="X408" s="30">
        <v>47787.126400000066</v>
      </c>
      <c r="Y408" s="30">
        <v>23517.901671422758</v>
      </c>
      <c r="Z408" s="30">
        <v>46911.270995689789</v>
      </c>
      <c r="AA408" s="30">
        <v>23267.990413862135</v>
      </c>
      <c r="AB408" s="34">
        <v>0.41548995919910742</v>
      </c>
      <c r="AC408" s="34">
        <v>0.32347327792709674</v>
      </c>
      <c r="AD408" s="34">
        <v>0.48200609154002783</v>
      </c>
      <c r="AE408" s="34">
        <v>0.48200609154002766</v>
      </c>
      <c r="AF408" s="34">
        <v>0.48200609154002766</v>
      </c>
      <c r="AG408" s="34">
        <v>0.68</v>
      </c>
      <c r="AH408" s="34">
        <v>0.68701635628203939</v>
      </c>
      <c r="AI408" s="37">
        <f t="shared" si="58"/>
        <v>20745.53000000001</v>
      </c>
      <c r="AJ408" s="37">
        <f t="shared" si="59"/>
        <v>23186.988311808382</v>
      </c>
      <c r="AK408" s="37">
        <f t="shared" si="60"/>
        <v>22147.77502114739</v>
      </c>
      <c r="AL408" s="37">
        <f t="shared" si="61"/>
        <v>22147.77502114739</v>
      </c>
      <c r="AM408" s="37">
        <f t="shared" si="62"/>
        <v>22147.775021147409</v>
      </c>
      <c r="AN408" s="37">
        <f t="shared" si="63"/>
        <v>32495.245952000048</v>
      </c>
      <c r="AO408" s="37">
        <f t="shared" si="64"/>
        <v>32228.810468018117</v>
      </c>
    </row>
    <row r="409" spans="1:41" hidden="1" x14ac:dyDescent="0.3">
      <c r="A409" t="str">
        <f t="shared" si="56"/>
        <v>301abr</v>
      </c>
      <c r="B409" t="str">
        <f t="shared" si="57"/>
        <v>SAN MARTINabr</v>
      </c>
      <c r="C409" s="1" t="s">
        <v>79</v>
      </c>
      <c r="D409" s="1" t="s">
        <v>59</v>
      </c>
      <c r="E409" s="1">
        <v>301</v>
      </c>
      <c r="F409" s="1" t="s">
        <v>119</v>
      </c>
      <c r="G409" s="1" t="s">
        <v>119</v>
      </c>
      <c r="H409" s="1" t="s">
        <v>119</v>
      </c>
      <c r="I409" s="1" t="s">
        <v>124</v>
      </c>
      <c r="J409" s="1" t="s">
        <v>129</v>
      </c>
      <c r="K409" t="s">
        <v>83</v>
      </c>
      <c r="L409" s="6">
        <v>35637.409999999996</v>
      </c>
      <c r="M409" s="6">
        <v>17608.449999999993</v>
      </c>
      <c r="N409" s="6">
        <v>29856.94</v>
      </c>
      <c r="O409" s="6">
        <v>13770.009999999998</v>
      </c>
      <c r="P409" s="6">
        <v>34689.53676499999</v>
      </c>
      <c r="Q409" s="6">
        <v>16165.489742399997</v>
      </c>
      <c r="R409" s="6">
        <v>35710.250000000015</v>
      </c>
      <c r="S409" s="6">
        <v>17486.58000000002</v>
      </c>
      <c r="T409" s="6">
        <v>35710.250000000029</v>
      </c>
      <c r="U409" s="6">
        <v>17486.580000000027</v>
      </c>
      <c r="V409" s="30">
        <v>35710.250000000029</v>
      </c>
      <c r="W409" s="30">
        <v>17486.580000000027</v>
      </c>
      <c r="X409" s="30">
        <v>38209.967500000028</v>
      </c>
      <c r="Y409" s="30">
        <v>18956.968722486759</v>
      </c>
      <c r="Z409" s="30">
        <v>0</v>
      </c>
      <c r="AA409" s="30">
        <v>0</v>
      </c>
      <c r="AB409" s="34">
        <v>0.61970693156433099</v>
      </c>
      <c r="AC409" s="34">
        <v>0.56079483545436837</v>
      </c>
      <c r="AD409" s="34">
        <v>0.66669289629728223</v>
      </c>
      <c r="AE409" s="34">
        <v>0.66669289629728168</v>
      </c>
      <c r="AF409" s="34">
        <v>0.66669289629728168</v>
      </c>
      <c r="AG409" s="34">
        <v>0.7</v>
      </c>
      <c r="AH409" s="34">
        <v>0</v>
      </c>
      <c r="AI409" s="37">
        <f t="shared" si="58"/>
        <v>22084.750000000004</v>
      </c>
      <c r="AJ409" s="37">
        <f t="shared" si="59"/>
        <v>16743.61775447095</v>
      </c>
      <c r="AK409" s="37">
        <f t="shared" si="60"/>
        <v>23807.770000000044</v>
      </c>
      <c r="AL409" s="37">
        <f t="shared" si="61"/>
        <v>23807.770000000011</v>
      </c>
      <c r="AM409" s="37">
        <f t="shared" si="62"/>
        <v>23807.770000000022</v>
      </c>
      <c r="AN409" s="37">
        <f t="shared" si="63"/>
        <v>26746.977250000018</v>
      </c>
      <c r="AO409" s="37">
        <f t="shared" si="64"/>
        <v>0</v>
      </c>
    </row>
    <row r="410" spans="1:41" hidden="1" x14ac:dyDescent="0.3">
      <c r="A410" t="str">
        <f t="shared" si="56"/>
        <v>301may</v>
      </c>
      <c r="B410" t="str">
        <f t="shared" si="57"/>
        <v>SAN MARTINmay</v>
      </c>
      <c r="C410" s="1" t="s">
        <v>79</v>
      </c>
      <c r="D410" s="1" t="s">
        <v>59</v>
      </c>
      <c r="E410" s="1">
        <v>301</v>
      </c>
      <c r="F410" s="1" t="s">
        <v>119</v>
      </c>
      <c r="G410" s="1" t="s">
        <v>119</v>
      </c>
      <c r="H410" s="1" t="s">
        <v>119</v>
      </c>
      <c r="I410" s="1" t="s">
        <v>124</v>
      </c>
      <c r="J410" s="1" t="s">
        <v>129</v>
      </c>
      <c r="K410" t="s">
        <v>84</v>
      </c>
      <c r="L410" s="6">
        <v>39849.730000000003</v>
      </c>
      <c r="M410" s="6">
        <v>19823.350000000002</v>
      </c>
      <c r="N410" s="6">
        <v>27152.100000000002</v>
      </c>
      <c r="O410" s="6">
        <v>12889</v>
      </c>
      <c r="P410" s="6">
        <v>36130.436349999989</v>
      </c>
      <c r="Q410" s="6">
        <v>16000.831406499992</v>
      </c>
      <c r="R410" s="6">
        <v>31270.959999999999</v>
      </c>
      <c r="S410" s="6">
        <v>15981.287743043544</v>
      </c>
      <c r="T410" s="6">
        <v>31270.959999999999</v>
      </c>
      <c r="U410" s="6">
        <v>15932.110000000011</v>
      </c>
      <c r="V410" s="30">
        <v>31270.959999999999</v>
      </c>
      <c r="W410" s="30">
        <v>15932.110000000013</v>
      </c>
      <c r="X410" s="30">
        <v>33459.927199999991</v>
      </c>
      <c r="Y410" s="30">
        <v>16600.348937409683</v>
      </c>
      <c r="Z410" s="30">
        <v>0</v>
      </c>
      <c r="AA410" s="30">
        <v>0</v>
      </c>
      <c r="AB410" s="34">
        <v>0.61938286658403985</v>
      </c>
      <c r="AC410" s="34">
        <v>0.577341101414101</v>
      </c>
      <c r="AD410" s="34">
        <v>0.71822486240713757</v>
      </c>
      <c r="AE410" s="34">
        <v>0.71822486240713723</v>
      </c>
      <c r="AF410" s="34">
        <v>0.71822486240713723</v>
      </c>
      <c r="AG410" s="34">
        <v>0.70000000000000007</v>
      </c>
      <c r="AH410" s="34">
        <v>0</v>
      </c>
      <c r="AI410" s="37">
        <f t="shared" si="58"/>
        <v>24682.240000000013</v>
      </c>
      <c r="AJ410" s="37">
        <f t="shared" si="59"/>
        <v>15676.023319705813</v>
      </c>
      <c r="AK410" s="37">
        <f t="shared" si="60"/>
        <v>22459.5809433391</v>
      </c>
      <c r="AL410" s="37">
        <f t="shared" si="61"/>
        <v>22459.580943339093</v>
      </c>
      <c r="AM410" s="37">
        <f t="shared" si="62"/>
        <v>22459.580943339093</v>
      </c>
      <c r="AN410" s="37">
        <f t="shared" si="63"/>
        <v>23421.949039999996</v>
      </c>
      <c r="AO410" s="37">
        <f t="shared" si="64"/>
        <v>0</v>
      </c>
    </row>
    <row r="411" spans="1:41" hidden="1" x14ac:dyDescent="0.3">
      <c r="A411" t="str">
        <f t="shared" si="56"/>
        <v>301jun</v>
      </c>
      <c r="B411" t="str">
        <f t="shared" si="57"/>
        <v>SAN MARTINjun</v>
      </c>
      <c r="C411" s="1" t="s">
        <v>79</v>
      </c>
      <c r="D411" s="1" t="s">
        <v>59</v>
      </c>
      <c r="E411" s="1">
        <v>301</v>
      </c>
      <c r="F411" s="1" t="s">
        <v>119</v>
      </c>
      <c r="G411" s="1" t="s">
        <v>119</v>
      </c>
      <c r="H411" s="1" t="s">
        <v>119</v>
      </c>
      <c r="I411" s="1" t="s">
        <v>124</v>
      </c>
      <c r="J411" s="1" t="s">
        <v>129</v>
      </c>
      <c r="K411" t="s">
        <v>85</v>
      </c>
      <c r="L411" s="6">
        <v>38990.710000000006</v>
      </c>
      <c r="M411" s="6">
        <v>19076.280000000002</v>
      </c>
      <c r="N411" s="6">
        <v>20977.22</v>
      </c>
      <c r="O411" s="6">
        <v>10158.500000000002</v>
      </c>
      <c r="P411" s="6">
        <v>31035.315249999981</v>
      </c>
      <c r="Q411" s="6">
        <v>14660.223602499993</v>
      </c>
      <c r="R411" s="6">
        <v>36894.419999999984</v>
      </c>
      <c r="S411" s="6">
        <v>19158.909999999989</v>
      </c>
      <c r="T411" s="6">
        <v>36894.42</v>
      </c>
      <c r="U411" s="6">
        <v>19158.910000000018</v>
      </c>
      <c r="V411" s="30">
        <v>36894.42</v>
      </c>
      <c r="W411" s="30">
        <v>19158.910000000018</v>
      </c>
      <c r="X411" s="30">
        <v>39477.029399999992</v>
      </c>
      <c r="Y411" s="30">
        <v>19585.591419110468</v>
      </c>
      <c r="Z411" s="30">
        <v>0</v>
      </c>
      <c r="AA411" s="30">
        <v>0</v>
      </c>
      <c r="AB411" s="34">
        <v>0.57300469778570295</v>
      </c>
      <c r="AC411" s="34">
        <v>0.65102333761110365</v>
      </c>
      <c r="AD411" s="34">
        <v>0.76480887895784821</v>
      </c>
      <c r="AE411" s="34">
        <v>0.76480887895784833</v>
      </c>
      <c r="AF411" s="34">
        <v>0.76480887895784833</v>
      </c>
      <c r="AG411" s="34">
        <v>0.7</v>
      </c>
      <c r="AH411" s="34">
        <v>0</v>
      </c>
      <c r="AI411" s="37">
        <f t="shared" si="58"/>
        <v>22341.85999999999</v>
      </c>
      <c r="AJ411" s="37">
        <f t="shared" si="59"/>
        <v>13656.659778202396</v>
      </c>
      <c r="AK411" s="37">
        <f t="shared" si="60"/>
        <v>28217.180000000011</v>
      </c>
      <c r="AL411" s="37">
        <f t="shared" si="61"/>
        <v>28217.180000000008</v>
      </c>
      <c r="AM411" s="37">
        <f t="shared" si="62"/>
        <v>28217.180000000018</v>
      </c>
      <c r="AN411" s="37">
        <f t="shared" si="63"/>
        <v>27633.920579999995</v>
      </c>
      <c r="AO411" s="37">
        <f t="shared" si="64"/>
        <v>0</v>
      </c>
    </row>
    <row r="412" spans="1:41" hidden="1" x14ac:dyDescent="0.3">
      <c r="A412" t="str">
        <f t="shared" si="56"/>
        <v>301jul</v>
      </c>
      <c r="B412" t="str">
        <f t="shared" si="57"/>
        <v>SAN MARTINjul</v>
      </c>
      <c r="C412" s="1" t="s">
        <v>79</v>
      </c>
      <c r="D412" s="1" t="s">
        <v>59</v>
      </c>
      <c r="E412" s="1">
        <v>301</v>
      </c>
      <c r="F412" s="1" t="s">
        <v>119</v>
      </c>
      <c r="G412" s="1" t="s">
        <v>119</v>
      </c>
      <c r="H412" s="1" t="s">
        <v>119</v>
      </c>
      <c r="I412" s="1" t="s">
        <v>124</v>
      </c>
      <c r="J412" s="1" t="s">
        <v>129</v>
      </c>
      <c r="K412" t="s">
        <v>86</v>
      </c>
      <c r="L412" s="6">
        <v>41490.229999999996</v>
      </c>
      <c r="M412" s="6">
        <v>20498.279999999992</v>
      </c>
      <c r="N412" s="6">
        <v>36107.01999999999</v>
      </c>
      <c r="O412" s="6">
        <v>17373.939999999995</v>
      </c>
      <c r="P412" s="6">
        <v>32602.66759999999</v>
      </c>
      <c r="Q412" s="6">
        <v>15399.361303999993</v>
      </c>
      <c r="R412" s="6">
        <v>35803.49</v>
      </c>
      <c r="S412" s="6">
        <v>18795.400000000041</v>
      </c>
      <c r="T412" s="6">
        <v>35803.489999999969</v>
      </c>
      <c r="U412" s="6">
        <v>18795.399999999958</v>
      </c>
      <c r="V412" s="30">
        <v>35803.490000000005</v>
      </c>
      <c r="W412" s="30">
        <v>18795.399999999976</v>
      </c>
      <c r="X412" s="30">
        <v>37951.699400000005</v>
      </c>
      <c r="Y412" s="30">
        <v>18828.835132901357</v>
      </c>
      <c r="Z412" s="30">
        <v>0</v>
      </c>
      <c r="AA412" s="30">
        <v>0</v>
      </c>
      <c r="AB412" s="34">
        <v>0.63659878482235488</v>
      </c>
      <c r="AC412" s="34">
        <v>0.61012378066947659</v>
      </c>
      <c r="AD412" s="34">
        <v>0.81142592523801482</v>
      </c>
      <c r="AE412" s="34">
        <v>0.81142592523801493</v>
      </c>
      <c r="AF412" s="34">
        <v>0.81142592523801493</v>
      </c>
      <c r="AG412" s="34">
        <v>0.70000000000000007</v>
      </c>
      <c r="AH412" s="34">
        <v>0</v>
      </c>
      <c r="AI412" s="37">
        <f t="shared" si="58"/>
        <v>26412.630000000012</v>
      </c>
      <c r="AJ412" s="37">
        <f t="shared" si="59"/>
        <v>22029.751551108398</v>
      </c>
      <c r="AK412" s="37">
        <f t="shared" si="60"/>
        <v>29051.879999999986</v>
      </c>
      <c r="AL412" s="37">
        <f t="shared" si="61"/>
        <v>29051.880000000012</v>
      </c>
      <c r="AM412" s="37">
        <f t="shared" si="62"/>
        <v>29051.880000000019</v>
      </c>
      <c r="AN412" s="37">
        <f t="shared" si="63"/>
        <v>26566.189580000006</v>
      </c>
      <c r="AO412" s="37">
        <f t="shared" si="64"/>
        <v>0</v>
      </c>
    </row>
    <row r="413" spans="1:41" hidden="1" x14ac:dyDescent="0.3">
      <c r="A413" t="str">
        <f t="shared" si="56"/>
        <v>301ago</v>
      </c>
      <c r="B413" t="str">
        <f t="shared" si="57"/>
        <v>SAN MARTINago</v>
      </c>
      <c r="C413" s="1" t="s">
        <v>79</v>
      </c>
      <c r="D413" s="1" t="s">
        <v>59</v>
      </c>
      <c r="E413" s="1">
        <v>301</v>
      </c>
      <c r="F413" s="1" t="s">
        <v>119</v>
      </c>
      <c r="G413" s="1" t="s">
        <v>119</v>
      </c>
      <c r="H413" s="1" t="s">
        <v>119</v>
      </c>
      <c r="I413" s="1" t="s">
        <v>124</v>
      </c>
      <c r="J413" s="1" t="s">
        <v>129</v>
      </c>
      <c r="K413" t="s">
        <v>87</v>
      </c>
      <c r="L413" s="6">
        <v>127657.23000000001</v>
      </c>
      <c r="M413" s="6">
        <v>42533.139999999992</v>
      </c>
      <c r="N413" s="6">
        <v>71054.049999999988</v>
      </c>
      <c r="O413" s="6">
        <v>26130.989999999991</v>
      </c>
      <c r="P413" s="6">
        <v>73070.621800000037</v>
      </c>
      <c r="Q413" s="6">
        <v>27340.728579500017</v>
      </c>
      <c r="R413" s="6">
        <v>67907.011572605436</v>
      </c>
      <c r="S413" s="6">
        <v>26910.869616107811</v>
      </c>
      <c r="T413" s="6">
        <v>78747.749999999927</v>
      </c>
      <c r="U413" s="6">
        <v>33442.719999999921</v>
      </c>
      <c r="V413" s="30">
        <v>78747.750000000189</v>
      </c>
      <c r="W413" s="30">
        <v>31206.945847500076</v>
      </c>
      <c r="X413" s="30">
        <v>81110.182500000199</v>
      </c>
      <c r="Y413" s="30">
        <v>35227.880828262088</v>
      </c>
      <c r="Z413" s="30">
        <v>0</v>
      </c>
      <c r="AA413" s="30">
        <v>0</v>
      </c>
      <c r="AB413" s="34">
        <v>0.17852870534634013</v>
      </c>
      <c r="AC413" s="34">
        <v>0.24513312528444076</v>
      </c>
      <c r="AD413" s="34">
        <v>0.3621844433650499</v>
      </c>
      <c r="AE413" s="34">
        <v>0.27</v>
      </c>
      <c r="AF413" s="34">
        <v>0.27</v>
      </c>
      <c r="AG413" s="34">
        <v>0.38999999999999996</v>
      </c>
      <c r="AH413" s="34">
        <v>0</v>
      </c>
      <c r="AI413" s="37">
        <f t="shared" si="58"/>
        <v>22790.479999999974</v>
      </c>
      <c r="AJ413" s="37">
        <f t="shared" si="59"/>
        <v>17417.701340616914</v>
      </c>
      <c r="AK413" s="37">
        <f t="shared" si="60"/>
        <v>28521.210000000083</v>
      </c>
      <c r="AL413" s="37">
        <f t="shared" si="61"/>
        <v>18334.89312460347</v>
      </c>
      <c r="AM413" s="37">
        <f t="shared" si="62"/>
        <v>21261.892500000053</v>
      </c>
      <c r="AN413" s="37">
        <f t="shared" si="63"/>
        <v>31632.971175000075</v>
      </c>
      <c r="AO413" s="37">
        <f t="shared" si="64"/>
        <v>0</v>
      </c>
    </row>
    <row r="414" spans="1:41" hidden="1" x14ac:dyDescent="0.3">
      <c r="A414" t="str">
        <f t="shared" si="56"/>
        <v>301sep</v>
      </c>
      <c r="B414" t="str">
        <f t="shared" si="57"/>
        <v>SAN MARTINsep</v>
      </c>
      <c r="C414" s="1" t="s">
        <v>79</v>
      </c>
      <c r="D414" s="1" t="s">
        <v>59</v>
      </c>
      <c r="E414" s="1">
        <v>301</v>
      </c>
      <c r="F414" s="1" t="s">
        <v>119</v>
      </c>
      <c r="G414" s="1" t="s">
        <v>119</v>
      </c>
      <c r="H414" s="1" t="s">
        <v>119</v>
      </c>
      <c r="I414" s="1" t="s">
        <v>124</v>
      </c>
      <c r="J414" s="1" t="s">
        <v>129</v>
      </c>
      <c r="K414" t="s">
        <v>88</v>
      </c>
      <c r="L414" s="6">
        <v>18879.599999999999</v>
      </c>
      <c r="M414" s="6">
        <v>8630.7899999999972</v>
      </c>
      <c r="N414" s="6">
        <v>40005.919999999998</v>
      </c>
      <c r="O414" s="6">
        <v>17760.209999999992</v>
      </c>
      <c r="P414" s="6">
        <v>32451.523649999988</v>
      </c>
      <c r="Q414" s="6">
        <v>15064.919951999993</v>
      </c>
      <c r="R414" s="6">
        <v>32608.913539702487</v>
      </c>
      <c r="S414" s="6">
        <v>15792.496827277915</v>
      </c>
      <c r="T414" s="6">
        <v>31389.860000000022</v>
      </c>
      <c r="U414" s="6">
        <v>15926.110000000022</v>
      </c>
      <c r="V414" s="30">
        <v>31389.860000000022</v>
      </c>
      <c r="W414" s="30">
        <v>15926.110000000022</v>
      </c>
      <c r="X414" s="30">
        <v>33273.251600000025</v>
      </c>
      <c r="Y414" s="30">
        <v>16375.059945377036</v>
      </c>
      <c r="Z414" s="30">
        <v>0</v>
      </c>
      <c r="AA414" s="30">
        <v>0</v>
      </c>
      <c r="AB414" s="34">
        <v>0.44946556071103244</v>
      </c>
      <c r="AC414" s="34">
        <v>0.48462639202433594</v>
      </c>
      <c r="AD414" s="34">
        <v>0.72517335215894574</v>
      </c>
      <c r="AE414" s="34">
        <v>0.64999999999999991</v>
      </c>
      <c r="AF414" s="34">
        <v>0.64999999999999991</v>
      </c>
      <c r="AG414" s="34">
        <v>0.67999999999999994</v>
      </c>
      <c r="AH414" s="34">
        <v>0</v>
      </c>
      <c r="AI414" s="37">
        <f t="shared" si="58"/>
        <v>8485.7300000000068</v>
      </c>
      <c r="AJ414" s="37">
        <f t="shared" si="59"/>
        <v>19387.924669214222</v>
      </c>
      <c r="AK414" s="37">
        <f t="shared" si="60"/>
        <v>22763.090000000022</v>
      </c>
      <c r="AL414" s="37">
        <f t="shared" si="61"/>
        <v>21195.793800806616</v>
      </c>
      <c r="AM414" s="37">
        <f t="shared" si="62"/>
        <v>20403.409000000011</v>
      </c>
      <c r="AN414" s="37">
        <f t="shared" si="63"/>
        <v>22625.811088000017</v>
      </c>
      <c r="AO414" s="37">
        <f t="shared" si="64"/>
        <v>0</v>
      </c>
    </row>
    <row r="415" spans="1:41" hidden="1" x14ac:dyDescent="0.3">
      <c r="A415" t="str">
        <f t="shared" si="56"/>
        <v>301oct</v>
      </c>
      <c r="B415" t="str">
        <f t="shared" si="57"/>
        <v>SAN MARTINoct</v>
      </c>
      <c r="C415" s="1" t="s">
        <v>79</v>
      </c>
      <c r="D415" s="1" t="s">
        <v>59</v>
      </c>
      <c r="E415" s="1">
        <v>301</v>
      </c>
      <c r="F415" s="1" t="s">
        <v>119</v>
      </c>
      <c r="G415" s="1" t="s">
        <v>119</v>
      </c>
      <c r="H415" s="1" t="s">
        <v>119</v>
      </c>
      <c r="I415" s="1" t="s">
        <v>124</v>
      </c>
      <c r="J415" s="1" t="s">
        <v>129</v>
      </c>
      <c r="K415" t="s">
        <v>89</v>
      </c>
      <c r="L415" s="6">
        <v>0</v>
      </c>
      <c r="M415" s="6">
        <v>0</v>
      </c>
      <c r="N415" s="6">
        <v>32819.54</v>
      </c>
      <c r="O415" s="6">
        <v>15128.759999999995</v>
      </c>
      <c r="P415" s="6">
        <v>34634.808499999985</v>
      </c>
      <c r="Q415" s="6">
        <v>16265.665744499993</v>
      </c>
      <c r="R415" s="6">
        <v>34802.787321224983</v>
      </c>
      <c r="S415" s="6">
        <v>17590.720823639957</v>
      </c>
      <c r="T415" s="6">
        <v>33968.200000000048</v>
      </c>
      <c r="U415" s="6">
        <v>17589.940000000053</v>
      </c>
      <c r="V415" s="30">
        <v>34802.787321224983</v>
      </c>
      <c r="W415" s="30">
        <v>17590.720823639957</v>
      </c>
      <c r="X415" s="30">
        <v>36890.954560498474</v>
      </c>
      <c r="Y415" s="30">
        <v>18302.571750317489</v>
      </c>
      <c r="Z415" s="30">
        <v>0</v>
      </c>
      <c r="AA415" s="30">
        <v>0</v>
      </c>
      <c r="AB415" s="34">
        <v>0</v>
      </c>
      <c r="AC415" s="34">
        <v>0.59106864581529828</v>
      </c>
      <c r="AD415" s="34">
        <v>0.68414546546475852</v>
      </c>
      <c r="AE415" s="34">
        <v>0.72</v>
      </c>
      <c r="AF415" s="34">
        <v>0.72</v>
      </c>
      <c r="AG415" s="34">
        <v>0.70000000000000007</v>
      </c>
      <c r="AH415" s="34">
        <v>0</v>
      </c>
      <c r="AI415" s="37">
        <f t="shared" si="58"/>
        <v>0</v>
      </c>
      <c r="AJ415" s="37">
        <f t="shared" si="59"/>
        <v>19398.601064081016</v>
      </c>
      <c r="AK415" s="37">
        <f t="shared" si="60"/>
        <v>23239.190000000042</v>
      </c>
      <c r="AL415" s="37">
        <f t="shared" si="61"/>
        <v>25058.006871281988</v>
      </c>
      <c r="AM415" s="37">
        <f t="shared" si="62"/>
        <v>25058.006871281988</v>
      </c>
      <c r="AN415" s="37">
        <f t="shared" si="63"/>
        <v>25823.668192348934</v>
      </c>
      <c r="AO415" s="37">
        <f t="shared" si="64"/>
        <v>0</v>
      </c>
    </row>
    <row r="416" spans="1:41" hidden="1" x14ac:dyDescent="0.3">
      <c r="A416" t="str">
        <f t="shared" si="56"/>
        <v>301nov</v>
      </c>
      <c r="B416" t="str">
        <f t="shared" si="57"/>
        <v>SAN MARTINnov</v>
      </c>
      <c r="C416" s="1" t="s">
        <v>79</v>
      </c>
      <c r="D416" s="1" t="s">
        <v>59</v>
      </c>
      <c r="E416" s="1">
        <v>301</v>
      </c>
      <c r="F416" s="1" t="s">
        <v>119</v>
      </c>
      <c r="G416" s="1" t="s">
        <v>119</v>
      </c>
      <c r="H416" s="1" t="s">
        <v>119</v>
      </c>
      <c r="I416" s="1" t="s">
        <v>124</v>
      </c>
      <c r="J416" s="1" t="s">
        <v>129</v>
      </c>
      <c r="K416" t="s">
        <v>90</v>
      </c>
      <c r="L416" s="6">
        <v>0</v>
      </c>
      <c r="M416" s="6">
        <v>0</v>
      </c>
      <c r="N416" s="6">
        <v>34301.869999999995</v>
      </c>
      <c r="O416" s="6">
        <v>15646.310000000001</v>
      </c>
      <c r="P416" s="6">
        <v>40290.105499999983</v>
      </c>
      <c r="Q416" s="6">
        <v>17083.034795499992</v>
      </c>
      <c r="R416" s="6">
        <v>40076.567940849985</v>
      </c>
      <c r="S416" s="6">
        <v>17260.977812124089</v>
      </c>
      <c r="T416" s="6">
        <v>48653.017241379304</v>
      </c>
      <c r="U416" s="6">
        <v>20264.923326508033</v>
      </c>
      <c r="V416" s="30">
        <v>46220.366379310341</v>
      </c>
      <c r="W416" s="30">
        <v>19907.111799568964</v>
      </c>
      <c r="X416" s="30">
        <v>48993.588362068971</v>
      </c>
      <c r="Y416" s="30">
        <v>22548.785619767419</v>
      </c>
      <c r="Z416" s="30">
        <v>0</v>
      </c>
      <c r="AA416" s="30">
        <v>0</v>
      </c>
      <c r="AB416" s="34">
        <v>0</v>
      </c>
      <c r="AC416" s="34">
        <v>0.48924531198251409</v>
      </c>
      <c r="AD416" s="34">
        <v>0.3621844433650499</v>
      </c>
      <c r="AE416" s="34">
        <v>0.35</v>
      </c>
      <c r="AF416" s="34">
        <v>0.35</v>
      </c>
      <c r="AG416" s="34">
        <v>0.52</v>
      </c>
      <c r="AH416" s="34">
        <v>0</v>
      </c>
      <c r="AI416" s="37">
        <f t="shared" si="58"/>
        <v>0</v>
      </c>
      <c r="AJ416" s="37">
        <f t="shared" si="59"/>
        <v>16782.029089733638</v>
      </c>
      <c r="AK416" s="37">
        <f t="shared" si="60"/>
        <v>17621.36596759914</v>
      </c>
      <c r="AL416" s="37">
        <f t="shared" si="61"/>
        <v>14026.798779297495</v>
      </c>
      <c r="AM416" s="37">
        <f t="shared" si="62"/>
        <v>16177.128232758618</v>
      </c>
      <c r="AN416" s="37">
        <f t="shared" si="63"/>
        <v>25476.665948275866</v>
      </c>
      <c r="AO416" s="37">
        <f t="shared" si="64"/>
        <v>0</v>
      </c>
    </row>
    <row r="417" spans="1:41" hidden="1" x14ac:dyDescent="0.3">
      <c r="A417" t="str">
        <f t="shared" si="56"/>
        <v>301dic</v>
      </c>
      <c r="B417" t="str">
        <f t="shared" si="57"/>
        <v>SAN MARTINdic</v>
      </c>
      <c r="C417" s="1" t="s">
        <v>79</v>
      </c>
      <c r="D417" s="1" t="s">
        <v>59</v>
      </c>
      <c r="E417" s="1">
        <v>301</v>
      </c>
      <c r="F417" s="1" t="s">
        <v>119</v>
      </c>
      <c r="G417" s="1" t="s">
        <v>119</v>
      </c>
      <c r="H417" s="1" t="s">
        <v>119</v>
      </c>
      <c r="I417" s="1" t="s">
        <v>124</v>
      </c>
      <c r="J417" s="1" t="s">
        <v>129</v>
      </c>
      <c r="K417" t="s">
        <v>91</v>
      </c>
      <c r="L417" s="6">
        <v>50874.720000000001</v>
      </c>
      <c r="M417" s="6">
        <v>22377.619999999995</v>
      </c>
      <c r="N417" s="6">
        <v>85321.989999999976</v>
      </c>
      <c r="O417" s="6">
        <v>41656.07999999998</v>
      </c>
      <c r="P417" s="6">
        <v>88837.773550000027</v>
      </c>
      <c r="Q417" s="6">
        <v>44085.637210500012</v>
      </c>
      <c r="R417" s="6">
        <v>88366.933350185034</v>
      </c>
      <c r="S417" s="6">
        <v>42875.63606150978</v>
      </c>
      <c r="T417" s="6">
        <v>74920.114942528715</v>
      </c>
      <c r="U417" s="6">
        <v>36825.36558679201</v>
      </c>
      <c r="V417" s="30">
        <v>88366.933350185034</v>
      </c>
      <c r="W417" s="30">
        <v>42875.63606150978</v>
      </c>
      <c r="X417" s="30">
        <v>93668.949351196119</v>
      </c>
      <c r="Y417" s="30">
        <v>46098.12948507625</v>
      </c>
      <c r="Z417" s="30">
        <v>0</v>
      </c>
      <c r="AA417" s="30">
        <v>0</v>
      </c>
      <c r="AB417" s="34">
        <v>0.273351283309274</v>
      </c>
      <c r="AC417" s="34">
        <v>0.596765829149705</v>
      </c>
      <c r="AD417" s="34">
        <v>0.48200609154002783</v>
      </c>
      <c r="AE417" s="34">
        <v>0.6</v>
      </c>
      <c r="AF417" s="34">
        <v>0.6</v>
      </c>
      <c r="AG417" s="34">
        <v>0.68</v>
      </c>
      <c r="AH417" s="34">
        <v>0</v>
      </c>
      <c r="AI417" s="37">
        <f t="shared" si="58"/>
        <v>13906.669999999989</v>
      </c>
      <c r="AJ417" s="37">
        <f t="shared" si="59"/>
        <v>50917.248107052823</v>
      </c>
      <c r="AK417" s="37">
        <f t="shared" si="60"/>
        <v>36111.951781177901</v>
      </c>
      <c r="AL417" s="37">
        <f t="shared" si="61"/>
        <v>53020.160010111016</v>
      </c>
      <c r="AM417" s="37">
        <f t="shared" si="62"/>
        <v>53020.160010111016</v>
      </c>
      <c r="AN417" s="37">
        <f t="shared" si="63"/>
        <v>63694.885558813367</v>
      </c>
      <c r="AO417" s="37">
        <f t="shared" si="64"/>
        <v>0</v>
      </c>
    </row>
    <row r="418" spans="1:41" hidden="1" x14ac:dyDescent="0.3">
      <c r="A418" t="str">
        <f t="shared" si="56"/>
        <v>203ene</v>
      </c>
      <c r="B418" t="str">
        <f t="shared" si="57"/>
        <v>SHOPPING NORTEene</v>
      </c>
      <c r="C418" s="1" t="s">
        <v>79</v>
      </c>
      <c r="D418" s="1" t="s">
        <v>60</v>
      </c>
      <c r="E418" s="1">
        <v>203</v>
      </c>
      <c r="F418" s="1" t="s">
        <v>119</v>
      </c>
      <c r="G418" s="1" t="s">
        <v>119</v>
      </c>
      <c r="H418" s="1" t="s">
        <v>119</v>
      </c>
      <c r="I418" s="1" t="s">
        <v>125</v>
      </c>
      <c r="J418" s="1" t="s">
        <v>133</v>
      </c>
      <c r="K418" t="s">
        <v>80</v>
      </c>
      <c r="L418" s="6">
        <v>66544.170000000013</v>
      </c>
      <c r="M418" s="6">
        <v>35210.47</v>
      </c>
      <c r="N418" s="6">
        <v>35894.569999999992</v>
      </c>
      <c r="O418" s="6">
        <v>18295.669999999998</v>
      </c>
      <c r="P418" s="6">
        <v>43986.245616666667</v>
      </c>
      <c r="Q418" s="6">
        <v>22385.699937583329</v>
      </c>
      <c r="R418" s="6">
        <v>33410.260000000009</v>
      </c>
      <c r="S418" s="6">
        <v>18111.420132985371</v>
      </c>
      <c r="T418" s="6">
        <v>33410.260000000009</v>
      </c>
      <c r="U418" s="6">
        <v>17990.770000000004</v>
      </c>
      <c r="V418" s="30">
        <v>43986.245616666667</v>
      </c>
      <c r="W418" s="30">
        <v>23685.730911790513</v>
      </c>
      <c r="X418" s="30">
        <v>45305.832985166664</v>
      </c>
      <c r="Y418" s="30">
        <v>24290.658742411968</v>
      </c>
      <c r="Z418" s="30">
        <v>36061.063218390846</v>
      </c>
      <c r="AA418" s="30">
        <v>20086.340246491232</v>
      </c>
      <c r="AB418" s="34">
        <v>0.77000900304264153</v>
      </c>
      <c r="AC418" s="34">
        <v>0.67507933409275178</v>
      </c>
      <c r="AD418" s="34">
        <v>0.85842065639573817</v>
      </c>
      <c r="AE418" s="34">
        <v>0.85842065639573828</v>
      </c>
      <c r="AF418" s="34">
        <v>0.85842065639573828</v>
      </c>
      <c r="AG418" s="34">
        <v>0.88</v>
      </c>
      <c r="AH418" s="34">
        <v>0.9737514194075344</v>
      </c>
      <c r="AI418" s="37">
        <f t="shared" si="58"/>
        <v>51239.610000000066</v>
      </c>
      <c r="AJ418" s="37">
        <f t="shared" si="59"/>
        <v>24231.68241314566</v>
      </c>
      <c r="AK418" s="37">
        <f t="shared" si="60"/>
        <v>28680.057319552285</v>
      </c>
      <c r="AL418" s="37">
        <f t="shared" si="61"/>
        <v>28680.057319552288</v>
      </c>
      <c r="AM418" s="37">
        <f t="shared" si="62"/>
        <v>37758.701834643165</v>
      </c>
      <c r="AN418" s="37">
        <f t="shared" si="63"/>
        <v>39869.133026946663</v>
      </c>
      <c r="AO418" s="37">
        <f t="shared" si="64"/>
        <v>35114.511494252918</v>
      </c>
    </row>
    <row r="419" spans="1:41" hidden="1" x14ac:dyDescent="0.3">
      <c r="A419" t="str">
        <f t="shared" si="56"/>
        <v>203feb</v>
      </c>
      <c r="B419" t="str">
        <f t="shared" si="57"/>
        <v>SHOPPING NORTEfeb</v>
      </c>
      <c r="C419" s="1" t="s">
        <v>79</v>
      </c>
      <c r="D419" s="1" t="s">
        <v>60</v>
      </c>
      <c r="E419" s="1">
        <v>203</v>
      </c>
      <c r="F419" s="1" t="s">
        <v>119</v>
      </c>
      <c r="G419" s="1" t="s">
        <v>119</v>
      </c>
      <c r="H419" s="1" t="s">
        <v>119</v>
      </c>
      <c r="I419" s="1" t="s">
        <v>125</v>
      </c>
      <c r="J419" s="1" t="s">
        <v>133</v>
      </c>
      <c r="K419" t="s">
        <v>81</v>
      </c>
      <c r="L419" s="6">
        <v>106402.2</v>
      </c>
      <c r="M419" s="6">
        <v>42111.729999999996</v>
      </c>
      <c r="N419" s="6">
        <v>39338.699999999997</v>
      </c>
      <c r="O419" s="6">
        <v>17890.309999999998</v>
      </c>
      <c r="P419" s="6">
        <v>63310.271899999992</v>
      </c>
      <c r="Q419" s="6">
        <v>27107.944579499999</v>
      </c>
      <c r="R419" s="6">
        <v>60399.52999999997</v>
      </c>
      <c r="S419" s="6">
        <v>26756.659726826125</v>
      </c>
      <c r="T419" s="6">
        <v>60399.529999999933</v>
      </c>
      <c r="U419" s="6">
        <v>26552.349999999911</v>
      </c>
      <c r="V419" s="30">
        <v>63310.271899999992</v>
      </c>
      <c r="W419" s="30">
        <v>27831.946673822811</v>
      </c>
      <c r="X419" s="30">
        <v>63943.374618999995</v>
      </c>
      <c r="Y419" s="30">
        <v>29375.014535528426</v>
      </c>
      <c r="Z419" s="30">
        <v>63952.011494253013</v>
      </c>
      <c r="AA419" s="30">
        <v>29489.728941581023</v>
      </c>
      <c r="AB419" s="34">
        <v>0.30251385779617307</v>
      </c>
      <c r="AC419" s="34">
        <v>0.49583222468141452</v>
      </c>
      <c r="AD419" s="34">
        <v>0.32065149985157854</v>
      </c>
      <c r="AE419" s="34">
        <v>0.32065149985157787</v>
      </c>
      <c r="AF419" s="34">
        <v>0.32065149985157787</v>
      </c>
      <c r="AG419" s="34">
        <v>0.4</v>
      </c>
      <c r="AH419" s="34">
        <v>0.41286794606228622</v>
      </c>
      <c r="AI419" s="37">
        <f t="shared" si="58"/>
        <v>32188.139999999967</v>
      </c>
      <c r="AJ419" s="37">
        <f t="shared" si="59"/>
        <v>19505.39513707476</v>
      </c>
      <c r="AK419" s="37">
        <f t="shared" si="60"/>
        <v>19367.199884830392</v>
      </c>
      <c r="AL419" s="37">
        <f t="shared" si="61"/>
        <v>19367.199884830363</v>
      </c>
      <c r="AM419" s="37">
        <f t="shared" si="62"/>
        <v>20300.533640746202</v>
      </c>
      <c r="AN419" s="37">
        <f t="shared" si="63"/>
        <v>25577.349847599999</v>
      </c>
      <c r="AO419" s="37">
        <f t="shared" si="64"/>
        <v>26403.735632183962</v>
      </c>
    </row>
    <row r="420" spans="1:41" hidden="1" x14ac:dyDescent="0.3">
      <c r="A420" t="str">
        <f t="shared" si="56"/>
        <v>203mar</v>
      </c>
      <c r="B420" t="str">
        <f t="shared" si="57"/>
        <v>SHOPPING NORTEmar</v>
      </c>
      <c r="C420" s="1" t="s">
        <v>79</v>
      </c>
      <c r="D420" s="1" t="s">
        <v>60</v>
      </c>
      <c r="E420" s="1">
        <v>203</v>
      </c>
      <c r="F420" s="1" t="s">
        <v>119</v>
      </c>
      <c r="G420" s="1" t="s">
        <v>119</v>
      </c>
      <c r="H420" s="1" t="s">
        <v>119</v>
      </c>
      <c r="I420" s="1" t="s">
        <v>125</v>
      </c>
      <c r="J420" s="1" t="s">
        <v>133</v>
      </c>
      <c r="K420" t="s">
        <v>82</v>
      </c>
      <c r="L420" s="6">
        <v>62990.44</v>
      </c>
      <c r="M420" s="6">
        <v>28570.53</v>
      </c>
      <c r="N420" s="6">
        <v>66753.17</v>
      </c>
      <c r="O420" s="6">
        <v>28283.900000000009</v>
      </c>
      <c r="P420" s="6">
        <v>45859.318174999993</v>
      </c>
      <c r="Q420" s="6">
        <v>21933.568797624994</v>
      </c>
      <c r="R420" s="6">
        <v>52962.640000000043</v>
      </c>
      <c r="S420" s="6">
        <v>26629.5448267502</v>
      </c>
      <c r="T420" s="6">
        <v>52962.640000000058</v>
      </c>
      <c r="U420" s="6">
        <v>26376.770000000055</v>
      </c>
      <c r="V420" s="30">
        <v>52962.640000000094</v>
      </c>
      <c r="W420" s="30">
        <v>26376.770000000073</v>
      </c>
      <c r="X420" s="30">
        <v>54551.519200000097</v>
      </c>
      <c r="Y420" s="30">
        <v>28986.017906810772</v>
      </c>
      <c r="Z420" s="30">
        <v>57372.140169005812</v>
      </c>
      <c r="AA420" s="30">
        <v>28571.325804164895</v>
      </c>
      <c r="AB420" s="34">
        <v>0.47182048577530228</v>
      </c>
      <c r="AC420" s="34">
        <v>0.38822120242188085</v>
      </c>
      <c r="AD420" s="34">
        <v>0.61083936486677659</v>
      </c>
      <c r="AE420" s="34">
        <v>0.61083936486677626</v>
      </c>
      <c r="AF420" s="34">
        <v>0.61083936486677626</v>
      </c>
      <c r="AG420" s="34">
        <v>0.85</v>
      </c>
      <c r="AH420" s="34">
        <v>0.65183205304663439</v>
      </c>
      <c r="AI420" s="37">
        <f t="shared" si="58"/>
        <v>29720.180000000033</v>
      </c>
      <c r="AJ420" s="37">
        <f t="shared" si="59"/>
        <v>25914.995922872222</v>
      </c>
      <c r="AK420" s="37">
        <f t="shared" si="60"/>
        <v>32351.665379267772</v>
      </c>
      <c r="AL420" s="37">
        <f t="shared" si="61"/>
        <v>32351.665379267746</v>
      </c>
      <c r="AM420" s="37">
        <f t="shared" si="62"/>
        <v>32351.665379267775</v>
      </c>
      <c r="AN420" s="37">
        <f t="shared" si="63"/>
        <v>46368.791320000084</v>
      </c>
      <c r="AO420" s="37">
        <f t="shared" si="64"/>
        <v>37396.999914042339</v>
      </c>
    </row>
    <row r="421" spans="1:41" hidden="1" x14ac:dyDescent="0.3">
      <c r="A421" t="str">
        <f t="shared" si="56"/>
        <v>203abr</v>
      </c>
      <c r="B421" t="str">
        <f t="shared" si="57"/>
        <v>SHOPPING NORTEabr</v>
      </c>
      <c r="C421" s="1" t="s">
        <v>79</v>
      </c>
      <c r="D421" s="1" t="s">
        <v>60</v>
      </c>
      <c r="E421" s="1">
        <v>203</v>
      </c>
      <c r="F421" s="1" t="s">
        <v>119</v>
      </c>
      <c r="G421" s="1" t="s">
        <v>119</v>
      </c>
      <c r="H421" s="1" t="s">
        <v>119</v>
      </c>
      <c r="I421" s="1" t="s">
        <v>125</v>
      </c>
      <c r="J421" s="1" t="s">
        <v>133</v>
      </c>
      <c r="K421" t="s">
        <v>83</v>
      </c>
      <c r="L421" s="6">
        <v>40721.57</v>
      </c>
      <c r="M421" s="6">
        <v>21768.329999999998</v>
      </c>
      <c r="N421" s="6">
        <v>42270.64</v>
      </c>
      <c r="O421" s="6">
        <v>22559.669999999991</v>
      </c>
      <c r="P421" s="6">
        <v>41409.583025</v>
      </c>
      <c r="Q421" s="6">
        <v>22180.595631875</v>
      </c>
      <c r="R421" s="6">
        <v>47610.160000000069</v>
      </c>
      <c r="S421" s="6">
        <v>25994.167473330039</v>
      </c>
      <c r="T421" s="6">
        <v>47610.160000000054</v>
      </c>
      <c r="U421" s="6">
        <v>25756.070000000062</v>
      </c>
      <c r="V421" s="30">
        <v>49038.464800000074</v>
      </c>
      <c r="W421" s="30">
        <v>26528.752100000071</v>
      </c>
      <c r="X421" s="30">
        <v>50509.618744000079</v>
      </c>
      <c r="Y421" s="30">
        <v>27080.661170528248</v>
      </c>
      <c r="Z421" s="30">
        <v>0</v>
      </c>
      <c r="AA421" s="30">
        <v>0</v>
      </c>
      <c r="AB421" s="34">
        <v>0.79108614918334474</v>
      </c>
      <c r="AC421" s="34">
        <v>0.7312010764555561</v>
      </c>
      <c r="AD421" s="34">
        <v>0.8259070713819463</v>
      </c>
      <c r="AE421" s="34">
        <v>0.8259070713819463</v>
      </c>
      <c r="AF421" s="34">
        <v>0.8259070713819463</v>
      </c>
      <c r="AG421" s="34">
        <v>0.88</v>
      </c>
      <c r="AH421" s="34">
        <v>0</v>
      </c>
      <c r="AI421" s="37">
        <f t="shared" si="58"/>
        <v>32214.270000000015</v>
      </c>
      <c r="AJ421" s="37">
        <f t="shared" si="59"/>
        <v>30908.337470465289</v>
      </c>
      <c r="AK421" s="37">
        <f t="shared" si="60"/>
        <v>39321.56781362593</v>
      </c>
      <c r="AL421" s="37">
        <f t="shared" si="61"/>
        <v>39321.567813625945</v>
      </c>
      <c r="AM421" s="37">
        <f t="shared" si="62"/>
        <v>40501.214848034724</v>
      </c>
      <c r="AN421" s="37">
        <f t="shared" si="63"/>
        <v>44448.464494720072</v>
      </c>
      <c r="AO421" s="37">
        <f t="shared" si="64"/>
        <v>0</v>
      </c>
    </row>
    <row r="422" spans="1:41" hidden="1" x14ac:dyDescent="0.3">
      <c r="A422" t="str">
        <f t="shared" si="56"/>
        <v>203may</v>
      </c>
      <c r="B422" t="str">
        <f t="shared" si="57"/>
        <v>SHOPPING NORTEmay</v>
      </c>
      <c r="C422" s="1" t="s">
        <v>79</v>
      </c>
      <c r="D422" s="1" t="s">
        <v>60</v>
      </c>
      <c r="E422" s="1">
        <v>203</v>
      </c>
      <c r="F422" s="1" t="s">
        <v>119</v>
      </c>
      <c r="G422" s="1" t="s">
        <v>119</v>
      </c>
      <c r="H422" s="1" t="s">
        <v>119</v>
      </c>
      <c r="I422" s="1" t="s">
        <v>125</v>
      </c>
      <c r="J422" s="1" t="s">
        <v>133</v>
      </c>
      <c r="K422" t="s">
        <v>84</v>
      </c>
      <c r="L422" s="6">
        <v>54979.270000000004</v>
      </c>
      <c r="M422" s="6">
        <v>29424.74</v>
      </c>
      <c r="N422" s="6">
        <v>40138.799999999996</v>
      </c>
      <c r="O422" s="6">
        <v>20868.259999999987</v>
      </c>
      <c r="P422" s="6">
        <v>47260.937299999991</v>
      </c>
      <c r="Q422" s="6">
        <v>23575.050724999994</v>
      </c>
      <c r="R422" s="6">
        <v>48344.239999999991</v>
      </c>
      <c r="S422" s="6">
        <v>27014.955145158401</v>
      </c>
      <c r="T422" s="6">
        <v>48344.239999999983</v>
      </c>
      <c r="U422" s="6">
        <v>26672.639999999978</v>
      </c>
      <c r="V422" s="30">
        <v>49794.567199999983</v>
      </c>
      <c r="W422" s="30">
        <v>27472.819199999976</v>
      </c>
      <c r="X422" s="30">
        <v>51288.404215999981</v>
      </c>
      <c r="Y422" s="30">
        <v>27498.205907871259</v>
      </c>
      <c r="Z422" s="30">
        <v>0</v>
      </c>
      <c r="AA422" s="30">
        <v>0</v>
      </c>
      <c r="AB422" s="34">
        <v>0.77067229157462502</v>
      </c>
      <c r="AC422" s="34">
        <v>0.70753502934503476</v>
      </c>
      <c r="AD422" s="34">
        <v>0.93341689718999044</v>
      </c>
      <c r="AE422" s="34">
        <v>0.93341689718999066</v>
      </c>
      <c r="AF422" s="34">
        <v>0.93341689718999066</v>
      </c>
      <c r="AG422" s="34">
        <v>0.88</v>
      </c>
      <c r="AH422" s="34">
        <v>0</v>
      </c>
      <c r="AI422" s="37">
        <f t="shared" si="58"/>
        <v>42371.000000000036</v>
      </c>
      <c r="AJ422" s="37">
        <f t="shared" si="59"/>
        <v>28399.607035874476</v>
      </c>
      <c r="AK422" s="37">
        <f t="shared" si="60"/>
        <v>45125.330497808209</v>
      </c>
      <c r="AL422" s="37">
        <f t="shared" si="61"/>
        <v>45125.330497808223</v>
      </c>
      <c r="AM422" s="37">
        <f t="shared" si="62"/>
        <v>46479.090412742466</v>
      </c>
      <c r="AN422" s="37">
        <f t="shared" si="63"/>
        <v>45133.795710079983</v>
      </c>
      <c r="AO422" s="37">
        <f t="shared" si="64"/>
        <v>0</v>
      </c>
    </row>
    <row r="423" spans="1:41" hidden="1" x14ac:dyDescent="0.3">
      <c r="A423" t="str">
        <f t="shared" si="56"/>
        <v>203jun</v>
      </c>
      <c r="B423" t="str">
        <f t="shared" si="57"/>
        <v>SHOPPING NORTEjun</v>
      </c>
      <c r="C423" s="1" t="s">
        <v>79</v>
      </c>
      <c r="D423" s="1" t="s">
        <v>60</v>
      </c>
      <c r="E423" s="1">
        <v>203</v>
      </c>
      <c r="F423" s="1" t="s">
        <v>119</v>
      </c>
      <c r="G423" s="1" t="s">
        <v>119</v>
      </c>
      <c r="H423" s="1" t="s">
        <v>119</v>
      </c>
      <c r="I423" s="1" t="s">
        <v>125</v>
      </c>
      <c r="J423" s="1" t="s">
        <v>133</v>
      </c>
      <c r="K423" t="s">
        <v>85</v>
      </c>
      <c r="L423" s="6">
        <v>50442.73</v>
      </c>
      <c r="M423" s="6">
        <v>27078.820000000003</v>
      </c>
      <c r="N423" s="6">
        <v>34753.58</v>
      </c>
      <c r="O423" s="6">
        <v>18266.269999999997</v>
      </c>
      <c r="P423" s="6">
        <v>40145.720150000001</v>
      </c>
      <c r="Q423" s="6">
        <v>21550.461927750002</v>
      </c>
      <c r="R423" s="6">
        <v>45889.229999999981</v>
      </c>
      <c r="S423" s="6">
        <v>25524.670000000038</v>
      </c>
      <c r="T423" s="6">
        <v>45889.229999999989</v>
      </c>
      <c r="U423" s="6">
        <v>25524.669999999976</v>
      </c>
      <c r="V423" s="30">
        <v>46807.014599999988</v>
      </c>
      <c r="W423" s="30">
        <v>26035.163399999972</v>
      </c>
      <c r="X423" s="30">
        <v>48211.225037999997</v>
      </c>
      <c r="Y423" s="30">
        <v>25848.380612163179</v>
      </c>
      <c r="Z423" s="30">
        <v>0</v>
      </c>
      <c r="AA423" s="30">
        <v>0</v>
      </c>
      <c r="AB423" s="34">
        <v>0.80969784942250456</v>
      </c>
      <c r="AC423" s="34">
        <v>0.75877145409617242</v>
      </c>
      <c r="AD423" s="34">
        <v>0.95285255385631895</v>
      </c>
      <c r="AE423" s="34">
        <v>0.95285255385631884</v>
      </c>
      <c r="AF423" s="34">
        <v>0.95285255385631884</v>
      </c>
      <c r="AG423" s="34">
        <v>0.88</v>
      </c>
      <c r="AH423" s="34">
        <v>0</v>
      </c>
      <c r="AI423" s="37">
        <f t="shared" si="58"/>
        <v>40843.370000000054</v>
      </c>
      <c r="AJ423" s="37">
        <f t="shared" si="59"/>
        <v>26370.024431647656</v>
      </c>
      <c r="AK423" s="37">
        <f t="shared" si="60"/>
        <v>43725.67</v>
      </c>
      <c r="AL423" s="37">
        <f t="shared" si="61"/>
        <v>43725.669999999984</v>
      </c>
      <c r="AM423" s="37">
        <f t="shared" si="62"/>
        <v>44600.183399999987</v>
      </c>
      <c r="AN423" s="37">
        <f t="shared" si="63"/>
        <v>42425.87803344</v>
      </c>
      <c r="AO423" s="37">
        <f t="shared" si="64"/>
        <v>0</v>
      </c>
    </row>
    <row r="424" spans="1:41" hidden="1" x14ac:dyDescent="0.3">
      <c r="A424" t="str">
        <f t="shared" si="56"/>
        <v>203jul</v>
      </c>
      <c r="B424" t="str">
        <f t="shared" si="57"/>
        <v>SHOPPING NORTEjul</v>
      </c>
      <c r="C424" s="1" t="s">
        <v>79</v>
      </c>
      <c r="D424" s="1" t="s">
        <v>60</v>
      </c>
      <c r="E424" s="1">
        <v>203</v>
      </c>
      <c r="F424" s="1" t="s">
        <v>119</v>
      </c>
      <c r="G424" s="1" t="s">
        <v>119</v>
      </c>
      <c r="H424" s="1" t="s">
        <v>119</v>
      </c>
      <c r="I424" s="1" t="s">
        <v>125</v>
      </c>
      <c r="J424" s="1" t="s">
        <v>133</v>
      </c>
      <c r="K424" t="s">
        <v>86</v>
      </c>
      <c r="L424" s="6">
        <v>55363.75</v>
      </c>
      <c r="M424" s="6">
        <v>29496.17</v>
      </c>
      <c r="N424" s="6">
        <v>47905.08</v>
      </c>
      <c r="O424" s="6">
        <v>25082.670000000002</v>
      </c>
      <c r="P424" s="6">
        <v>43418.736550000001</v>
      </c>
      <c r="Q424" s="6">
        <v>23324.12899075</v>
      </c>
      <c r="R424" s="6">
        <v>40094.92</v>
      </c>
      <c r="S424" s="6">
        <v>22106.440000000024</v>
      </c>
      <c r="T424" s="6">
        <v>40094.919999999984</v>
      </c>
      <c r="U424" s="6">
        <v>22106.439999999981</v>
      </c>
      <c r="V424" s="30">
        <v>40896.818399999975</v>
      </c>
      <c r="W424" s="30">
        <v>22548.568799999975</v>
      </c>
      <c r="X424" s="30">
        <v>45804.436607999975</v>
      </c>
      <c r="Y424" s="30">
        <v>24557.984374719388</v>
      </c>
      <c r="Z424" s="30">
        <v>0</v>
      </c>
      <c r="AA424" s="30">
        <v>0</v>
      </c>
      <c r="AB424" s="34">
        <v>0.81841674380799756</v>
      </c>
      <c r="AC424" s="34">
        <v>0.77042058581805672</v>
      </c>
      <c r="AD424" s="34">
        <v>0.92976591548255993</v>
      </c>
      <c r="AE424" s="34">
        <v>0.92976591548255993</v>
      </c>
      <c r="AF424" s="34">
        <v>0.92976591548255993</v>
      </c>
      <c r="AG424" s="34">
        <v>0.88</v>
      </c>
      <c r="AH424" s="34">
        <v>0</v>
      </c>
      <c r="AI424" s="37">
        <f t="shared" si="58"/>
        <v>45310.620000000024</v>
      </c>
      <c r="AJ424" s="37">
        <f t="shared" si="59"/>
        <v>36907.059797260874</v>
      </c>
      <c r="AK424" s="37">
        <f t="shared" si="60"/>
        <v>37278.889999999985</v>
      </c>
      <c r="AL424" s="37">
        <f t="shared" si="61"/>
        <v>37278.89</v>
      </c>
      <c r="AM424" s="37">
        <f t="shared" si="62"/>
        <v>38024.467799999977</v>
      </c>
      <c r="AN424" s="37">
        <f t="shared" si="63"/>
        <v>40307.904215039976</v>
      </c>
      <c r="AO424" s="37">
        <f t="shared" si="64"/>
        <v>0</v>
      </c>
    </row>
    <row r="425" spans="1:41" hidden="1" x14ac:dyDescent="0.3">
      <c r="A425" t="str">
        <f t="shared" si="56"/>
        <v>203ago</v>
      </c>
      <c r="B425" t="str">
        <f t="shared" si="57"/>
        <v>SHOPPING NORTEago</v>
      </c>
      <c r="C425" s="1" t="s">
        <v>79</v>
      </c>
      <c r="D425" s="1" t="s">
        <v>60</v>
      </c>
      <c r="E425" s="1">
        <v>203</v>
      </c>
      <c r="F425" s="1" t="s">
        <v>119</v>
      </c>
      <c r="G425" s="1" t="s">
        <v>119</v>
      </c>
      <c r="H425" s="1" t="s">
        <v>119</v>
      </c>
      <c r="I425" s="1" t="s">
        <v>125</v>
      </c>
      <c r="J425" s="1" t="s">
        <v>133</v>
      </c>
      <c r="K425" t="s">
        <v>87</v>
      </c>
      <c r="L425" s="6">
        <v>142224.19</v>
      </c>
      <c r="M425" s="6">
        <v>53048.75</v>
      </c>
      <c r="N425" s="6">
        <v>69673.42</v>
      </c>
      <c r="O425" s="6">
        <v>28352.309999999994</v>
      </c>
      <c r="P425" s="6">
        <v>76952.615500000044</v>
      </c>
      <c r="Q425" s="6">
        <v>32135.319914500018</v>
      </c>
      <c r="R425" s="6">
        <v>71635.177683835063</v>
      </c>
      <c r="S425" s="6">
        <v>32616.212751226944</v>
      </c>
      <c r="T425" s="6">
        <v>108168.78999999992</v>
      </c>
      <c r="U425" s="6">
        <v>48898.629999999932</v>
      </c>
      <c r="V425" s="30">
        <v>108168.79000000018</v>
      </c>
      <c r="W425" s="30">
        <v>49250.331774900085</v>
      </c>
      <c r="X425" s="30">
        <v>109250.47790000019</v>
      </c>
      <c r="Y425" s="30">
        <v>50188.692658900552</v>
      </c>
      <c r="Z425" s="30">
        <v>0</v>
      </c>
      <c r="AA425" s="30">
        <v>0</v>
      </c>
      <c r="AB425" s="34">
        <v>0.2486858951349965</v>
      </c>
      <c r="AC425" s="34">
        <v>0.32783407773970469</v>
      </c>
      <c r="AD425" s="34">
        <v>0.38764656607511416</v>
      </c>
      <c r="AE425" s="34">
        <v>0.37</v>
      </c>
      <c r="AF425" s="34">
        <v>0.37</v>
      </c>
      <c r="AG425" s="34">
        <v>0.4</v>
      </c>
      <c r="AH425" s="34">
        <v>0</v>
      </c>
      <c r="AI425" s="37">
        <f t="shared" si="58"/>
        <v>35369.14999999982</v>
      </c>
      <c r="AJ425" s="37">
        <f t="shared" si="59"/>
        <v>22841.321388671095</v>
      </c>
      <c r="AK425" s="37">
        <f t="shared" si="60"/>
        <v>41931.260000000118</v>
      </c>
      <c r="AL425" s="37">
        <f t="shared" si="61"/>
        <v>26505.015743018972</v>
      </c>
      <c r="AM425" s="37">
        <f t="shared" si="62"/>
        <v>40022.45230000007</v>
      </c>
      <c r="AN425" s="37">
        <f t="shared" si="63"/>
        <v>43700.191160000075</v>
      </c>
      <c r="AO425" s="37">
        <f t="shared" si="64"/>
        <v>0</v>
      </c>
    </row>
    <row r="426" spans="1:41" hidden="1" x14ac:dyDescent="0.3">
      <c r="A426" t="str">
        <f t="shared" si="56"/>
        <v>203sep</v>
      </c>
      <c r="B426" t="str">
        <f t="shared" si="57"/>
        <v>SHOPPING NORTEsep</v>
      </c>
      <c r="C426" s="1" t="s">
        <v>79</v>
      </c>
      <c r="D426" s="1" t="s">
        <v>60</v>
      </c>
      <c r="E426" s="1">
        <v>203</v>
      </c>
      <c r="F426" s="1" t="s">
        <v>119</v>
      </c>
      <c r="G426" s="1" t="s">
        <v>119</v>
      </c>
      <c r="H426" s="1" t="s">
        <v>119</v>
      </c>
      <c r="I426" s="1" t="s">
        <v>125</v>
      </c>
      <c r="J426" s="1" t="s">
        <v>133</v>
      </c>
      <c r="K426" t="s">
        <v>88</v>
      </c>
      <c r="L426" s="6">
        <v>45246.47</v>
      </c>
      <c r="M426" s="6">
        <v>22874.46</v>
      </c>
      <c r="N426" s="6">
        <v>53540.2</v>
      </c>
      <c r="O426" s="6">
        <v>26139.570000000003</v>
      </c>
      <c r="P426" s="6">
        <v>41825.331999999988</v>
      </c>
      <c r="Q426" s="6">
        <v>21528.156681999993</v>
      </c>
      <c r="R426" s="6">
        <v>43726.293339399985</v>
      </c>
      <c r="S426" s="6">
        <v>23000.030296524394</v>
      </c>
      <c r="T426" s="6">
        <v>38708.520000000004</v>
      </c>
      <c r="U426" s="6">
        <v>20863.590000000018</v>
      </c>
      <c r="V426" s="30">
        <v>40643.946000000004</v>
      </c>
      <c r="W426" s="30">
        <v>21906.769500000017</v>
      </c>
      <c r="X426" s="30">
        <v>45114.780060000005</v>
      </c>
      <c r="Y426" s="30">
        <v>23971.794770492612</v>
      </c>
      <c r="Z426" s="30">
        <v>0</v>
      </c>
      <c r="AA426" s="30">
        <v>0</v>
      </c>
      <c r="AB426" s="34">
        <v>0.64195770410376751</v>
      </c>
      <c r="AC426" s="34">
        <v>0.60847924231337436</v>
      </c>
      <c r="AD426" s="34">
        <v>0.84926987650264074</v>
      </c>
      <c r="AE426" s="34">
        <v>0.79999999999999993</v>
      </c>
      <c r="AF426" s="34">
        <v>0.79999999999999993</v>
      </c>
      <c r="AG426" s="34">
        <v>0.85</v>
      </c>
      <c r="AH426" s="34">
        <v>0</v>
      </c>
      <c r="AI426" s="37">
        <f t="shared" si="58"/>
        <v>29046.319999999996</v>
      </c>
      <c r="AJ426" s="37">
        <f t="shared" si="59"/>
        <v>32578.100329306522</v>
      </c>
      <c r="AK426" s="37">
        <f t="shared" si="60"/>
        <v>32873.980000000003</v>
      </c>
      <c r="AL426" s="37">
        <f t="shared" si="61"/>
        <v>34981.034671519985</v>
      </c>
      <c r="AM426" s="37">
        <f t="shared" si="62"/>
        <v>32515.156800000001</v>
      </c>
      <c r="AN426" s="37">
        <f t="shared" si="63"/>
        <v>38347.563051000005</v>
      </c>
      <c r="AO426" s="37">
        <f t="shared" si="64"/>
        <v>0</v>
      </c>
    </row>
    <row r="427" spans="1:41" hidden="1" x14ac:dyDescent="0.3">
      <c r="A427" t="str">
        <f t="shared" si="56"/>
        <v>203oct</v>
      </c>
      <c r="B427" t="str">
        <f t="shared" si="57"/>
        <v>SHOPPING NORTEoct</v>
      </c>
      <c r="C427" s="1" t="s">
        <v>79</v>
      </c>
      <c r="D427" s="1" t="s">
        <v>60</v>
      </c>
      <c r="E427" s="1">
        <v>203</v>
      </c>
      <c r="F427" s="1" t="s">
        <v>119</v>
      </c>
      <c r="G427" s="1" t="s">
        <v>119</v>
      </c>
      <c r="H427" s="1" t="s">
        <v>119</v>
      </c>
      <c r="I427" s="1" t="s">
        <v>125</v>
      </c>
      <c r="J427" s="1" t="s">
        <v>133</v>
      </c>
      <c r="K427" t="s">
        <v>89</v>
      </c>
      <c r="L427" s="6">
        <v>28680.85</v>
      </c>
      <c r="M427" s="6">
        <v>15167.109999999999</v>
      </c>
      <c r="N427" s="6">
        <v>46931.02</v>
      </c>
      <c r="O427" s="6">
        <v>24342.45</v>
      </c>
      <c r="P427" s="6">
        <v>43711.641024999975</v>
      </c>
      <c r="Q427" s="6">
        <v>22963.983039374991</v>
      </c>
      <c r="R427" s="6">
        <v>45698.335109586224</v>
      </c>
      <c r="S427" s="6">
        <v>24928.441802279285</v>
      </c>
      <c r="T427" s="6">
        <v>39045.330000000016</v>
      </c>
      <c r="U427" s="6">
        <v>20600.880000000019</v>
      </c>
      <c r="V427" s="30">
        <v>45698.335109586224</v>
      </c>
      <c r="W427" s="30">
        <v>24928.441802279285</v>
      </c>
      <c r="X427" s="30">
        <v>47983.251865065547</v>
      </c>
      <c r="Y427" s="30">
        <v>25726.153115584788</v>
      </c>
      <c r="Z427" s="30">
        <v>0</v>
      </c>
      <c r="AA427" s="30">
        <v>0</v>
      </c>
      <c r="AB427" s="34">
        <v>0.80934804930816195</v>
      </c>
      <c r="AC427" s="34">
        <v>0.70324762738743496</v>
      </c>
      <c r="AD427" s="34">
        <v>0.74600214673560217</v>
      </c>
      <c r="AE427" s="34">
        <v>0.89999999999999991</v>
      </c>
      <c r="AF427" s="34">
        <v>0.89999999999999991</v>
      </c>
      <c r="AG427" s="34">
        <v>0.88</v>
      </c>
      <c r="AH427" s="34">
        <v>0</v>
      </c>
      <c r="AI427" s="37">
        <f t="shared" si="58"/>
        <v>23212.789999999997</v>
      </c>
      <c r="AJ427" s="37">
        <f t="shared" si="59"/>
        <v>33004.128465872258</v>
      </c>
      <c r="AK427" s="37">
        <f t="shared" si="60"/>
        <v>29127.900000000023</v>
      </c>
      <c r="AL427" s="37">
        <f t="shared" si="61"/>
        <v>41128.501598627598</v>
      </c>
      <c r="AM427" s="37">
        <f t="shared" si="62"/>
        <v>41128.501598627598</v>
      </c>
      <c r="AN427" s="37">
        <f t="shared" si="63"/>
        <v>42225.261641257683</v>
      </c>
      <c r="AO427" s="37">
        <f t="shared" si="64"/>
        <v>0</v>
      </c>
    </row>
    <row r="428" spans="1:41" hidden="1" x14ac:dyDescent="0.3">
      <c r="A428" t="str">
        <f t="shared" si="56"/>
        <v>203nov</v>
      </c>
      <c r="B428" t="str">
        <f t="shared" si="57"/>
        <v>SHOPPING NORTEnov</v>
      </c>
      <c r="C428" s="1" t="s">
        <v>79</v>
      </c>
      <c r="D428" s="1" t="s">
        <v>60</v>
      </c>
      <c r="E428" s="1">
        <v>203</v>
      </c>
      <c r="F428" s="1" t="s">
        <v>119</v>
      </c>
      <c r="G428" s="1" t="s">
        <v>119</v>
      </c>
      <c r="H428" s="1" t="s">
        <v>119</v>
      </c>
      <c r="I428" s="1" t="s">
        <v>125</v>
      </c>
      <c r="J428" s="1" t="s">
        <v>133</v>
      </c>
      <c r="K428" t="s">
        <v>90</v>
      </c>
      <c r="L428" s="6">
        <v>48088.53</v>
      </c>
      <c r="M428" s="6">
        <v>22206.84</v>
      </c>
      <c r="N428" s="6">
        <v>62515.17</v>
      </c>
      <c r="O428" s="6">
        <v>31305.449999999993</v>
      </c>
      <c r="P428" s="6">
        <v>70667.147975000116</v>
      </c>
      <c r="Q428" s="6">
        <v>33672.085001125051</v>
      </c>
      <c r="R428" s="6">
        <v>73878.969850463865</v>
      </c>
      <c r="S428" s="6">
        <v>35225.49282470117</v>
      </c>
      <c r="T428" s="6">
        <v>76664.080459770106</v>
      </c>
      <c r="U428" s="6">
        <v>32246.763018555157</v>
      </c>
      <c r="V428" s="30">
        <v>71297.594827586203</v>
      </c>
      <c r="W428" s="30">
        <v>33994.6932137931</v>
      </c>
      <c r="X428" s="30">
        <v>74149.498620689657</v>
      </c>
      <c r="Y428" s="30">
        <v>36435.08869685205</v>
      </c>
      <c r="Z428" s="30">
        <v>0</v>
      </c>
      <c r="AA428" s="30">
        <v>0</v>
      </c>
      <c r="AB428" s="34">
        <v>0.34915165841002038</v>
      </c>
      <c r="AC428" s="34">
        <v>0.53003854153073482</v>
      </c>
      <c r="AD428" s="34">
        <v>0.38764656607511416</v>
      </c>
      <c r="AE428" s="34">
        <v>0.48</v>
      </c>
      <c r="AF428" s="34">
        <v>0.48</v>
      </c>
      <c r="AG428" s="34">
        <v>0.6</v>
      </c>
      <c r="AH428" s="34">
        <v>0</v>
      </c>
      <c r="AI428" s="37">
        <f t="shared" si="58"/>
        <v>16790.190000000017</v>
      </c>
      <c r="AJ428" s="37">
        <f t="shared" si="59"/>
        <v>33135.449530345948</v>
      </c>
      <c r="AK428" s="37">
        <f t="shared" si="60"/>
        <v>29718.56753153614</v>
      </c>
      <c r="AL428" s="37">
        <f t="shared" si="61"/>
        <v>35461.905528222655</v>
      </c>
      <c r="AM428" s="37">
        <f t="shared" si="62"/>
        <v>34222.845517241374</v>
      </c>
      <c r="AN428" s="37">
        <f t="shared" si="63"/>
        <v>44489.699172413792</v>
      </c>
      <c r="AO428" s="37">
        <f t="shared" si="64"/>
        <v>0</v>
      </c>
    </row>
    <row r="429" spans="1:41" hidden="1" x14ac:dyDescent="0.3">
      <c r="A429" t="str">
        <f t="shared" si="56"/>
        <v>203dic</v>
      </c>
      <c r="B429" t="str">
        <f t="shared" si="57"/>
        <v>SHOPPING NORTEdic</v>
      </c>
      <c r="C429" s="1" t="s">
        <v>79</v>
      </c>
      <c r="D429" s="1" t="s">
        <v>60</v>
      </c>
      <c r="E429" s="1">
        <v>203</v>
      </c>
      <c r="F429" s="1" t="s">
        <v>119</v>
      </c>
      <c r="G429" s="1" t="s">
        <v>119</v>
      </c>
      <c r="H429" s="1" t="s">
        <v>119</v>
      </c>
      <c r="I429" s="1" t="s">
        <v>125</v>
      </c>
      <c r="J429" s="1" t="s">
        <v>133</v>
      </c>
      <c r="K429" t="s">
        <v>91</v>
      </c>
      <c r="L429" s="6">
        <v>144927.30999999997</v>
      </c>
      <c r="M429" s="6">
        <v>71654.949999999968</v>
      </c>
      <c r="N429" s="6">
        <v>129331.34</v>
      </c>
      <c r="O429" s="6">
        <v>69365.930000000008</v>
      </c>
      <c r="P429" s="6">
        <v>128804.81620000009</v>
      </c>
      <c r="Q429" s="6">
        <v>70027.683458000058</v>
      </c>
      <c r="R429" s="6">
        <v>134658.99509629011</v>
      </c>
      <c r="S429" s="6">
        <v>71099.949410841189</v>
      </c>
      <c r="T429" s="6">
        <v>125708.83620689655</v>
      </c>
      <c r="U429" s="6">
        <v>61991.78310483072</v>
      </c>
      <c r="V429" s="30">
        <v>134658.99509629011</v>
      </c>
      <c r="W429" s="30">
        <v>71099.949410841189</v>
      </c>
      <c r="X429" s="30">
        <v>141391.94485110461</v>
      </c>
      <c r="Y429" s="30">
        <v>75128.786611921008</v>
      </c>
      <c r="Z429" s="30">
        <v>0</v>
      </c>
      <c r="AA429" s="30">
        <v>0</v>
      </c>
      <c r="AB429" s="34">
        <v>0.52743075131940353</v>
      </c>
      <c r="AC429" s="34">
        <v>0.79450634224747307</v>
      </c>
      <c r="AD429" s="34">
        <v>0.61083936486677659</v>
      </c>
      <c r="AE429" s="34">
        <v>0.8</v>
      </c>
      <c r="AF429" s="34">
        <v>0.8</v>
      </c>
      <c r="AG429" s="34">
        <v>0.85</v>
      </c>
      <c r="AH429" s="34">
        <v>0</v>
      </c>
      <c r="AI429" s="37">
        <f t="shared" si="58"/>
        <v>76439.120000000083</v>
      </c>
      <c r="AJ429" s="37">
        <f t="shared" si="59"/>
        <v>102754.5698813643</v>
      </c>
      <c r="AK429" s="37">
        <f t="shared" si="60"/>
        <v>76787.905666762337</v>
      </c>
      <c r="AL429" s="37">
        <f t="shared" si="61"/>
        <v>107727.19607703209</v>
      </c>
      <c r="AM429" s="37">
        <f t="shared" si="62"/>
        <v>107727.19607703209</v>
      </c>
      <c r="AN429" s="37">
        <f t="shared" si="63"/>
        <v>120183.15312343891</v>
      </c>
      <c r="AO429" s="37">
        <f t="shared" si="64"/>
        <v>0</v>
      </c>
    </row>
    <row r="430" spans="1:41" hidden="1" x14ac:dyDescent="0.3">
      <c r="A430" t="str">
        <f t="shared" si="56"/>
        <v>304ene</v>
      </c>
      <c r="B430" t="str">
        <f t="shared" si="57"/>
        <v>TARATAene</v>
      </c>
      <c r="C430" s="1" t="s">
        <v>79</v>
      </c>
      <c r="D430" s="1" t="s">
        <v>61</v>
      </c>
      <c r="E430" s="1">
        <v>304</v>
      </c>
      <c r="F430" s="1" t="s">
        <v>120</v>
      </c>
      <c r="G430" s="1" t="s">
        <v>120</v>
      </c>
      <c r="H430" s="1" t="s">
        <v>120</v>
      </c>
      <c r="I430" s="1" t="s">
        <v>124</v>
      </c>
      <c r="J430" s="1" t="s">
        <v>129</v>
      </c>
      <c r="K430" t="s">
        <v>80</v>
      </c>
      <c r="L430" s="6">
        <v>60329.020000000004</v>
      </c>
      <c r="M430" s="6">
        <v>26836.71</v>
      </c>
      <c r="N430" s="6">
        <v>50056.74</v>
      </c>
      <c r="O430" s="6">
        <v>20858.829999999998</v>
      </c>
      <c r="P430" s="6">
        <v>45722.354883333348</v>
      </c>
      <c r="Q430" s="6">
        <v>18933.291470083335</v>
      </c>
      <c r="R430" s="6">
        <v>37460.619999999966</v>
      </c>
      <c r="S430" s="6">
        <v>17009.75591379487</v>
      </c>
      <c r="T430" s="6">
        <v>37460.619999999966</v>
      </c>
      <c r="U430" s="6">
        <v>17149.95999999997</v>
      </c>
      <c r="V430" s="30">
        <v>45722.354883333348</v>
      </c>
      <c r="W430" s="30">
        <v>20932.289891490611</v>
      </c>
      <c r="X430" s="30">
        <v>48922.919725166677</v>
      </c>
      <c r="Y430" s="30">
        <v>23586.388815268918</v>
      </c>
      <c r="Z430" s="30">
        <v>33088.649425287389</v>
      </c>
      <c r="AA430" s="30">
        <v>18109.515288460807</v>
      </c>
      <c r="AB430" s="34">
        <v>0.5171443195994232</v>
      </c>
      <c r="AC430" s="34">
        <v>0.35433741013746883</v>
      </c>
      <c r="AD430" s="34">
        <v>0.58626996437611245</v>
      </c>
      <c r="AE430" s="34">
        <v>0.58626996437611245</v>
      </c>
      <c r="AF430" s="34">
        <v>0.58626996437611245</v>
      </c>
      <c r="AG430" s="34">
        <v>0.69999999999999984</v>
      </c>
      <c r="AH430" s="34">
        <v>0.95593950420543916</v>
      </c>
      <c r="AI430" s="37">
        <f t="shared" si="58"/>
        <v>31198.809999999998</v>
      </c>
      <c r="AJ430" s="37">
        <f t="shared" si="59"/>
        <v>17736.975611524642</v>
      </c>
      <c r="AK430" s="37">
        <f t="shared" si="60"/>
        <v>21962.036352907067</v>
      </c>
      <c r="AL430" s="37">
        <f t="shared" si="61"/>
        <v>21962.036352907067</v>
      </c>
      <c r="AM430" s="37">
        <f t="shared" si="62"/>
        <v>26805.643368643814</v>
      </c>
      <c r="AN430" s="37">
        <f t="shared" si="63"/>
        <v>34246.043807616668</v>
      </c>
      <c r="AO430" s="37">
        <f t="shared" si="64"/>
        <v>31630.747126436818</v>
      </c>
    </row>
    <row r="431" spans="1:41" hidden="1" x14ac:dyDescent="0.3">
      <c r="A431" t="str">
        <f t="shared" si="56"/>
        <v>304feb</v>
      </c>
      <c r="B431" t="str">
        <f t="shared" si="57"/>
        <v>TARATAfeb</v>
      </c>
      <c r="C431" s="1" t="s">
        <v>79</v>
      </c>
      <c r="D431" s="1" t="s">
        <v>61</v>
      </c>
      <c r="E431" s="1">
        <v>304</v>
      </c>
      <c r="F431" s="1" t="s">
        <v>120</v>
      </c>
      <c r="G431" s="1" t="s">
        <v>120</v>
      </c>
      <c r="H431" s="1" t="s">
        <v>120</v>
      </c>
      <c r="I431" s="1" t="s">
        <v>124</v>
      </c>
      <c r="J431" s="1" t="s">
        <v>129</v>
      </c>
      <c r="K431" t="s">
        <v>81</v>
      </c>
      <c r="L431" s="6">
        <v>75551.12000000001</v>
      </c>
      <c r="M431" s="6">
        <v>28147.920000000006</v>
      </c>
      <c r="N431" s="6">
        <v>44977.429999999993</v>
      </c>
      <c r="O431" s="6">
        <v>17341.249999999993</v>
      </c>
      <c r="P431" s="6">
        <v>60621.263100000011</v>
      </c>
      <c r="Q431" s="6">
        <v>21434.615673</v>
      </c>
      <c r="R431" s="6">
        <v>44540.80999999999</v>
      </c>
      <c r="S431" s="6">
        <v>16725.191582696953</v>
      </c>
      <c r="T431" s="6">
        <v>44540.81</v>
      </c>
      <c r="U431" s="6">
        <v>16701.280000000006</v>
      </c>
      <c r="V431" s="30">
        <v>60621.263100000011</v>
      </c>
      <c r="W431" s="30">
        <v>22730.899796989965</v>
      </c>
      <c r="X431" s="30">
        <v>64864.751517000026</v>
      </c>
      <c r="Y431" s="30">
        <v>26303.196972513924</v>
      </c>
      <c r="Z431" s="30">
        <v>44024.712643678176</v>
      </c>
      <c r="AA431" s="30">
        <v>19983.256050438038</v>
      </c>
      <c r="AB431" s="34">
        <v>0.30549289011202058</v>
      </c>
      <c r="AC431" s="34">
        <v>0.31201619428175426</v>
      </c>
      <c r="AD431" s="34">
        <v>0.24532685804231766</v>
      </c>
      <c r="AE431" s="34">
        <v>0.24532685804231677</v>
      </c>
      <c r="AF431" s="34">
        <v>0.24532685804231677</v>
      </c>
      <c r="AG431" s="34">
        <v>0.3899999999999999</v>
      </c>
      <c r="AH431" s="34">
        <v>0.39701447723979461</v>
      </c>
      <c r="AI431" s="37">
        <f t="shared" si="58"/>
        <v>23080.330000000082</v>
      </c>
      <c r="AJ431" s="37">
        <f t="shared" si="59"/>
        <v>14033.686537174</v>
      </c>
      <c r="AK431" s="37">
        <f t="shared" si="60"/>
        <v>10927.056971959842</v>
      </c>
      <c r="AL431" s="37">
        <f t="shared" si="61"/>
        <v>10927.056971959801</v>
      </c>
      <c r="AM431" s="37">
        <f t="shared" si="62"/>
        <v>14872.024006879639</v>
      </c>
      <c r="AN431" s="37">
        <f t="shared" si="63"/>
        <v>25297.253091630002</v>
      </c>
      <c r="AO431" s="37">
        <f t="shared" si="64"/>
        <v>17478.448275862069</v>
      </c>
    </row>
    <row r="432" spans="1:41" hidden="1" x14ac:dyDescent="0.3">
      <c r="A432" t="str">
        <f t="shared" si="56"/>
        <v>304mar</v>
      </c>
      <c r="B432" t="str">
        <f t="shared" si="57"/>
        <v>TARATAmar</v>
      </c>
      <c r="C432" s="1" t="s">
        <v>79</v>
      </c>
      <c r="D432" s="1" t="s">
        <v>61</v>
      </c>
      <c r="E432" s="1">
        <v>304</v>
      </c>
      <c r="F432" s="1" t="s">
        <v>120</v>
      </c>
      <c r="G432" s="1" t="s">
        <v>120</v>
      </c>
      <c r="H432" s="1" t="s">
        <v>120</v>
      </c>
      <c r="I432" s="1" t="s">
        <v>124</v>
      </c>
      <c r="J432" s="1" t="s">
        <v>129</v>
      </c>
      <c r="K432" t="s">
        <v>82</v>
      </c>
      <c r="L432" s="6">
        <v>59349.25</v>
      </c>
      <c r="M432" s="6">
        <v>25574.18</v>
      </c>
      <c r="N432" s="6">
        <v>65436.630000000005</v>
      </c>
      <c r="O432" s="6">
        <v>22942.119999999995</v>
      </c>
      <c r="P432" s="6">
        <v>48212.16081999999</v>
      </c>
      <c r="Q432" s="6">
        <v>18209.618301999999</v>
      </c>
      <c r="R432" s="6">
        <v>39310.460000000028</v>
      </c>
      <c r="S432" s="6">
        <v>16713.786956157732</v>
      </c>
      <c r="T432" s="6">
        <v>39310.460000000021</v>
      </c>
      <c r="U432" s="6">
        <v>16188.60000000002</v>
      </c>
      <c r="V432" s="30">
        <v>41027.320000000007</v>
      </c>
      <c r="W432" s="30">
        <v>16895.627081239971</v>
      </c>
      <c r="X432" s="30">
        <v>43899.232400000008</v>
      </c>
      <c r="Y432" s="30">
        <v>20947.441320694645</v>
      </c>
      <c r="Z432" s="30">
        <v>44904.765111542569</v>
      </c>
      <c r="AA432" s="30">
        <v>22362.573025548198</v>
      </c>
      <c r="AB432" s="34">
        <v>0.4123175945778596</v>
      </c>
      <c r="AC432" s="34">
        <v>0.23781970694674154</v>
      </c>
      <c r="AD432" s="34">
        <v>0.430208724657408</v>
      </c>
      <c r="AE432" s="34">
        <v>0.43020872465740811</v>
      </c>
      <c r="AF432" s="34">
        <v>0.43020872465740811</v>
      </c>
      <c r="AG432" s="34">
        <v>0.68</v>
      </c>
      <c r="AH432" s="34">
        <v>0.70066657604210147</v>
      </c>
      <c r="AI432" s="37">
        <f t="shared" si="58"/>
        <v>24470.740000000034</v>
      </c>
      <c r="AJ432" s="37">
        <f t="shared" si="59"/>
        <v>15562.120170182357</v>
      </c>
      <c r="AK432" s="37">
        <f t="shared" si="60"/>
        <v>16911.702862296061</v>
      </c>
      <c r="AL432" s="37">
        <f t="shared" si="61"/>
        <v>16911.702862296068</v>
      </c>
      <c r="AM432" s="37">
        <f t="shared" si="62"/>
        <v>17650.311013311377</v>
      </c>
      <c r="AN432" s="37">
        <f t="shared" si="63"/>
        <v>29851.478032000006</v>
      </c>
      <c r="AO432" s="37">
        <f t="shared" si="64"/>
        <v>31463.268018679348</v>
      </c>
    </row>
    <row r="433" spans="1:41" hidden="1" x14ac:dyDescent="0.3">
      <c r="A433" t="str">
        <f t="shared" si="56"/>
        <v>304abr</v>
      </c>
      <c r="B433" t="str">
        <f t="shared" si="57"/>
        <v>TARATAabr</v>
      </c>
      <c r="C433" s="1" t="s">
        <v>79</v>
      </c>
      <c r="D433" s="1" t="s">
        <v>61</v>
      </c>
      <c r="E433" s="1">
        <v>304</v>
      </c>
      <c r="F433" s="1" t="s">
        <v>120</v>
      </c>
      <c r="G433" s="1" t="s">
        <v>120</v>
      </c>
      <c r="H433" s="1" t="s">
        <v>120</v>
      </c>
      <c r="I433" s="1" t="s">
        <v>124</v>
      </c>
      <c r="J433" s="1" t="s">
        <v>129</v>
      </c>
      <c r="K433" t="s">
        <v>83</v>
      </c>
      <c r="L433" s="6">
        <v>41944.93</v>
      </c>
      <c r="M433" s="6">
        <v>20814.919999999998</v>
      </c>
      <c r="N433" s="6">
        <v>46825.189999999988</v>
      </c>
      <c r="O433" s="6">
        <v>18300.969999999994</v>
      </c>
      <c r="P433" s="6">
        <v>4331.4148799999984</v>
      </c>
      <c r="Q433" s="6">
        <v>1732.5659519999997</v>
      </c>
      <c r="R433" s="6">
        <v>34484.340000000011</v>
      </c>
      <c r="S433" s="6">
        <v>14422.609882809655</v>
      </c>
      <c r="T433" s="6">
        <v>34484.340000000018</v>
      </c>
      <c r="U433" s="6">
        <v>14405.890000000003</v>
      </c>
      <c r="V433" s="30">
        <v>39199.440000000024</v>
      </c>
      <c r="W433" s="30">
        <v>16375.630813917278</v>
      </c>
      <c r="X433" s="30">
        <v>41943.400800000025</v>
      </c>
      <c r="Y433" s="30">
        <v>20221.470121999995</v>
      </c>
      <c r="Z433" s="30">
        <v>0</v>
      </c>
      <c r="AA433" s="30">
        <v>0</v>
      </c>
      <c r="AB433" s="34">
        <v>0.63475943338086416</v>
      </c>
      <c r="AC433" s="34">
        <v>0.36880586310123364</v>
      </c>
      <c r="AD433" s="34">
        <v>0.49307364048644831</v>
      </c>
      <c r="AE433" s="34">
        <v>0.49307364048644742</v>
      </c>
      <c r="AF433" s="34">
        <v>0.49307364048644742</v>
      </c>
      <c r="AG433" s="34">
        <v>0.7</v>
      </c>
      <c r="AH433" s="34">
        <v>0</v>
      </c>
      <c r="AI433" s="37">
        <f t="shared" si="58"/>
        <v>26624.94000000001</v>
      </c>
      <c r="AJ433" s="37">
        <f t="shared" si="59"/>
        <v>17269.40461282925</v>
      </c>
      <c r="AK433" s="37">
        <f t="shared" si="60"/>
        <v>17003.319063572457</v>
      </c>
      <c r="AL433" s="37">
        <f t="shared" si="61"/>
        <v>17003.319063572424</v>
      </c>
      <c r="AM433" s="37">
        <f t="shared" si="62"/>
        <v>19328.210585830078</v>
      </c>
      <c r="AN433" s="37">
        <f t="shared" si="63"/>
        <v>29360.380560000016</v>
      </c>
      <c r="AO433" s="37">
        <f t="shared" si="64"/>
        <v>0</v>
      </c>
    </row>
    <row r="434" spans="1:41" hidden="1" x14ac:dyDescent="0.3">
      <c r="A434" t="str">
        <f t="shared" si="56"/>
        <v>304may</v>
      </c>
      <c r="B434" t="str">
        <f t="shared" si="57"/>
        <v>TARATAmay</v>
      </c>
      <c r="C434" s="1" t="s">
        <v>79</v>
      </c>
      <c r="D434" s="1" t="s">
        <v>61</v>
      </c>
      <c r="E434" s="1">
        <v>304</v>
      </c>
      <c r="F434" s="1" t="s">
        <v>120</v>
      </c>
      <c r="G434" s="1" t="s">
        <v>120</v>
      </c>
      <c r="H434" s="1" t="s">
        <v>120</v>
      </c>
      <c r="I434" s="1" t="s">
        <v>124</v>
      </c>
      <c r="J434" s="1" t="s">
        <v>129</v>
      </c>
      <c r="K434" t="s">
        <v>84</v>
      </c>
      <c r="L434" s="6">
        <v>46474.240000000005</v>
      </c>
      <c r="M434" s="6">
        <v>22092.450000000004</v>
      </c>
      <c r="N434" s="6">
        <v>38588.11</v>
      </c>
      <c r="O434" s="6">
        <v>16344.250000000002</v>
      </c>
      <c r="P434" s="6">
        <v>32015.241599999994</v>
      </c>
      <c r="Q434" s="6">
        <v>12570.114014999999</v>
      </c>
      <c r="R434" s="6">
        <v>32827.35</v>
      </c>
      <c r="S434" s="6">
        <v>15077.573949069858</v>
      </c>
      <c r="T434" s="6">
        <v>32827.35</v>
      </c>
      <c r="U434" s="6">
        <v>15038.729999999996</v>
      </c>
      <c r="V434" s="30">
        <v>39199.440000000024</v>
      </c>
      <c r="W434" s="30">
        <v>17957.885553089123</v>
      </c>
      <c r="X434" s="30">
        <v>41943.400800000025</v>
      </c>
      <c r="Y434" s="30">
        <v>20221.470121999995</v>
      </c>
      <c r="Z434" s="30">
        <v>0</v>
      </c>
      <c r="AA434" s="30">
        <v>0</v>
      </c>
      <c r="AB434" s="34">
        <v>0.55412869581084001</v>
      </c>
      <c r="AC434" s="34">
        <v>0.41928311310874017</v>
      </c>
      <c r="AD434" s="34">
        <v>0.63351559719251493</v>
      </c>
      <c r="AE434" s="34">
        <v>0.6335155971925146</v>
      </c>
      <c r="AF434" s="34">
        <v>0.6335155971925146</v>
      </c>
      <c r="AG434" s="34">
        <v>0.7</v>
      </c>
      <c r="AH434" s="34">
        <v>0</v>
      </c>
      <c r="AI434" s="37">
        <f t="shared" si="58"/>
        <v>25752.709999999977</v>
      </c>
      <c r="AJ434" s="37">
        <f t="shared" si="59"/>
        <v>16179.342889782507</v>
      </c>
      <c r="AK434" s="37">
        <f t="shared" si="60"/>
        <v>20796.638239497704</v>
      </c>
      <c r="AL434" s="37">
        <f t="shared" si="61"/>
        <v>20796.638239497694</v>
      </c>
      <c r="AM434" s="37">
        <f t="shared" si="62"/>
        <v>24833.45664121216</v>
      </c>
      <c r="AN434" s="37">
        <f t="shared" si="63"/>
        <v>29360.380560000016</v>
      </c>
      <c r="AO434" s="37">
        <f t="shared" si="64"/>
        <v>0</v>
      </c>
    </row>
    <row r="435" spans="1:41" hidden="1" x14ac:dyDescent="0.3">
      <c r="A435" t="str">
        <f t="shared" si="56"/>
        <v>304jun</v>
      </c>
      <c r="B435" t="str">
        <f t="shared" si="57"/>
        <v>TARATAjun</v>
      </c>
      <c r="C435" s="1" t="s">
        <v>79</v>
      </c>
      <c r="D435" s="1" t="s">
        <v>61</v>
      </c>
      <c r="E435" s="1">
        <v>304</v>
      </c>
      <c r="F435" s="1" t="s">
        <v>120</v>
      </c>
      <c r="G435" s="1" t="s">
        <v>120</v>
      </c>
      <c r="H435" s="1" t="s">
        <v>120</v>
      </c>
      <c r="I435" s="1" t="s">
        <v>124</v>
      </c>
      <c r="J435" s="1" t="s">
        <v>129</v>
      </c>
      <c r="K435" t="s">
        <v>85</v>
      </c>
      <c r="L435" s="6">
        <v>46930.069999999992</v>
      </c>
      <c r="M435" s="6">
        <v>21664.119999999995</v>
      </c>
      <c r="N435" s="6">
        <v>31444.599999999991</v>
      </c>
      <c r="O435" s="6">
        <v>13959.649999999994</v>
      </c>
      <c r="P435" s="6">
        <v>40657.104899999991</v>
      </c>
      <c r="Q435" s="6">
        <v>18113.067304499993</v>
      </c>
      <c r="R435" s="6">
        <v>162.36000000000001</v>
      </c>
      <c r="S435" s="6">
        <v>99.760000000000048</v>
      </c>
      <c r="T435" s="6">
        <v>162.36000000000001</v>
      </c>
      <c r="U435" s="6">
        <v>99.760000000000019</v>
      </c>
      <c r="V435" s="30">
        <v>41027.320000000007</v>
      </c>
      <c r="W435" s="30">
        <v>25208.705612219765</v>
      </c>
      <c r="X435" s="30">
        <v>41943.400800000025</v>
      </c>
      <c r="Y435" s="30">
        <v>20221.470121999995</v>
      </c>
      <c r="Z435" s="30">
        <v>0</v>
      </c>
      <c r="AA435" s="30">
        <v>0</v>
      </c>
      <c r="AB435" s="34">
        <v>0.478073439907505</v>
      </c>
      <c r="AC435" s="34">
        <v>0.4775917617111855</v>
      </c>
      <c r="AD435" s="34">
        <v>1</v>
      </c>
      <c r="AE435" s="34">
        <v>1</v>
      </c>
      <c r="AF435" s="34">
        <v>1</v>
      </c>
      <c r="AG435" s="34">
        <v>0.7</v>
      </c>
      <c r="AH435" s="34">
        <v>0</v>
      </c>
      <c r="AI435" s="37">
        <f t="shared" si="58"/>
        <v>22436.02</v>
      </c>
      <c r="AJ435" s="37">
        <f t="shared" si="59"/>
        <v>15017.68191030354</v>
      </c>
      <c r="AK435" s="37">
        <f t="shared" si="60"/>
        <v>162.36000000000001</v>
      </c>
      <c r="AL435" s="37">
        <f t="shared" si="61"/>
        <v>162.36000000000001</v>
      </c>
      <c r="AM435" s="37">
        <f t="shared" si="62"/>
        <v>41027.320000000007</v>
      </c>
      <c r="AN435" s="37">
        <f t="shared" si="63"/>
        <v>29360.380560000016</v>
      </c>
      <c r="AO435" s="37">
        <f t="shared" si="64"/>
        <v>0</v>
      </c>
    </row>
    <row r="436" spans="1:41" hidden="1" x14ac:dyDescent="0.3">
      <c r="A436" t="str">
        <f t="shared" si="56"/>
        <v>304jul</v>
      </c>
      <c r="B436" t="str">
        <f t="shared" si="57"/>
        <v>TARATAjul</v>
      </c>
      <c r="C436" s="1" t="s">
        <v>79</v>
      </c>
      <c r="D436" s="1" t="s">
        <v>61</v>
      </c>
      <c r="E436" s="1">
        <v>304</v>
      </c>
      <c r="F436" s="1" t="s">
        <v>120</v>
      </c>
      <c r="G436" s="1" t="s">
        <v>120</v>
      </c>
      <c r="H436" s="1" t="s">
        <v>120</v>
      </c>
      <c r="I436" s="1" t="s">
        <v>124</v>
      </c>
      <c r="J436" s="1" t="s">
        <v>129</v>
      </c>
      <c r="K436" t="s">
        <v>86</v>
      </c>
      <c r="L436" s="6">
        <v>57387.3</v>
      </c>
      <c r="M436" s="6">
        <v>27017.199999999997</v>
      </c>
      <c r="N436" s="6">
        <v>48220.12999999999</v>
      </c>
      <c r="O436" s="6">
        <v>20821.839999999989</v>
      </c>
      <c r="P436" s="6">
        <v>44347.249599999981</v>
      </c>
      <c r="Q436" s="6">
        <v>19265.620288999995</v>
      </c>
      <c r="R436" s="6">
        <v>16392.630000000005</v>
      </c>
      <c r="S436" s="6">
        <v>7911.3000000000056</v>
      </c>
      <c r="T436" s="6">
        <v>16392.629999999997</v>
      </c>
      <c r="U436" s="6">
        <v>7911.3000000000029</v>
      </c>
      <c r="V436" s="30">
        <v>41027.320000000007</v>
      </c>
      <c r="W436" s="30">
        <v>19800.327141892438</v>
      </c>
      <c r="X436" s="30">
        <v>48410.088831067624</v>
      </c>
      <c r="Y436" s="30">
        <v>23339.146235867429</v>
      </c>
      <c r="Z436" s="30">
        <v>0</v>
      </c>
      <c r="AA436" s="30">
        <v>0</v>
      </c>
      <c r="AB436" s="34">
        <v>0.54741606592399394</v>
      </c>
      <c r="AC436" s="34">
        <v>0.4554284093293785</v>
      </c>
      <c r="AD436" s="34">
        <v>0.67988602195010805</v>
      </c>
      <c r="AE436" s="34">
        <v>0.67988602195010805</v>
      </c>
      <c r="AF436" s="34">
        <v>0.67988602195010805</v>
      </c>
      <c r="AG436" s="34">
        <v>0.7</v>
      </c>
      <c r="AH436" s="34">
        <v>0</v>
      </c>
      <c r="AI436" s="37">
        <f t="shared" si="58"/>
        <v>31414.730000000018</v>
      </c>
      <c r="AJ436" s="37">
        <f t="shared" si="59"/>
        <v>21960.817103555841</v>
      </c>
      <c r="AK436" s="37">
        <f t="shared" si="60"/>
        <v>11145.119999999997</v>
      </c>
      <c r="AL436" s="37">
        <f t="shared" si="61"/>
        <v>11145.120000000003</v>
      </c>
      <c r="AM436" s="37">
        <f t="shared" si="62"/>
        <v>27893.901386074111</v>
      </c>
      <c r="AN436" s="37">
        <f t="shared" si="63"/>
        <v>33887.062181747337</v>
      </c>
      <c r="AO436" s="37">
        <f t="shared" si="64"/>
        <v>0</v>
      </c>
    </row>
    <row r="437" spans="1:41" hidden="1" x14ac:dyDescent="0.3">
      <c r="A437" t="str">
        <f t="shared" si="56"/>
        <v>304ago</v>
      </c>
      <c r="B437" t="str">
        <f t="shared" si="57"/>
        <v>TARATAago</v>
      </c>
      <c r="C437" s="1" t="s">
        <v>79</v>
      </c>
      <c r="D437" s="1" t="s">
        <v>61</v>
      </c>
      <c r="E437" s="1">
        <v>304</v>
      </c>
      <c r="F437" s="1" t="s">
        <v>120</v>
      </c>
      <c r="G437" s="1" t="s">
        <v>120</v>
      </c>
      <c r="H437" s="1" t="s">
        <v>120</v>
      </c>
      <c r="I437" s="1" t="s">
        <v>124</v>
      </c>
      <c r="J437" s="1" t="s">
        <v>129</v>
      </c>
      <c r="K437" t="s">
        <v>87</v>
      </c>
      <c r="L437" s="6">
        <v>113268.12</v>
      </c>
      <c r="M437" s="6">
        <v>31425.719999999994</v>
      </c>
      <c r="N437" s="6">
        <v>69956.589999999967</v>
      </c>
      <c r="O437" s="6">
        <v>20241.559999999983</v>
      </c>
      <c r="P437" s="6">
        <v>74077.244040000034</v>
      </c>
      <c r="Q437" s="6">
        <v>21948.856086000011</v>
      </c>
      <c r="R437" s="6">
        <v>70004.045075201982</v>
      </c>
      <c r="S437" s="6">
        <v>24013.487582146539</v>
      </c>
      <c r="T437" s="6">
        <v>75093.410000000018</v>
      </c>
      <c r="U437" s="6">
        <v>29294.620000000046</v>
      </c>
      <c r="V437" s="30">
        <v>75093.41000000012</v>
      </c>
      <c r="W437" s="30">
        <v>25759.292432300044</v>
      </c>
      <c r="X437" s="30">
        <v>80349.948700000125</v>
      </c>
      <c r="Y437" s="30">
        <v>32582.573400186207</v>
      </c>
      <c r="Z437" s="30">
        <v>0</v>
      </c>
      <c r="AA437" s="30">
        <v>0</v>
      </c>
      <c r="AB437" s="34">
        <v>0.13113892947106406</v>
      </c>
      <c r="AC437" s="34">
        <v>0.16731413907084164</v>
      </c>
      <c r="AD437" s="34">
        <v>0.35823636188581665</v>
      </c>
      <c r="AE437" s="34">
        <v>0.27</v>
      </c>
      <c r="AF437" s="34">
        <v>0.27</v>
      </c>
      <c r="AG437" s="34">
        <v>0.39</v>
      </c>
      <c r="AH437" s="34">
        <v>0</v>
      </c>
      <c r="AI437" s="37">
        <f t="shared" si="58"/>
        <v>14853.860000000021</v>
      </c>
      <c r="AJ437" s="37">
        <f t="shared" si="59"/>
        <v>11704.726628181845</v>
      </c>
      <c r="AK437" s="37">
        <f t="shared" si="60"/>
        <v>26901.19000000001</v>
      </c>
      <c r="AL437" s="37">
        <f t="shared" si="61"/>
        <v>18901.092170304535</v>
      </c>
      <c r="AM437" s="37">
        <f t="shared" si="62"/>
        <v>20275.220700000034</v>
      </c>
      <c r="AN437" s="37">
        <f t="shared" si="63"/>
        <v>31336.479993000048</v>
      </c>
      <c r="AO437" s="37">
        <f t="shared" si="64"/>
        <v>0</v>
      </c>
    </row>
    <row r="438" spans="1:41" hidden="1" x14ac:dyDescent="0.3">
      <c r="A438" t="str">
        <f t="shared" si="56"/>
        <v>304sep</v>
      </c>
      <c r="B438" t="str">
        <f t="shared" si="57"/>
        <v>TARATAsep</v>
      </c>
      <c r="C438" s="1" t="s">
        <v>79</v>
      </c>
      <c r="D438" s="1" t="s">
        <v>61</v>
      </c>
      <c r="E438" s="1">
        <v>304</v>
      </c>
      <c r="F438" s="1" t="s">
        <v>120</v>
      </c>
      <c r="G438" s="1" t="s">
        <v>120</v>
      </c>
      <c r="H438" s="1" t="s">
        <v>120</v>
      </c>
      <c r="I438" s="1" t="s">
        <v>124</v>
      </c>
      <c r="J438" s="1" t="s">
        <v>129</v>
      </c>
      <c r="K438" t="s">
        <v>88</v>
      </c>
      <c r="L438" s="6">
        <v>42700.710000000006</v>
      </c>
      <c r="M438" s="6">
        <v>18453.900000000001</v>
      </c>
      <c r="N438" s="6">
        <v>43881.159999999982</v>
      </c>
      <c r="O438" s="6">
        <v>14840.309999999983</v>
      </c>
      <c r="P438" s="6">
        <v>42568.598144999996</v>
      </c>
      <c r="Q438" s="6">
        <v>16672.508427774996</v>
      </c>
      <c r="R438" s="6">
        <v>44722.569211136994</v>
      </c>
      <c r="S438" s="6">
        <v>20766.92501319146</v>
      </c>
      <c r="T438" s="6">
        <v>41027.320000000007</v>
      </c>
      <c r="U438" s="6">
        <v>20110.760000000031</v>
      </c>
      <c r="V438" s="30">
        <v>41027.320000000007</v>
      </c>
      <c r="W438" s="30">
        <v>20110.760000000031</v>
      </c>
      <c r="X438" s="30">
        <v>43899.232400000008</v>
      </c>
      <c r="Y438" s="30">
        <v>20947.441320694645</v>
      </c>
      <c r="Z438" s="30">
        <v>0</v>
      </c>
      <c r="AA438" s="30">
        <v>0</v>
      </c>
      <c r="AB438" s="34">
        <v>0.39674047574384658</v>
      </c>
      <c r="AC438" s="34">
        <v>0.33767932118971039</v>
      </c>
      <c r="AD438" s="34">
        <v>0.7263974346849853</v>
      </c>
      <c r="AE438" s="34">
        <v>0.65</v>
      </c>
      <c r="AF438" s="34">
        <v>0.65</v>
      </c>
      <c r="AG438" s="34">
        <v>0.68</v>
      </c>
      <c r="AH438" s="34">
        <v>0</v>
      </c>
      <c r="AI438" s="37">
        <f t="shared" si="58"/>
        <v>16941.100000000031</v>
      </c>
      <c r="AJ438" s="37">
        <f t="shared" si="59"/>
        <v>14817.760321817066</v>
      </c>
      <c r="AK438" s="37">
        <f t="shared" si="60"/>
        <v>29802.139999999996</v>
      </c>
      <c r="AL438" s="37">
        <f t="shared" si="61"/>
        <v>29069.669987239045</v>
      </c>
      <c r="AM438" s="37">
        <f t="shared" si="62"/>
        <v>26667.758000000005</v>
      </c>
      <c r="AN438" s="37">
        <f t="shared" si="63"/>
        <v>29851.478032000006</v>
      </c>
      <c r="AO438" s="37">
        <f t="shared" si="64"/>
        <v>0</v>
      </c>
    </row>
    <row r="439" spans="1:41" hidden="1" x14ac:dyDescent="0.3">
      <c r="A439" t="str">
        <f t="shared" si="56"/>
        <v>304oct</v>
      </c>
      <c r="B439" t="str">
        <f t="shared" si="57"/>
        <v>TARATAoct</v>
      </c>
      <c r="C439" s="1" t="s">
        <v>79</v>
      </c>
      <c r="D439" s="1" t="s">
        <v>61</v>
      </c>
      <c r="E439" s="1">
        <v>304</v>
      </c>
      <c r="F439" s="1" t="s">
        <v>120</v>
      </c>
      <c r="G439" s="1" t="s">
        <v>120</v>
      </c>
      <c r="H439" s="1" t="s">
        <v>120</v>
      </c>
      <c r="I439" s="1" t="s">
        <v>124</v>
      </c>
      <c r="J439" s="1" t="s">
        <v>129</v>
      </c>
      <c r="K439" t="s">
        <v>89</v>
      </c>
      <c r="L439" s="6">
        <v>36790.199999999997</v>
      </c>
      <c r="M439" s="6">
        <v>16533.670000000002</v>
      </c>
      <c r="N439" s="6">
        <v>36114.359999999993</v>
      </c>
      <c r="O439" s="6">
        <v>13514.599999999993</v>
      </c>
      <c r="P439" s="6">
        <v>43064.033574999972</v>
      </c>
      <c r="Q439" s="6">
        <v>17160.639556624988</v>
      </c>
      <c r="R439" s="6">
        <v>45243.073673894971</v>
      </c>
      <c r="S439" s="6">
        <v>21166.972018331762</v>
      </c>
      <c r="T439" s="6">
        <v>39199.440000000017</v>
      </c>
      <c r="U439" s="6">
        <v>19256.200000000019</v>
      </c>
      <c r="V439" s="30">
        <v>45243.073673894971</v>
      </c>
      <c r="W439" s="30">
        <v>21166.972018331762</v>
      </c>
      <c r="X439" s="30">
        <v>48410.088831067624</v>
      </c>
      <c r="Y439" s="30">
        <v>23339.146235867429</v>
      </c>
      <c r="Z439" s="30">
        <v>0</v>
      </c>
      <c r="AA439" s="30">
        <v>0</v>
      </c>
      <c r="AB439" s="34">
        <v>0.45473767470685134</v>
      </c>
      <c r="AC439" s="34">
        <v>0.42827469583411731</v>
      </c>
      <c r="AD439" s="34">
        <v>0.60199967142387756</v>
      </c>
      <c r="AE439" s="34">
        <v>0.65</v>
      </c>
      <c r="AF439" s="34">
        <v>0.65</v>
      </c>
      <c r="AG439" s="34">
        <v>0.7</v>
      </c>
      <c r="AH439" s="34">
        <v>0</v>
      </c>
      <c r="AI439" s="37">
        <f t="shared" si="58"/>
        <v>16729.89</v>
      </c>
      <c r="AJ439" s="37">
        <f t="shared" si="59"/>
        <v>15466.86654424381</v>
      </c>
      <c r="AK439" s="37">
        <f t="shared" si="60"/>
        <v>23598.050000000014</v>
      </c>
      <c r="AL439" s="37">
        <f t="shared" si="61"/>
        <v>29407.997888031732</v>
      </c>
      <c r="AM439" s="37">
        <f t="shared" si="62"/>
        <v>29407.997888031732</v>
      </c>
      <c r="AN439" s="37">
        <f t="shared" si="63"/>
        <v>33887.062181747337</v>
      </c>
      <c r="AO439" s="37">
        <f t="shared" si="64"/>
        <v>0</v>
      </c>
    </row>
    <row r="440" spans="1:41" hidden="1" x14ac:dyDescent="0.3">
      <c r="A440" t="str">
        <f t="shared" si="56"/>
        <v>304nov</v>
      </c>
      <c r="B440" t="str">
        <f t="shared" si="57"/>
        <v>TARATAnov</v>
      </c>
      <c r="C440" s="1" t="s">
        <v>79</v>
      </c>
      <c r="D440" s="1" t="s">
        <v>61</v>
      </c>
      <c r="E440" s="1">
        <v>304</v>
      </c>
      <c r="F440" s="1" t="s">
        <v>120</v>
      </c>
      <c r="G440" s="1" t="s">
        <v>120</v>
      </c>
      <c r="H440" s="1" t="s">
        <v>120</v>
      </c>
      <c r="I440" s="1" t="s">
        <v>124</v>
      </c>
      <c r="J440" s="1" t="s">
        <v>129</v>
      </c>
      <c r="K440" t="s">
        <v>90</v>
      </c>
      <c r="L440" s="6">
        <v>38172.61</v>
      </c>
      <c r="M440" s="6">
        <v>14690.28</v>
      </c>
      <c r="N440" s="6">
        <v>34160.909999999996</v>
      </c>
      <c r="O440" s="6">
        <v>13585.599999999997</v>
      </c>
      <c r="P440" s="6">
        <v>48533.28793999998</v>
      </c>
      <c r="Q440" s="6">
        <v>18958.11868159999</v>
      </c>
      <c r="R440" s="6">
        <v>50989.072309763978</v>
      </c>
      <c r="S440" s="6">
        <v>19765.913880880005</v>
      </c>
      <c r="T440" s="6">
        <v>45873.706896551725</v>
      </c>
      <c r="U440" s="6">
        <v>19022.040536795208</v>
      </c>
      <c r="V440" s="30">
        <v>50989.072309763978</v>
      </c>
      <c r="W440" s="30">
        <v>19765.913880880005</v>
      </c>
      <c r="X440" s="30">
        <v>54558.307371447459</v>
      </c>
      <c r="Y440" s="30">
        <v>23876.514721502695</v>
      </c>
      <c r="Z440" s="30">
        <v>0</v>
      </c>
      <c r="AA440" s="30">
        <v>0</v>
      </c>
      <c r="AB440" s="34">
        <v>0.25189317680923584</v>
      </c>
      <c r="AC440" s="34">
        <v>0.38105028976624938</v>
      </c>
      <c r="AD440" s="34">
        <v>0.35823636188581665</v>
      </c>
      <c r="AE440" s="34">
        <v>0.35</v>
      </c>
      <c r="AF440" s="34">
        <v>0.35</v>
      </c>
      <c r="AG440" s="34">
        <v>0.52</v>
      </c>
      <c r="AH440" s="34">
        <v>0</v>
      </c>
      <c r="AI440" s="37">
        <f t="shared" si="58"/>
        <v>9615.4200000000037</v>
      </c>
      <c r="AJ440" s="37">
        <f t="shared" si="59"/>
        <v>13017.024654178766</v>
      </c>
      <c r="AK440" s="37">
        <f t="shared" si="60"/>
        <v>16433.629864836985</v>
      </c>
      <c r="AL440" s="37">
        <f t="shared" si="61"/>
        <v>17846.175308417391</v>
      </c>
      <c r="AM440" s="37">
        <f t="shared" si="62"/>
        <v>17846.175308417391</v>
      </c>
      <c r="AN440" s="37">
        <f t="shared" si="63"/>
        <v>28370.31983315268</v>
      </c>
      <c r="AO440" s="37">
        <f t="shared" si="64"/>
        <v>0</v>
      </c>
    </row>
    <row r="441" spans="1:41" hidden="1" x14ac:dyDescent="0.3">
      <c r="A441" t="str">
        <f t="shared" si="56"/>
        <v>304dic</v>
      </c>
      <c r="B441" t="str">
        <f t="shared" si="57"/>
        <v>TARATAdic</v>
      </c>
      <c r="C441" s="1" t="s">
        <v>79</v>
      </c>
      <c r="D441" s="1" t="s">
        <v>61</v>
      </c>
      <c r="E441" s="1">
        <v>304</v>
      </c>
      <c r="F441" s="1" t="s">
        <v>120</v>
      </c>
      <c r="G441" s="1" t="s">
        <v>120</v>
      </c>
      <c r="H441" s="1" t="s">
        <v>120</v>
      </c>
      <c r="I441" s="1" t="s">
        <v>124</v>
      </c>
      <c r="J441" s="1" t="s">
        <v>129</v>
      </c>
      <c r="K441" t="s">
        <v>91</v>
      </c>
      <c r="L441" s="6">
        <v>114099.69999999998</v>
      </c>
      <c r="M441" s="6">
        <v>47791.929999999986</v>
      </c>
      <c r="N441" s="6">
        <v>79232.439999999988</v>
      </c>
      <c r="O441" s="6">
        <v>35335.24</v>
      </c>
      <c r="P441" s="6">
        <v>82607.946800000034</v>
      </c>
      <c r="Q441" s="6">
        <v>37190.772510500006</v>
      </c>
      <c r="R441" s="6">
        <v>86787.908908080048</v>
      </c>
      <c r="S441" s="6">
        <v>40043.941170188133</v>
      </c>
      <c r="T441" s="6">
        <v>76141.810344827565</v>
      </c>
      <c r="U441" s="6">
        <v>37975.040981206257</v>
      </c>
      <c r="V441" s="30">
        <v>86787.908908080048</v>
      </c>
      <c r="W441" s="30">
        <v>40043.941170188133</v>
      </c>
      <c r="X441" s="30">
        <v>92863.062531645672</v>
      </c>
      <c r="Y441" s="30">
        <v>44311.56188602616</v>
      </c>
      <c r="Z441" s="30">
        <v>0</v>
      </c>
      <c r="AA441" s="30">
        <v>0</v>
      </c>
      <c r="AB441" s="34">
        <v>0.32883355521530705</v>
      </c>
      <c r="AC441" s="34">
        <v>0.51280800379883484</v>
      </c>
      <c r="AD441" s="34">
        <v>0.430208724657408</v>
      </c>
      <c r="AE441" s="34">
        <v>0.6</v>
      </c>
      <c r="AF441" s="34">
        <v>0.6</v>
      </c>
      <c r="AG441" s="34">
        <v>0.67999999999999994</v>
      </c>
      <c r="AH441" s="34">
        <v>0</v>
      </c>
      <c r="AI441" s="37">
        <f t="shared" si="58"/>
        <v>37519.809999999961</v>
      </c>
      <c r="AJ441" s="37">
        <f t="shared" si="59"/>
        <v>40631.029392510951</v>
      </c>
      <c r="AK441" s="37">
        <f t="shared" si="60"/>
        <v>32756.871121554501</v>
      </c>
      <c r="AL441" s="37">
        <f t="shared" si="61"/>
        <v>52072.74534484803</v>
      </c>
      <c r="AM441" s="37">
        <f t="shared" si="62"/>
        <v>52072.74534484803</v>
      </c>
      <c r="AN441" s="37">
        <f t="shared" si="63"/>
        <v>63146.882521519052</v>
      </c>
      <c r="AO441" s="37">
        <f t="shared" si="64"/>
        <v>0</v>
      </c>
    </row>
    <row r="442" spans="1:41" hidden="1" x14ac:dyDescent="0.3">
      <c r="A442" t="str">
        <f t="shared" si="56"/>
        <v>212ene</v>
      </c>
      <c r="B442" t="str">
        <f t="shared" si="57"/>
        <v>TORRES DEL POETA FAIR PLAYene</v>
      </c>
      <c r="C442" s="1" t="s">
        <v>79</v>
      </c>
      <c r="D442" s="1" t="s">
        <v>62</v>
      </c>
      <c r="E442" s="1">
        <v>212</v>
      </c>
      <c r="F442" s="1" t="s">
        <v>119</v>
      </c>
      <c r="G442" s="1" t="s">
        <v>119</v>
      </c>
      <c r="H442" s="1" t="s">
        <v>119</v>
      </c>
      <c r="I442" s="1" t="s">
        <v>125</v>
      </c>
      <c r="J442" s="1" t="s">
        <v>133</v>
      </c>
      <c r="K442" t="s">
        <v>80</v>
      </c>
      <c r="L442" s="6">
        <v>88258.01</v>
      </c>
      <c r="M442" s="6">
        <v>46723.41</v>
      </c>
      <c r="N442" s="6">
        <v>41867.359999999993</v>
      </c>
      <c r="O442" s="6">
        <v>21545.769999999997</v>
      </c>
      <c r="P442" s="6">
        <v>44148.554133333331</v>
      </c>
      <c r="Q442" s="6">
        <v>22801.495056916665</v>
      </c>
      <c r="R442" s="6">
        <v>39744.02000000004</v>
      </c>
      <c r="S442" s="6">
        <v>20726.295821027725</v>
      </c>
      <c r="T442" s="6">
        <v>39744.020000000055</v>
      </c>
      <c r="U442" s="6">
        <v>20659.760000000053</v>
      </c>
      <c r="V442" s="30">
        <v>44148.554133333331</v>
      </c>
      <c r="W442" s="30">
        <v>22949.327540134986</v>
      </c>
      <c r="X442" s="30">
        <v>48121.924005333334</v>
      </c>
      <c r="Y442" s="30">
        <v>25648.785442851247</v>
      </c>
      <c r="Z442" s="30">
        <v>47223.275862069037</v>
      </c>
      <c r="AA442" s="30">
        <v>26407.257649217099</v>
      </c>
      <c r="AB442" s="34">
        <v>0.83142855815579786</v>
      </c>
      <c r="AC442" s="34">
        <v>0.78672343673709488</v>
      </c>
      <c r="AD442" s="34">
        <v>0.84208442704930031</v>
      </c>
      <c r="AE442" s="34">
        <v>0.8420844270493002</v>
      </c>
      <c r="AF442" s="34">
        <v>0.8420844270493002</v>
      </c>
      <c r="AG442" s="34">
        <v>0.88</v>
      </c>
      <c r="AH442" s="34">
        <v>0.98951848944546883</v>
      </c>
      <c r="AI442" s="37">
        <f t="shared" si="58"/>
        <v>73380.229999999981</v>
      </c>
      <c r="AJ442" s="37">
        <f t="shared" si="59"/>
        <v>32938.033346309174</v>
      </c>
      <c r="AK442" s="37">
        <f t="shared" si="60"/>
        <v>33467.820310335977</v>
      </c>
      <c r="AL442" s="37">
        <f t="shared" si="61"/>
        <v>33467.820310335963</v>
      </c>
      <c r="AM442" s="37">
        <f t="shared" si="62"/>
        <v>37176.809912423014</v>
      </c>
      <c r="AN442" s="37">
        <f t="shared" si="63"/>
        <v>42347.293124693337</v>
      </c>
      <c r="AO442" s="37">
        <f t="shared" si="64"/>
        <v>46728.304597701223</v>
      </c>
    </row>
    <row r="443" spans="1:41" hidden="1" x14ac:dyDescent="0.3">
      <c r="A443" t="str">
        <f t="shared" si="56"/>
        <v>212feb</v>
      </c>
      <c r="B443" t="str">
        <f t="shared" si="57"/>
        <v>TORRES DEL POETA FAIR PLAYfeb</v>
      </c>
      <c r="C443" s="1" t="s">
        <v>79</v>
      </c>
      <c r="D443" s="1" t="s">
        <v>62</v>
      </c>
      <c r="E443" s="1">
        <v>212</v>
      </c>
      <c r="F443" s="1" t="s">
        <v>119</v>
      </c>
      <c r="G443" s="1" t="s">
        <v>119</v>
      </c>
      <c r="H443" s="1" t="s">
        <v>119</v>
      </c>
      <c r="I443" s="1" t="s">
        <v>125</v>
      </c>
      <c r="J443" s="1" t="s">
        <v>133</v>
      </c>
      <c r="K443" t="s">
        <v>81</v>
      </c>
      <c r="L443" s="6">
        <v>117926.99999999997</v>
      </c>
      <c r="M443" s="6">
        <v>52475.130000000012</v>
      </c>
      <c r="N443" s="6">
        <v>57056.609999999986</v>
      </c>
      <c r="O443" s="6">
        <v>25220.709999999992</v>
      </c>
      <c r="P443" s="6">
        <v>78611.043650000036</v>
      </c>
      <c r="Q443" s="6">
        <v>33454.645054000015</v>
      </c>
      <c r="R443" s="6">
        <v>75203.270000000048</v>
      </c>
      <c r="S443" s="6">
        <v>34297.243087737763</v>
      </c>
      <c r="T443" s="6">
        <v>75203.270000000019</v>
      </c>
      <c r="U443" s="6">
        <v>34302.440000000046</v>
      </c>
      <c r="V443" s="30">
        <v>82541.595832500039</v>
      </c>
      <c r="W443" s="30">
        <v>37649.667874130813</v>
      </c>
      <c r="X443" s="30">
        <v>85843.259665800055</v>
      </c>
      <c r="Y443" s="30">
        <v>39489.19861693729</v>
      </c>
      <c r="Z443" s="30">
        <v>67689.655172413855</v>
      </c>
      <c r="AA443" s="30">
        <v>31538.896995755342</v>
      </c>
      <c r="AB443" s="34">
        <v>0.41558727009081919</v>
      </c>
      <c r="AC443" s="34">
        <v>0.48925807185366477</v>
      </c>
      <c r="AD443" s="34">
        <v>0.29574258702807493</v>
      </c>
      <c r="AE443" s="34">
        <v>0.29574258702807554</v>
      </c>
      <c r="AF443" s="34">
        <v>0.29574258702807554</v>
      </c>
      <c r="AG443" s="34">
        <v>0.40000000000000008</v>
      </c>
      <c r="AH443" s="34">
        <v>0.4126740533197486</v>
      </c>
      <c r="AI443" s="37">
        <f t="shared" si="58"/>
        <v>49008.960000000021</v>
      </c>
      <c r="AJ443" s="37">
        <f t="shared" si="59"/>
        <v>27915.406995106521</v>
      </c>
      <c r="AK443" s="37">
        <f t="shared" si="60"/>
        <v>22240.809622770823</v>
      </c>
      <c r="AL443" s="37">
        <f t="shared" si="61"/>
        <v>22240.809622770877</v>
      </c>
      <c r="AM443" s="37">
        <f t="shared" si="62"/>
        <v>24411.065088929379</v>
      </c>
      <c r="AN443" s="37">
        <f t="shared" si="63"/>
        <v>34337.303866320028</v>
      </c>
      <c r="AO443" s="37">
        <f t="shared" si="64"/>
        <v>27933.764367816111</v>
      </c>
    </row>
    <row r="444" spans="1:41" hidden="1" x14ac:dyDescent="0.3">
      <c r="A444" t="str">
        <f t="shared" si="56"/>
        <v>212mar</v>
      </c>
      <c r="B444" t="str">
        <f t="shared" si="57"/>
        <v>TORRES DEL POETA FAIR PLAYmar</v>
      </c>
      <c r="C444" s="1" t="s">
        <v>79</v>
      </c>
      <c r="D444" s="1" t="s">
        <v>62</v>
      </c>
      <c r="E444" s="1">
        <v>212</v>
      </c>
      <c r="F444" s="1" t="s">
        <v>119</v>
      </c>
      <c r="G444" s="1" t="s">
        <v>119</v>
      </c>
      <c r="H444" s="1" t="s">
        <v>119</v>
      </c>
      <c r="I444" s="1" t="s">
        <v>125</v>
      </c>
      <c r="J444" s="1" t="s">
        <v>133</v>
      </c>
      <c r="K444" t="s">
        <v>82</v>
      </c>
      <c r="L444" s="6">
        <v>82480.19</v>
      </c>
      <c r="M444" s="6">
        <v>38751.149999999987</v>
      </c>
      <c r="N444" s="6">
        <v>74641.5</v>
      </c>
      <c r="O444" s="6">
        <v>34559.699999999997</v>
      </c>
      <c r="P444" s="6">
        <v>46827.367214999977</v>
      </c>
      <c r="Q444" s="6">
        <v>22777.910161949989</v>
      </c>
      <c r="R444" s="6">
        <v>60958.530000000042</v>
      </c>
      <c r="S444" s="6">
        <v>30893.079450125784</v>
      </c>
      <c r="T444" s="6">
        <v>60958.530000000057</v>
      </c>
      <c r="U444" s="6">
        <v>30627.120000000083</v>
      </c>
      <c r="V444" s="30">
        <v>62177.700600000033</v>
      </c>
      <c r="W444" s="30">
        <v>31239.66240000007</v>
      </c>
      <c r="X444" s="30">
        <v>65908.362636000034</v>
      </c>
      <c r="Y444" s="30">
        <v>34828.255853434843</v>
      </c>
      <c r="Z444" s="30">
        <v>64999.032458092428</v>
      </c>
      <c r="AA444" s="30">
        <v>33344.503651001418</v>
      </c>
      <c r="AB444" s="34">
        <v>0.49076172108720995</v>
      </c>
      <c r="AC444" s="34">
        <v>0.48330682139299425</v>
      </c>
      <c r="AD444" s="34">
        <v>0.60996233976207193</v>
      </c>
      <c r="AE444" s="34">
        <v>0.60996233976207104</v>
      </c>
      <c r="AF444" s="34">
        <v>0.60996233976207104</v>
      </c>
      <c r="AG444" s="34">
        <v>0.85000000000000009</v>
      </c>
      <c r="AH444" s="34">
        <v>0.69799935963499216</v>
      </c>
      <c r="AI444" s="37">
        <f t="shared" si="58"/>
        <v>40478.120000000083</v>
      </c>
      <c r="AJ444" s="37">
        <f t="shared" si="59"/>
        <v>36074.74610900518</v>
      </c>
      <c r="AK444" s="37">
        <f t="shared" si="60"/>
        <v>37182.407587256486</v>
      </c>
      <c r="AL444" s="37">
        <f t="shared" si="61"/>
        <v>37182.407587256428</v>
      </c>
      <c r="AM444" s="37">
        <f t="shared" si="62"/>
        <v>37926.055739001546</v>
      </c>
      <c r="AN444" s="37">
        <f t="shared" si="63"/>
        <v>56022.108240600035</v>
      </c>
      <c r="AO444" s="37">
        <f t="shared" si="64"/>
        <v>45369.283032642583</v>
      </c>
    </row>
    <row r="445" spans="1:41" hidden="1" x14ac:dyDescent="0.3">
      <c r="A445" t="str">
        <f t="shared" si="56"/>
        <v>212abr</v>
      </c>
      <c r="B445" t="str">
        <f t="shared" si="57"/>
        <v>TORRES DEL POETA FAIR PLAYabr</v>
      </c>
      <c r="C445" s="1" t="s">
        <v>79</v>
      </c>
      <c r="D445" s="1" t="s">
        <v>62</v>
      </c>
      <c r="E445" s="1">
        <v>212</v>
      </c>
      <c r="F445" s="1" t="s">
        <v>119</v>
      </c>
      <c r="G445" s="1" t="s">
        <v>119</v>
      </c>
      <c r="H445" s="1" t="s">
        <v>119</v>
      </c>
      <c r="I445" s="1" t="s">
        <v>125</v>
      </c>
      <c r="J445" s="1" t="s">
        <v>133</v>
      </c>
      <c r="K445" t="s">
        <v>83</v>
      </c>
      <c r="L445" s="6">
        <v>55020.859999999986</v>
      </c>
      <c r="M445" s="6">
        <v>28360.76999999999</v>
      </c>
      <c r="N445" s="6">
        <v>38230.269999999997</v>
      </c>
      <c r="O445" s="6">
        <v>21430.249999999996</v>
      </c>
      <c r="P445" s="6">
        <v>43343</v>
      </c>
      <c r="Q445" s="6">
        <v>23843</v>
      </c>
      <c r="R445" s="6">
        <v>53993.85000000002</v>
      </c>
      <c r="S445" s="6">
        <v>29297.007806422367</v>
      </c>
      <c r="T445" s="6">
        <v>53993.850000000035</v>
      </c>
      <c r="U445" s="6">
        <v>29161.710000000036</v>
      </c>
      <c r="V445" s="30">
        <v>55613.665500000061</v>
      </c>
      <c r="W445" s="30">
        <v>30036.561300000049</v>
      </c>
      <c r="X445" s="30">
        <v>60618.895395000058</v>
      </c>
      <c r="Y445" s="30">
        <v>32309.619241256485</v>
      </c>
      <c r="Z445" s="30">
        <v>0</v>
      </c>
      <c r="AA445" s="30">
        <v>0</v>
      </c>
      <c r="AB445" s="34">
        <v>0.72524657011904292</v>
      </c>
      <c r="AC445" s="34">
        <v>0.92620205030155012</v>
      </c>
      <c r="AD445" s="34">
        <v>0.87034602350021839</v>
      </c>
      <c r="AE445" s="34">
        <v>0.87034602350021817</v>
      </c>
      <c r="AF445" s="34">
        <v>0.87034602350021817</v>
      </c>
      <c r="AG445" s="34">
        <v>0.88</v>
      </c>
      <c r="AH445" s="34">
        <v>0</v>
      </c>
      <c r="AI445" s="37">
        <f t="shared" si="58"/>
        <v>39903.690000000031</v>
      </c>
      <c r="AJ445" s="37">
        <f t="shared" si="59"/>
        <v>35408.954457581836</v>
      </c>
      <c r="AK445" s="37">
        <f t="shared" si="60"/>
        <v>46993.332640967295</v>
      </c>
      <c r="AL445" s="37">
        <f t="shared" si="61"/>
        <v>46993.332640967274</v>
      </c>
      <c r="AM445" s="37">
        <f t="shared" si="62"/>
        <v>48403.132620196324</v>
      </c>
      <c r="AN445" s="37">
        <f t="shared" si="63"/>
        <v>53344.627947600049</v>
      </c>
      <c r="AO445" s="37">
        <f t="shared" si="64"/>
        <v>0</v>
      </c>
    </row>
    <row r="446" spans="1:41" hidden="1" x14ac:dyDescent="0.3">
      <c r="A446" t="str">
        <f t="shared" si="56"/>
        <v>212may</v>
      </c>
      <c r="B446" t="str">
        <f t="shared" si="57"/>
        <v>TORRES DEL POETA FAIR PLAYmay</v>
      </c>
      <c r="C446" s="1" t="s">
        <v>79</v>
      </c>
      <c r="D446" s="1" t="s">
        <v>62</v>
      </c>
      <c r="E446" s="1">
        <v>212</v>
      </c>
      <c r="F446" s="1" t="s">
        <v>119</v>
      </c>
      <c r="G446" s="1" t="s">
        <v>119</v>
      </c>
      <c r="H446" s="1" t="s">
        <v>119</v>
      </c>
      <c r="I446" s="1" t="s">
        <v>125</v>
      </c>
      <c r="J446" s="1" t="s">
        <v>133</v>
      </c>
      <c r="K446" t="s">
        <v>84</v>
      </c>
      <c r="L446" s="6">
        <v>59124.510000000009</v>
      </c>
      <c r="M446" s="6">
        <v>31152.830000000009</v>
      </c>
      <c r="N446" s="6">
        <v>45870.659999999996</v>
      </c>
      <c r="O446" s="6">
        <v>25423.14</v>
      </c>
      <c r="P446" s="6">
        <v>47494</v>
      </c>
      <c r="Q446" s="6">
        <v>24658</v>
      </c>
      <c r="R446" s="6">
        <v>55132.219999999987</v>
      </c>
      <c r="S446" s="6">
        <v>30681.319175437729</v>
      </c>
      <c r="T446" s="6">
        <v>55132.219999999979</v>
      </c>
      <c r="U446" s="6">
        <v>30274.780000000006</v>
      </c>
      <c r="V446" s="30">
        <v>55132.219999999979</v>
      </c>
      <c r="W446" s="30">
        <v>30274.780000000006</v>
      </c>
      <c r="X446" s="30">
        <v>60094.119799999979</v>
      </c>
      <c r="Y446" s="30">
        <v>32029.916030713401</v>
      </c>
      <c r="Z446" s="30">
        <v>0</v>
      </c>
      <c r="AA446" s="30">
        <v>0</v>
      </c>
      <c r="AB446" s="34">
        <v>0.77975800560545905</v>
      </c>
      <c r="AC446" s="34">
        <v>0.9417695463003285</v>
      </c>
      <c r="AD446" s="34">
        <v>0.95464548896508039</v>
      </c>
      <c r="AE446" s="34">
        <v>0.95464548896508039</v>
      </c>
      <c r="AF446" s="34">
        <v>0.95464548896508039</v>
      </c>
      <c r="AG446" s="34">
        <v>0.88</v>
      </c>
      <c r="AH446" s="34">
        <v>0</v>
      </c>
      <c r="AI446" s="37">
        <f t="shared" si="58"/>
        <v>46102.810000000027</v>
      </c>
      <c r="AJ446" s="37">
        <f t="shared" si="59"/>
        <v>43199.590656696622</v>
      </c>
      <c r="AK446" s="37">
        <f t="shared" si="60"/>
        <v>52631.725119630362</v>
      </c>
      <c r="AL446" s="37">
        <f t="shared" si="61"/>
        <v>52631.72511963037</v>
      </c>
      <c r="AM446" s="37">
        <f t="shared" si="62"/>
        <v>52631.725119630362</v>
      </c>
      <c r="AN446" s="37">
        <f t="shared" si="63"/>
        <v>52882.825423999981</v>
      </c>
      <c r="AO446" s="37">
        <f t="shared" si="64"/>
        <v>0</v>
      </c>
    </row>
    <row r="447" spans="1:41" hidden="1" x14ac:dyDescent="0.3">
      <c r="A447" t="str">
        <f t="shared" si="56"/>
        <v>212jun</v>
      </c>
      <c r="B447" t="str">
        <f t="shared" si="57"/>
        <v>TORRES DEL POETA FAIR PLAYjun</v>
      </c>
      <c r="C447" s="1" t="s">
        <v>79</v>
      </c>
      <c r="D447" s="1" t="s">
        <v>62</v>
      </c>
      <c r="E447" s="1">
        <v>212</v>
      </c>
      <c r="F447" s="1" t="s">
        <v>119</v>
      </c>
      <c r="G447" s="1" t="s">
        <v>119</v>
      </c>
      <c r="H447" s="1" t="s">
        <v>119</v>
      </c>
      <c r="I447" s="1" t="s">
        <v>125</v>
      </c>
      <c r="J447" s="1" t="s">
        <v>133</v>
      </c>
      <c r="K447" t="s">
        <v>85</v>
      </c>
      <c r="L447" s="6">
        <v>53445.959999999992</v>
      </c>
      <c r="M447" s="6">
        <v>28505.029999999988</v>
      </c>
      <c r="N447" s="6">
        <v>42101.77</v>
      </c>
      <c r="O447" s="6">
        <v>23274.139999999996</v>
      </c>
      <c r="P447" s="6">
        <v>43192</v>
      </c>
      <c r="Q447" s="6">
        <v>23721</v>
      </c>
      <c r="R447" s="6">
        <v>49913.029999999984</v>
      </c>
      <c r="S447" s="6">
        <v>27749.611959038994</v>
      </c>
      <c r="T447" s="6">
        <v>49913.029999999948</v>
      </c>
      <c r="U447" s="6">
        <v>27749.519999999968</v>
      </c>
      <c r="V447" s="30">
        <v>50911.290599999949</v>
      </c>
      <c r="W447" s="30">
        <v>28304.510399999966</v>
      </c>
      <c r="X447" s="30">
        <v>55493.306753999939</v>
      </c>
      <c r="Y447" s="30">
        <v>29577.701803650347</v>
      </c>
      <c r="Z447" s="30">
        <v>0</v>
      </c>
      <c r="AA447" s="30">
        <v>0</v>
      </c>
      <c r="AB447" s="34">
        <v>0.79614193476925199</v>
      </c>
      <c r="AC447" s="34">
        <v>0.94102581758863302</v>
      </c>
      <c r="AD447" s="34">
        <v>0.96011855073156427</v>
      </c>
      <c r="AE447" s="34">
        <v>0.96011855073156416</v>
      </c>
      <c r="AF447" s="34">
        <v>0.96011855073156416</v>
      </c>
      <c r="AG447" s="34">
        <v>0.88</v>
      </c>
      <c r="AH447" s="34">
        <v>0</v>
      </c>
      <c r="AI447" s="37">
        <f t="shared" si="58"/>
        <v>42550.570000000043</v>
      </c>
      <c r="AJ447" s="37">
        <f t="shared" si="59"/>
        <v>39618.85253617858</v>
      </c>
      <c r="AK447" s="37">
        <f t="shared" si="60"/>
        <v>47922.426026221037</v>
      </c>
      <c r="AL447" s="37">
        <f t="shared" si="61"/>
        <v>47922.426026221066</v>
      </c>
      <c r="AM447" s="37">
        <f t="shared" si="62"/>
        <v>48880.874546745457</v>
      </c>
      <c r="AN447" s="37">
        <f t="shared" si="63"/>
        <v>48834.10994351995</v>
      </c>
      <c r="AO447" s="37">
        <f t="shared" si="64"/>
        <v>0</v>
      </c>
    </row>
    <row r="448" spans="1:41" hidden="1" x14ac:dyDescent="0.3">
      <c r="A448" t="str">
        <f t="shared" si="56"/>
        <v>212jul</v>
      </c>
      <c r="B448" t="str">
        <f t="shared" si="57"/>
        <v>TORRES DEL POETA FAIR PLAYjul</v>
      </c>
      <c r="C448" s="1" t="s">
        <v>79</v>
      </c>
      <c r="D448" s="1" t="s">
        <v>62</v>
      </c>
      <c r="E448" s="1">
        <v>212</v>
      </c>
      <c r="F448" s="1" t="s">
        <v>119</v>
      </c>
      <c r="G448" s="1" t="s">
        <v>119</v>
      </c>
      <c r="H448" s="1" t="s">
        <v>119</v>
      </c>
      <c r="I448" s="1" t="s">
        <v>125</v>
      </c>
      <c r="J448" s="1" t="s">
        <v>133</v>
      </c>
      <c r="K448" t="s">
        <v>86</v>
      </c>
      <c r="L448" s="6">
        <v>53334.939999999995</v>
      </c>
      <c r="M448" s="6">
        <v>28581.899999999994</v>
      </c>
      <c r="N448" s="6">
        <v>48214.179999999986</v>
      </c>
      <c r="O448" s="6">
        <v>26818.029999999984</v>
      </c>
      <c r="P448" s="6">
        <v>46128</v>
      </c>
      <c r="Q448" s="6">
        <v>25574</v>
      </c>
      <c r="R448" s="6">
        <v>47235.00999999998</v>
      </c>
      <c r="S448" s="6">
        <v>26292.740000000042</v>
      </c>
      <c r="T448" s="6">
        <v>47235.009999999966</v>
      </c>
      <c r="U448" s="6">
        <v>26292.739999999976</v>
      </c>
      <c r="V448" s="30">
        <v>50541.460700000083</v>
      </c>
      <c r="W448" s="30">
        <v>28133.231800000041</v>
      </c>
      <c r="X448" s="30">
        <v>55595.6067700001</v>
      </c>
      <c r="Y448" s="30">
        <v>29632.227286897807</v>
      </c>
      <c r="Z448" s="30">
        <v>0</v>
      </c>
      <c r="AA448" s="30">
        <v>0</v>
      </c>
      <c r="AB448" s="34">
        <v>0.85666431798742126</v>
      </c>
      <c r="AC448" s="34">
        <v>0.95798735567072457</v>
      </c>
      <c r="AD448" s="34">
        <v>0.97493829259271891</v>
      </c>
      <c r="AE448" s="34">
        <v>0.97493829259271891</v>
      </c>
      <c r="AF448" s="34">
        <v>0.97493829259271891</v>
      </c>
      <c r="AG448" s="34">
        <v>0.88</v>
      </c>
      <c r="AH448" s="34">
        <v>0</v>
      </c>
      <c r="AI448" s="37">
        <f t="shared" si="58"/>
        <v>45690.140000000029</v>
      </c>
      <c r="AJ448" s="37">
        <f t="shared" si="59"/>
        <v>46188.574804032323</v>
      </c>
      <c r="AK448" s="37">
        <f t="shared" si="60"/>
        <v>46051.219999999972</v>
      </c>
      <c r="AL448" s="37">
        <f t="shared" si="61"/>
        <v>46051.219999999987</v>
      </c>
      <c r="AM448" s="37">
        <f t="shared" si="62"/>
        <v>49274.805400000085</v>
      </c>
      <c r="AN448" s="37">
        <f t="shared" si="63"/>
        <v>48924.13395760009</v>
      </c>
      <c r="AO448" s="37">
        <f t="shared" si="64"/>
        <v>0</v>
      </c>
    </row>
    <row r="449" spans="1:41" hidden="1" x14ac:dyDescent="0.3">
      <c r="A449" t="str">
        <f t="shared" si="56"/>
        <v>212ago</v>
      </c>
      <c r="B449" t="str">
        <f t="shared" si="57"/>
        <v>TORRES DEL POETA FAIR PLAYago</v>
      </c>
      <c r="C449" s="1" t="s">
        <v>79</v>
      </c>
      <c r="D449" s="1" t="s">
        <v>62</v>
      </c>
      <c r="E449" s="1">
        <v>212</v>
      </c>
      <c r="F449" s="1" t="s">
        <v>119</v>
      </c>
      <c r="G449" s="1" t="s">
        <v>119</v>
      </c>
      <c r="H449" s="1" t="s">
        <v>119</v>
      </c>
      <c r="I449" s="1" t="s">
        <v>125</v>
      </c>
      <c r="J449" s="1" t="s">
        <v>133</v>
      </c>
      <c r="K449" t="s">
        <v>87</v>
      </c>
      <c r="L449" s="6">
        <v>161412.84999999998</v>
      </c>
      <c r="M449" s="6">
        <v>61842.049999999988</v>
      </c>
      <c r="N449" s="6">
        <v>64762.89</v>
      </c>
      <c r="O449" s="6">
        <v>29116.55</v>
      </c>
      <c r="P449" s="6">
        <v>74452</v>
      </c>
      <c r="Q449" s="6">
        <v>33345</v>
      </c>
      <c r="R449" s="6">
        <v>83468.872434441888</v>
      </c>
      <c r="S449" s="6">
        <v>36705.436653045821</v>
      </c>
      <c r="T449" s="6">
        <v>115662.23999999992</v>
      </c>
      <c r="U449" s="6">
        <v>51618.879999999932</v>
      </c>
      <c r="V449" s="30">
        <v>115662.24000000018</v>
      </c>
      <c r="W449" s="30">
        <v>50862.47004000008</v>
      </c>
      <c r="X449" s="30">
        <v>119132.10720000017</v>
      </c>
      <c r="Y449" s="30">
        <v>54802.572283369591</v>
      </c>
      <c r="Z449" s="30">
        <v>0</v>
      </c>
      <c r="AA449" s="30">
        <v>0</v>
      </c>
      <c r="AB449" s="34">
        <v>0.29502713073959169</v>
      </c>
      <c r="AC449" s="34">
        <v>0.45626792562871304</v>
      </c>
      <c r="AD449" s="34">
        <v>0.35143578405536469</v>
      </c>
      <c r="AE449" s="34">
        <v>0.37</v>
      </c>
      <c r="AF449" s="34">
        <v>0.37</v>
      </c>
      <c r="AG449" s="34">
        <v>0.4</v>
      </c>
      <c r="AH449" s="34">
        <v>0</v>
      </c>
      <c r="AI449" s="37">
        <f t="shared" si="58"/>
        <v>47621.170000000093</v>
      </c>
      <c r="AJ449" s="37">
        <f t="shared" si="59"/>
        <v>29549.229478020523</v>
      </c>
      <c r="AK449" s="37">
        <f t="shared" si="60"/>
        <v>40647.849999999737</v>
      </c>
      <c r="AL449" s="37">
        <f t="shared" si="61"/>
        <v>30883.482800743499</v>
      </c>
      <c r="AM449" s="37">
        <f t="shared" si="62"/>
        <v>42795.028800000066</v>
      </c>
      <c r="AN449" s="37">
        <f t="shared" si="63"/>
        <v>47652.842880000069</v>
      </c>
      <c r="AO449" s="37">
        <f t="shared" si="64"/>
        <v>0</v>
      </c>
    </row>
    <row r="450" spans="1:41" hidden="1" x14ac:dyDescent="0.3">
      <c r="A450" t="str">
        <f t="shared" si="56"/>
        <v>212sep</v>
      </c>
      <c r="B450" t="str">
        <f t="shared" si="57"/>
        <v>TORRES DEL POETA FAIR PLAYsep</v>
      </c>
      <c r="C450" s="1" t="s">
        <v>79</v>
      </c>
      <c r="D450" s="1" t="s">
        <v>62</v>
      </c>
      <c r="E450" s="1">
        <v>212</v>
      </c>
      <c r="F450" s="1" t="s">
        <v>119</v>
      </c>
      <c r="G450" s="1" t="s">
        <v>119</v>
      </c>
      <c r="H450" s="1" t="s">
        <v>119</v>
      </c>
      <c r="I450" s="1" t="s">
        <v>125</v>
      </c>
      <c r="J450" s="1" t="s">
        <v>133</v>
      </c>
      <c r="K450" t="s">
        <v>88</v>
      </c>
      <c r="L450" s="6">
        <v>50385.53</v>
      </c>
      <c r="M450" s="6">
        <v>24771.599999999995</v>
      </c>
      <c r="N450" s="6">
        <v>38233.93</v>
      </c>
      <c r="O450" s="6">
        <v>19736.999999999996</v>
      </c>
      <c r="P450" s="6">
        <v>43094</v>
      </c>
      <c r="Q450" s="6">
        <v>23171</v>
      </c>
      <c r="R450" s="6">
        <v>44830.972482780999</v>
      </c>
      <c r="S450" s="6">
        <v>23850.077360839499</v>
      </c>
      <c r="T450" s="6">
        <v>41860.049999999988</v>
      </c>
      <c r="U450" s="6">
        <v>22452.939999999995</v>
      </c>
      <c r="V450" s="30">
        <v>50232.059999999983</v>
      </c>
      <c r="W450" s="30">
        <v>26943.527999999991</v>
      </c>
      <c r="X450" s="30">
        <v>56259.90719999998</v>
      </c>
      <c r="Y450" s="30">
        <v>29729.678661169339</v>
      </c>
      <c r="Z450" s="30">
        <v>0</v>
      </c>
      <c r="AA450" s="30">
        <v>0</v>
      </c>
      <c r="AB450" s="34">
        <v>0.64018280645256653</v>
      </c>
      <c r="AC450" s="34">
        <v>0.7211094172689595</v>
      </c>
      <c r="AD450" s="34">
        <v>0.88390434316251409</v>
      </c>
      <c r="AE450" s="34">
        <v>0.8</v>
      </c>
      <c r="AF450" s="34">
        <v>0.8</v>
      </c>
      <c r="AG450" s="34">
        <v>0.85</v>
      </c>
      <c r="AH450" s="34">
        <v>0</v>
      </c>
      <c r="AI450" s="37">
        <f t="shared" si="58"/>
        <v>32255.949999999983</v>
      </c>
      <c r="AJ450" s="37">
        <f t="shared" si="59"/>
        <v>27570.846982202187</v>
      </c>
      <c r="AK450" s="37">
        <f t="shared" si="60"/>
        <v>37000.279999999984</v>
      </c>
      <c r="AL450" s="37">
        <f t="shared" si="61"/>
        <v>35864.777986224799</v>
      </c>
      <c r="AM450" s="37">
        <f t="shared" si="62"/>
        <v>40185.647999999986</v>
      </c>
      <c r="AN450" s="37">
        <f t="shared" si="63"/>
        <v>47820.921119999985</v>
      </c>
      <c r="AO450" s="37">
        <f t="shared" si="64"/>
        <v>0</v>
      </c>
    </row>
    <row r="451" spans="1:41" hidden="1" x14ac:dyDescent="0.3">
      <c r="A451" t="str">
        <f t="shared" si="56"/>
        <v>212oct</v>
      </c>
      <c r="B451" t="str">
        <f t="shared" si="57"/>
        <v>TORRES DEL POETA FAIR PLAYoct</v>
      </c>
      <c r="C451" s="1" t="s">
        <v>79</v>
      </c>
      <c r="D451" s="1" t="s">
        <v>62</v>
      </c>
      <c r="E451" s="1">
        <v>212</v>
      </c>
      <c r="F451" s="1" t="s">
        <v>119</v>
      </c>
      <c r="G451" s="1" t="s">
        <v>119</v>
      </c>
      <c r="H451" s="1" t="s">
        <v>119</v>
      </c>
      <c r="I451" s="1" t="s">
        <v>125</v>
      </c>
      <c r="J451" s="1" t="s">
        <v>133</v>
      </c>
      <c r="K451" t="s">
        <v>89</v>
      </c>
      <c r="L451" s="6">
        <v>40964.659999999996</v>
      </c>
      <c r="M451" s="6">
        <v>21631.539999999994</v>
      </c>
      <c r="N451" s="6">
        <v>38049.979999999996</v>
      </c>
      <c r="O451" s="6">
        <v>20446.749999999993</v>
      </c>
      <c r="P451" s="6">
        <v>45714</v>
      </c>
      <c r="Q451" s="6">
        <v>24685</v>
      </c>
      <c r="R451" s="6">
        <v>47555.909970163993</v>
      </c>
      <c r="S451" s="6">
        <v>26013.082753679708</v>
      </c>
      <c r="T451" s="6">
        <v>58293.329999999922</v>
      </c>
      <c r="U451" s="6">
        <v>31020.159999999938</v>
      </c>
      <c r="V451" s="30">
        <v>58293.329999999994</v>
      </c>
      <c r="W451" s="30">
        <v>31886.451509999999</v>
      </c>
      <c r="X451" s="30">
        <v>62956.796399999992</v>
      </c>
      <c r="Y451" s="30">
        <v>33555.710757822271</v>
      </c>
      <c r="Z451" s="30">
        <v>0</v>
      </c>
      <c r="AA451" s="30">
        <v>0</v>
      </c>
      <c r="AB451" s="34">
        <v>0.83851397765781543</v>
      </c>
      <c r="AC451" s="34">
        <v>0.82602976514950421</v>
      </c>
      <c r="AD451" s="34">
        <v>0.74829590280740566</v>
      </c>
      <c r="AE451" s="34">
        <v>0.9</v>
      </c>
      <c r="AF451" s="34">
        <v>0.9</v>
      </c>
      <c r="AG451" s="34">
        <v>0.88</v>
      </c>
      <c r="AH451" s="34">
        <v>0</v>
      </c>
      <c r="AI451" s="37">
        <f t="shared" si="58"/>
        <v>34349.440000000002</v>
      </c>
      <c r="AJ451" s="37">
        <f t="shared" si="59"/>
        <v>31430.416043343328</v>
      </c>
      <c r="AK451" s="37">
        <f t="shared" si="60"/>
        <v>43620.659999999967</v>
      </c>
      <c r="AL451" s="37">
        <f t="shared" si="61"/>
        <v>42800.318973147594</v>
      </c>
      <c r="AM451" s="37">
        <f t="shared" si="62"/>
        <v>52463.996999999996</v>
      </c>
      <c r="AN451" s="37">
        <f t="shared" si="63"/>
        <v>55401.980831999994</v>
      </c>
      <c r="AO451" s="37">
        <f t="shared" si="64"/>
        <v>0</v>
      </c>
    </row>
    <row r="452" spans="1:41" hidden="1" x14ac:dyDescent="0.3">
      <c r="A452" t="str">
        <f t="shared" si="56"/>
        <v>212nov</v>
      </c>
      <c r="B452" t="str">
        <f t="shared" si="57"/>
        <v>TORRES DEL POETA FAIR PLAYnov</v>
      </c>
      <c r="C452" s="1" t="s">
        <v>79</v>
      </c>
      <c r="D452" s="1" t="s">
        <v>62</v>
      </c>
      <c r="E452" s="1">
        <v>212</v>
      </c>
      <c r="F452" s="1" t="s">
        <v>119</v>
      </c>
      <c r="G452" s="1" t="s">
        <v>119</v>
      </c>
      <c r="H452" s="1" t="s">
        <v>119</v>
      </c>
      <c r="I452" s="1" t="s">
        <v>125</v>
      </c>
      <c r="J452" s="1" t="s">
        <v>133</v>
      </c>
      <c r="K452" t="s">
        <v>90</v>
      </c>
      <c r="L452" s="6">
        <v>98470.559999999983</v>
      </c>
      <c r="M452" s="6">
        <v>48947.649999999972</v>
      </c>
      <c r="N452" s="6">
        <v>61274.039999999994</v>
      </c>
      <c r="O452" s="6">
        <v>32289.189999999988</v>
      </c>
      <c r="P452" s="6">
        <v>70195</v>
      </c>
      <c r="Q452" s="6">
        <v>34288</v>
      </c>
      <c r="R452" s="6">
        <v>73023.797559226063</v>
      </c>
      <c r="S452" s="6">
        <v>34817.746676238989</v>
      </c>
      <c r="T452" s="6">
        <v>100144.54022988505</v>
      </c>
      <c r="U452" s="6">
        <v>41176.247759329854</v>
      </c>
      <c r="V452" s="30">
        <v>100144.54022988508</v>
      </c>
      <c r="W452" s="30">
        <v>47748.916781609209</v>
      </c>
      <c r="X452" s="30">
        <v>108156.10344827588</v>
      </c>
      <c r="Y452" s="30">
        <v>53042.323222710467</v>
      </c>
      <c r="Z452" s="30">
        <v>0</v>
      </c>
      <c r="AA452" s="30">
        <v>0</v>
      </c>
      <c r="AB452" s="34">
        <v>0.58042779486579654</v>
      </c>
      <c r="AC452" s="34">
        <v>0.66516872273601468</v>
      </c>
      <c r="AD452" s="34">
        <v>0.35143578405536469</v>
      </c>
      <c r="AE452" s="34">
        <v>0.47999999999999993</v>
      </c>
      <c r="AF452" s="34">
        <v>0.47999999999999993</v>
      </c>
      <c r="AG452" s="34">
        <v>0.59999999999999987</v>
      </c>
      <c r="AH452" s="34">
        <v>0</v>
      </c>
      <c r="AI452" s="37">
        <f t="shared" si="58"/>
        <v>57155.050000000097</v>
      </c>
      <c r="AJ452" s="37">
        <f t="shared" si="59"/>
        <v>40757.574923675471</v>
      </c>
      <c r="AK452" s="37">
        <f t="shared" si="60"/>
        <v>35194.375014553661</v>
      </c>
      <c r="AL452" s="37">
        <f t="shared" si="61"/>
        <v>35051.422828428505</v>
      </c>
      <c r="AM452" s="37">
        <f t="shared" si="62"/>
        <v>48069.379310344833</v>
      </c>
      <c r="AN452" s="37">
        <f t="shared" si="63"/>
        <v>64893.662068965517</v>
      </c>
      <c r="AO452" s="37">
        <f t="shared" si="64"/>
        <v>0</v>
      </c>
    </row>
    <row r="453" spans="1:41" hidden="1" x14ac:dyDescent="0.3">
      <c r="A453" t="str">
        <f t="shared" ref="A453:A513" si="65">CONCATENATE(E453,K453)</f>
        <v>212dic</v>
      </c>
      <c r="B453" t="str">
        <f t="shared" ref="B453:B513" si="66">CONCATENATE(D453,K453)</f>
        <v>TORRES DEL POETA FAIR PLAYdic</v>
      </c>
      <c r="C453" s="1" t="s">
        <v>79</v>
      </c>
      <c r="D453" s="1" t="s">
        <v>62</v>
      </c>
      <c r="E453" s="1">
        <v>212</v>
      </c>
      <c r="F453" s="1" t="s">
        <v>119</v>
      </c>
      <c r="G453" s="1" t="s">
        <v>119</v>
      </c>
      <c r="H453" s="1" t="s">
        <v>119</v>
      </c>
      <c r="I453" s="1" t="s">
        <v>125</v>
      </c>
      <c r="J453" s="1" t="s">
        <v>133</v>
      </c>
      <c r="K453" t="s">
        <v>91</v>
      </c>
      <c r="L453" s="6">
        <v>132572.25999999998</v>
      </c>
      <c r="M453" s="6">
        <v>64412.969999999994</v>
      </c>
      <c r="N453" s="6">
        <v>116109.75</v>
      </c>
      <c r="O453" s="6">
        <v>62270.49</v>
      </c>
      <c r="P453" s="6">
        <v>127066.21925000026</v>
      </c>
      <c r="Q453" s="6">
        <v>70035.011311250142</v>
      </c>
      <c r="R453" s="6">
        <v>132186.98788577528</v>
      </c>
      <c r="S453" s="6">
        <v>69794.729603689368</v>
      </c>
      <c r="T453" s="6">
        <v>132551.29310344826</v>
      </c>
      <c r="U453" s="6">
        <v>65541.20302430127</v>
      </c>
      <c r="V453" s="30">
        <v>132551.29310344826</v>
      </c>
      <c r="W453" s="30">
        <v>69987.082758620701</v>
      </c>
      <c r="X453" s="30">
        <v>144480.90948275864</v>
      </c>
      <c r="Y453" s="30">
        <v>76348.704172692058</v>
      </c>
      <c r="Z453" s="30">
        <v>0</v>
      </c>
      <c r="AA453" s="30">
        <v>0</v>
      </c>
      <c r="AB453" s="34">
        <v>0.5385940467485435</v>
      </c>
      <c r="AC453" s="34">
        <v>0.81464737072655757</v>
      </c>
      <c r="AD453" s="34">
        <v>0.60996233976207193</v>
      </c>
      <c r="AE453" s="34">
        <v>0.8</v>
      </c>
      <c r="AF453" s="34">
        <v>0.8</v>
      </c>
      <c r="AG453" s="34">
        <v>0.85000000000000009</v>
      </c>
      <c r="AH453" s="34">
        <v>0</v>
      </c>
      <c r="AI453" s="37">
        <f t="shared" ref="AI453:AI516" si="67">L453*AB453</f>
        <v>71402.630000000048</v>
      </c>
      <c r="AJ453" s="37">
        <f t="shared" ref="AJ453:AJ516" si="68">N453*AC453</f>
        <v>94588.502553217913</v>
      </c>
      <c r="AK453" s="37">
        <f t="shared" ref="AK453:AK516" si="69">T453*AD453</f>
        <v>80851.296879867485</v>
      </c>
      <c r="AL453" s="37">
        <f t="shared" ref="AL453:AL516" si="70">R453*AE453</f>
        <v>105749.59030862023</v>
      </c>
      <c r="AM453" s="37">
        <f t="shared" ref="AM453:AM516" si="71">V453*AF453</f>
        <v>106041.03448275861</v>
      </c>
      <c r="AN453" s="37">
        <f t="shared" ref="AN453:AN516" si="72">X453*AG453</f>
        <v>122808.77306034486</v>
      </c>
      <c r="AO453" s="37">
        <f t="shared" ref="AO453:AO516" si="73">Z453*AH453</f>
        <v>0</v>
      </c>
    </row>
    <row r="454" spans="1:41" hidden="1" x14ac:dyDescent="0.3">
      <c r="A454" t="str">
        <f t="shared" si="65"/>
        <v>310ene</v>
      </c>
      <c r="B454" t="str">
        <f t="shared" si="66"/>
        <v>TORRES SOFERene</v>
      </c>
      <c r="C454" s="1" t="s">
        <v>79</v>
      </c>
      <c r="D454" s="1" t="s">
        <v>63</v>
      </c>
      <c r="E454" s="1">
        <v>310</v>
      </c>
      <c r="F454" s="1" t="s">
        <v>120</v>
      </c>
      <c r="G454" s="1" t="s">
        <v>119</v>
      </c>
      <c r="H454" s="1" t="s">
        <v>119</v>
      </c>
      <c r="I454" s="1" t="s">
        <v>124</v>
      </c>
      <c r="J454" s="1" t="s">
        <v>134</v>
      </c>
      <c r="K454" t="s">
        <v>80</v>
      </c>
      <c r="L454" s="6">
        <v>27958.709999999995</v>
      </c>
      <c r="M454" s="6">
        <v>13898.859999999997</v>
      </c>
      <c r="N454" s="6">
        <v>17301.519999999997</v>
      </c>
      <c r="O454" s="6">
        <v>9033.2599999999966</v>
      </c>
      <c r="P454" s="6">
        <v>23273.821331034476</v>
      </c>
      <c r="Q454" s="6">
        <v>11813.625398948272</v>
      </c>
      <c r="R454" s="6">
        <v>19709.489999999998</v>
      </c>
      <c r="S454" s="6">
        <v>10415.714689540859</v>
      </c>
      <c r="T454" s="6">
        <v>19709.490000000005</v>
      </c>
      <c r="U454" s="6">
        <v>10215.400000000009</v>
      </c>
      <c r="V454" s="30">
        <v>19709.490000000013</v>
      </c>
      <c r="W454" s="30">
        <v>10215.400000000012</v>
      </c>
      <c r="X454" s="30">
        <v>22074.62880000002</v>
      </c>
      <c r="Y454" s="30">
        <v>11795.997839231595</v>
      </c>
      <c r="Z454" s="30">
        <v>16569.39655172413</v>
      </c>
      <c r="AA454" s="30">
        <v>9163.6973290228416</v>
      </c>
      <c r="AB454" s="34">
        <v>0.61909973671889751</v>
      </c>
      <c r="AC454" s="34">
        <v>0.71724673130384375</v>
      </c>
      <c r="AD454" s="34">
        <v>0.76435733481329993</v>
      </c>
      <c r="AE454" s="34">
        <v>0.76435733481330015</v>
      </c>
      <c r="AF454" s="34">
        <v>0.76435733481330015</v>
      </c>
      <c r="AG454" s="34">
        <v>0.88</v>
      </c>
      <c r="AH454" s="34">
        <v>0.97872930811720116</v>
      </c>
      <c r="AI454" s="37">
        <f t="shared" si="67"/>
        <v>17309.230000000003</v>
      </c>
      <c r="AJ454" s="37">
        <f t="shared" si="68"/>
        <v>12409.458666588076</v>
      </c>
      <c r="AK454" s="37">
        <f t="shared" si="69"/>
        <v>15065.093246929391</v>
      </c>
      <c r="AL454" s="37">
        <f t="shared" si="70"/>
        <v>15065.093246929389</v>
      </c>
      <c r="AM454" s="37">
        <f t="shared" si="71"/>
        <v>15065.0932469294</v>
      </c>
      <c r="AN454" s="37">
        <f t="shared" si="72"/>
        <v>19425.673344000017</v>
      </c>
      <c r="AO454" s="37">
        <f t="shared" si="73"/>
        <v>16216.954022988497</v>
      </c>
    </row>
    <row r="455" spans="1:41" hidden="1" x14ac:dyDescent="0.3">
      <c r="A455" t="str">
        <f t="shared" si="65"/>
        <v>310feb</v>
      </c>
      <c r="B455" t="str">
        <f t="shared" si="66"/>
        <v>TORRES SOFERfeb</v>
      </c>
      <c r="C455" s="1" t="s">
        <v>79</v>
      </c>
      <c r="D455" s="1" t="s">
        <v>63</v>
      </c>
      <c r="E455" s="1">
        <v>310</v>
      </c>
      <c r="F455" s="1" t="s">
        <v>120</v>
      </c>
      <c r="G455" s="1" t="s">
        <v>119</v>
      </c>
      <c r="H455" s="1" t="s">
        <v>119</v>
      </c>
      <c r="I455" s="1" t="s">
        <v>124</v>
      </c>
      <c r="J455" s="1" t="s">
        <v>134</v>
      </c>
      <c r="K455" t="s">
        <v>81</v>
      </c>
      <c r="L455" s="6">
        <v>40916.49</v>
      </c>
      <c r="M455" s="6">
        <v>17145.129999999997</v>
      </c>
      <c r="N455" s="6">
        <v>16841.73</v>
      </c>
      <c r="O455" s="6">
        <v>7867.5800000000008</v>
      </c>
      <c r="P455" s="6">
        <v>34649.198099999994</v>
      </c>
      <c r="Q455" s="6">
        <v>14847.551279499996</v>
      </c>
      <c r="R455" s="6">
        <v>36459.64999999998</v>
      </c>
      <c r="S455" s="6">
        <v>15454.037888360082</v>
      </c>
      <c r="T455" s="6">
        <v>36459.649999999994</v>
      </c>
      <c r="U455" s="6">
        <v>15363.25</v>
      </c>
      <c r="V455" s="30">
        <v>36459.650000000009</v>
      </c>
      <c r="W455" s="30">
        <v>15363.250000000007</v>
      </c>
      <c r="X455" s="30">
        <v>36824.246500000008</v>
      </c>
      <c r="Y455" s="30">
        <v>16592.886282544685</v>
      </c>
      <c r="Z455" s="30">
        <v>36930.028735632186</v>
      </c>
      <c r="AA455" s="30">
        <v>15940.045022066784</v>
      </c>
      <c r="AB455" s="34">
        <v>0.28034613917274048</v>
      </c>
      <c r="AC455" s="34">
        <v>0.45577921534451987</v>
      </c>
      <c r="AD455" s="34">
        <v>0.28252161642357843</v>
      </c>
      <c r="AE455" s="34">
        <v>0.28252161642357837</v>
      </c>
      <c r="AF455" s="34">
        <v>0.28252161642357837</v>
      </c>
      <c r="AG455" s="34">
        <v>0.39999999999999997</v>
      </c>
      <c r="AH455" s="34">
        <v>0.33256430108196222</v>
      </c>
      <c r="AI455" s="37">
        <f t="shared" si="67"/>
        <v>11470.780000000044</v>
      </c>
      <c r="AJ455" s="37">
        <f t="shared" si="68"/>
        <v>7676.1104844442607</v>
      </c>
      <c r="AK455" s="37">
        <f t="shared" si="69"/>
        <v>10300.639252237919</v>
      </c>
      <c r="AL455" s="37">
        <f t="shared" si="70"/>
        <v>10300.639252237914</v>
      </c>
      <c r="AM455" s="37">
        <f t="shared" si="71"/>
        <v>10300.639252237921</v>
      </c>
      <c r="AN455" s="37">
        <f t="shared" si="72"/>
        <v>14729.698600000002</v>
      </c>
      <c r="AO455" s="37">
        <f t="shared" si="73"/>
        <v>12281.6091954023</v>
      </c>
    </row>
    <row r="456" spans="1:41" hidden="1" x14ac:dyDescent="0.3">
      <c r="A456" t="str">
        <f t="shared" si="65"/>
        <v>310mar</v>
      </c>
      <c r="B456" t="str">
        <f t="shared" si="66"/>
        <v>TORRES SOFERmar</v>
      </c>
      <c r="C456" s="1" t="s">
        <v>79</v>
      </c>
      <c r="D456" s="1" t="s">
        <v>63</v>
      </c>
      <c r="E456" s="1">
        <v>310</v>
      </c>
      <c r="F456" s="1" t="s">
        <v>120</v>
      </c>
      <c r="G456" s="1" t="s">
        <v>119</v>
      </c>
      <c r="H456" s="1" t="s">
        <v>119</v>
      </c>
      <c r="I456" s="1" t="s">
        <v>124</v>
      </c>
      <c r="J456" s="1" t="s">
        <v>134</v>
      </c>
      <c r="K456" t="s">
        <v>82</v>
      </c>
      <c r="L456" s="6">
        <v>24075.78</v>
      </c>
      <c r="M456" s="6">
        <v>11004.380000000001</v>
      </c>
      <c r="N456" s="6">
        <v>28290.12</v>
      </c>
      <c r="O456" s="6">
        <v>12589.700000000003</v>
      </c>
      <c r="P456" s="6">
        <v>28069.485049999999</v>
      </c>
      <c r="Q456" s="6">
        <v>13304.401714</v>
      </c>
      <c r="R456" s="6">
        <v>25786.319999999992</v>
      </c>
      <c r="S456" s="6">
        <v>12329.037027255075</v>
      </c>
      <c r="T456" s="6">
        <v>25786.319999999985</v>
      </c>
      <c r="U456" s="6">
        <v>12238.309999999979</v>
      </c>
      <c r="V456" s="30">
        <v>25786.319999999956</v>
      </c>
      <c r="W456" s="30">
        <v>12238.309999999967</v>
      </c>
      <c r="X456" s="30">
        <v>26688.841199999959</v>
      </c>
      <c r="Y456" s="30">
        <v>14121.953479675169</v>
      </c>
      <c r="Z456" s="30">
        <v>32906.376741321226</v>
      </c>
      <c r="AA456" s="30">
        <v>15827.96721257551</v>
      </c>
      <c r="AB456" s="34">
        <v>0.43933072988704908</v>
      </c>
      <c r="AC456" s="34">
        <v>0.35837155113326341</v>
      </c>
      <c r="AD456" s="34">
        <v>0.53991452508012117</v>
      </c>
      <c r="AE456" s="34">
        <v>0.53991452508012072</v>
      </c>
      <c r="AF456" s="34">
        <v>0.53991452508012072</v>
      </c>
      <c r="AG456" s="34">
        <v>0.85</v>
      </c>
      <c r="AH456" s="34">
        <v>0.60535428927249391</v>
      </c>
      <c r="AI456" s="37">
        <f t="shared" si="67"/>
        <v>10577.230000000018</v>
      </c>
      <c r="AJ456" s="37">
        <f t="shared" si="68"/>
        <v>10138.374186146157</v>
      </c>
      <c r="AK456" s="37">
        <f t="shared" si="69"/>
        <v>13922.408716364022</v>
      </c>
      <c r="AL456" s="37">
        <f t="shared" si="70"/>
        <v>13922.408716364014</v>
      </c>
      <c r="AM456" s="37">
        <f t="shared" si="71"/>
        <v>13922.408716363994</v>
      </c>
      <c r="AN456" s="37">
        <f t="shared" si="72"/>
        <v>22685.515019999966</v>
      </c>
      <c r="AO456" s="37">
        <f t="shared" si="73"/>
        <v>19920.016304775436</v>
      </c>
    </row>
    <row r="457" spans="1:41" hidden="1" x14ac:dyDescent="0.3">
      <c r="A457" t="str">
        <f t="shared" si="65"/>
        <v>310abr</v>
      </c>
      <c r="B457" t="str">
        <f t="shared" si="66"/>
        <v>TORRES SOFERabr</v>
      </c>
      <c r="C457" s="1" t="s">
        <v>79</v>
      </c>
      <c r="D457" s="1" t="s">
        <v>63</v>
      </c>
      <c r="E457" s="1">
        <v>310</v>
      </c>
      <c r="F457" s="1" t="s">
        <v>120</v>
      </c>
      <c r="G457" s="1" t="s">
        <v>119</v>
      </c>
      <c r="H457" s="1" t="s">
        <v>119</v>
      </c>
      <c r="I457" s="1" t="s">
        <v>124</v>
      </c>
      <c r="J457" s="1" t="s">
        <v>134</v>
      </c>
      <c r="K457" t="s">
        <v>83</v>
      </c>
      <c r="L457" s="6">
        <v>13733.820000000002</v>
      </c>
      <c r="M457" s="6">
        <v>6770.8199999999979</v>
      </c>
      <c r="N457" s="6">
        <v>16588.64</v>
      </c>
      <c r="O457" s="6">
        <v>8758.75</v>
      </c>
      <c r="P457" s="6">
        <v>24385.623049999995</v>
      </c>
      <c r="Q457" s="6">
        <v>12924.264588499998</v>
      </c>
      <c r="R457" s="6">
        <v>19757.370000000006</v>
      </c>
      <c r="S457" s="6">
        <v>10459.085652808613</v>
      </c>
      <c r="T457" s="6">
        <v>19757.370000000003</v>
      </c>
      <c r="U457" s="6">
        <v>10334.170000000009</v>
      </c>
      <c r="V457" s="30">
        <v>19757.37000000001</v>
      </c>
      <c r="W457" s="30">
        <v>10334.170000000013</v>
      </c>
      <c r="X457" s="30">
        <v>21021.841680000012</v>
      </c>
      <c r="Y457" s="30">
        <v>11233.421013808786</v>
      </c>
      <c r="Z457" s="30">
        <v>0</v>
      </c>
      <c r="AA457" s="30">
        <v>0</v>
      </c>
      <c r="AB457" s="34">
        <v>0.53647856168203789</v>
      </c>
      <c r="AC457" s="34">
        <v>0.65741754964373678</v>
      </c>
      <c r="AD457" s="34">
        <v>0.77294184617734252</v>
      </c>
      <c r="AE457" s="34">
        <v>0.77294184617734241</v>
      </c>
      <c r="AF457" s="34">
        <v>0.77294184617734241</v>
      </c>
      <c r="AG457" s="34">
        <v>0.88</v>
      </c>
      <c r="AH457" s="34">
        <v>0</v>
      </c>
      <c r="AI457" s="37">
        <f t="shared" si="67"/>
        <v>7367.900000000006</v>
      </c>
      <c r="AJ457" s="37">
        <f t="shared" si="68"/>
        <v>10905.663060722078</v>
      </c>
      <c r="AK457" s="37">
        <f t="shared" si="69"/>
        <v>15271.298043408844</v>
      </c>
      <c r="AL457" s="37">
        <f t="shared" si="70"/>
        <v>15271.298043408844</v>
      </c>
      <c r="AM457" s="37">
        <f t="shared" si="71"/>
        <v>15271.298043408848</v>
      </c>
      <c r="AN457" s="37">
        <f t="shared" si="72"/>
        <v>18499.220678400012</v>
      </c>
      <c r="AO457" s="37">
        <f t="shared" si="73"/>
        <v>0</v>
      </c>
    </row>
    <row r="458" spans="1:41" hidden="1" x14ac:dyDescent="0.3">
      <c r="A458" t="str">
        <f t="shared" si="65"/>
        <v>310may</v>
      </c>
      <c r="B458" t="str">
        <f t="shared" si="66"/>
        <v>TORRES SOFERmay</v>
      </c>
      <c r="C458" s="1" t="s">
        <v>79</v>
      </c>
      <c r="D458" s="1" t="s">
        <v>63</v>
      </c>
      <c r="E458" s="1">
        <v>310</v>
      </c>
      <c r="F458" s="1" t="s">
        <v>120</v>
      </c>
      <c r="G458" s="1" t="s">
        <v>119</v>
      </c>
      <c r="H458" s="1" t="s">
        <v>119</v>
      </c>
      <c r="I458" s="1" t="s">
        <v>124</v>
      </c>
      <c r="J458" s="1" t="s">
        <v>134</v>
      </c>
      <c r="K458" t="s">
        <v>84</v>
      </c>
      <c r="L458" s="6">
        <v>20034.159999999996</v>
      </c>
      <c r="M458" s="6">
        <v>10363.109999999999</v>
      </c>
      <c r="N458" s="6">
        <v>12793.170000000002</v>
      </c>
      <c r="O458" s="6">
        <v>6632.7800000000007</v>
      </c>
      <c r="P458" s="6">
        <v>25627.680899999992</v>
      </c>
      <c r="Q458" s="6">
        <v>12506.842729999997</v>
      </c>
      <c r="R458" s="6">
        <v>19822.69000000001</v>
      </c>
      <c r="S458" s="6">
        <v>10746.169964867291</v>
      </c>
      <c r="T458" s="6">
        <v>19822.690000000017</v>
      </c>
      <c r="U458" s="6">
        <v>10229.080000000027</v>
      </c>
      <c r="V458" s="30">
        <v>19822.690000000017</v>
      </c>
      <c r="W458" s="30">
        <v>10229.080000000027</v>
      </c>
      <c r="X458" s="30">
        <v>21210.27830000002</v>
      </c>
      <c r="Y458" s="30">
        <v>11334.115706457582</v>
      </c>
      <c r="Z458" s="30">
        <v>0</v>
      </c>
      <c r="AA458" s="30">
        <v>0</v>
      </c>
      <c r="AB458" s="34">
        <v>0.68698463025153023</v>
      </c>
      <c r="AC458" s="34">
        <v>0.69293689960647331</v>
      </c>
      <c r="AD458" s="34">
        <v>0.81275621074656856</v>
      </c>
      <c r="AE458" s="34">
        <v>0.81275621074656867</v>
      </c>
      <c r="AF458" s="34">
        <v>0.81275621074656867</v>
      </c>
      <c r="AG458" s="34">
        <v>0.88</v>
      </c>
      <c r="AH458" s="34">
        <v>0</v>
      </c>
      <c r="AI458" s="37">
        <f t="shared" si="67"/>
        <v>13763.159999999994</v>
      </c>
      <c r="AJ458" s="37">
        <f t="shared" si="68"/>
        <v>8864.8595559385467</v>
      </c>
      <c r="AK458" s="37">
        <f t="shared" si="69"/>
        <v>16111.014411203911</v>
      </c>
      <c r="AL458" s="37">
        <f t="shared" si="70"/>
        <v>16111.014411203907</v>
      </c>
      <c r="AM458" s="37">
        <f t="shared" si="71"/>
        <v>16111.014411203912</v>
      </c>
      <c r="AN458" s="37">
        <f t="shared" si="72"/>
        <v>18665.044904000017</v>
      </c>
      <c r="AO458" s="37">
        <f t="shared" si="73"/>
        <v>0</v>
      </c>
    </row>
    <row r="459" spans="1:41" hidden="1" x14ac:dyDescent="0.3">
      <c r="A459" t="str">
        <f t="shared" si="65"/>
        <v>310jun</v>
      </c>
      <c r="B459" t="str">
        <f t="shared" si="66"/>
        <v>TORRES SOFERjun</v>
      </c>
      <c r="C459" s="1" t="s">
        <v>79</v>
      </c>
      <c r="D459" s="1" t="s">
        <v>63</v>
      </c>
      <c r="E459" s="1">
        <v>310</v>
      </c>
      <c r="F459" s="1" t="s">
        <v>120</v>
      </c>
      <c r="G459" s="1" t="s">
        <v>119</v>
      </c>
      <c r="H459" s="1" t="s">
        <v>119</v>
      </c>
      <c r="I459" s="1" t="s">
        <v>124</v>
      </c>
      <c r="J459" s="1" t="s">
        <v>134</v>
      </c>
      <c r="K459" t="s">
        <v>85</v>
      </c>
      <c r="L459" s="6">
        <v>19162.03</v>
      </c>
      <c r="M459" s="6">
        <v>10213.41</v>
      </c>
      <c r="N459" s="6">
        <v>6045.77</v>
      </c>
      <c r="O459" s="6">
        <v>3048.4799999999991</v>
      </c>
      <c r="P459" s="6">
        <v>22127.834499999997</v>
      </c>
      <c r="Q459" s="6">
        <v>11612.790864999997</v>
      </c>
      <c r="R459" s="6">
        <v>15849.759999999998</v>
      </c>
      <c r="S459" s="6">
        <v>8489.1754064158558</v>
      </c>
      <c r="T459" s="6">
        <v>15849.76</v>
      </c>
      <c r="U459" s="6">
        <v>8476.5</v>
      </c>
      <c r="V459" s="30">
        <v>15849.76</v>
      </c>
      <c r="W459" s="30">
        <v>8476.5000000000018</v>
      </c>
      <c r="X459" s="30">
        <v>16959.243200000001</v>
      </c>
      <c r="Y459" s="30">
        <v>9062.4942305803579</v>
      </c>
      <c r="Z459" s="30">
        <v>0</v>
      </c>
      <c r="AA459" s="30">
        <v>0</v>
      </c>
      <c r="AB459" s="34">
        <v>0.73383926442031466</v>
      </c>
      <c r="AC459" s="34">
        <v>0.6692872546164339</v>
      </c>
      <c r="AD459" s="34">
        <v>0.8310030255799028</v>
      </c>
      <c r="AE459" s="34">
        <v>0.8310030255799028</v>
      </c>
      <c r="AF459" s="34">
        <v>0.8310030255799028</v>
      </c>
      <c r="AG459" s="34">
        <v>0.88</v>
      </c>
      <c r="AH459" s="34">
        <v>0</v>
      </c>
      <c r="AI459" s="37">
        <f t="shared" si="67"/>
        <v>14061.850000000002</v>
      </c>
      <c r="AJ459" s="37">
        <f t="shared" si="68"/>
        <v>4046.3568053423978</v>
      </c>
      <c r="AK459" s="37">
        <f t="shared" si="69"/>
        <v>13171.198514715321</v>
      </c>
      <c r="AL459" s="37">
        <f t="shared" si="70"/>
        <v>13171.198514715319</v>
      </c>
      <c r="AM459" s="37">
        <f t="shared" si="71"/>
        <v>13171.198514715321</v>
      </c>
      <c r="AN459" s="37">
        <f t="shared" si="72"/>
        <v>14924.134016</v>
      </c>
      <c r="AO459" s="37">
        <f t="shared" si="73"/>
        <v>0</v>
      </c>
    </row>
    <row r="460" spans="1:41" hidden="1" x14ac:dyDescent="0.3">
      <c r="A460" t="str">
        <f t="shared" si="65"/>
        <v>310jul</v>
      </c>
      <c r="B460" t="str">
        <f t="shared" si="66"/>
        <v>TORRES SOFERjul</v>
      </c>
      <c r="C460" s="1" t="s">
        <v>79</v>
      </c>
      <c r="D460" s="1" t="s">
        <v>63</v>
      </c>
      <c r="E460" s="1">
        <v>310</v>
      </c>
      <c r="F460" s="1" t="s">
        <v>120</v>
      </c>
      <c r="G460" s="1" t="s">
        <v>119</v>
      </c>
      <c r="H460" s="1" t="s">
        <v>119</v>
      </c>
      <c r="I460" s="1" t="s">
        <v>124</v>
      </c>
      <c r="J460" s="1" t="s">
        <v>134</v>
      </c>
      <c r="K460" t="s">
        <v>86</v>
      </c>
      <c r="L460" s="6">
        <v>19339.309999999998</v>
      </c>
      <c r="M460" s="6">
        <v>10270.029999999999</v>
      </c>
      <c r="N460" s="6">
        <v>13381.73</v>
      </c>
      <c r="O460" s="6">
        <v>6980.1</v>
      </c>
      <c r="P460" s="6">
        <v>23946.458499999997</v>
      </c>
      <c r="Q460" s="6">
        <v>12720.8208175</v>
      </c>
      <c r="R460" s="6">
        <v>42551.91000000004</v>
      </c>
      <c r="S460" s="6">
        <v>20532.190000000017</v>
      </c>
      <c r="T460" s="6">
        <v>42595.01000000006</v>
      </c>
      <c r="U460" s="6">
        <v>20559.310000000063</v>
      </c>
      <c r="V460" s="30">
        <v>42595.010000000089</v>
      </c>
      <c r="W460" s="30">
        <v>20559.310000000078</v>
      </c>
      <c r="X460" s="30">
        <v>45576.660700000102</v>
      </c>
      <c r="Y460" s="30">
        <v>24354.755679361293</v>
      </c>
      <c r="Z460" s="30">
        <v>0</v>
      </c>
      <c r="AA460" s="30">
        <v>0</v>
      </c>
      <c r="AB460" s="34">
        <v>0.77948179123246908</v>
      </c>
      <c r="AC460" s="34">
        <v>0.71209590985404525</v>
      </c>
      <c r="AD460" s="34">
        <v>0.37256729486408446</v>
      </c>
      <c r="AE460" s="34">
        <v>0.37256729486408452</v>
      </c>
      <c r="AF460" s="34">
        <v>0.37256729486408452</v>
      </c>
      <c r="AG460" s="34">
        <v>0.88000000000000012</v>
      </c>
      <c r="AH460" s="34">
        <v>0</v>
      </c>
      <c r="AI460" s="37">
        <f t="shared" si="67"/>
        <v>15074.64</v>
      </c>
      <c r="AJ460" s="37">
        <f t="shared" si="68"/>
        <v>9529.0751997711723</v>
      </c>
      <c r="AK460" s="37">
        <f t="shared" si="69"/>
        <v>15869.507650408648</v>
      </c>
      <c r="AL460" s="37">
        <f t="shared" si="70"/>
        <v>15853.45</v>
      </c>
      <c r="AM460" s="37">
        <f t="shared" si="71"/>
        <v>15869.507650408663</v>
      </c>
      <c r="AN460" s="37">
        <f t="shared" si="72"/>
        <v>40107.461416000093</v>
      </c>
      <c r="AO460" s="37">
        <f t="shared" si="73"/>
        <v>0</v>
      </c>
    </row>
    <row r="461" spans="1:41" hidden="1" x14ac:dyDescent="0.3">
      <c r="A461" t="str">
        <f t="shared" si="65"/>
        <v>310ago</v>
      </c>
      <c r="B461" t="str">
        <f t="shared" si="66"/>
        <v>TORRES SOFERago</v>
      </c>
      <c r="C461" s="1" t="s">
        <v>79</v>
      </c>
      <c r="D461" s="1" t="s">
        <v>63</v>
      </c>
      <c r="E461" s="1">
        <v>310</v>
      </c>
      <c r="F461" s="1" t="s">
        <v>120</v>
      </c>
      <c r="G461" s="1" t="s">
        <v>119</v>
      </c>
      <c r="H461" s="1" t="s">
        <v>119</v>
      </c>
      <c r="I461" s="1" t="s">
        <v>124</v>
      </c>
      <c r="J461" s="1" t="s">
        <v>134</v>
      </c>
      <c r="K461" t="s">
        <v>87</v>
      </c>
      <c r="L461" s="6">
        <v>54087.459999999992</v>
      </c>
      <c r="M461" s="6">
        <v>19011.519999999997</v>
      </c>
      <c r="N461" s="6">
        <v>24121.789999999997</v>
      </c>
      <c r="O461" s="6">
        <v>10435.469999999999</v>
      </c>
      <c r="P461" s="6">
        <v>32881.970599999971</v>
      </c>
      <c r="Q461" s="6">
        <v>14029.03285999999</v>
      </c>
      <c r="R461" s="6">
        <v>35998.841781091003</v>
      </c>
      <c r="S461" s="6">
        <v>15875.489225461133</v>
      </c>
      <c r="T461" s="6">
        <v>73896.549999999959</v>
      </c>
      <c r="U461" s="6">
        <v>31045.619999999995</v>
      </c>
      <c r="V461" s="30">
        <v>73896.550000000163</v>
      </c>
      <c r="W461" s="30">
        <v>32588.37855000007</v>
      </c>
      <c r="X461" s="30">
        <v>76852.412000000171</v>
      </c>
      <c r="Y461" s="30">
        <v>34629.448096250257</v>
      </c>
      <c r="Z461" s="30">
        <v>0</v>
      </c>
      <c r="AA461" s="30">
        <v>0</v>
      </c>
      <c r="AB461" s="34">
        <v>0.21090285992353885</v>
      </c>
      <c r="AC461" s="34">
        <v>0.24637726180387626</v>
      </c>
      <c r="AD461" s="34">
        <v>0.27080519997212421</v>
      </c>
      <c r="AE461" s="34">
        <v>0.32</v>
      </c>
      <c r="AF461" s="34">
        <v>0.32</v>
      </c>
      <c r="AG461" s="34">
        <v>0.4</v>
      </c>
      <c r="AH461" s="34">
        <v>0</v>
      </c>
      <c r="AI461" s="37">
        <f t="shared" si="67"/>
        <v>11407.20000000001</v>
      </c>
      <c r="AJ461" s="37">
        <f t="shared" si="68"/>
        <v>5943.0605700081232</v>
      </c>
      <c r="AK461" s="37">
        <f t="shared" si="69"/>
        <v>20011.570000000065</v>
      </c>
      <c r="AL461" s="37">
        <f t="shared" si="70"/>
        <v>11519.629369949122</v>
      </c>
      <c r="AM461" s="37">
        <f t="shared" si="71"/>
        <v>23646.896000000052</v>
      </c>
      <c r="AN461" s="37">
        <f t="shared" si="72"/>
        <v>30740.964800000071</v>
      </c>
      <c r="AO461" s="37">
        <f t="shared" si="73"/>
        <v>0</v>
      </c>
    </row>
    <row r="462" spans="1:41" hidden="1" x14ac:dyDescent="0.3">
      <c r="A462" t="str">
        <f t="shared" si="65"/>
        <v>310sep</v>
      </c>
      <c r="B462" t="str">
        <f t="shared" si="66"/>
        <v>TORRES SOFERsep</v>
      </c>
      <c r="C462" s="1" t="s">
        <v>79</v>
      </c>
      <c r="D462" s="1" t="s">
        <v>63</v>
      </c>
      <c r="E462" s="1">
        <v>310</v>
      </c>
      <c r="F462" s="1" t="s">
        <v>120</v>
      </c>
      <c r="G462" s="1" t="s">
        <v>119</v>
      </c>
      <c r="H462" s="1" t="s">
        <v>119</v>
      </c>
      <c r="I462" s="1" t="s">
        <v>124</v>
      </c>
      <c r="J462" s="1" t="s">
        <v>134</v>
      </c>
      <c r="K462" t="s">
        <v>88</v>
      </c>
      <c r="L462" s="6">
        <v>16968.710000000003</v>
      </c>
      <c r="M462" s="6">
        <v>8282.4800000000032</v>
      </c>
      <c r="N462" s="6">
        <v>11792.530000000002</v>
      </c>
      <c r="O462" s="6">
        <v>5641.74</v>
      </c>
      <c r="P462" s="6">
        <v>22597.388149999992</v>
      </c>
      <c r="Q462" s="6">
        <v>11928.411118749997</v>
      </c>
      <c r="R462" s="6">
        <v>22577.050500664995</v>
      </c>
      <c r="S462" s="6">
        <v>11740.066260345797</v>
      </c>
      <c r="T462" s="6">
        <v>14375.310000000007</v>
      </c>
      <c r="U462" s="6">
        <v>7530.2500000000091</v>
      </c>
      <c r="V462" s="30">
        <v>14375.310000000007</v>
      </c>
      <c r="W462" s="30">
        <v>7530.2500000000091</v>
      </c>
      <c r="X462" s="30">
        <v>15094.075500000006</v>
      </c>
      <c r="Y462" s="30">
        <v>7986.7773363537854</v>
      </c>
      <c r="Z462" s="30">
        <v>0</v>
      </c>
      <c r="AA462" s="30">
        <v>0</v>
      </c>
      <c r="AB462" s="34">
        <v>0.58982857270823819</v>
      </c>
      <c r="AC462" s="34">
        <v>0.50081471253246246</v>
      </c>
      <c r="AD462" s="34">
        <v>0.75571378982435866</v>
      </c>
      <c r="AE462" s="34">
        <v>0.75</v>
      </c>
      <c r="AF462" s="34">
        <v>0.75</v>
      </c>
      <c r="AG462" s="34">
        <v>0.85</v>
      </c>
      <c r="AH462" s="34">
        <v>0</v>
      </c>
      <c r="AI462" s="37">
        <f t="shared" si="67"/>
        <v>10008.63000000001</v>
      </c>
      <c r="AJ462" s="37">
        <f t="shared" si="68"/>
        <v>5905.872521980441</v>
      </c>
      <c r="AK462" s="37">
        <f t="shared" si="69"/>
        <v>10863.620000000006</v>
      </c>
      <c r="AL462" s="37">
        <f t="shared" si="70"/>
        <v>16932.787875498747</v>
      </c>
      <c r="AM462" s="37">
        <f t="shared" si="71"/>
        <v>10781.482500000006</v>
      </c>
      <c r="AN462" s="37">
        <f t="shared" si="72"/>
        <v>12829.964175000005</v>
      </c>
      <c r="AO462" s="37">
        <f t="shared" si="73"/>
        <v>0</v>
      </c>
    </row>
    <row r="463" spans="1:41" hidden="1" x14ac:dyDescent="0.3">
      <c r="A463" t="str">
        <f t="shared" si="65"/>
        <v>310oct</v>
      </c>
      <c r="B463" t="str">
        <f t="shared" si="66"/>
        <v>TORRES SOFERoct</v>
      </c>
      <c r="C463" s="1" t="s">
        <v>79</v>
      </c>
      <c r="D463" s="1" t="s">
        <v>63</v>
      </c>
      <c r="E463" s="1">
        <v>310</v>
      </c>
      <c r="F463" s="1" t="s">
        <v>120</v>
      </c>
      <c r="G463" s="1" t="s">
        <v>119</v>
      </c>
      <c r="H463" s="1" t="s">
        <v>119</v>
      </c>
      <c r="I463" s="1" t="s">
        <v>124</v>
      </c>
      <c r="J463" s="1" t="s">
        <v>134</v>
      </c>
      <c r="K463" t="s">
        <v>89</v>
      </c>
      <c r="L463" s="6">
        <v>11224.890000000001</v>
      </c>
      <c r="M463" s="6">
        <v>5927.5099999999984</v>
      </c>
      <c r="N463" s="6">
        <v>10340.669999999998</v>
      </c>
      <c r="O463" s="6">
        <v>5389.7300000000005</v>
      </c>
      <c r="P463" s="6">
        <v>24983.00752499999</v>
      </c>
      <c r="Q463" s="6">
        <v>13211.189899499996</v>
      </c>
      <c r="R463" s="6">
        <v>24960.522818227491</v>
      </c>
      <c r="S463" s="6">
        <v>13266.517877887914</v>
      </c>
      <c r="T463" s="6">
        <v>18345.670000000002</v>
      </c>
      <c r="U463" s="6">
        <v>9243.14</v>
      </c>
      <c r="V463" s="30">
        <v>24960.522818227491</v>
      </c>
      <c r="W463" s="30">
        <v>13266.517877887914</v>
      </c>
      <c r="X463" s="30">
        <v>26707.759415503413</v>
      </c>
      <c r="Y463" s="30">
        <v>14271.799322668352</v>
      </c>
      <c r="Z463" s="30">
        <v>0</v>
      </c>
      <c r="AA463" s="30">
        <v>0</v>
      </c>
      <c r="AB463" s="34">
        <v>0.76185067292418918</v>
      </c>
      <c r="AC463" s="34">
        <v>0.67112848126584668</v>
      </c>
      <c r="AD463" s="34">
        <v>0.61957181176811793</v>
      </c>
      <c r="AE463" s="34">
        <v>0.80999999999999994</v>
      </c>
      <c r="AF463" s="34">
        <v>0.80999999999999994</v>
      </c>
      <c r="AG463" s="34">
        <v>0.88</v>
      </c>
      <c r="AH463" s="34">
        <v>0</v>
      </c>
      <c r="AI463" s="37">
        <f t="shared" si="67"/>
        <v>8551.6900000000023</v>
      </c>
      <c r="AJ463" s="37">
        <f t="shared" si="68"/>
        <v>6939.9181523713014</v>
      </c>
      <c r="AK463" s="37">
        <f t="shared" si="69"/>
        <v>11366.46000000001</v>
      </c>
      <c r="AL463" s="37">
        <f t="shared" si="70"/>
        <v>20218.023482764267</v>
      </c>
      <c r="AM463" s="37">
        <f t="shared" si="71"/>
        <v>20218.023482764267</v>
      </c>
      <c r="AN463" s="37">
        <f t="shared" si="72"/>
        <v>23502.828285643005</v>
      </c>
      <c r="AO463" s="37">
        <f t="shared" si="73"/>
        <v>0</v>
      </c>
    </row>
    <row r="464" spans="1:41" hidden="1" x14ac:dyDescent="0.3">
      <c r="A464" t="str">
        <f t="shared" si="65"/>
        <v>310nov</v>
      </c>
      <c r="B464" t="str">
        <f t="shared" si="66"/>
        <v>TORRES SOFERnov</v>
      </c>
      <c r="C464" s="1" t="s">
        <v>79</v>
      </c>
      <c r="D464" s="1" t="s">
        <v>63</v>
      </c>
      <c r="E464" s="1">
        <v>310</v>
      </c>
      <c r="F464" s="1" t="s">
        <v>120</v>
      </c>
      <c r="G464" s="1" t="s">
        <v>119</v>
      </c>
      <c r="H464" s="1" t="s">
        <v>119</v>
      </c>
      <c r="I464" s="1" t="s">
        <v>124</v>
      </c>
      <c r="J464" s="1" t="s">
        <v>134</v>
      </c>
      <c r="K464" t="s">
        <v>90</v>
      </c>
      <c r="L464" s="6">
        <v>20750.66</v>
      </c>
      <c r="M464" s="6">
        <v>9441.4200000000019</v>
      </c>
      <c r="N464" s="6">
        <v>29524.47</v>
      </c>
      <c r="O464" s="6">
        <v>14248.399999999998</v>
      </c>
      <c r="P464" s="6">
        <v>37894.970975000018</v>
      </c>
      <c r="Q464" s="6">
        <v>17012.815025500007</v>
      </c>
      <c r="R464" s="6">
        <v>37860.865501122513</v>
      </c>
      <c r="S464" s="6">
        <v>17510.650294269162</v>
      </c>
      <c r="T464" s="6">
        <v>41358.620689655159</v>
      </c>
      <c r="U464" s="6">
        <v>16325.203268692552</v>
      </c>
      <c r="V464" s="30">
        <v>37894.970975000018</v>
      </c>
      <c r="W464" s="30">
        <v>17526.42407593751</v>
      </c>
      <c r="X464" s="30">
        <v>40547.618943250025</v>
      </c>
      <c r="Y464" s="30">
        <v>19685.944892244195</v>
      </c>
      <c r="Z464" s="30">
        <v>0</v>
      </c>
      <c r="AA464" s="30">
        <v>0</v>
      </c>
      <c r="AB464" s="34">
        <v>0.38587447339024394</v>
      </c>
      <c r="AC464" s="34">
        <v>0.4636883580980341</v>
      </c>
      <c r="AD464" s="34">
        <v>0.27080519997212421</v>
      </c>
      <c r="AE464" s="34">
        <v>0.35</v>
      </c>
      <c r="AF464" s="34">
        <v>0.35</v>
      </c>
      <c r="AG464" s="34">
        <v>0.6</v>
      </c>
      <c r="AH464" s="34">
        <v>0</v>
      </c>
      <c r="AI464" s="37">
        <f t="shared" si="67"/>
        <v>8007.15</v>
      </c>
      <c r="AJ464" s="37">
        <f t="shared" si="68"/>
        <v>13690.153018014666</v>
      </c>
      <c r="AK464" s="37">
        <f t="shared" si="69"/>
        <v>11200.1295464333</v>
      </c>
      <c r="AL464" s="37">
        <f t="shared" si="70"/>
        <v>13251.302925392878</v>
      </c>
      <c r="AM464" s="37">
        <f t="shared" si="71"/>
        <v>13263.239841250006</v>
      </c>
      <c r="AN464" s="37">
        <f t="shared" si="72"/>
        <v>24328.571365950014</v>
      </c>
      <c r="AO464" s="37">
        <f t="shared" si="73"/>
        <v>0</v>
      </c>
    </row>
    <row r="465" spans="1:41" hidden="1" x14ac:dyDescent="0.3">
      <c r="A465" t="str">
        <f t="shared" si="65"/>
        <v>310dic</v>
      </c>
      <c r="B465" t="str">
        <f t="shared" si="66"/>
        <v>TORRES SOFERdic</v>
      </c>
      <c r="C465" s="1" t="s">
        <v>79</v>
      </c>
      <c r="D465" s="1" t="s">
        <v>63</v>
      </c>
      <c r="E465" s="1">
        <v>310</v>
      </c>
      <c r="F465" s="1" t="s">
        <v>120</v>
      </c>
      <c r="G465" s="1" t="s">
        <v>119</v>
      </c>
      <c r="H465" s="1" t="s">
        <v>119</v>
      </c>
      <c r="I465" s="1" t="s">
        <v>124</v>
      </c>
      <c r="J465" s="1" t="s">
        <v>134</v>
      </c>
      <c r="K465" t="s">
        <v>91</v>
      </c>
      <c r="L465" s="6">
        <v>72655.059999999983</v>
      </c>
      <c r="M465" s="6">
        <v>31786.619999999984</v>
      </c>
      <c r="N465" s="6">
        <v>58525.890000000007</v>
      </c>
      <c r="O465" s="6">
        <v>29819.730000000003</v>
      </c>
      <c r="P465" s="6">
        <v>66277.647350000072</v>
      </c>
      <c r="Q465" s="6">
        <v>36232.764517250042</v>
      </c>
      <c r="R465" s="6">
        <v>66217.997467385081</v>
      </c>
      <c r="S465" s="6">
        <v>33373.870723562082</v>
      </c>
      <c r="T465" s="6">
        <v>50217.456896551732</v>
      </c>
      <c r="U465" s="6">
        <v>23761.372476288019</v>
      </c>
      <c r="V465" s="30">
        <v>66217.997467385081</v>
      </c>
      <c r="W465" s="30">
        <v>33373.870723562082</v>
      </c>
      <c r="X465" s="30">
        <v>71515.437264775886</v>
      </c>
      <c r="Y465" s="30">
        <v>37841.196272387984</v>
      </c>
      <c r="Z465" s="30">
        <v>0</v>
      </c>
      <c r="AA465" s="30">
        <v>0</v>
      </c>
      <c r="AB465" s="34">
        <v>0.32787186467122914</v>
      </c>
      <c r="AC465" s="34">
        <v>0.66885958454316807</v>
      </c>
      <c r="AD465" s="34">
        <v>0.53991452508012117</v>
      </c>
      <c r="AE465" s="34">
        <v>0.6</v>
      </c>
      <c r="AF465" s="34">
        <v>0.6</v>
      </c>
      <c r="AG465" s="34">
        <v>0.85</v>
      </c>
      <c r="AH465" s="34">
        <v>0</v>
      </c>
      <c r="AI465" s="37">
        <f t="shared" si="67"/>
        <v>23821.550000000028</v>
      </c>
      <c r="AJ465" s="37">
        <f t="shared" si="68"/>
        <v>39145.602470419159</v>
      </c>
      <c r="AK465" s="37">
        <f t="shared" si="69"/>
        <v>27113.134391033185</v>
      </c>
      <c r="AL465" s="37">
        <f t="shared" si="70"/>
        <v>39730.798480431047</v>
      </c>
      <c r="AM465" s="37">
        <f t="shared" si="71"/>
        <v>39730.798480431047</v>
      </c>
      <c r="AN465" s="37">
        <f t="shared" si="72"/>
        <v>60788.121675059505</v>
      </c>
      <c r="AO465" s="37">
        <f t="shared" si="73"/>
        <v>0</v>
      </c>
    </row>
    <row r="466" spans="1:41" hidden="1" x14ac:dyDescent="0.3">
      <c r="A466" t="str">
        <f t="shared" si="65"/>
        <v>FP-UYUene</v>
      </c>
      <c r="B466" t="str">
        <f t="shared" si="66"/>
        <v>UYUSTUSene</v>
      </c>
      <c r="C466" s="1" t="s">
        <v>79</v>
      </c>
      <c r="D466" s="1" t="s">
        <v>64</v>
      </c>
      <c r="E466" s="1" t="s">
        <v>110</v>
      </c>
      <c r="F466" s="1" t="s">
        <v>121</v>
      </c>
      <c r="G466" s="1" t="s">
        <v>121</v>
      </c>
      <c r="H466" s="1" t="s">
        <v>303</v>
      </c>
      <c r="I466" s="1" t="s">
        <v>125</v>
      </c>
      <c r="J466" s="1" t="s">
        <v>129</v>
      </c>
      <c r="K466" t="s">
        <v>80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30">
        <v>0</v>
      </c>
      <c r="W466" s="30">
        <v>0</v>
      </c>
      <c r="X466" s="30">
        <v>0</v>
      </c>
      <c r="Y466" s="30">
        <v>0</v>
      </c>
      <c r="Z466" s="30">
        <v>0</v>
      </c>
      <c r="AA466" s="30">
        <v>0</v>
      </c>
      <c r="AB466" s="34">
        <v>0</v>
      </c>
      <c r="AC466" s="34">
        <v>0</v>
      </c>
      <c r="AD466" s="34">
        <v>0</v>
      </c>
      <c r="AE466" s="34">
        <v>0</v>
      </c>
      <c r="AF466" s="34">
        <v>0</v>
      </c>
      <c r="AG466" s="34">
        <v>0</v>
      </c>
      <c r="AH466" s="34">
        <v>0</v>
      </c>
      <c r="AI466" s="37">
        <f t="shared" si="67"/>
        <v>0</v>
      </c>
      <c r="AJ466" s="37">
        <f t="shared" si="68"/>
        <v>0</v>
      </c>
      <c r="AK466" s="37">
        <f t="shared" si="69"/>
        <v>0</v>
      </c>
      <c r="AL466" s="37">
        <f t="shared" si="70"/>
        <v>0</v>
      </c>
      <c r="AM466" s="37">
        <f t="shared" si="71"/>
        <v>0</v>
      </c>
      <c r="AN466" s="37">
        <f t="shared" si="72"/>
        <v>0</v>
      </c>
      <c r="AO466" s="37">
        <f t="shared" si="73"/>
        <v>0</v>
      </c>
    </row>
    <row r="467" spans="1:41" hidden="1" x14ac:dyDescent="0.3">
      <c r="A467" t="str">
        <f t="shared" si="65"/>
        <v>FP-UYUfeb</v>
      </c>
      <c r="B467" t="str">
        <f t="shared" si="66"/>
        <v>UYUSTUSfeb</v>
      </c>
      <c r="C467" s="1" t="s">
        <v>79</v>
      </c>
      <c r="D467" s="1" t="s">
        <v>64</v>
      </c>
      <c r="E467" s="1" t="s">
        <v>110</v>
      </c>
      <c r="F467" s="1" t="s">
        <v>121</v>
      </c>
      <c r="G467" s="1" t="s">
        <v>121</v>
      </c>
      <c r="H467" s="1" t="s">
        <v>303</v>
      </c>
      <c r="I467" s="1" t="s">
        <v>125</v>
      </c>
      <c r="J467" s="1" t="s">
        <v>129</v>
      </c>
      <c r="K467" t="s">
        <v>81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30">
        <v>0</v>
      </c>
      <c r="W467" s="30">
        <v>0</v>
      </c>
      <c r="X467" s="30">
        <v>0</v>
      </c>
      <c r="Y467" s="30">
        <v>0</v>
      </c>
      <c r="Z467" s="30">
        <v>0</v>
      </c>
      <c r="AA467" s="30">
        <v>0</v>
      </c>
      <c r="AB467" s="34">
        <v>0</v>
      </c>
      <c r="AC467" s="34">
        <v>0</v>
      </c>
      <c r="AD467" s="34">
        <v>0</v>
      </c>
      <c r="AE467" s="34">
        <v>0</v>
      </c>
      <c r="AF467" s="34">
        <v>0</v>
      </c>
      <c r="AG467" s="34">
        <v>0</v>
      </c>
      <c r="AH467" s="34">
        <v>0</v>
      </c>
      <c r="AI467" s="37">
        <f t="shared" si="67"/>
        <v>0</v>
      </c>
      <c r="AJ467" s="37">
        <f t="shared" si="68"/>
        <v>0</v>
      </c>
      <c r="AK467" s="37">
        <f t="shared" si="69"/>
        <v>0</v>
      </c>
      <c r="AL467" s="37">
        <f t="shared" si="70"/>
        <v>0</v>
      </c>
      <c r="AM467" s="37">
        <f t="shared" si="71"/>
        <v>0</v>
      </c>
      <c r="AN467" s="37">
        <f t="shared" si="72"/>
        <v>0</v>
      </c>
      <c r="AO467" s="37">
        <f t="shared" si="73"/>
        <v>0</v>
      </c>
    </row>
    <row r="468" spans="1:41" hidden="1" x14ac:dyDescent="0.3">
      <c r="A468" t="str">
        <f t="shared" si="65"/>
        <v>FP-UYUmar</v>
      </c>
      <c r="B468" t="str">
        <f t="shared" si="66"/>
        <v>UYUSTUSmar</v>
      </c>
      <c r="C468" s="1" t="s">
        <v>79</v>
      </c>
      <c r="D468" s="1" t="s">
        <v>64</v>
      </c>
      <c r="E468" s="1" t="s">
        <v>110</v>
      </c>
      <c r="F468" s="1" t="s">
        <v>121</v>
      </c>
      <c r="G468" s="1" t="s">
        <v>121</v>
      </c>
      <c r="H468" s="1" t="s">
        <v>303</v>
      </c>
      <c r="I468" s="1" t="s">
        <v>125</v>
      </c>
      <c r="J468" s="1" t="s">
        <v>129</v>
      </c>
      <c r="K468" t="s">
        <v>82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30">
        <v>0</v>
      </c>
      <c r="W468" s="30">
        <v>0</v>
      </c>
      <c r="X468" s="30">
        <v>0</v>
      </c>
      <c r="Y468" s="30">
        <v>0</v>
      </c>
      <c r="Z468" s="30">
        <v>0</v>
      </c>
      <c r="AA468" s="30">
        <v>0</v>
      </c>
      <c r="AB468" s="34">
        <v>0</v>
      </c>
      <c r="AC468" s="34">
        <v>0</v>
      </c>
      <c r="AD468" s="34">
        <v>0</v>
      </c>
      <c r="AE468" s="34">
        <v>0</v>
      </c>
      <c r="AF468" s="34">
        <v>0</v>
      </c>
      <c r="AG468" s="34">
        <v>0</v>
      </c>
      <c r="AH468" s="34">
        <v>0</v>
      </c>
      <c r="AI468" s="37">
        <f t="shared" si="67"/>
        <v>0</v>
      </c>
      <c r="AJ468" s="37">
        <f t="shared" si="68"/>
        <v>0</v>
      </c>
      <c r="AK468" s="37">
        <f t="shared" si="69"/>
        <v>0</v>
      </c>
      <c r="AL468" s="37">
        <f t="shared" si="70"/>
        <v>0</v>
      </c>
      <c r="AM468" s="37">
        <f t="shared" si="71"/>
        <v>0</v>
      </c>
      <c r="AN468" s="37">
        <f t="shared" si="72"/>
        <v>0</v>
      </c>
      <c r="AO468" s="37">
        <f t="shared" si="73"/>
        <v>0</v>
      </c>
    </row>
    <row r="469" spans="1:41" hidden="1" x14ac:dyDescent="0.3">
      <c r="A469" t="str">
        <f t="shared" si="65"/>
        <v>FP-UYUabr</v>
      </c>
      <c r="B469" t="str">
        <f t="shared" si="66"/>
        <v>UYUSTUSabr</v>
      </c>
      <c r="C469" s="1" t="s">
        <v>79</v>
      </c>
      <c r="D469" s="1" t="s">
        <v>64</v>
      </c>
      <c r="E469" s="1" t="s">
        <v>110</v>
      </c>
      <c r="F469" s="1" t="s">
        <v>121</v>
      </c>
      <c r="G469" s="1" t="s">
        <v>121</v>
      </c>
      <c r="H469" s="1" t="s">
        <v>303</v>
      </c>
      <c r="I469" s="1" t="s">
        <v>125</v>
      </c>
      <c r="J469" s="1" t="s">
        <v>129</v>
      </c>
      <c r="K469" t="s">
        <v>83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30">
        <v>0</v>
      </c>
      <c r="W469" s="30">
        <v>0</v>
      </c>
      <c r="X469" s="30">
        <v>0</v>
      </c>
      <c r="Y469" s="30">
        <v>0</v>
      </c>
      <c r="Z469" s="30">
        <v>0</v>
      </c>
      <c r="AA469" s="30">
        <v>0</v>
      </c>
      <c r="AB469" s="34">
        <v>0</v>
      </c>
      <c r="AC469" s="34">
        <v>0</v>
      </c>
      <c r="AD469" s="34">
        <v>0</v>
      </c>
      <c r="AE469" s="34">
        <v>0</v>
      </c>
      <c r="AF469" s="34">
        <v>0</v>
      </c>
      <c r="AG469" s="34">
        <v>0</v>
      </c>
      <c r="AH469" s="34">
        <v>0</v>
      </c>
      <c r="AI469" s="37">
        <f t="shared" si="67"/>
        <v>0</v>
      </c>
      <c r="AJ469" s="37">
        <f t="shared" si="68"/>
        <v>0</v>
      </c>
      <c r="AK469" s="37">
        <f t="shared" si="69"/>
        <v>0</v>
      </c>
      <c r="AL469" s="37">
        <f t="shared" si="70"/>
        <v>0</v>
      </c>
      <c r="AM469" s="37">
        <f t="shared" si="71"/>
        <v>0</v>
      </c>
      <c r="AN469" s="37">
        <f t="shared" si="72"/>
        <v>0</v>
      </c>
      <c r="AO469" s="37">
        <f t="shared" si="73"/>
        <v>0</v>
      </c>
    </row>
    <row r="470" spans="1:41" hidden="1" x14ac:dyDescent="0.3">
      <c r="A470" t="str">
        <f t="shared" si="65"/>
        <v>FP-UYUmay</v>
      </c>
      <c r="B470" t="str">
        <f t="shared" si="66"/>
        <v>UYUSTUSmay</v>
      </c>
      <c r="C470" s="1" t="s">
        <v>79</v>
      </c>
      <c r="D470" s="1" t="s">
        <v>64</v>
      </c>
      <c r="E470" s="1" t="s">
        <v>110</v>
      </c>
      <c r="F470" s="1" t="s">
        <v>121</v>
      </c>
      <c r="G470" s="1" t="s">
        <v>121</v>
      </c>
      <c r="H470" s="1" t="s">
        <v>303</v>
      </c>
      <c r="I470" s="1" t="s">
        <v>125</v>
      </c>
      <c r="J470" s="1" t="s">
        <v>129</v>
      </c>
      <c r="K470" t="s">
        <v>84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30">
        <v>0</v>
      </c>
      <c r="W470" s="30">
        <v>0</v>
      </c>
      <c r="X470" s="30">
        <v>56284.864000000111</v>
      </c>
      <c r="Y470" s="30">
        <v>27366.210314790591</v>
      </c>
      <c r="Z470" s="30">
        <v>0</v>
      </c>
      <c r="AA470" s="30">
        <v>0</v>
      </c>
      <c r="AB470" s="34">
        <v>0</v>
      </c>
      <c r="AC470" s="34">
        <v>0</v>
      </c>
      <c r="AD470" s="34">
        <v>0</v>
      </c>
      <c r="AE470" s="34">
        <v>0</v>
      </c>
      <c r="AF470" s="34">
        <v>0</v>
      </c>
      <c r="AG470" s="34">
        <v>0.69999999999999984</v>
      </c>
      <c r="AH470" s="34">
        <v>0</v>
      </c>
      <c r="AI470" s="37">
        <f t="shared" si="67"/>
        <v>0</v>
      </c>
      <c r="AJ470" s="37">
        <f t="shared" si="68"/>
        <v>0</v>
      </c>
      <c r="AK470" s="37">
        <f t="shared" si="69"/>
        <v>0</v>
      </c>
      <c r="AL470" s="37">
        <f t="shared" si="70"/>
        <v>0</v>
      </c>
      <c r="AM470" s="37">
        <f t="shared" si="71"/>
        <v>0</v>
      </c>
      <c r="AN470" s="37">
        <f t="shared" si="72"/>
        <v>39399.404800000069</v>
      </c>
      <c r="AO470" s="37">
        <f t="shared" si="73"/>
        <v>0</v>
      </c>
    </row>
    <row r="471" spans="1:41" hidden="1" x14ac:dyDescent="0.3">
      <c r="A471" t="str">
        <f t="shared" si="65"/>
        <v>FP-UYUjun</v>
      </c>
      <c r="B471" t="str">
        <f t="shared" si="66"/>
        <v>UYUSTUSjun</v>
      </c>
      <c r="C471" s="1" t="s">
        <v>79</v>
      </c>
      <c r="D471" s="1" t="s">
        <v>64</v>
      </c>
      <c r="E471" s="1" t="s">
        <v>110</v>
      </c>
      <c r="F471" s="1" t="s">
        <v>121</v>
      </c>
      <c r="G471" s="1" t="s">
        <v>121</v>
      </c>
      <c r="H471" s="1" t="s">
        <v>303</v>
      </c>
      <c r="I471" s="1" t="s">
        <v>125</v>
      </c>
      <c r="J471" s="1" t="s">
        <v>129</v>
      </c>
      <c r="K471" t="s">
        <v>85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30">
        <v>0</v>
      </c>
      <c r="W471" s="30">
        <v>0</v>
      </c>
      <c r="X471" s="30">
        <v>53932.780499999921</v>
      </c>
      <c r="Y471" s="30">
        <v>26222.606028228685</v>
      </c>
      <c r="Z471" s="30">
        <v>0</v>
      </c>
      <c r="AA471" s="30">
        <v>0</v>
      </c>
      <c r="AB471" s="34">
        <v>0</v>
      </c>
      <c r="AC471" s="34">
        <v>0</v>
      </c>
      <c r="AD471" s="34">
        <v>0</v>
      </c>
      <c r="AE471" s="34">
        <v>0</v>
      </c>
      <c r="AF471" s="34">
        <v>0</v>
      </c>
      <c r="AG471" s="34">
        <v>0.69999999999999984</v>
      </c>
      <c r="AH471" s="34">
        <v>0</v>
      </c>
      <c r="AI471" s="37">
        <f t="shared" si="67"/>
        <v>0</v>
      </c>
      <c r="AJ471" s="37">
        <f t="shared" si="68"/>
        <v>0</v>
      </c>
      <c r="AK471" s="37">
        <f t="shared" si="69"/>
        <v>0</v>
      </c>
      <c r="AL471" s="37">
        <f t="shared" si="70"/>
        <v>0</v>
      </c>
      <c r="AM471" s="37">
        <f t="shared" si="71"/>
        <v>0</v>
      </c>
      <c r="AN471" s="37">
        <f t="shared" si="72"/>
        <v>37752.946349999933</v>
      </c>
      <c r="AO471" s="37">
        <f t="shared" si="73"/>
        <v>0</v>
      </c>
    </row>
    <row r="472" spans="1:41" hidden="1" x14ac:dyDescent="0.3">
      <c r="A472" t="str">
        <f t="shared" si="65"/>
        <v>FP-UYUjul</v>
      </c>
      <c r="B472" t="str">
        <f t="shared" si="66"/>
        <v>UYUSTUSjul</v>
      </c>
      <c r="C472" s="1" t="s">
        <v>79</v>
      </c>
      <c r="D472" s="1" t="s">
        <v>64</v>
      </c>
      <c r="E472" s="1" t="s">
        <v>110</v>
      </c>
      <c r="F472" s="1" t="s">
        <v>121</v>
      </c>
      <c r="G472" s="1" t="s">
        <v>121</v>
      </c>
      <c r="H472" s="1" t="s">
        <v>303</v>
      </c>
      <c r="I472" s="1" t="s">
        <v>125</v>
      </c>
      <c r="J472" s="1" t="s">
        <v>129</v>
      </c>
      <c r="K472" t="s">
        <v>86</v>
      </c>
      <c r="L472" s="6">
        <v>0</v>
      </c>
      <c r="M472" s="6">
        <v>0</v>
      </c>
      <c r="N472" s="6">
        <v>0</v>
      </c>
      <c r="O472" s="6">
        <v>0</v>
      </c>
      <c r="P472" s="6">
        <v>21115.418309999986</v>
      </c>
      <c r="Q472" s="6">
        <v>9711.7337511499936</v>
      </c>
      <c r="R472" s="6">
        <v>0</v>
      </c>
      <c r="S472" s="6">
        <v>0</v>
      </c>
      <c r="T472" s="6">
        <v>0</v>
      </c>
      <c r="U472" s="6">
        <v>0</v>
      </c>
      <c r="V472" s="30">
        <v>0</v>
      </c>
      <c r="W472" s="30">
        <v>0</v>
      </c>
      <c r="X472" s="30">
        <v>56284.864000000111</v>
      </c>
      <c r="Y472" s="30">
        <v>27366.210314790591</v>
      </c>
      <c r="Z472" s="30">
        <v>0</v>
      </c>
      <c r="AA472" s="30">
        <v>0</v>
      </c>
      <c r="AB472" s="34">
        <v>0</v>
      </c>
      <c r="AC472" s="34">
        <v>0</v>
      </c>
      <c r="AD472" s="34">
        <v>0</v>
      </c>
      <c r="AE472" s="34">
        <v>0</v>
      </c>
      <c r="AF472" s="34">
        <v>0</v>
      </c>
      <c r="AG472" s="34">
        <v>0.69999999999999984</v>
      </c>
      <c r="AH472" s="34">
        <v>0</v>
      </c>
      <c r="AI472" s="37">
        <f t="shared" si="67"/>
        <v>0</v>
      </c>
      <c r="AJ472" s="37">
        <f t="shared" si="68"/>
        <v>0</v>
      </c>
      <c r="AK472" s="37">
        <f t="shared" si="69"/>
        <v>0</v>
      </c>
      <c r="AL472" s="37">
        <f t="shared" si="70"/>
        <v>0</v>
      </c>
      <c r="AM472" s="37">
        <f t="shared" si="71"/>
        <v>0</v>
      </c>
      <c r="AN472" s="37">
        <f t="shared" si="72"/>
        <v>39399.404800000069</v>
      </c>
      <c r="AO472" s="37">
        <f t="shared" si="73"/>
        <v>0</v>
      </c>
    </row>
    <row r="473" spans="1:41" hidden="1" x14ac:dyDescent="0.3">
      <c r="A473" t="str">
        <f t="shared" si="65"/>
        <v>FP-UYUago</v>
      </c>
      <c r="B473" t="str">
        <f t="shared" si="66"/>
        <v>UYUSTUSago</v>
      </c>
      <c r="C473" s="1" t="s">
        <v>79</v>
      </c>
      <c r="D473" s="1" t="s">
        <v>64</v>
      </c>
      <c r="E473" s="1" t="s">
        <v>110</v>
      </c>
      <c r="F473" s="1" t="s">
        <v>121</v>
      </c>
      <c r="G473" s="1" t="s">
        <v>121</v>
      </c>
      <c r="H473" s="1" t="s">
        <v>303</v>
      </c>
      <c r="I473" s="1" t="s">
        <v>125</v>
      </c>
      <c r="J473" s="1" t="s">
        <v>129</v>
      </c>
      <c r="K473" t="s">
        <v>87</v>
      </c>
      <c r="L473" s="6">
        <v>0</v>
      </c>
      <c r="M473" s="6">
        <v>0</v>
      </c>
      <c r="N473" s="6">
        <v>0</v>
      </c>
      <c r="O473" s="6">
        <v>0</v>
      </c>
      <c r="P473" s="6">
        <v>73841.260503000085</v>
      </c>
      <c r="Q473" s="6">
        <v>25103.873319520026</v>
      </c>
      <c r="R473" s="6">
        <v>0</v>
      </c>
      <c r="S473" s="6">
        <v>0</v>
      </c>
      <c r="T473" s="6">
        <v>0</v>
      </c>
      <c r="U473" s="6">
        <v>0</v>
      </c>
      <c r="V473" s="30">
        <v>0</v>
      </c>
      <c r="W473" s="30">
        <v>0</v>
      </c>
      <c r="X473" s="30">
        <v>115944.80515500021</v>
      </c>
      <c r="Y473" s="30">
        <v>47930.319759177735</v>
      </c>
      <c r="Z473" s="30">
        <v>0</v>
      </c>
      <c r="AA473" s="30">
        <v>0</v>
      </c>
      <c r="AB473" s="34">
        <v>0</v>
      </c>
      <c r="AC473" s="34">
        <v>0</v>
      </c>
      <c r="AD473" s="34">
        <v>0</v>
      </c>
      <c r="AE473" s="34">
        <v>0</v>
      </c>
      <c r="AF473" s="34">
        <v>0</v>
      </c>
      <c r="AG473" s="34">
        <v>0.38999999999999996</v>
      </c>
      <c r="AH473" s="34">
        <v>0</v>
      </c>
      <c r="AI473" s="37">
        <f t="shared" si="67"/>
        <v>0</v>
      </c>
      <c r="AJ473" s="37">
        <f t="shared" si="68"/>
        <v>0</v>
      </c>
      <c r="AK473" s="37">
        <f t="shared" si="69"/>
        <v>0</v>
      </c>
      <c r="AL473" s="37">
        <f t="shared" si="70"/>
        <v>0</v>
      </c>
      <c r="AM473" s="37">
        <f t="shared" si="71"/>
        <v>0</v>
      </c>
      <c r="AN473" s="37">
        <f t="shared" si="72"/>
        <v>45218.474010450082</v>
      </c>
      <c r="AO473" s="37">
        <f t="shared" si="73"/>
        <v>0</v>
      </c>
    </row>
    <row r="474" spans="1:41" hidden="1" x14ac:dyDescent="0.3">
      <c r="A474" t="str">
        <f t="shared" si="65"/>
        <v>FP-UYUsep</v>
      </c>
      <c r="B474" t="str">
        <f t="shared" si="66"/>
        <v>UYUSTUSsep</v>
      </c>
      <c r="C474" s="1" t="s">
        <v>79</v>
      </c>
      <c r="D474" s="1" t="s">
        <v>64</v>
      </c>
      <c r="E474" s="1" t="s">
        <v>110</v>
      </c>
      <c r="F474" s="1" t="s">
        <v>121</v>
      </c>
      <c r="G474" s="1" t="s">
        <v>121</v>
      </c>
      <c r="H474" s="1" t="s">
        <v>303</v>
      </c>
      <c r="I474" s="1" t="s">
        <v>125</v>
      </c>
      <c r="J474" s="1" t="s">
        <v>129</v>
      </c>
      <c r="K474" t="s">
        <v>88</v>
      </c>
      <c r="L474" s="6">
        <v>0</v>
      </c>
      <c r="M474" s="6">
        <v>0</v>
      </c>
      <c r="N474" s="6">
        <v>0</v>
      </c>
      <c r="O474" s="6">
        <v>0</v>
      </c>
      <c r="P474" s="6">
        <v>44623.457606999989</v>
      </c>
      <c r="Q474" s="6">
        <v>19493.064505504997</v>
      </c>
      <c r="R474" s="6">
        <v>0</v>
      </c>
      <c r="S474" s="6">
        <v>0</v>
      </c>
      <c r="T474" s="6">
        <v>0</v>
      </c>
      <c r="U474" s="6">
        <v>0</v>
      </c>
      <c r="V474" s="30">
        <v>0</v>
      </c>
      <c r="W474" s="30">
        <v>0</v>
      </c>
      <c r="X474" s="30">
        <v>45499.290000000008</v>
      </c>
      <c r="Y474" s="30">
        <v>21908.408186853263</v>
      </c>
      <c r="Z474" s="30">
        <v>0</v>
      </c>
      <c r="AA474" s="30">
        <v>0</v>
      </c>
      <c r="AB474" s="34">
        <v>0</v>
      </c>
      <c r="AC474" s="34">
        <v>0</v>
      </c>
      <c r="AD474" s="34">
        <v>0</v>
      </c>
      <c r="AE474" s="34">
        <v>0</v>
      </c>
      <c r="AF474" s="34">
        <v>0</v>
      </c>
      <c r="AG474" s="34">
        <v>0.68</v>
      </c>
      <c r="AH474" s="34">
        <v>0</v>
      </c>
      <c r="AI474" s="37">
        <f t="shared" si="67"/>
        <v>0</v>
      </c>
      <c r="AJ474" s="37">
        <f t="shared" si="68"/>
        <v>0</v>
      </c>
      <c r="AK474" s="37">
        <f t="shared" si="69"/>
        <v>0</v>
      </c>
      <c r="AL474" s="37">
        <f t="shared" si="70"/>
        <v>0</v>
      </c>
      <c r="AM474" s="37">
        <f t="shared" si="71"/>
        <v>0</v>
      </c>
      <c r="AN474" s="37">
        <f t="shared" si="72"/>
        <v>30939.517200000009</v>
      </c>
      <c r="AO474" s="37">
        <f t="shared" si="73"/>
        <v>0</v>
      </c>
    </row>
    <row r="475" spans="1:41" hidden="1" x14ac:dyDescent="0.3">
      <c r="A475" t="str">
        <f t="shared" si="65"/>
        <v>FP-UYUoct</v>
      </c>
      <c r="B475" t="str">
        <f t="shared" si="66"/>
        <v>UYUSTUSoct</v>
      </c>
      <c r="C475" s="1" t="s">
        <v>79</v>
      </c>
      <c r="D475" s="1" t="s">
        <v>64</v>
      </c>
      <c r="E475" s="1" t="s">
        <v>110</v>
      </c>
      <c r="F475" s="1" t="s">
        <v>121</v>
      </c>
      <c r="G475" s="1" t="s">
        <v>121</v>
      </c>
      <c r="H475" s="1" t="s">
        <v>303</v>
      </c>
      <c r="I475" s="1" t="s">
        <v>125</v>
      </c>
      <c r="J475" s="1" t="s">
        <v>129</v>
      </c>
      <c r="K475" t="s">
        <v>89</v>
      </c>
      <c r="L475" s="6">
        <v>0</v>
      </c>
      <c r="M475" s="6">
        <v>0</v>
      </c>
      <c r="N475" s="6">
        <v>0</v>
      </c>
      <c r="O475" s="6">
        <v>0</v>
      </c>
      <c r="P475" s="6">
        <v>47741.664144999995</v>
      </c>
      <c r="Q475" s="6">
        <v>21158.694701274999</v>
      </c>
      <c r="R475" s="6">
        <v>0</v>
      </c>
      <c r="S475" s="6">
        <v>0</v>
      </c>
      <c r="T475" s="6">
        <v>0</v>
      </c>
      <c r="U475" s="6">
        <v>0</v>
      </c>
      <c r="V475" s="30">
        <v>0</v>
      </c>
      <c r="W475" s="30">
        <v>0</v>
      </c>
      <c r="X475" s="30">
        <v>45393.248499999987</v>
      </c>
      <c r="Y475" s="30">
        <v>22070.608277965275</v>
      </c>
      <c r="Z475" s="30">
        <v>0</v>
      </c>
      <c r="AA475" s="30">
        <v>0</v>
      </c>
      <c r="AB475" s="34">
        <v>0</v>
      </c>
      <c r="AC475" s="34">
        <v>0</v>
      </c>
      <c r="AD475" s="34">
        <v>0</v>
      </c>
      <c r="AE475" s="34">
        <v>0</v>
      </c>
      <c r="AF475" s="34">
        <v>0</v>
      </c>
      <c r="AG475" s="34">
        <v>0.7</v>
      </c>
      <c r="AH475" s="34">
        <v>0</v>
      </c>
      <c r="AI475" s="37">
        <f t="shared" si="67"/>
        <v>0</v>
      </c>
      <c r="AJ475" s="37">
        <f t="shared" si="68"/>
        <v>0</v>
      </c>
      <c r="AK475" s="37">
        <f t="shared" si="69"/>
        <v>0</v>
      </c>
      <c r="AL475" s="37">
        <f t="shared" si="70"/>
        <v>0</v>
      </c>
      <c r="AM475" s="37">
        <f t="shared" si="71"/>
        <v>0</v>
      </c>
      <c r="AN475" s="37">
        <f t="shared" si="72"/>
        <v>31775.273949999988</v>
      </c>
      <c r="AO475" s="37">
        <f t="shared" si="73"/>
        <v>0</v>
      </c>
    </row>
    <row r="476" spans="1:41" hidden="1" x14ac:dyDescent="0.3">
      <c r="A476" t="str">
        <f t="shared" si="65"/>
        <v>FP-UYUnov</v>
      </c>
      <c r="B476" t="str">
        <f t="shared" si="66"/>
        <v>UYUSTUSnov</v>
      </c>
      <c r="C476" s="1" t="s">
        <v>79</v>
      </c>
      <c r="D476" s="1" t="s">
        <v>64</v>
      </c>
      <c r="E476" s="1" t="s">
        <v>110</v>
      </c>
      <c r="F476" s="1" t="s">
        <v>121</v>
      </c>
      <c r="G476" s="1" t="s">
        <v>121</v>
      </c>
      <c r="H476" s="1" t="s">
        <v>303</v>
      </c>
      <c r="I476" s="1" t="s">
        <v>125</v>
      </c>
      <c r="J476" s="1" t="s">
        <v>129</v>
      </c>
      <c r="K476" t="s">
        <v>90</v>
      </c>
      <c r="L476" s="6">
        <v>0</v>
      </c>
      <c r="M476" s="6">
        <v>0</v>
      </c>
      <c r="N476" s="6">
        <v>0</v>
      </c>
      <c r="O476" s="6">
        <v>0</v>
      </c>
      <c r="P476" s="6">
        <v>53325.274874999996</v>
      </c>
      <c r="Q476" s="6">
        <v>21687.778520049993</v>
      </c>
      <c r="R476" s="6">
        <v>53325.274874999996</v>
      </c>
      <c r="S476" s="6">
        <v>24289.662705562499</v>
      </c>
      <c r="T476" s="6">
        <v>0</v>
      </c>
      <c r="U476" s="6">
        <v>0</v>
      </c>
      <c r="V476" s="30">
        <v>0</v>
      </c>
      <c r="W476" s="30">
        <v>0</v>
      </c>
      <c r="X476" s="30">
        <v>52444.081178160908</v>
      </c>
      <c r="Y476" s="30">
        <v>23281.31763258456</v>
      </c>
      <c r="Z476" s="30">
        <v>0</v>
      </c>
      <c r="AA476" s="30">
        <v>0</v>
      </c>
      <c r="AB476" s="34">
        <v>0</v>
      </c>
      <c r="AC476" s="34">
        <v>0</v>
      </c>
      <c r="AD476" s="34">
        <v>0</v>
      </c>
      <c r="AE476" s="34">
        <v>0.5</v>
      </c>
      <c r="AF476" s="34">
        <v>0.5</v>
      </c>
      <c r="AG476" s="34">
        <v>0.52</v>
      </c>
      <c r="AH476" s="34">
        <v>0</v>
      </c>
      <c r="AI476" s="37">
        <f t="shared" si="67"/>
        <v>0</v>
      </c>
      <c r="AJ476" s="37">
        <f t="shared" si="68"/>
        <v>0</v>
      </c>
      <c r="AK476" s="37">
        <f t="shared" si="69"/>
        <v>0</v>
      </c>
      <c r="AL476" s="37">
        <f t="shared" si="70"/>
        <v>26662.637437499998</v>
      </c>
      <c r="AM476" s="37">
        <f t="shared" si="71"/>
        <v>0</v>
      </c>
      <c r="AN476" s="37">
        <f t="shared" si="72"/>
        <v>27270.922212643673</v>
      </c>
      <c r="AO476" s="37">
        <f t="shared" si="73"/>
        <v>0</v>
      </c>
    </row>
    <row r="477" spans="1:41" hidden="1" x14ac:dyDescent="0.3">
      <c r="A477" t="str">
        <f t="shared" si="65"/>
        <v>FP-UYUdic</v>
      </c>
      <c r="B477" t="str">
        <f t="shared" si="66"/>
        <v>UYUSTUSdic</v>
      </c>
      <c r="C477" s="1" t="s">
        <v>79</v>
      </c>
      <c r="D477" s="1" t="s">
        <v>64</v>
      </c>
      <c r="E477" s="1" t="s">
        <v>110</v>
      </c>
      <c r="F477" s="1" t="s">
        <v>121</v>
      </c>
      <c r="G477" s="1" t="s">
        <v>121</v>
      </c>
      <c r="H477" s="1" t="s">
        <v>303</v>
      </c>
      <c r="I477" s="1" t="s">
        <v>125</v>
      </c>
      <c r="J477" s="1" t="s">
        <v>129</v>
      </c>
      <c r="K477" t="s">
        <v>91</v>
      </c>
      <c r="L477" s="6">
        <v>0</v>
      </c>
      <c r="M477" s="6">
        <v>0</v>
      </c>
      <c r="N477" s="6">
        <v>0</v>
      </c>
      <c r="O477" s="6">
        <v>0</v>
      </c>
      <c r="P477" s="6">
        <v>106034.7209250001</v>
      </c>
      <c r="Q477" s="6">
        <v>49571.608348050046</v>
      </c>
      <c r="R477" s="6">
        <v>106034.7209250001</v>
      </c>
      <c r="S477" s="6">
        <v>51654.814298613805</v>
      </c>
      <c r="T477" s="6">
        <v>0</v>
      </c>
      <c r="U477" s="6">
        <v>0</v>
      </c>
      <c r="V477" s="30">
        <v>0</v>
      </c>
      <c r="W477" s="30">
        <v>0</v>
      </c>
      <c r="X477" s="30">
        <v>144893.32747575018</v>
      </c>
      <c r="Y477" s="30">
        <v>69767.729603915475</v>
      </c>
      <c r="Z477" s="30">
        <v>0</v>
      </c>
      <c r="AA477" s="30">
        <v>0</v>
      </c>
      <c r="AB477" s="34">
        <v>0</v>
      </c>
      <c r="AC477" s="34">
        <v>0</v>
      </c>
      <c r="AD477" s="34">
        <v>0</v>
      </c>
      <c r="AE477" s="34">
        <v>0.65</v>
      </c>
      <c r="AF477" s="34">
        <v>0.65</v>
      </c>
      <c r="AG477" s="34">
        <v>0.67999999999999994</v>
      </c>
      <c r="AH477" s="34">
        <v>0</v>
      </c>
      <c r="AI477" s="37">
        <f t="shared" si="67"/>
        <v>0</v>
      </c>
      <c r="AJ477" s="37">
        <f t="shared" si="68"/>
        <v>0</v>
      </c>
      <c r="AK477" s="37">
        <f t="shared" si="69"/>
        <v>0</v>
      </c>
      <c r="AL477" s="37">
        <f t="shared" si="70"/>
        <v>68922.568601250066</v>
      </c>
      <c r="AM477" s="37">
        <f t="shared" si="71"/>
        <v>0</v>
      </c>
      <c r="AN477" s="37">
        <f t="shared" si="72"/>
        <v>98527.462683510108</v>
      </c>
      <c r="AO477" s="37">
        <f t="shared" si="73"/>
        <v>0</v>
      </c>
    </row>
    <row r="478" spans="1:41" hidden="1" x14ac:dyDescent="0.3">
      <c r="A478" t="str">
        <f t="shared" si="65"/>
        <v>414ene</v>
      </c>
      <c r="B478" t="str">
        <f t="shared" si="66"/>
        <v>VENTURA FAIR PLAYene</v>
      </c>
      <c r="C478" s="1" t="s">
        <v>79</v>
      </c>
      <c r="D478" s="1" t="s">
        <v>65</v>
      </c>
      <c r="E478" s="1">
        <v>414</v>
      </c>
      <c r="F478" s="1" t="s">
        <v>119</v>
      </c>
      <c r="G478" s="1" t="s">
        <v>120</v>
      </c>
      <c r="H478" s="1" t="s">
        <v>119</v>
      </c>
      <c r="I478" s="1" t="s">
        <v>127</v>
      </c>
      <c r="J478" s="1" t="s">
        <v>135</v>
      </c>
      <c r="K478" t="s">
        <v>80</v>
      </c>
      <c r="L478" s="6">
        <v>290317.75999999995</v>
      </c>
      <c r="M478" s="6">
        <v>154588.88999999993</v>
      </c>
      <c r="N478" s="6">
        <v>216549.51999999993</v>
      </c>
      <c r="O478" s="6">
        <v>116213.50999999995</v>
      </c>
      <c r="P478" s="6">
        <v>258703.83763666693</v>
      </c>
      <c r="Q478" s="6">
        <v>137803.6773181835</v>
      </c>
      <c r="R478" s="6">
        <v>197419.84999999998</v>
      </c>
      <c r="S478" s="6">
        <v>106851.71693059881</v>
      </c>
      <c r="T478" s="6">
        <v>197419.85000000044</v>
      </c>
      <c r="U478" s="6">
        <v>106083.1100000006</v>
      </c>
      <c r="V478" s="30">
        <v>258703.83763666693</v>
      </c>
      <c r="W478" s="30">
        <v>139013.92218377622</v>
      </c>
      <c r="X478" s="30">
        <v>266464.952765767</v>
      </c>
      <c r="Y478" s="30">
        <v>142358.52822561041</v>
      </c>
      <c r="Z478" s="30">
        <v>238338.07471264416</v>
      </c>
      <c r="AA478" s="30">
        <v>131533.56227556127</v>
      </c>
      <c r="AB478" s="34">
        <v>0.89340345557915579</v>
      </c>
      <c r="AC478" s="34">
        <v>0.88021430033075543</v>
      </c>
      <c r="AD478" s="34">
        <v>0.90674381458009456</v>
      </c>
      <c r="AE478" s="34">
        <v>0.90674381458009479</v>
      </c>
      <c r="AF478" s="34">
        <v>0.90674381458009479</v>
      </c>
      <c r="AG478" s="34">
        <v>0.89999999999999991</v>
      </c>
      <c r="AH478" s="34">
        <v>0.97024112734675527</v>
      </c>
      <c r="AI478" s="37">
        <f t="shared" si="67"/>
        <v>259370.88999999996</v>
      </c>
      <c r="AJ478" s="37">
        <f t="shared" si="68"/>
        <v>190609.98423376086</v>
      </c>
      <c r="AK478" s="37">
        <f t="shared" si="69"/>
        <v>179009.22786283048</v>
      </c>
      <c r="AL478" s="37">
        <f t="shared" si="70"/>
        <v>179009.2278628301</v>
      </c>
      <c r="AM478" s="37">
        <f t="shared" si="71"/>
        <v>234578.10458518087</v>
      </c>
      <c r="AN478" s="37">
        <f t="shared" si="72"/>
        <v>239818.45748919027</v>
      </c>
      <c r="AO478" s="37">
        <f t="shared" si="73"/>
        <v>231245.40229885106</v>
      </c>
    </row>
    <row r="479" spans="1:41" hidden="1" x14ac:dyDescent="0.3">
      <c r="A479" t="str">
        <f t="shared" si="65"/>
        <v>414feb</v>
      </c>
      <c r="B479" t="str">
        <f t="shared" si="66"/>
        <v>VENTURA FAIR PLAYfeb</v>
      </c>
      <c r="C479" s="1" t="s">
        <v>79</v>
      </c>
      <c r="D479" s="1" t="s">
        <v>65</v>
      </c>
      <c r="E479" s="1">
        <v>414</v>
      </c>
      <c r="F479" s="1" t="s">
        <v>119</v>
      </c>
      <c r="G479" s="1" t="s">
        <v>120</v>
      </c>
      <c r="H479" s="1" t="s">
        <v>119</v>
      </c>
      <c r="I479" s="1" t="s">
        <v>127</v>
      </c>
      <c r="J479" s="1" t="s">
        <v>135</v>
      </c>
      <c r="K479" t="s">
        <v>81</v>
      </c>
      <c r="L479" s="6">
        <v>446778.6999999999</v>
      </c>
      <c r="M479" s="6">
        <v>167601.14999999985</v>
      </c>
      <c r="N479" s="6">
        <v>297764.65999999992</v>
      </c>
      <c r="O479" s="6">
        <v>131723.41999999987</v>
      </c>
      <c r="P479" s="6">
        <v>378995.01798000035</v>
      </c>
      <c r="Q479" s="6">
        <v>156956.82026040016</v>
      </c>
      <c r="R479" s="6">
        <v>361222.84000000055</v>
      </c>
      <c r="S479" s="6">
        <v>154583.75843238298</v>
      </c>
      <c r="T479" s="6">
        <v>361222.84</v>
      </c>
      <c r="U479" s="6">
        <v>153993.08999999973</v>
      </c>
      <c r="V479" s="30">
        <v>378995.01798000035</v>
      </c>
      <c r="W479" s="30">
        <v>161569.55610377711</v>
      </c>
      <c r="X479" s="30">
        <v>390364.86851940042</v>
      </c>
      <c r="Y479" s="30">
        <v>180039.56121624817</v>
      </c>
      <c r="Z479" s="30">
        <v>352526.14942528459</v>
      </c>
      <c r="AA479" s="30">
        <v>159536.06372173896</v>
      </c>
      <c r="AB479" s="34">
        <v>0.30864002693055714</v>
      </c>
      <c r="AC479" s="34">
        <v>0.54616547582384556</v>
      </c>
      <c r="AD479" s="34">
        <v>0.26916516592819345</v>
      </c>
      <c r="AE479" s="34">
        <v>0.26916516592819306</v>
      </c>
      <c r="AF479" s="34">
        <v>0.26916516592819306</v>
      </c>
      <c r="AG479" s="34">
        <v>0.4</v>
      </c>
      <c r="AH479" s="34">
        <v>0.45021931200995208</v>
      </c>
      <c r="AI479" s="37">
        <f t="shared" si="67"/>
        <v>137893.78999999928</v>
      </c>
      <c r="AJ479" s="37">
        <f t="shared" si="68"/>
        <v>162628.77721242554</v>
      </c>
      <c r="AK479" s="37">
        <f t="shared" si="69"/>
        <v>97228.605665653275</v>
      </c>
      <c r="AL479" s="37">
        <f t="shared" si="70"/>
        <v>97228.605665653275</v>
      </c>
      <c r="AM479" s="37">
        <f t="shared" si="71"/>
        <v>102012.25690054531</v>
      </c>
      <c r="AN479" s="37">
        <f t="shared" si="72"/>
        <v>156145.94740776016</v>
      </c>
      <c r="AO479" s="37">
        <f t="shared" si="73"/>
        <v>158714.0804597692</v>
      </c>
    </row>
    <row r="480" spans="1:41" hidden="1" x14ac:dyDescent="0.3">
      <c r="A480" t="str">
        <f t="shared" si="65"/>
        <v>414mar</v>
      </c>
      <c r="B480" t="str">
        <f t="shared" si="66"/>
        <v>VENTURA FAIR PLAYmar</v>
      </c>
      <c r="C480" s="1" t="s">
        <v>79</v>
      </c>
      <c r="D480" s="1" t="s">
        <v>65</v>
      </c>
      <c r="E480" s="1">
        <v>414</v>
      </c>
      <c r="F480" s="1" t="s">
        <v>119</v>
      </c>
      <c r="G480" s="1" t="s">
        <v>120</v>
      </c>
      <c r="H480" s="1" t="s">
        <v>119</v>
      </c>
      <c r="I480" s="1" t="s">
        <v>127</v>
      </c>
      <c r="J480" s="1" t="s">
        <v>135</v>
      </c>
      <c r="K480" t="s">
        <v>82</v>
      </c>
      <c r="L480" s="6">
        <v>342340.92999999993</v>
      </c>
      <c r="M480" s="6">
        <v>166167.32999999996</v>
      </c>
      <c r="N480" s="6">
        <v>393786.55999999982</v>
      </c>
      <c r="O480" s="6">
        <v>174133.89999999982</v>
      </c>
      <c r="P480" s="6">
        <v>309827.31843000068</v>
      </c>
      <c r="Q480" s="6">
        <v>145913.23084225031</v>
      </c>
      <c r="R480" s="6">
        <v>294854.31000000081</v>
      </c>
      <c r="S480" s="6">
        <v>148376.33707091433</v>
      </c>
      <c r="T480" s="6">
        <v>294854.30999999959</v>
      </c>
      <c r="U480" s="6">
        <v>148125.7499999993</v>
      </c>
      <c r="V480" s="30">
        <v>294854.30999999802</v>
      </c>
      <c r="W480" s="30">
        <v>148125.74999999852</v>
      </c>
      <c r="X480" s="30">
        <v>303699.93929999793</v>
      </c>
      <c r="Y480" s="30">
        <v>160033.03760130468</v>
      </c>
      <c r="Z480" s="30">
        <v>267903.81658162212</v>
      </c>
      <c r="AA480" s="30">
        <v>140381.59988877</v>
      </c>
      <c r="AB480" s="34">
        <v>0.61648696228055277</v>
      </c>
      <c r="AC480" s="34">
        <v>0.49616897971036961</v>
      </c>
      <c r="AD480" s="34">
        <v>0.64621968736811908</v>
      </c>
      <c r="AE480" s="34">
        <v>0.6462196873681193</v>
      </c>
      <c r="AF480" s="34">
        <v>0.6462196873681193</v>
      </c>
      <c r="AG480" s="34">
        <v>0.85</v>
      </c>
      <c r="AH480" s="34">
        <v>0.83156000273014163</v>
      </c>
      <c r="AI480" s="37">
        <f t="shared" si="67"/>
        <v>211048.71999999933</v>
      </c>
      <c r="AJ480" s="37">
        <f t="shared" si="68"/>
        <v>195384.67569885615</v>
      </c>
      <c r="AK480" s="37">
        <f t="shared" si="69"/>
        <v>190540.66002734221</v>
      </c>
      <c r="AL480" s="37">
        <f t="shared" si="70"/>
        <v>190540.66002734305</v>
      </c>
      <c r="AM480" s="37">
        <f t="shared" si="71"/>
        <v>190540.66002734125</v>
      </c>
      <c r="AN480" s="37">
        <f t="shared" si="72"/>
        <v>258144.94840499823</v>
      </c>
      <c r="AO480" s="37">
        <f t="shared" si="73"/>
        <v>222778.09844802905</v>
      </c>
    </row>
    <row r="481" spans="1:41" hidden="1" x14ac:dyDescent="0.3">
      <c r="A481" t="str">
        <f t="shared" si="65"/>
        <v>414abr</v>
      </c>
      <c r="B481" t="str">
        <f t="shared" si="66"/>
        <v>VENTURA FAIR PLAYabr</v>
      </c>
      <c r="C481" s="1" t="s">
        <v>79</v>
      </c>
      <c r="D481" s="1" t="s">
        <v>65</v>
      </c>
      <c r="E481" s="1">
        <v>414</v>
      </c>
      <c r="F481" s="1" t="s">
        <v>119</v>
      </c>
      <c r="G481" s="1" t="s">
        <v>120</v>
      </c>
      <c r="H481" s="1" t="s">
        <v>119</v>
      </c>
      <c r="I481" s="1" t="s">
        <v>127</v>
      </c>
      <c r="J481" s="1" t="s">
        <v>135</v>
      </c>
      <c r="K481" t="s">
        <v>83</v>
      </c>
      <c r="L481" s="6">
        <v>292777.31999999995</v>
      </c>
      <c r="M481" s="6">
        <v>159235.15</v>
      </c>
      <c r="N481" s="6">
        <v>255730.62999999995</v>
      </c>
      <c r="O481" s="6">
        <v>136689.75999999992</v>
      </c>
      <c r="P481" s="6">
        <v>260140.7057700005</v>
      </c>
      <c r="Q481" s="6">
        <v>141215.37478875028</v>
      </c>
      <c r="R481" s="6">
        <v>265827.99000000017</v>
      </c>
      <c r="S481" s="6">
        <v>146910.47306618124</v>
      </c>
      <c r="T481" s="6">
        <v>265827.98999999964</v>
      </c>
      <c r="U481" s="6">
        <v>144802.33999999968</v>
      </c>
      <c r="V481" s="30">
        <v>265827.98999999947</v>
      </c>
      <c r="W481" s="30">
        <v>144802.33999999956</v>
      </c>
      <c r="X481" s="30">
        <v>273802.82969999954</v>
      </c>
      <c r="Y481" s="30">
        <v>145478.83429787075</v>
      </c>
      <c r="Z481" s="30">
        <v>0</v>
      </c>
      <c r="AA481" s="30">
        <v>0</v>
      </c>
      <c r="AB481" s="34">
        <v>0.8864746763854523</v>
      </c>
      <c r="AC481" s="34">
        <v>0.90041661264119421</v>
      </c>
      <c r="AD481" s="34">
        <v>0.91954831974108664</v>
      </c>
      <c r="AE481" s="34">
        <v>0.91954831974108631</v>
      </c>
      <c r="AF481" s="34">
        <v>0.91954831974108631</v>
      </c>
      <c r="AG481" s="34">
        <v>0.87999999999999989</v>
      </c>
      <c r="AH481" s="34">
        <v>0</v>
      </c>
      <c r="AI481" s="37">
        <f t="shared" si="67"/>
        <v>259539.67999999996</v>
      </c>
      <c r="AJ481" s="37">
        <f t="shared" si="68"/>
        <v>230264.10761319852</v>
      </c>
      <c r="AK481" s="37">
        <f t="shared" si="69"/>
        <v>244441.68154465006</v>
      </c>
      <c r="AL481" s="37">
        <f t="shared" si="70"/>
        <v>244441.68154465043</v>
      </c>
      <c r="AM481" s="37">
        <f t="shared" si="71"/>
        <v>244441.68154464979</v>
      </c>
      <c r="AN481" s="37">
        <f t="shared" si="72"/>
        <v>240946.49013599957</v>
      </c>
      <c r="AO481" s="37">
        <f t="shared" si="73"/>
        <v>0</v>
      </c>
    </row>
    <row r="482" spans="1:41" hidden="1" x14ac:dyDescent="0.3">
      <c r="A482" t="str">
        <f t="shared" si="65"/>
        <v>414may</v>
      </c>
      <c r="B482" t="str">
        <f t="shared" si="66"/>
        <v>VENTURA FAIR PLAYmay</v>
      </c>
      <c r="C482" s="1" t="s">
        <v>79</v>
      </c>
      <c r="D482" s="1" t="s">
        <v>65</v>
      </c>
      <c r="E482" s="1">
        <v>414</v>
      </c>
      <c r="F482" s="1" t="s">
        <v>119</v>
      </c>
      <c r="G482" s="1" t="s">
        <v>120</v>
      </c>
      <c r="H482" s="1" t="s">
        <v>119</v>
      </c>
      <c r="I482" s="1" t="s">
        <v>127</v>
      </c>
      <c r="J482" s="1" t="s">
        <v>135</v>
      </c>
      <c r="K482" t="s">
        <v>84</v>
      </c>
      <c r="L482" s="6">
        <v>309640.72999999986</v>
      </c>
      <c r="M482" s="6">
        <v>166056.35999999987</v>
      </c>
      <c r="N482" s="6">
        <v>254554.05999999997</v>
      </c>
      <c r="O482" s="6">
        <v>137947.91999999998</v>
      </c>
      <c r="P482" s="6">
        <v>259821.82710000058</v>
      </c>
      <c r="Q482" s="6">
        <v>135796.09963700033</v>
      </c>
      <c r="R482" s="6">
        <v>260690.59000000203</v>
      </c>
      <c r="S482" s="6">
        <v>144929.49070249006</v>
      </c>
      <c r="T482" s="6">
        <v>260690.5900000011</v>
      </c>
      <c r="U482" s="6">
        <v>144629.62000000107</v>
      </c>
      <c r="V482" s="30">
        <v>260690.5900000011</v>
      </c>
      <c r="W482" s="30">
        <v>144629.62000000107</v>
      </c>
      <c r="X482" s="30">
        <v>0</v>
      </c>
      <c r="Y482" s="30">
        <v>0</v>
      </c>
      <c r="Z482" s="30">
        <v>0</v>
      </c>
      <c r="AA482" s="30">
        <v>0</v>
      </c>
      <c r="AB482" s="34">
        <v>0.85142700703489538</v>
      </c>
      <c r="AC482" s="34">
        <v>0.92049004468332685</v>
      </c>
      <c r="AD482" s="34">
        <v>0.9689263201100955</v>
      </c>
      <c r="AE482" s="34">
        <v>0.96892632011009538</v>
      </c>
      <c r="AF482" s="34">
        <v>0.96892632011009538</v>
      </c>
      <c r="AG482" s="34">
        <v>0</v>
      </c>
      <c r="AH482" s="34">
        <v>0</v>
      </c>
      <c r="AI482" s="37">
        <f t="shared" si="67"/>
        <v>263636.48000000004</v>
      </c>
      <c r="AJ482" s="37">
        <f t="shared" si="68"/>
        <v>234314.47806372223</v>
      </c>
      <c r="AK482" s="37">
        <f t="shared" si="69"/>
        <v>252589.97405603074</v>
      </c>
      <c r="AL482" s="37">
        <f t="shared" si="70"/>
        <v>252589.97405603161</v>
      </c>
      <c r="AM482" s="37">
        <f t="shared" si="71"/>
        <v>252589.97405603071</v>
      </c>
      <c r="AN482" s="37">
        <f t="shared" si="72"/>
        <v>0</v>
      </c>
      <c r="AO482" s="37">
        <f t="shared" si="73"/>
        <v>0</v>
      </c>
    </row>
    <row r="483" spans="1:41" hidden="1" x14ac:dyDescent="0.3">
      <c r="A483" t="str">
        <f t="shared" si="65"/>
        <v>414jun</v>
      </c>
      <c r="B483" t="str">
        <f t="shared" si="66"/>
        <v>VENTURA FAIR PLAYjun</v>
      </c>
      <c r="C483" s="1" t="s">
        <v>79</v>
      </c>
      <c r="D483" s="1" t="s">
        <v>65</v>
      </c>
      <c r="E483" s="1">
        <v>414</v>
      </c>
      <c r="F483" s="1" t="s">
        <v>119</v>
      </c>
      <c r="G483" s="1" t="s">
        <v>120</v>
      </c>
      <c r="H483" s="1" t="s">
        <v>119</v>
      </c>
      <c r="I483" s="1" t="s">
        <v>127</v>
      </c>
      <c r="J483" s="1" t="s">
        <v>135</v>
      </c>
      <c r="K483" t="s">
        <v>85</v>
      </c>
      <c r="L483" s="6">
        <v>291598.17000000004</v>
      </c>
      <c r="M483" s="6">
        <v>157094.42000000004</v>
      </c>
      <c r="N483" s="6">
        <v>238500.7099999999</v>
      </c>
      <c r="O483" s="6">
        <v>128609.27999999991</v>
      </c>
      <c r="P483" s="6">
        <v>241786.03660000025</v>
      </c>
      <c r="Q483" s="6">
        <v>131420.40182100015</v>
      </c>
      <c r="R483" s="6">
        <v>244802.31999999954</v>
      </c>
      <c r="S483" s="6">
        <v>135948.40324007391</v>
      </c>
      <c r="T483" s="6">
        <v>244802.3199999994</v>
      </c>
      <c r="U483" s="6">
        <v>135941.64999999938</v>
      </c>
      <c r="V483" s="30">
        <v>244802.31999999913</v>
      </c>
      <c r="W483" s="30">
        <v>135941.64999999924</v>
      </c>
      <c r="X483" s="30">
        <v>0</v>
      </c>
      <c r="Y483" s="30">
        <v>0</v>
      </c>
      <c r="Z483" s="30">
        <v>0</v>
      </c>
      <c r="AA483" s="30">
        <v>0</v>
      </c>
      <c r="AB483" s="34">
        <v>0.87025878797524714</v>
      </c>
      <c r="AC483" s="34">
        <v>0.90902014130543218</v>
      </c>
      <c r="AD483" s="34">
        <v>0.96186160009813471</v>
      </c>
      <c r="AE483" s="34">
        <v>0.96186160009813471</v>
      </c>
      <c r="AF483" s="34">
        <v>0.96186160009813471</v>
      </c>
      <c r="AG483" s="34">
        <v>0</v>
      </c>
      <c r="AH483" s="34">
        <v>0</v>
      </c>
      <c r="AI483" s="37">
        <f t="shared" si="67"/>
        <v>253765.87000000011</v>
      </c>
      <c r="AJ483" s="37">
        <f t="shared" si="68"/>
        <v>216801.94910564582</v>
      </c>
      <c r="AK483" s="37">
        <f t="shared" si="69"/>
        <v>235465.95122293502</v>
      </c>
      <c r="AL483" s="37">
        <f t="shared" si="70"/>
        <v>235465.95122293517</v>
      </c>
      <c r="AM483" s="37">
        <f t="shared" si="71"/>
        <v>235465.95122293476</v>
      </c>
      <c r="AN483" s="37">
        <f t="shared" si="72"/>
        <v>0</v>
      </c>
      <c r="AO483" s="37">
        <f t="shared" si="73"/>
        <v>0</v>
      </c>
    </row>
    <row r="484" spans="1:41" hidden="1" x14ac:dyDescent="0.3">
      <c r="A484" t="str">
        <f t="shared" si="65"/>
        <v>414jul</v>
      </c>
      <c r="B484" t="str">
        <f t="shared" si="66"/>
        <v>VENTURA FAIR PLAYjul</v>
      </c>
      <c r="C484" s="1" t="s">
        <v>79</v>
      </c>
      <c r="D484" s="1" t="s">
        <v>65</v>
      </c>
      <c r="E484" s="1">
        <v>414</v>
      </c>
      <c r="F484" s="1" t="s">
        <v>119</v>
      </c>
      <c r="G484" s="1" t="s">
        <v>120</v>
      </c>
      <c r="H484" s="1" t="s">
        <v>119</v>
      </c>
      <c r="I484" s="1" t="s">
        <v>127</v>
      </c>
      <c r="J484" s="1" t="s">
        <v>135</v>
      </c>
      <c r="K484" t="s">
        <v>86</v>
      </c>
      <c r="L484" s="6">
        <v>282218.73000000004</v>
      </c>
      <c r="M484" s="6">
        <v>152287.44000000006</v>
      </c>
      <c r="N484" s="6">
        <v>273787.56999999995</v>
      </c>
      <c r="O484" s="6">
        <v>149489.76999999993</v>
      </c>
      <c r="P484" s="6">
        <v>259293.66040000069</v>
      </c>
      <c r="Q484" s="6">
        <v>142322.38727500039</v>
      </c>
      <c r="R484" s="6">
        <v>279587.02000000112</v>
      </c>
      <c r="S484" s="6">
        <v>153101.60000000097</v>
      </c>
      <c r="T484" s="6">
        <v>279587.0200000006</v>
      </c>
      <c r="U484" s="6">
        <v>153101.60000000065</v>
      </c>
      <c r="V484" s="30">
        <v>279587.01999999769</v>
      </c>
      <c r="W484" s="30">
        <v>153101.59999999905</v>
      </c>
      <c r="X484" s="30">
        <v>321525.07299999741</v>
      </c>
      <c r="Y484" s="30">
        <v>171774.32043060008</v>
      </c>
      <c r="Z484" s="30">
        <v>0</v>
      </c>
      <c r="AA484" s="30">
        <v>0</v>
      </c>
      <c r="AB484" s="34">
        <v>0.89959075359739582</v>
      </c>
      <c r="AC484" s="34">
        <v>0.94408496068773951</v>
      </c>
      <c r="AD484" s="34">
        <v>0.92450107304695361</v>
      </c>
      <c r="AE484" s="34">
        <v>0.92450107304695361</v>
      </c>
      <c r="AF484" s="34">
        <v>0.92450107304695361</v>
      </c>
      <c r="AG484" s="34">
        <v>0.89999999999999991</v>
      </c>
      <c r="AH484" s="34">
        <v>0</v>
      </c>
      <c r="AI484" s="37">
        <f t="shared" si="67"/>
        <v>253881.36000000002</v>
      </c>
      <c r="AJ484" s="37">
        <f t="shared" si="68"/>
        <v>258478.72726024169</v>
      </c>
      <c r="AK484" s="37">
        <f t="shared" si="69"/>
        <v>258478.50000000064</v>
      </c>
      <c r="AL484" s="37">
        <f t="shared" si="70"/>
        <v>258478.50000000114</v>
      </c>
      <c r="AM484" s="37">
        <f t="shared" si="71"/>
        <v>258478.49999999793</v>
      </c>
      <c r="AN484" s="37">
        <f t="shared" si="72"/>
        <v>289372.56569999765</v>
      </c>
      <c r="AO484" s="37">
        <f t="shared" si="73"/>
        <v>0</v>
      </c>
    </row>
    <row r="485" spans="1:41" hidden="1" x14ac:dyDescent="0.3">
      <c r="A485" t="str">
        <f t="shared" si="65"/>
        <v>414ago</v>
      </c>
      <c r="B485" t="str">
        <f t="shared" si="66"/>
        <v>VENTURA FAIR PLAYago</v>
      </c>
      <c r="C485" s="1" t="s">
        <v>79</v>
      </c>
      <c r="D485" s="1" t="s">
        <v>65</v>
      </c>
      <c r="E485" s="1">
        <v>414</v>
      </c>
      <c r="F485" s="1" t="s">
        <v>119</v>
      </c>
      <c r="G485" s="1" t="s">
        <v>120</v>
      </c>
      <c r="H485" s="1" t="s">
        <v>119</v>
      </c>
      <c r="I485" s="1" t="s">
        <v>127</v>
      </c>
      <c r="J485" s="1" t="s">
        <v>135</v>
      </c>
      <c r="K485" t="s">
        <v>87</v>
      </c>
      <c r="L485" s="6">
        <v>642420.55999999971</v>
      </c>
      <c r="M485" s="6">
        <v>195012.51999999964</v>
      </c>
      <c r="N485" s="6">
        <v>432221.0999999998</v>
      </c>
      <c r="O485" s="6">
        <v>169945.63999999984</v>
      </c>
      <c r="P485" s="6">
        <v>456786.1743000024</v>
      </c>
      <c r="Q485" s="6">
        <v>187712.39331600099</v>
      </c>
      <c r="R485" s="6">
        <v>451921.4505666091</v>
      </c>
      <c r="S485" s="6">
        <v>202334.49950916049</v>
      </c>
      <c r="T485" s="6">
        <v>515771.43000000226</v>
      </c>
      <c r="U485" s="6">
        <v>220558.32000000204</v>
      </c>
      <c r="V485" s="30">
        <v>515771.42999999668</v>
      </c>
      <c r="W485" s="30">
        <v>230921.44446635834</v>
      </c>
      <c r="X485" s="30">
        <v>551617.54438499652</v>
      </c>
      <c r="Y485" s="30">
        <v>254410.65182668559</v>
      </c>
      <c r="Z485" s="30">
        <v>0</v>
      </c>
      <c r="AA485" s="30">
        <v>0</v>
      </c>
      <c r="AB485" s="34">
        <v>0.25057691179746627</v>
      </c>
      <c r="AC485" s="34">
        <v>0.3573068995041464</v>
      </c>
      <c r="AD485" s="34">
        <v>0.38777896247568133</v>
      </c>
      <c r="AE485" s="34">
        <v>0.32000000000000006</v>
      </c>
      <c r="AF485" s="34">
        <v>0.32000000000000006</v>
      </c>
      <c r="AG485" s="34">
        <v>0.4</v>
      </c>
      <c r="AH485" s="34">
        <v>0</v>
      </c>
      <c r="AI485" s="37">
        <f t="shared" si="67"/>
        <v>160975.75999999882</v>
      </c>
      <c r="AJ485" s="37">
        <f t="shared" si="68"/>
        <v>154435.58114127154</v>
      </c>
      <c r="AK485" s="37">
        <f t="shared" si="69"/>
        <v>200005.30999999939</v>
      </c>
      <c r="AL485" s="37">
        <f t="shared" si="70"/>
        <v>144614.86418131494</v>
      </c>
      <c r="AM485" s="37">
        <f t="shared" si="71"/>
        <v>165046.85759999897</v>
      </c>
      <c r="AN485" s="37">
        <f t="shared" si="72"/>
        <v>220647.01775399863</v>
      </c>
      <c r="AO485" s="37">
        <f t="shared" si="73"/>
        <v>0</v>
      </c>
    </row>
    <row r="486" spans="1:41" hidden="1" x14ac:dyDescent="0.3">
      <c r="A486" t="str">
        <f t="shared" si="65"/>
        <v>414sep</v>
      </c>
      <c r="B486" t="str">
        <f t="shared" si="66"/>
        <v>VENTURA FAIR PLAYsep</v>
      </c>
      <c r="C486" s="1" t="s">
        <v>79</v>
      </c>
      <c r="D486" s="1" t="s">
        <v>65</v>
      </c>
      <c r="E486" s="1">
        <v>414</v>
      </c>
      <c r="F486" s="1" t="s">
        <v>119</v>
      </c>
      <c r="G486" s="1" t="s">
        <v>120</v>
      </c>
      <c r="H486" s="1" t="s">
        <v>119</v>
      </c>
      <c r="I486" s="1" t="s">
        <v>127</v>
      </c>
      <c r="J486" s="1" t="s">
        <v>135</v>
      </c>
      <c r="K486" t="s">
        <v>88</v>
      </c>
      <c r="L486" s="6">
        <v>262080.55999999994</v>
      </c>
      <c r="M486" s="6">
        <v>135526.18</v>
      </c>
      <c r="N486" s="6">
        <v>230791.73999999996</v>
      </c>
      <c r="O486" s="6">
        <v>116807.18999999994</v>
      </c>
      <c r="P486" s="6">
        <v>244035.75385000033</v>
      </c>
      <c r="Q486" s="6">
        <v>131464.24491400018</v>
      </c>
      <c r="R486" s="6">
        <v>255870.26773295607</v>
      </c>
      <c r="S486" s="6">
        <v>135816.26035783152</v>
      </c>
      <c r="T486" s="6">
        <v>259017.49000000081</v>
      </c>
      <c r="U486" s="6">
        <v>138758.76000000071</v>
      </c>
      <c r="V486" s="30">
        <v>259017.49000000081</v>
      </c>
      <c r="W486" s="30">
        <v>138758.76000000071</v>
      </c>
      <c r="X486" s="30">
        <v>297870.11350000097</v>
      </c>
      <c r="Y486" s="30">
        <v>158266.43183941743</v>
      </c>
      <c r="Z486" s="30">
        <v>0</v>
      </c>
      <c r="AA486" s="30">
        <v>0</v>
      </c>
      <c r="AB486" s="34">
        <v>0.79358175211469273</v>
      </c>
      <c r="AC486" s="34">
        <v>0.75176647243477634</v>
      </c>
      <c r="AD486" s="34">
        <v>0.90002393274678116</v>
      </c>
      <c r="AE486" s="34">
        <v>0.79999999999999993</v>
      </c>
      <c r="AF486" s="34">
        <v>0.79999999999999993</v>
      </c>
      <c r="AG486" s="34">
        <v>0.88</v>
      </c>
      <c r="AH486" s="34">
        <v>0</v>
      </c>
      <c r="AI486" s="37">
        <f t="shared" si="67"/>
        <v>207982.3499999998</v>
      </c>
      <c r="AJ486" s="37">
        <f t="shared" si="68"/>
        <v>173501.49224688404</v>
      </c>
      <c r="AK486" s="37">
        <f t="shared" si="69"/>
        <v>233121.94000000079</v>
      </c>
      <c r="AL486" s="37">
        <f t="shared" si="70"/>
        <v>204696.21418636484</v>
      </c>
      <c r="AM486" s="37">
        <f t="shared" si="71"/>
        <v>207213.99200000064</v>
      </c>
      <c r="AN486" s="37">
        <f t="shared" si="72"/>
        <v>262125.69988000084</v>
      </c>
      <c r="AO486" s="37">
        <f t="shared" si="73"/>
        <v>0</v>
      </c>
    </row>
    <row r="487" spans="1:41" hidden="1" x14ac:dyDescent="0.3">
      <c r="A487" t="str">
        <f t="shared" si="65"/>
        <v>414oct</v>
      </c>
      <c r="B487" t="str">
        <f t="shared" si="66"/>
        <v>VENTURA FAIR PLAYoct</v>
      </c>
      <c r="C487" s="1" t="s">
        <v>79</v>
      </c>
      <c r="D487" s="1" t="s">
        <v>65</v>
      </c>
      <c r="E487" s="1">
        <v>414</v>
      </c>
      <c r="F487" s="1" t="s">
        <v>119</v>
      </c>
      <c r="G487" s="1" t="s">
        <v>120</v>
      </c>
      <c r="H487" s="1" t="s">
        <v>119</v>
      </c>
      <c r="I487" s="1" t="s">
        <v>127</v>
      </c>
      <c r="J487" s="1" t="s">
        <v>135</v>
      </c>
      <c r="K487" t="s">
        <v>89</v>
      </c>
      <c r="L487" s="6">
        <v>174082.77999999997</v>
      </c>
      <c r="M487" s="6">
        <v>92158.76999999996</v>
      </c>
      <c r="N487" s="6">
        <v>238951.20999999993</v>
      </c>
      <c r="O487" s="6">
        <v>130166.48999999993</v>
      </c>
      <c r="P487" s="6">
        <v>258140.8301100005</v>
      </c>
      <c r="Q487" s="6">
        <v>141735.19636205028</v>
      </c>
      <c r="R487" s="6">
        <v>270659.36966618494</v>
      </c>
      <c r="S487" s="6">
        <v>148125.49001359707</v>
      </c>
      <c r="T487" s="6">
        <v>170382.07000000033</v>
      </c>
      <c r="U487" s="6">
        <v>90606.970000000336</v>
      </c>
      <c r="V487" s="30">
        <v>270659.36966618494</v>
      </c>
      <c r="W487" s="30">
        <v>148125.49001359707</v>
      </c>
      <c r="X487" s="30">
        <v>287297.15150000009</v>
      </c>
      <c r="Y487" s="30">
        <v>153488.10125473505</v>
      </c>
      <c r="Z487" s="30">
        <v>0</v>
      </c>
      <c r="AA487" s="30">
        <v>0</v>
      </c>
      <c r="AB487" s="34">
        <v>0.82413338068245423</v>
      </c>
      <c r="AC487" s="34">
        <v>0.90893579739294605</v>
      </c>
      <c r="AD487" s="34">
        <v>0.81163687000633433</v>
      </c>
      <c r="AE487" s="34">
        <v>0.9</v>
      </c>
      <c r="AF487" s="34">
        <v>0.9</v>
      </c>
      <c r="AG487" s="34">
        <v>0.9</v>
      </c>
      <c r="AH487" s="34">
        <v>0</v>
      </c>
      <c r="AI487" s="37">
        <f t="shared" si="67"/>
        <v>143467.42999999991</v>
      </c>
      <c r="AJ487" s="37">
        <f t="shared" si="68"/>
        <v>217191.30859935924</v>
      </c>
      <c r="AK487" s="37">
        <f t="shared" si="69"/>
        <v>138288.37000000043</v>
      </c>
      <c r="AL487" s="37">
        <f t="shared" si="70"/>
        <v>243593.43269956645</v>
      </c>
      <c r="AM487" s="37">
        <f t="shared" si="71"/>
        <v>243593.43269956645</v>
      </c>
      <c r="AN487" s="37">
        <f t="shared" si="72"/>
        <v>258567.43635000009</v>
      </c>
      <c r="AO487" s="37">
        <f t="shared" si="73"/>
        <v>0</v>
      </c>
    </row>
    <row r="488" spans="1:41" hidden="1" x14ac:dyDescent="0.3">
      <c r="A488" t="str">
        <f t="shared" si="65"/>
        <v>414nov</v>
      </c>
      <c r="B488" t="str">
        <f t="shared" si="66"/>
        <v>VENTURA FAIR PLAYnov</v>
      </c>
      <c r="C488" s="1" t="s">
        <v>79</v>
      </c>
      <c r="D488" s="1" t="s">
        <v>65</v>
      </c>
      <c r="E488" s="1">
        <v>414</v>
      </c>
      <c r="F488" s="1" t="s">
        <v>119</v>
      </c>
      <c r="G488" s="1" t="s">
        <v>120</v>
      </c>
      <c r="H488" s="1" t="s">
        <v>119</v>
      </c>
      <c r="I488" s="1" t="s">
        <v>127</v>
      </c>
      <c r="J488" s="1" t="s">
        <v>135</v>
      </c>
      <c r="K488" t="s">
        <v>90</v>
      </c>
      <c r="L488" s="6">
        <v>281059.00999999989</v>
      </c>
      <c r="M488" s="6">
        <v>130584.67999999988</v>
      </c>
      <c r="N488" s="6">
        <v>250229.34</v>
      </c>
      <c r="O488" s="6">
        <v>130410.99999999999</v>
      </c>
      <c r="P488" s="6">
        <v>349748.40404000017</v>
      </c>
      <c r="Q488" s="6">
        <v>173409.54949620008</v>
      </c>
      <c r="R488" s="6">
        <v>363042.35836498073</v>
      </c>
      <c r="S488" s="6">
        <v>180014.89630923726</v>
      </c>
      <c r="T488" s="6">
        <v>132136.78160919558</v>
      </c>
      <c r="U488" s="6">
        <v>51067.046846667712</v>
      </c>
      <c r="V488" s="30">
        <v>363042.35836498073</v>
      </c>
      <c r="W488" s="30">
        <v>180014.89630923726</v>
      </c>
      <c r="X488" s="30">
        <v>417498.71211972786</v>
      </c>
      <c r="Y488" s="30">
        <v>207801.01050167507</v>
      </c>
      <c r="Z488" s="30">
        <v>0</v>
      </c>
      <c r="AA488" s="30">
        <v>0</v>
      </c>
      <c r="AB488" s="34">
        <v>0.45484893012325067</v>
      </c>
      <c r="AC488" s="34">
        <v>0.6636410650344754</v>
      </c>
      <c r="AD488" s="34">
        <v>0.38777896247568133</v>
      </c>
      <c r="AE488" s="34">
        <v>0.6</v>
      </c>
      <c r="AF488" s="34">
        <v>0.6</v>
      </c>
      <c r="AG488" s="34">
        <v>0.65</v>
      </c>
      <c r="AH488" s="34">
        <v>0</v>
      </c>
      <c r="AI488" s="37">
        <f t="shared" si="67"/>
        <v>127839.38999999997</v>
      </c>
      <c r="AJ488" s="37">
        <f t="shared" si="68"/>
        <v>166062.46570047384</v>
      </c>
      <c r="AK488" s="37">
        <f t="shared" si="69"/>
        <v>51239.864077289552</v>
      </c>
      <c r="AL488" s="37">
        <f t="shared" si="70"/>
        <v>217825.41501898842</v>
      </c>
      <c r="AM488" s="37">
        <f t="shared" si="71"/>
        <v>217825.41501898842</v>
      </c>
      <c r="AN488" s="37">
        <f t="shared" si="72"/>
        <v>271374.16287782311</v>
      </c>
      <c r="AO488" s="37">
        <f t="shared" si="73"/>
        <v>0</v>
      </c>
    </row>
    <row r="489" spans="1:41" hidden="1" x14ac:dyDescent="0.3">
      <c r="A489" t="str">
        <f t="shared" si="65"/>
        <v>414dic</v>
      </c>
      <c r="B489" t="str">
        <f t="shared" si="66"/>
        <v>VENTURA FAIR PLAYdic</v>
      </c>
      <c r="C489" s="1" t="s">
        <v>79</v>
      </c>
      <c r="D489" s="1" t="s">
        <v>65</v>
      </c>
      <c r="E489" s="1">
        <v>414</v>
      </c>
      <c r="F489" s="1" t="s">
        <v>119</v>
      </c>
      <c r="G489" s="1" t="s">
        <v>120</v>
      </c>
      <c r="H489" s="1" t="s">
        <v>119</v>
      </c>
      <c r="I489" s="1" t="s">
        <v>127</v>
      </c>
      <c r="J489" s="1" t="s">
        <v>135</v>
      </c>
      <c r="K489" t="s">
        <v>91</v>
      </c>
      <c r="L489" s="6">
        <v>577487.91999999993</v>
      </c>
      <c r="M489" s="6">
        <v>276976.98999999976</v>
      </c>
      <c r="N489" s="6">
        <v>496588.48999999993</v>
      </c>
      <c r="O489" s="6">
        <v>268146.86999999988</v>
      </c>
      <c r="P489" s="6">
        <v>496935.49644999928</v>
      </c>
      <c r="Q489" s="6">
        <v>271573.86064724962</v>
      </c>
      <c r="R489" s="6">
        <v>515824.03951683856</v>
      </c>
      <c r="S489" s="6">
        <v>272252.57769014378</v>
      </c>
      <c r="T489" s="6">
        <v>585910.5747126441</v>
      </c>
      <c r="U489" s="6">
        <v>280211.12929288979</v>
      </c>
      <c r="V489" s="30">
        <v>515824.03951683856</v>
      </c>
      <c r="W489" s="30">
        <v>272252.57769014378</v>
      </c>
      <c r="X489" s="30">
        <v>593197.6454443644</v>
      </c>
      <c r="Y489" s="30">
        <v>312582.28538738465</v>
      </c>
      <c r="Z489" s="30">
        <v>0</v>
      </c>
      <c r="AA489" s="30">
        <v>0</v>
      </c>
      <c r="AB489" s="34">
        <v>0.52314302955462588</v>
      </c>
      <c r="AC489" s="34">
        <v>0.85535851247082684</v>
      </c>
      <c r="AD489" s="34">
        <v>0.64621968736811908</v>
      </c>
      <c r="AE489" s="34">
        <v>0.79999999999999993</v>
      </c>
      <c r="AF489" s="34">
        <v>0.79999999999999993</v>
      </c>
      <c r="AG489" s="34">
        <v>0.85000000000000009</v>
      </c>
      <c r="AH489" s="34">
        <v>0</v>
      </c>
      <c r="AI489" s="37">
        <f t="shared" si="67"/>
        <v>302108.77999999939</v>
      </c>
      <c r="AJ489" s="37">
        <f t="shared" si="68"/>
        <v>424761.19211653399</v>
      </c>
      <c r="AK489" s="37">
        <f t="shared" si="69"/>
        <v>378626.94841647986</v>
      </c>
      <c r="AL489" s="37">
        <f t="shared" si="70"/>
        <v>412659.23161347082</v>
      </c>
      <c r="AM489" s="37">
        <f t="shared" si="71"/>
        <v>412659.23161347082</v>
      </c>
      <c r="AN489" s="37">
        <f t="shared" si="72"/>
        <v>504217.99862770981</v>
      </c>
      <c r="AO489" s="37">
        <f t="shared" si="73"/>
        <v>0</v>
      </c>
    </row>
    <row r="490" spans="1:41" hidden="1" x14ac:dyDescent="0.3">
      <c r="A490" t="str">
        <f t="shared" si="65"/>
        <v>416ene</v>
      </c>
      <c r="B490" t="str">
        <f t="shared" si="66"/>
        <v>VILLA 1RO DE MAYOene</v>
      </c>
      <c r="C490" s="1" t="s">
        <v>79</v>
      </c>
      <c r="D490" s="1" t="s">
        <v>66</v>
      </c>
      <c r="E490" s="1">
        <v>416</v>
      </c>
      <c r="F490" s="1" t="s">
        <v>119</v>
      </c>
      <c r="G490" s="1" t="s">
        <v>122</v>
      </c>
      <c r="H490" s="1" t="s">
        <v>119</v>
      </c>
      <c r="I490" s="1" t="s">
        <v>127</v>
      </c>
      <c r="J490" s="1" t="s">
        <v>132</v>
      </c>
      <c r="K490" t="s">
        <v>80</v>
      </c>
      <c r="L490" s="6">
        <v>20374.660000000003</v>
      </c>
      <c r="M490" s="6">
        <v>9226.3100000000031</v>
      </c>
      <c r="N490" s="6">
        <v>16115.030000000002</v>
      </c>
      <c r="O490" s="6">
        <v>7182.8600000000006</v>
      </c>
      <c r="P490" s="6">
        <v>15889.465783333328</v>
      </c>
      <c r="Q490" s="6">
        <v>6858.4904406666647</v>
      </c>
      <c r="R490" s="6">
        <v>13096.83</v>
      </c>
      <c r="S490" s="6">
        <v>4991.5042744379698</v>
      </c>
      <c r="T490" s="6">
        <v>13096.829999999998</v>
      </c>
      <c r="U490" s="6">
        <v>5153.6199999999981</v>
      </c>
      <c r="V490" s="30">
        <v>15889.465783333328</v>
      </c>
      <c r="W490" s="30">
        <v>6252.5258898758166</v>
      </c>
      <c r="X490" s="30">
        <v>16604.491743583327</v>
      </c>
      <c r="Y490" s="30">
        <v>7655.9136456298093</v>
      </c>
      <c r="Z490" s="30">
        <v>9676.7241379310381</v>
      </c>
      <c r="AA490" s="30">
        <v>5190.0232039001776</v>
      </c>
      <c r="AB490" s="34">
        <v>0.54771956930815091</v>
      </c>
      <c r="AC490" s="34">
        <v>0.49206672280473585</v>
      </c>
      <c r="AD490" s="34">
        <v>0.46671764738872856</v>
      </c>
      <c r="AE490" s="34">
        <v>0.46671764738872856</v>
      </c>
      <c r="AF490" s="34">
        <v>0.46671764738872856</v>
      </c>
      <c r="AG490" s="34">
        <v>0.6</v>
      </c>
      <c r="AH490" s="34">
        <v>0.88448403860430591</v>
      </c>
      <c r="AI490" s="37">
        <f t="shared" si="67"/>
        <v>11159.600000000011</v>
      </c>
      <c r="AJ490" s="37">
        <f t="shared" si="68"/>
        <v>7929.6700000000037</v>
      </c>
      <c r="AK490" s="37">
        <f t="shared" si="69"/>
        <v>6112.5216858501208</v>
      </c>
      <c r="AL490" s="37">
        <f t="shared" si="70"/>
        <v>6112.5216858501217</v>
      </c>
      <c r="AM490" s="37">
        <f t="shared" si="71"/>
        <v>7415.8940886610317</v>
      </c>
      <c r="AN490" s="37">
        <f t="shared" si="72"/>
        <v>9962.6950461499964</v>
      </c>
      <c r="AO490" s="37">
        <f t="shared" si="73"/>
        <v>8558.9080459770157</v>
      </c>
    </row>
    <row r="491" spans="1:41" hidden="1" x14ac:dyDescent="0.3">
      <c r="A491" t="str">
        <f t="shared" si="65"/>
        <v>416feb</v>
      </c>
      <c r="B491" t="str">
        <f t="shared" si="66"/>
        <v>VILLA 1RO DE MAYOfeb</v>
      </c>
      <c r="C491" s="1" t="s">
        <v>79</v>
      </c>
      <c r="D491" s="1" t="s">
        <v>66</v>
      </c>
      <c r="E491" s="1">
        <v>416</v>
      </c>
      <c r="F491" s="1" t="s">
        <v>119</v>
      </c>
      <c r="G491" s="1" t="s">
        <v>122</v>
      </c>
      <c r="H491" s="1" t="s">
        <v>119</v>
      </c>
      <c r="I491" s="1" t="s">
        <v>127</v>
      </c>
      <c r="J491" s="1" t="s">
        <v>132</v>
      </c>
      <c r="K491" t="s">
        <v>81</v>
      </c>
      <c r="L491" s="6">
        <v>45857.109999999993</v>
      </c>
      <c r="M491" s="6">
        <v>17497.329999999998</v>
      </c>
      <c r="N491" s="6">
        <v>16728.46</v>
      </c>
      <c r="O491" s="6">
        <v>6796.5199999999995</v>
      </c>
      <c r="P491" s="6">
        <v>28005.429549999979</v>
      </c>
      <c r="Q491" s="6">
        <v>9883.4019599999938</v>
      </c>
      <c r="R491" s="6">
        <v>22580.330000000005</v>
      </c>
      <c r="S491" s="6">
        <v>7413.624655603875</v>
      </c>
      <c r="T491" s="6">
        <v>22580.330000000009</v>
      </c>
      <c r="U491" s="6">
        <v>7448.4100000000089</v>
      </c>
      <c r="V491" s="30">
        <v>28005.429549999979</v>
      </c>
      <c r="W491" s="30">
        <v>9237.9483167214785</v>
      </c>
      <c r="X491" s="30">
        <v>29265.673879749975</v>
      </c>
      <c r="Y491" s="30">
        <v>11744.211212971037</v>
      </c>
      <c r="Z491" s="30">
        <v>31246.40804597699</v>
      </c>
      <c r="AA491" s="30">
        <v>13582.900101196698</v>
      </c>
      <c r="AB491" s="34">
        <v>0.28903892984097806</v>
      </c>
      <c r="AC491" s="34">
        <v>0.35745482485594876</v>
      </c>
      <c r="AD491" s="34">
        <v>0.12504092579909273</v>
      </c>
      <c r="AE491" s="34">
        <v>0.12504092579909282</v>
      </c>
      <c r="AF491" s="34">
        <v>0.12504092579909282</v>
      </c>
      <c r="AG491" s="34">
        <v>0.35999999999999993</v>
      </c>
      <c r="AH491" s="34">
        <v>0.36045522473847597</v>
      </c>
      <c r="AI491" s="37">
        <f t="shared" si="67"/>
        <v>13254.490000000013</v>
      </c>
      <c r="AJ491" s="37">
        <f t="shared" si="68"/>
        <v>5979.6687394097444</v>
      </c>
      <c r="AK491" s="37">
        <f t="shared" si="69"/>
        <v>2823.4653680490287</v>
      </c>
      <c r="AL491" s="37">
        <f t="shared" si="70"/>
        <v>2823.4653680490301</v>
      </c>
      <c r="AM491" s="37">
        <f t="shared" si="71"/>
        <v>3501.8248383332689</v>
      </c>
      <c r="AN491" s="37">
        <f t="shared" si="72"/>
        <v>10535.642596709989</v>
      </c>
      <c r="AO491" s="37">
        <f t="shared" si="73"/>
        <v>11262.931034482759</v>
      </c>
    </row>
    <row r="492" spans="1:41" hidden="1" x14ac:dyDescent="0.3">
      <c r="A492" t="str">
        <f t="shared" si="65"/>
        <v>416mar</v>
      </c>
      <c r="B492" t="str">
        <f t="shared" si="66"/>
        <v>VILLA 1RO DE MAYOmar</v>
      </c>
      <c r="C492" s="1" t="s">
        <v>79</v>
      </c>
      <c r="D492" s="1" t="s">
        <v>66</v>
      </c>
      <c r="E492" s="1">
        <v>416</v>
      </c>
      <c r="F492" s="1" t="s">
        <v>119</v>
      </c>
      <c r="G492" s="1" t="s">
        <v>122</v>
      </c>
      <c r="H492" s="1" t="s">
        <v>119</v>
      </c>
      <c r="I492" s="1" t="s">
        <v>127</v>
      </c>
      <c r="J492" s="1" t="s">
        <v>132</v>
      </c>
      <c r="K492" t="s">
        <v>82</v>
      </c>
      <c r="L492" s="6">
        <v>34812.31</v>
      </c>
      <c r="M492" s="6">
        <v>14939.989999999996</v>
      </c>
      <c r="N492" s="6">
        <v>28596.979999999996</v>
      </c>
      <c r="O492" s="6">
        <v>10808.239999999998</v>
      </c>
      <c r="P492" s="6">
        <v>17270.598749999997</v>
      </c>
      <c r="Q492" s="6">
        <v>6727.6298325000007</v>
      </c>
      <c r="R492" s="6">
        <v>20191.809999999998</v>
      </c>
      <c r="S492" s="6">
        <v>8601.1643319943141</v>
      </c>
      <c r="T492" s="6">
        <v>20191.809999999998</v>
      </c>
      <c r="U492" s="6">
        <v>8753.6800000000021</v>
      </c>
      <c r="V492" s="30">
        <v>20191.810000000016</v>
      </c>
      <c r="W492" s="30">
        <v>8753.6800000000112</v>
      </c>
      <c r="X492" s="30">
        <v>21100.44145000002</v>
      </c>
      <c r="Y492" s="30">
        <v>9623.7704578125213</v>
      </c>
      <c r="Z492" s="30">
        <v>18529.086890398492</v>
      </c>
      <c r="AA492" s="30">
        <v>8986.6071418432675</v>
      </c>
      <c r="AB492" s="34">
        <v>0.36268463655528749</v>
      </c>
      <c r="AC492" s="34">
        <v>0.26297691905888543</v>
      </c>
      <c r="AD492" s="34">
        <v>0.415370331380921</v>
      </c>
      <c r="AE492" s="34">
        <v>0.41537033138092067</v>
      </c>
      <c r="AF492" s="34">
        <v>0.41537033138092067</v>
      </c>
      <c r="AG492" s="34">
        <v>0.57999999999999996</v>
      </c>
      <c r="AH492" s="34">
        <v>0.61687208919414782</v>
      </c>
      <c r="AI492" s="37">
        <f t="shared" si="67"/>
        <v>12625.89</v>
      </c>
      <c r="AJ492" s="37">
        <f t="shared" si="68"/>
        <v>7520.3456947885643</v>
      </c>
      <c r="AK492" s="37">
        <f t="shared" si="69"/>
        <v>8387.0788108805937</v>
      </c>
      <c r="AL492" s="37">
        <f t="shared" si="70"/>
        <v>8387.0788108805864</v>
      </c>
      <c r="AM492" s="37">
        <f t="shared" si="71"/>
        <v>8387.0788108805937</v>
      </c>
      <c r="AN492" s="37">
        <f t="shared" si="72"/>
        <v>12238.256041000011</v>
      </c>
      <c r="AO492" s="37">
        <f t="shared" si="73"/>
        <v>11430.076540940014</v>
      </c>
    </row>
    <row r="493" spans="1:41" hidden="1" x14ac:dyDescent="0.3">
      <c r="A493" t="str">
        <f t="shared" si="65"/>
        <v>416abr</v>
      </c>
      <c r="B493" t="str">
        <f t="shared" si="66"/>
        <v>VILLA 1RO DE MAYOabr</v>
      </c>
      <c r="C493" s="1" t="s">
        <v>79</v>
      </c>
      <c r="D493" s="1" t="s">
        <v>66</v>
      </c>
      <c r="E493" s="1">
        <v>416</v>
      </c>
      <c r="F493" s="1" t="s">
        <v>119</v>
      </c>
      <c r="G493" s="1" t="s">
        <v>122</v>
      </c>
      <c r="H493" s="1" t="s">
        <v>119</v>
      </c>
      <c r="I493" s="1" t="s">
        <v>127</v>
      </c>
      <c r="J493" s="1" t="s">
        <v>132</v>
      </c>
      <c r="K493" t="s">
        <v>83</v>
      </c>
      <c r="L493" s="6">
        <v>23629.599999999999</v>
      </c>
      <c r="M493" s="6">
        <v>11382.99</v>
      </c>
      <c r="N493" s="6">
        <v>7943.71</v>
      </c>
      <c r="O493" s="6">
        <v>3403.2699999999995</v>
      </c>
      <c r="P493" s="6">
        <v>14751.828149999998</v>
      </c>
      <c r="Q493" s="6">
        <v>6539.3514689999993</v>
      </c>
      <c r="R493" s="6">
        <v>16977.440000000002</v>
      </c>
      <c r="S493" s="6">
        <v>7789.7899557336596</v>
      </c>
      <c r="T493" s="6">
        <v>16977.440000000002</v>
      </c>
      <c r="U493" s="6">
        <v>7748.5800000000017</v>
      </c>
      <c r="V493" s="30">
        <v>16977.440000000006</v>
      </c>
      <c r="W493" s="30">
        <v>7748.5800000000036</v>
      </c>
      <c r="X493" s="30">
        <v>0</v>
      </c>
      <c r="Y493" s="30">
        <v>0</v>
      </c>
      <c r="Z493" s="30">
        <v>0</v>
      </c>
      <c r="AA493" s="30">
        <v>0</v>
      </c>
      <c r="AB493" s="34">
        <v>0.55222305921386772</v>
      </c>
      <c r="AC493" s="34">
        <v>0.42928297640047841</v>
      </c>
      <c r="AD493" s="34">
        <v>0.56356403549047496</v>
      </c>
      <c r="AE493" s="34">
        <v>0.56356403549047451</v>
      </c>
      <c r="AF493" s="34">
        <v>0.56356403549047451</v>
      </c>
      <c r="AG493" s="34">
        <v>0</v>
      </c>
      <c r="AH493" s="34">
        <v>0</v>
      </c>
      <c r="AI493" s="37">
        <f t="shared" si="67"/>
        <v>13048.810000000009</v>
      </c>
      <c r="AJ493" s="37">
        <f t="shared" si="68"/>
        <v>3410.0994724622442</v>
      </c>
      <c r="AK493" s="37">
        <f t="shared" si="69"/>
        <v>9567.87459869741</v>
      </c>
      <c r="AL493" s="37">
        <f t="shared" si="70"/>
        <v>9567.8745986974027</v>
      </c>
      <c r="AM493" s="37">
        <f t="shared" si="71"/>
        <v>9567.8745986974045</v>
      </c>
      <c r="AN493" s="37">
        <f t="shared" si="72"/>
        <v>0</v>
      </c>
      <c r="AO493" s="37">
        <f t="shared" si="73"/>
        <v>0</v>
      </c>
    </row>
    <row r="494" spans="1:41" hidden="1" x14ac:dyDescent="0.3">
      <c r="A494" t="str">
        <f t="shared" si="65"/>
        <v>416may</v>
      </c>
      <c r="B494" t="str">
        <f t="shared" si="66"/>
        <v>VILLA 1RO DE MAYOmay</v>
      </c>
      <c r="C494" s="1" t="s">
        <v>79</v>
      </c>
      <c r="D494" s="1" t="s">
        <v>66</v>
      </c>
      <c r="E494" s="1">
        <v>416</v>
      </c>
      <c r="F494" s="1" t="s">
        <v>119</v>
      </c>
      <c r="G494" s="1" t="s">
        <v>122</v>
      </c>
      <c r="H494" s="1" t="s">
        <v>119</v>
      </c>
      <c r="I494" s="1" t="s">
        <v>127</v>
      </c>
      <c r="J494" s="1" t="s">
        <v>132</v>
      </c>
      <c r="K494" t="s">
        <v>84</v>
      </c>
      <c r="L494" s="6">
        <v>22831.29</v>
      </c>
      <c r="M494" s="6">
        <v>10253.960000000003</v>
      </c>
      <c r="N494" s="6">
        <v>8168.93</v>
      </c>
      <c r="O494" s="6">
        <v>3879.1699999999996</v>
      </c>
      <c r="P494" s="6">
        <v>16588.766850000004</v>
      </c>
      <c r="Q494" s="6">
        <v>7187.4238260000011</v>
      </c>
      <c r="R494" s="6">
        <v>16122.060000000003</v>
      </c>
      <c r="S494" s="6">
        <v>7709.1490702867413</v>
      </c>
      <c r="T494" s="6">
        <v>16122.059999999998</v>
      </c>
      <c r="U494" s="6">
        <v>7715.07</v>
      </c>
      <c r="V494" s="30">
        <v>16122.059999999998</v>
      </c>
      <c r="W494" s="30">
        <v>7715.07</v>
      </c>
      <c r="X494" s="30">
        <v>0</v>
      </c>
      <c r="Y494" s="30">
        <v>0</v>
      </c>
      <c r="Z494" s="30">
        <v>0</v>
      </c>
      <c r="AA494" s="30">
        <v>0</v>
      </c>
      <c r="AB494" s="34">
        <v>0.47336265274542172</v>
      </c>
      <c r="AC494" s="34">
        <v>0.59449156743906428</v>
      </c>
      <c r="AD494" s="34">
        <v>0.62598774553727854</v>
      </c>
      <c r="AE494" s="34">
        <v>0.62598774553727843</v>
      </c>
      <c r="AF494" s="34">
        <v>0.62598774553727843</v>
      </c>
      <c r="AG494" s="34">
        <v>0</v>
      </c>
      <c r="AH494" s="34">
        <v>0</v>
      </c>
      <c r="AI494" s="37">
        <f t="shared" si="67"/>
        <v>10807.48000000002</v>
      </c>
      <c r="AJ494" s="37">
        <f t="shared" si="68"/>
        <v>4856.3599999999951</v>
      </c>
      <c r="AK494" s="37">
        <f t="shared" si="69"/>
        <v>10092.211992816736</v>
      </c>
      <c r="AL494" s="37">
        <f t="shared" si="70"/>
        <v>10092.211992816738</v>
      </c>
      <c r="AM494" s="37">
        <f t="shared" si="71"/>
        <v>10092.211992816734</v>
      </c>
      <c r="AN494" s="37">
        <f t="shared" si="72"/>
        <v>0</v>
      </c>
      <c r="AO494" s="37">
        <f t="shared" si="73"/>
        <v>0</v>
      </c>
    </row>
    <row r="495" spans="1:41" hidden="1" x14ac:dyDescent="0.3">
      <c r="A495" t="str">
        <f t="shared" si="65"/>
        <v>416jun</v>
      </c>
      <c r="B495" t="str">
        <f t="shared" si="66"/>
        <v>VILLA 1RO DE MAYOjun</v>
      </c>
      <c r="C495" s="1" t="s">
        <v>79</v>
      </c>
      <c r="D495" s="1" t="s">
        <v>66</v>
      </c>
      <c r="E495" s="1">
        <v>416</v>
      </c>
      <c r="F495" s="1" t="s">
        <v>119</v>
      </c>
      <c r="G495" s="1" t="s">
        <v>122</v>
      </c>
      <c r="H495" s="1" t="s">
        <v>119</v>
      </c>
      <c r="I495" s="1" t="s">
        <v>127</v>
      </c>
      <c r="J495" s="1" t="s">
        <v>132</v>
      </c>
      <c r="K495" t="s">
        <v>85</v>
      </c>
      <c r="L495" s="6">
        <v>19525.71</v>
      </c>
      <c r="M495" s="6">
        <v>8958.49</v>
      </c>
      <c r="N495" s="6">
        <v>12957.689999999999</v>
      </c>
      <c r="O495" s="6">
        <v>5803.8499999999995</v>
      </c>
      <c r="P495" s="6">
        <v>14630.657449999995</v>
      </c>
      <c r="Q495" s="6">
        <v>6440.5354544999964</v>
      </c>
      <c r="R495" s="6">
        <v>15095.649999999998</v>
      </c>
      <c r="S495" s="6">
        <v>7248.8826173852649</v>
      </c>
      <c r="T495" s="6">
        <v>15095.649999999992</v>
      </c>
      <c r="U495" s="6">
        <v>7247.4399999999914</v>
      </c>
      <c r="V495" s="30">
        <v>15095.649999999994</v>
      </c>
      <c r="W495" s="30">
        <v>7247.4399999999923</v>
      </c>
      <c r="X495" s="30">
        <v>0</v>
      </c>
      <c r="Y495" s="30">
        <v>0</v>
      </c>
      <c r="Z495" s="30">
        <v>0</v>
      </c>
      <c r="AA495" s="30">
        <v>0</v>
      </c>
      <c r="AB495" s="34">
        <v>0.46822164213234801</v>
      </c>
      <c r="AC495" s="34">
        <v>0.47322410185480729</v>
      </c>
      <c r="AD495" s="34">
        <v>0.64058465999756131</v>
      </c>
      <c r="AE495" s="34">
        <v>0.64058465999756131</v>
      </c>
      <c r="AF495" s="34">
        <v>0.64058465999756131</v>
      </c>
      <c r="AG495" s="34">
        <v>0</v>
      </c>
      <c r="AH495" s="34">
        <v>0</v>
      </c>
      <c r="AI495" s="37">
        <f t="shared" si="67"/>
        <v>9142.3600000000079</v>
      </c>
      <c r="AJ495" s="37">
        <f t="shared" si="68"/>
        <v>6131.8912123630171</v>
      </c>
      <c r="AK495" s="37">
        <f t="shared" si="69"/>
        <v>9670.0418226921811</v>
      </c>
      <c r="AL495" s="37">
        <f t="shared" si="70"/>
        <v>9670.0418226921847</v>
      </c>
      <c r="AM495" s="37">
        <f t="shared" si="71"/>
        <v>9670.0418226921829</v>
      </c>
      <c r="AN495" s="37">
        <f t="shared" si="72"/>
        <v>0</v>
      </c>
      <c r="AO495" s="37">
        <f t="shared" si="73"/>
        <v>0</v>
      </c>
    </row>
    <row r="496" spans="1:41" hidden="1" x14ac:dyDescent="0.3">
      <c r="A496" t="str">
        <f t="shared" si="65"/>
        <v>416jul</v>
      </c>
      <c r="B496" t="str">
        <f t="shared" si="66"/>
        <v>VILLA 1RO DE MAYOjul</v>
      </c>
      <c r="C496" s="1" t="s">
        <v>79</v>
      </c>
      <c r="D496" s="1" t="s">
        <v>66</v>
      </c>
      <c r="E496" s="1">
        <v>416</v>
      </c>
      <c r="F496" s="1" t="s">
        <v>119</v>
      </c>
      <c r="G496" s="1" t="s">
        <v>122</v>
      </c>
      <c r="H496" s="1" t="s">
        <v>119</v>
      </c>
      <c r="I496" s="1" t="s">
        <v>127</v>
      </c>
      <c r="J496" s="1" t="s">
        <v>132</v>
      </c>
      <c r="K496" t="s">
        <v>86</v>
      </c>
      <c r="L496" s="6">
        <v>17240.7</v>
      </c>
      <c r="M496" s="6">
        <v>8067.2000000000007</v>
      </c>
      <c r="N496" s="6">
        <v>19451.670000000006</v>
      </c>
      <c r="O496" s="6">
        <v>8995.8300000000036</v>
      </c>
      <c r="P496" s="6">
        <v>16422.656199999987</v>
      </c>
      <c r="Q496" s="6">
        <v>7557.6201634999943</v>
      </c>
      <c r="R496" s="6">
        <v>14246.249999999993</v>
      </c>
      <c r="S496" s="6">
        <v>6899.4900000000043</v>
      </c>
      <c r="T496" s="6">
        <v>14246.249999999989</v>
      </c>
      <c r="U496" s="6">
        <v>6899.4899999999916</v>
      </c>
      <c r="V496" s="30">
        <v>14246.250000000013</v>
      </c>
      <c r="W496" s="30">
        <v>6899.4900000000034</v>
      </c>
      <c r="X496" s="30">
        <v>0</v>
      </c>
      <c r="Y496" s="30">
        <v>0</v>
      </c>
      <c r="Z496" s="30">
        <v>0</v>
      </c>
      <c r="AA496" s="30">
        <v>0</v>
      </c>
      <c r="AB496" s="34">
        <v>0.55486088151873192</v>
      </c>
      <c r="AC496" s="34">
        <v>0.52342365792787915</v>
      </c>
      <c r="AD496" s="34">
        <v>0.65292550671229288</v>
      </c>
      <c r="AE496" s="34">
        <v>0.65292550671229288</v>
      </c>
      <c r="AF496" s="34">
        <v>0.65292550671229288</v>
      </c>
      <c r="AG496" s="34">
        <v>0</v>
      </c>
      <c r="AH496" s="34">
        <v>0</v>
      </c>
      <c r="AI496" s="37">
        <f t="shared" si="67"/>
        <v>9566.1900000000023</v>
      </c>
      <c r="AJ496" s="37">
        <f t="shared" si="68"/>
        <v>10181.464264205992</v>
      </c>
      <c r="AK496" s="37">
        <f t="shared" si="69"/>
        <v>9301.7399999999961</v>
      </c>
      <c r="AL496" s="37">
        <f t="shared" si="70"/>
        <v>9301.739999999998</v>
      </c>
      <c r="AM496" s="37">
        <f t="shared" si="71"/>
        <v>9301.7400000000107</v>
      </c>
      <c r="AN496" s="37">
        <f t="shared" si="72"/>
        <v>0</v>
      </c>
      <c r="AO496" s="37">
        <f t="shared" si="73"/>
        <v>0</v>
      </c>
    </row>
    <row r="497" spans="1:41" hidden="1" x14ac:dyDescent="0.3">
      <c r="A497" t="str">
        <f t="shared" si="65"/>
        <v>416ago</v>
      </c>
      <c r="B497" t="str">
        <f t="shared" si="66"/>
        <v>VILLA 1RO DE MAYOago</v>
      </c>
      <c r="C497" s="1" t="s">
        <v>79</v>
      </c>
      <c r="D497" s="1" t="s">
        <v>66</v>
      </c>
      <c r="E497" s="1">
        <v>416</v>
      </c>
      <c r="F497" s="1" t="s">
        <v>119</v>
      </c>
      <c r="G497" s="1" t="s">
        <v>122</v>
      </c>
      <c r="H497" s="1" t="s">
        <v>119</v>
      </c>
      <c r="I497" s="1" t="s">
        <v>127</v>
      </c>
      <c r="J497" s="1" t="s">
        <v>132</v>
      </c>
      <c r="K497" t="s">
        <v>87</v>
      </c>
      <c r="L497" s="6">
        <v>57792.329999999994</v>
      </c>
      <c r="M497" s="6">
        <v>16850.900000000001</v>
      </c>
      <c r="N497" s="6">
        <v>39860.74</v>
      </c>
      <c r="O497" s="6">
        <v>12976.689999999999</v>
      </c>
      <c r="P497" s="6">
        <v>35709.913299999971</v>
      </c>
      <c r="Q497" s="6">
        <v>11744.30636599999</v>
      </c>
      <c r="R497" s="6">
        <v>28343.736428998986</v>
      </c>
      <c r="S497" s="6">
        <v>9825.3562331124976</v>
      </c>
      <c r="T497" s="6">
        <v>53022.7</v>
      </c>
      <c r="U497" s="6">
        <v>17036.449999999968</v>
      </c>
      <c r="V497" s="30">
        <v>53022.700000000099</v>
      </c>
      <c r="W497" s="30">
        <v>18380.318955000032</v>
      </c>
      <c r="X497" s="30">
        <v>0</v>
      </c>
      <c r="Y497" s="30">
        <v>0</v>
      </c>
      <c r="Z497" s="30">
        <v>0</v>
      </c>
      <c r="AA497" s="30">
        <v>0</v>
      </c>
      <c r="AB497" s="34">
        <v>0.13231098313565173</v>
      </c>
      <c r="AC497" s="34">
        <v>0.13449279547646312</v>
      </c>
      <c r="AD497" s="34">
        <v>0.17930414709171758</v>
      </c>
      <c r="AE497" s="34">
        <v>0.16999999999999998</v>
      </c>
      <c r="AF497" s="34">
        <v>0.16999999999999998</v>
      </c>
      <c r="AG497" s="34">
        <v>0</v>
      </c>
      <c r="AH497" s="34">
        <v>0</v>
      </c>
      <c r="AI497" s="37">
        <f t="shared" si="67"/>
        <v>7646.5600000000186</v>
      </c>
      <c r="AJ497" s="37">
        <f t="shared" si="68"/>
        <v>5360.9823523604719</v>
      </c>
      <c r="AK497" s="37">
        <f t="shared" si="69"/>
        <v>9507.1900000000132</v>
      </c>
      <c r="AL497" s="37">
        <f t="shared" si="70"/>
        <v>4818.4351929298273</v>
      </c>
      <c r="AM497" s="37">
        <f t="shared" si="71"/>
        <v>9013.8590000000167</v>
      </c>
      <c r="AN497" s="37">
        <f t="shared" si="72"/>
        <v>0</v>
      </c>
      <c r="AO497" s="37">
        <f t="shared" si="73"/>
        <v>0</v>
      </c>
    </row>
    <row r="498" spans="1:41" hidden="1" x14ac:dyDescent="0.3">
      <c r="A498" t="str">
        <f t="shared" si="65"/>
        <v>416sep</v>
      </c>
      <c r="B498" t="str">
        <f t="shared" si="66"/>
        <v>VILLA 1RO DE MAYOsep</v>
      </c>
      <c r="C498" s="1" t="s">
        <v>79</v>
      </c>
      <c r="D498" s="1" t="s">
        <v>66</v>
      </c>
      <c r="E498" s="1">
        <v>416</v>
      </c>
      <c r="F498" s="1" t="s">
        <v>119</v>
      </c>
      <c r="G498" s="1" t="s">
        <v>122</v>
      </c>
      <c r="H498" s="1" t="s">
        <v>119</v>
      </c>
      <c r="I498" s="1" t="s">
        <v>127</v>
      </c>
      <c r="J498" s="1" t="s">
        <v>132</v>
      </c>
      <c r="K498" t="s">
        <v>88</v>
      </c>
      <c r="L498" s="6">
        <v>15849.689999999999</v>
      </c>
      <c r="M498" s="6">
        <v>7042.869999999999</v>
      </c>
      <c r="N498" s="6">
        <v>15922.61</v>
      </c>
      <c r="O498" s="6">
        <v>6391.6800000000012</v>
      </c>
      <c r="P498" s="6">
        <v>14039.641149999996</v>
      </c>
      <c r="Q498" s="6">
        <v>5903.8693447499973</v>
      </c>
      <c r="R498" s="6">
        <v>14038.237185884997</v>
      </c>
      <c r="S498" s="6">
        <v>6306.6780557588345</v>
      </c>
      <c r="T498" s="6">
        <v>11982.39</v>
      </c>
      <c r="U498" s="6">
        <v>5816.46</v>
      </c>
      <c r="V498" s="30">
        <v>11982.39</v>
      </c>
      <c r="W498" s="30">
        <v>5816.46</v>
      </c>
      <c r="X498" s="30">
        <v>0</v>
      </c>
      <c r="Y498" s="30">
        <v>0</v>
      </c>
      <c r="Z498" s="30">
        <v>0</v>
      </c>
      <c r="AA498" s="30">
        <v>0</v>
      </c>
      <c r="AB498" s="34">
        <v>0.48008951594636878</v>
      </c>
      <c r="AC498" s="34">
        <v>0.33033606428439499</v>
      </c>
      <c r="AD498" s="34">
        <v>0.69570261024720448</v>
      </c>
      <c r="AE498" s="34">
        <v>0.54999999999999993</v>
      </c>
      <c r="AF498" s="34">
        <v>0.54999999999999993</v>
      </c>
      <c r="AG498" s="34">
        <v>0</v>
      </c>
      <c r="AH498" s="34">
        <v>0</v>
      </c>
      <c r="AI498" s="37">
        <f t="shared" si="67"/>
        <v>7609.2700000000013</v>
      </c>
      <c r="AJ498" s="37">
        <f t="shared" si="68"/>
        <v>5259.8123205353504</v>
      </c>
      <c r="AK498" s="37">
        <f t="shared" si="69"/>
        <v>8336.18</v>
      </c>
      <c r="AL498" s="37">
        <f t="shared" si="70"/>
        <v>7721.0304522367469</v>
      </c>
      <c r="AM498" s="37">
        <f t="shared" si="71"/>
        <v>6590.3144999999986</v>
      </c>
      <c r="AN498" s="37">
        <f t="shared" si="72"/>
        <v>0</v>
      </c>
      <c r="AO498" s="37">
        <f t="shared" si="73"/>
        <v>0</v>
      </c>
    </row>
    <row r="499" spans="1:41" hidden="1" x14ac:dyDescent="0.3">
      <c r="A499" t="str">
        <f t="shared" si="65"/>
        <v>416oct</v>
      </c>
      <c r="B499" t="str">
        <f t="shared" si="66"/>
        <v>VILLA 1RO DE MAYOoct</v>
      </c>
      <c r="C499" s="1" t="s">
        <v>79</v>
      </c>
      <c r="D499" s="1" t="s">
        <v>66</v>
      </c>
      <c r="E499" s="1">
        <v>416</v>
      </c>
      <c r="F499" s="1" t="s">
        <v>119</v>
      </c>
      <c r="G499" s="1" t="s">
        <v>122</v>
      </c>
      <c r="H499" s="1" t="s">
        <v>119</v>
      </c>
      <c r="I499" s="1" t="s">
        <v>127</v>
      </c>
      <c r="J499" s="1" t="s">
        <v>132</v>
      </c>
      <c r="K499" t="s">
        <v>89</v>
      </c>
      <c r="L499" s="6">
        <v>10730.130000000001</v>
      </c>
      <c r="M499" s="6">
        <v>4735.08</v>
      </c>
      <c r="N499" s="6">
        <v>13668.680000000004</v>
      </c>
      <c r="O499" s="6">
        <v>5901.6500000000015</v>
      </c>
      <c r="P499" s="6">
        <v>14726.261874999995</v>
      </c>
      <c r="Q499" s="6">
        <v>6506.2663704999968</v>
      </c>
      <c r="R499" s="6">
        <v>14724.789248812496</v>
      </c>
      <c r="S499" s="6">
        <v>6788.1278437025612</v>
      </c>
      <c r="T499" s="6">
        <v>10788.499999999995</v>
      </c>
      <c r="U499" s="6">
        <v>5500.3299999999963</v>
      </c>
      <c r="V499" s="30">
        <v>14724.789248812496</v>
      </c>
      <c r="W499" s="30">
        <v>6788.1278437025612</v>
      </c>
      <c r="X499" s="30">
        <v>0</v>
      </c>
      <c r="Y499" s="30">
        <v>0</v>
      </c>
      <c r="Z499" s="30">
        <v>0</v>
      </c>
      <c r="AA499" s="30">
        <v>0</v>
      </c>
      <c r="AB499" s="34">
        <v>0.46102516931295306</v>
      </c>
      <c r="AC499" s="34">
        <v>0.45903774175706819</v>
      </c>
      <c r="AD499" s="34">
        <v>0.63952449367381947</v>
      </c>
      <c r="AE499" s="34">
        <v>0.6</v>
      </c>
      <c r="AF499" s="34">
        <v>0.6</v>
      </c>
      <c r="AG499" s="34">
        <v>0</v>
      </c>
      <c r="AH499" s="34">
        <v>0</v>
      </c>
      <c r="AI499" s="37">
        <f t="shared" si="67"/>
        <v>4946.8599999999979</v>
      </c>
      <c r="AJ499" s="37">
        <f t="shared" si="68"/>
        <v>6274.4400000000041</v>
      </c>
      <c r="AK499" s="37">
        <f t="shared" si="69"/>
        <v>6899.5099999999975</v>
      </c>
      <c r="AL499" s="37">
        <f t="shared" si="70"/>
        <v>8834.8735492874966</v>
      </c>
      <c r="AM499" s="37">
        <f t="shared" si="71"/>
        <v>8834.8735492874966</v>
      </c>
      <c r="AN499" s="37">
        <f t="shared" si="72"/>
        <v>0</v>
      </c>
      <c r="AO499" s="37">
        <f t="shared" si="73"/>
        <v>0</v>
      </c>
    </row>
    <row r="500" spans="1:41" hidden="1" x14ac:dyDescent="0.3">
      <c r="A500" t="str">
        <f t="shared" si="65"/>
        <v>416nov</v>
      </c>
      <c r="B500" t="str">
        <f t="shared" si="66"/>
        <v>VILLA 1RO DE MAYOnov</v>
      </c>
      <c r="C500" s="1" t="s">
        <v>79</v>
      </c>
      <c r="D500" s="1" t="s">
        <v>66</v>
      </c>
      <c r="E500" s="1">
        <v>416</v>
      </c>
      <c r="F500" s="1" t="s">
        <v>119</v>
      </c>
      <c r="G500" s="1" t="s">
        <v>122</v>
      </c>
      <c r="H500" s="1" t="s">
        <v>119</v>
      </c>
      <c r="I500" s="1" t="s">
        <v>127</v>
      </c>
      <c r="J500" s="1" t="s">
        <v>132</v>
      </c>
      <c r="K500" t="s">
        <v>90</v>
      </c>
      <c r="L500" s="6">
        <v>14651.420000000002</v>
      </c>
      <c r="M500" s="6">
        <v>6103.9600000000009</v>
      </c>
      <c r="N500" s="6">
        <v>13212.670000000002</v>
      </c>
      <c r="O500" s="6">
        <v>5055.1899999999987</v>
      </c>
      <c r="P500" s="6">
        <v>21072.513674999995</v>
      </c>
      <c r="Q500" s="6">
        <v>7974.6499157499975</v>
      </c>
      <c r="R500" s="6">
        <v>21070.406423632496</v>
      </c>
      <c r="S500" s="6">
        <v>8475.570983906171</v>
      </c>
      <c r="T500" s="6">
        <v>7780.0287356321842</v>
      </c>
      <c r="U500" s="6">
        <v>2776.0617313195157</v>
      </c>
      <c r="V500" s="30">
        <v>21070.406423632496</v>
      </c>
      <c r="W500" s="30">
        <v>8475.570983906171</v>
      </c>
      <c r="X500" s="30">
        <v>0</v>
      </c>
      <c r="Y500" s="30">
        <v>0</v>
      </c>
      <c r="Z500" s="30">
        <v>0</v>
      </c>
      <c r="AA500" s="30">
        <v>0</v>
      </c>
      <c r="AB500" s="34">
        <v>0.36490251456855377</v>
      </c>
      <c r="AC500" s="34">
        <v>0.23820625208554749</v>
      </c>
      <c r="AD500" s="34">
        <v>0.17930414709171758</v>
      </c>
      <c r="AE500" s="34">
        <v>0.35</v>
      </c>
      <c r="AF500" s="34">
        <v>0.35</v>
      </c>
      <c r="AG500" s="34">
        <v>0</v>
      </c>
      <c r="AH500" s="34">
        <v>0</v>
      </c>
      <c r="AI500" s="37">
        <f t="shared" si="67"/>
        <v>5346.3400000000011</v>
      </c>
      <c r="AJ500" s="37">
        <f t="shared" si="68"/>
        <v>3147.3406007431513</v>
      </c>
      <c r="AK500" s="37">
        <f t="shared" si="69"/>
        <v>1394.9914167915827</v>
      </c>
      <c r="AL500" s="37">
        <f t="shared" si="70"/>
        <v>7374.6422482713733</v>
      </c>
      <c r="AM500" s="37">
        <f t="shared" si="71"/>
        <v>7374.6422482713733</v>
      </c>
      <c r="AN500" s="37">
        <f t="shared" si="72"/>
        <v>0</v>
      </c>
      <c r="AO500" s="37">
        <f t="shared" si="73"/>
        <v>0</v>
      </c>
    </row>
    <row r="501" spans="1:41" hidden="1" x14ac:dyDescent="0.3">
      <c r="A501" t="str">
        <f t="shared" si="65"/>
        <v>416dic</v>
      </c>
      <c r="B501" t="str">
        <f t="shared" si="66"/>
        <v>VILLA 1RO DE MAYOdic</v>
      </c>
      <c r="C501" s="1" t="s">
        <v>79</v>
      </c>
      <c r="D501" s="1" t="s">
        <v>66</v>
      </c>
      <c r="E501" s="1">
        <v>416</v>
      </c>
      <c r="F501" s="1" t="s">
        <v>119</v>
      </c>
      <c r="G501" s="1" t="s">
        <v>122</v>
      </c>
      <c r="H501" s="1" t="s">
        <v>119</v>
      </c>
      <c r="I501" s="1" t="s">
        <v>127</v>
      </c>
      <c r="J501" s="1" t="s">
        <v>132</v>
      </c>
      <c r="K501" t="s">
        <v>91</v>
      </c>
      <c r="L501" s="6">
        <v>36270.259999999995</v>
      </c>
      <c r="M501" s="6">
        <v>15314.099999999999</v>
      </c>
      <c r="N501" s="6">
        <v>29663.549999999996</v>
      </c>
      <c r="O501" s="6">
        <v>12400.570000000003</v>
      </c>
      <c r="P501" s="6">
        <v>30106.006099999995</v>
      </c>
      <c r="Q501" s="6">
        <v>13744.764126999999</v>
      </c>
      <c r="R501" s="6">
        <v>30102.995499389996</v>
      </c>
      <c r="S501" s="6">
        <v>13877.48092521879</v>
      </c>
      <c r="T501" s="6">
        <v>36527.083333333314</v>
      </c>
      <c r="U501" s="6">
        <v>16122.889989025844</v>
      </c>
      <c r="V501" s="30">
        <v>30102.995499389996</v>
      </c>
      <c r="W501" s="30">
        <v>13877.48092521879</v>
      </c>
      <c r="X501" s="30">
        <v>0</v>
      </c>
      <c r="Y501" s="30">
        <v>0</v>
      </c>
      <c r="Z501" s="30">
        <v>0</v>
      </c>
      <c r="AA501" s="30">
        <v>0</v>
      </c>
      <c r="AB501" s="34">
        <v>0.3524239969605959</v>
      </c>
      <c r="AC501" s="34">
        <v>0.48326880266693278</v>
      </c>
      <c r="AD501" s="34">
        <v>0.415370331380921</v>
      </c>
      <c r="AE501" s="34">
        <v>0.6</v>
      </c>
      <c r="AF501" s="34">
        <v>0.6</v>
      </c>
      <c r="AG501" s="34">
        <v>0</v>
      </c>
      <c r="AH501" s="34">
        <v>0</v>
      </c>
      <c r="AI501" s="37">
        <f t="shared" si="67"/>
        <v>12782.51000000002</v>
      </c>
      <c r="AJ501" s="37">
        <f t="shared" si="68"/>
        <v>14335.468291350691</v>
      </c>
      <c r="AK501" s="37">
        <f t="shared" si="69"/>
        <v>15172.266708545176</v>
      </c>
      <c r="AL501" s="37">
        <f t="shared" si="70"/>
        <v>18061.797299633996</v>
      </c>
      <c r="AM501" s="37">
        <f t="shared" si="71"/>
        <v>18061.797299633996</v>
      </c>
      <c r="AN501" s="37">
        <f t="shared" si="72"/>
        <v>0</v>
      </c>
      <c r="AO501" s="37">
        <f t="shared" si="73"/>
        <v>0</v>
      </c>
    </row>
    <row r="502" spans="1:41" hidden="1" x14ac:dyDescent="0.3">
      <c r="A502" t="str">
        <f t="shared" si="65"/>
        <v>131ene</v>
      </c>
      <c r="B502" t="str">
        <f t="shared" si="66"/>
        <v>YACUIBAene</v>
      </c>
      <c r="C502" s="1" t="s">
        <v>79</v>
      </c>
      <c r="D502" s="1" t="s">
        <v>67</v>
      </c>
      <c r="E502" s="1">
        <v>131</v>
      </c>
      <c r="F502" s="1" t="s">
        <v>119</v>
      </c>
      <c r="G502" s="1" t="s">
        <v>119</v>
      </c>
      <c r="H502" s="1" t="s">
        <v>119</v>
      </c>
      <c r="I502" s="1" t="s">
        <v>126</v>
      </c>
      <c r="J502" s="1" t="s">
        <v>132</v>
      </c>
      <c r="K502" t="s">
        <v>80</v>
      </c>
      <c r="L502" s="6">
        <v>0</v>
      </c>
      <c r="M502" s="6">
        <v>0</v>
      </c>
      <c r="N502" s="6">
        <v>27333.749999999996</v>
      </c>
      <c r="O502" s="6">
        <v>12646.26</v>
      </c>
      <c r="P502" s="6">
        <v>34069.566583333319</v>
      </c>
      <c r="Q502" s="6">
        <v>15189.03687616666</v>
      </c>
      <c r="R502" s="6">
        <v>24658.309999999987</v>
      </c>
      <c r="S502" s="6">
        <v>10505.271384081221</v>
      </c>
      <c r="T502" s="6">
        <v>24658.309999999998</v>
      </c>
      <c r="U502" s="6">
        <v>10609.93</v>
      </c>
      <c r="V502" s="30">
        <v>34069.566583333319</v>
      </c>
      <c r="W502" s="30">
        <v>14659.387305111573</v>
      </c>
      <c r="X502" s="30">
        <v>35773.044912499987</v>
      </c>
      <c r="Y502" s="30">
        <v>16021.550724884206</v>
      </c>
      <c r="Z502" s="30">
        <v>18680.603448275837</v>
      </c>
      <c r="AA502" s="30">
        <v>9579.5005411956918</v>
      </c>
      <c r="AB502" s="34">
        <v>0</v>
      </c>
      <c r="AC502" s="34">
        <v>0.54583765491379654</v>
      </c>
      <c r="AD502" s="34">
        <v>0.49787971743617288</v>
      </c>
      <c r="AE502" s="34">
        <v>0.49787971743617265</v>
      </c>
      <c r="AF502" s="34">
        <v>0.49787971743617265</v>
      </c>
      <c r="AG502" s="34">
        <v>0.6</v>
      </c>
      <c r="AH502" s="34">
        <v>0.86165655260465923</v>
      </c>
      <c r="AI502" s="37">
        <f t="shared" si="67"/>
        <v>0</v>
      </c>
      <c r="AJ502" s="37">
        <f t="shared" si="68"/>
        <v>14919.789999999985</v>
      </c>
      <c r="AK502" s="37">
        <f t="shared" si="69"/>
        <v>12276.872415253554</v>
      </c>
      <c r="AL502" s="37">
        <f t="shared" si="70"/>
        <v>12276.872415253543</v>
      </c>
      <c r="AM502" s="37">
        <f t="shared" si="71"/>
        <v>16962.546183682862</v>
      </c>
      <c r="AN502" s="37">
        <f t="shared" si="72"/>
        <v>21463.826947499991</v>
      </c>
      <c r="AO502" s="37">
        <f t="shared" si="73"/>
        <v>16096.264367816068</v>
      </c>
    </row>
    <row r="503" spans="1:41" hidden="1" x14ac:dyDescent="0.3">
      <c r="A503" t="str">
        <f t="shared" si="65"/>
        <v>131feb</v>
      </c>
      <c r="B503" t="str">
        <f t="shared" si="66"/>
        <v>YACUIBAfeb</v>
      </c>
      <c r="C503" s="1" t="s">
        <v>79</v>
      </c>
      <c r="D503" s="1" t="s">
        <v>67</v>
      </c>
      <c r="E503" s="1">
        <v>131</v>
      </c>
      <c r="F503" s="1" t="s">
        <v>119</v>
      </c>
      <c r="G503" s="1" t="s">
        <v>119</v>
      </c>
      <c r="H503" s="1" t="s">
        <v>119</v>
      </c>
      <c r="I503" s="1" t="s">
        <v>126</v>
      </c>
      <c r="J503" s="1" t="s">
        <v>132</v>
      </c>
      <c r="K503" t="s">
        <v>81</v>
      </c>
      <c r="L503" s="6">
        <v>0</v>
      </c>
      <c r="M503" s="6">
        <v>0</v>
      </c>
      <c r="N503" s="6">
        <v>29793</v>
      </c>
      <c r="O503" s="6">
        <v>13376.51</v>
      </c>
      <c r="P503" s="6">
        <v>47259.126699999979</v>
      </c>
      <c r="Q503" s="6">
        <v>19776.380384999989</v>
      </c>
      <c r="R503" s="6">
        <v>44469.440000000031</v>
      </c>
      <c r="S503" s="6">
        <v>15834.495312925052</v>
      </c>
      <c r="T503" s="6">
        <v>44469.440000000039</v>
      </c>
      <c r="U503" s="6">
        <v>15966.880000000041</v>
      </c>
      <c r="V503" s="30">
        <v>47259.126699999979</v>
      </c>
      <c r="W503" s="30">
        <v>16968.525012316255</v>
      </c>
      <c r="X503" s="30">
        <v>49149.491767999978</v>
      </c>
      <c r="Y503" s="30">
        <v>18742.28870986493</v>
      </c>
      <c r="Z503" s="30">
        <v>44440.100574712706</v>
      </c>
      <c r="AA503" s="30">
        <v>15383.887123020784</v>
      </c>
      <c r="AB503" s="34">
        <v>0</v>
      </c>
      <c r="AC503" s="34">
        <v>0.50063468123705146</v>
      </c>
      <c r="AD503" s="34">
        <v>0.23341364287922678</v>
      </c>
      <c r="AE503" s="34">
        <v>0.23341364287922656</v>
      </c>
      <c r="AF503" s="34">
        <v>0.23341364287922656</v>
      </c>
      <c r="AG503" s="34">
        <v>0.36</v>
      </c>
      <c r="AH503" s="34">
        <v>0.30410299799775697</v>
      </c>
      <c r="AI503" s="37">
        <f t="shared" si="67"/>
        <v>0</v>
      </c>
      <c r="AJ503" s="37">
        <f t="shared" si="68"/>
        <v>14915.409058095474</v>
      </c>
      <c r="AK503" s="37">
        <f t="shared" si="69"/>
        <v>10379.773987199211</v>
      </c>
      <c r="AL503" s="37">
        <f t="shared" si="70"/>
        <v>10379.7739871992</v>
      </c>
      <c r="AM503" s="37">
        <f t="shared" si="71"/>
        <v>11030.924922337916</v>
      </c>
      <c r="AN503" s="37">
        <f t="shared" si="72"/>
        <v>17693.817036479992</v>
      </c>
      <c r="AO503" s="37">
        <f t="shared" si="73"/>
        <v>13514.367816091977</v>
      </c>
    </row>
    <row r="504" spans="1:41" hidden="1" x14ac:dyDescent="0.3">
      <c r="A504" t="str">
        <f t="shared" si="65"/>
        <v>131mar</v>
      </c>
      <c r="B504" t="str">
        <f t="shared" si="66"/>
        <v>YACUIBAmar</v>
      </c>
      <c r="C504" s="1" t="s">
        <v>79</v>
      </c>
      <c r="D504" s="1" t="s">
        <v>67</v>
      </c>
      <c r="E504" s="1">
        <v>131</v>
      </c>
      <c r="F504" s="1" t="s">
        <v>119</v>
      </c>
      <c r="G504" s="1" t="s">
        <v>119</v>
      </c>
      <c r="H504" s="1" t="s">
        <v>119</v>
      </c>
      <c r="I504" s="1" t="s">
        <v>126</v>
      </c>
      <c r="J504" s="1" t="s">
        <v>132</v>
      </c>
      <c r="K504" t="s">
        <v>82</v>
      </c>
      <c r="L504" s="6">
        <v>0</v>
      </c>
      <c r="M504" s="6">
        <v>0</v>
      </c>
      <c r="N504" s="6">
        <v>49162.79</v>
      </c>
      <c r="O504" s="6">
        <v>20038.46</v>
      </c>
      <c r="P504" s="6">
        <v>37387.124909999962</v>
      </c>
      <c r="Q504" s="6">
        <v>15456.487139249988</v>
      </c>
      <c r="R504" s="6">
        <v>40433.649999999987</v>
      </c>
      <c r="S504" s="6">
        <v>15640.127101749384</v>
      </c>
      <c r="T504" s="6">
        <v>40433.65</v>
      </c>
      <c r="U504" s="6">
        <v>15725.140000000007</v>
      </c>
      <c r="V504" s="30">
        <v>40433.650000000038</v>
      </c>
      <c r="W504" s="30">
        <v>15725.140000000021</v>
      </c>
      <c r="X504" s="30">
        <v>40837.986500000043</v>
      </c>
      <c r="Y504" s="30">
        <v>18063.541594634375</v>
      </c>
      <c r="Z504" s="30">
        <v>34757.388511722384</v>
      </c>
      <c r="AA504" s="30">
        <v>15397.523110693017</v>
      </c>
      <c r="AB504" s="34">
        <v>0</v>
      </c>
      <c r="AC504" s="34">
        <v>0.35521511475287887</v>
      </c>
      <c r="AD504" s="34">
        <v>0.35007838700963034</v>
      </c>
      <c r="AE504" s="34">
        <v>0.35007838700963023</v>
      </c>
      <c r="AF504" s="34">
        <v>0.35007838700963023</v>
      </c>
      <c r="AG504" s="34">
        <v>0.57999999999999985</v>
      </c>
      <c r="AH504" s="34">
        <v>0.61998607022873797</v>
      </c>
      <c r="AI504" s="37">
        <f t="shared" si="67"/>
        <v>0</v>
      </c>
      <c r="AJ504" s="37">
        <f t="shared" si="68"/>
        <v>17463.366091421685</v>
      </c>
      <c r="AK504" s="37">
        <f t="shared" si="69"/>
        <v>14154.946972911941</v>
      </c>
      <c r="AL504" s="37">
        <f t="shared" si="70"/>
        <v>14154.94697291193</v>
      </c>
      <c r="AM504" s="37">
        <f t="shared" si="71"/>
        <v>14154.946972911948</v>
      </c>
      <c r="AN504" s="37">
        <f t="shared" si="72"/>
        <v>23686.03217000002</v>
      </c>
      <c r="AO504" s="37">
        <f t="shared" si="73"/>
        <v>21549.096714796244</v>
      </c>
    </row>
    <row r="505" spans="1:41" hidden="1" x14ac:dyDescent="0.3">
      <c r="A505" t="str">
        <f t="shared" si="65"/>
        <v>131abr</v>
      </c>
      <c r="B505" t="str">
        <f t="shared" si="66"/>
        <v>YACUIBAabr</v>
      </c>
      <c r="C505" s="1" t="s">
        <v>79</v>
      </c>
      <c r="D505" s="1" t="s">
        <v>67</v>
      </c>
      <c r="E505" s="1">
        <v>131</v>
      </c>
      <c r="F505" s="1" t="s">
        <v>119</v>
      </c>
      <c r="G505" s="1" t="s">
        <v>119</v>
      </c>
      <c r="H505" s="1" t="s">
        <v>119</v>
      </c>
      <c r="I505" s="1" t="s">
        <v>126</v>
      </c>
      <c r="J505" s="1" t="s">
        <v>132</v>
      </c>
      <c r="K505" t="s">
        <v>83</v>
      </c>
      <c r="L505" s="6">
        <v>0</v>
      </c>
      <c r="M505" s="6">
        <v>0</v>
      </c>
      <c r="N505" s="6">
        <v>34698.14</v>
      </c>
      <c r="O505" s="6">
        <v>16132.52</v>
      </c>
      <c r="P505" s="6">
        <v>33184.993989999974</v>
      </c>
      <c r="Q505" s="6">
        <v>15425.288810749991</v>
      </c>
      <c r="R505" s="6">
        <v>36182.890000000043</v>
      </c>
      <c r="S505" s="6">
        <v>15054.816714277444</v>
      </c>
      <c r="T505" s="6">
        <v>36182.890000000014</v>
      </c>
      <c r="U505" s="6">
        <v>15052.30000000001</v>
      </c>
      <c r="V505" s="30">
        <v>36182.890000000029</v>
      </c>
      <c r="W505" s="30">
        <v>15052.300000000016</v>
      </c>
      <c r="X505" s="30">
        <v>38353.863400000031</v>
      </c>
      <c r="Y505" s="30">
        <v>17177.413034350422</v>
      </c>
      <c r="Z505" s="30">
        <v>0</v>
      </c>
      <c r="AA505" s="30">
        <v>0</v>
      </c>
      <c r="AB505" s="34">
        <v>0</v>
      </c>
      <c r="AC505" s="34">
        <v>0.5600689258847894</v>
      </c>
      <c r="AD505" s="34">
        <v>0.43337533713578275</v>
      </c>
      <c r="AE505" s="34">
        <v>0.4333753371357828</v>
      </c>
      <c r="AF505" s="34">
        <v>0.4333753371357828</v>
      </c>
      <c r="AG505" s="34">
        <v>0.6</v>
      </c>
      <c r="AH505" s="34">
        <v>0</v>
      </c>
      <c r="AI505" s="37">
        <f t="shared" si="67"/>
        <v>0</v>
      </c>
      <c r="AJ505" s="37">
        <f t="shared" si="68"/>
        <v>19433.350000000046</v>
      </c>
      <c r="AK505" s="37">
        <f t="shared" si="69"/>
        <v>15680.772152296948</v>
      </c>
      <c r="AL505" s="37">
        <f t="shared" si="70"/>
        <v>15680.772152296962</v>
      </c>
      <c r="AM505" s="37">
        <f t="shared" si="71"/>
        <v>15680.772152296957</v>
      </c>
      <c r="AN505" s="37">
        <f t="shared" si="72"/>
        <v>23012.318040000016</v>
      </c>
      <c r="AO505" s="37">
        <f t="shared" si="73"/>
        <v>0</v>
      </c>
    </row>
    <row r="506" spans="1:41" hidden="1" x14ac:dyDescent="0.3">
      <c r="A506" t="str">
        <f t="shared" si="65"/>
        <v>131may</v>
      </c>
      <c r="B506" t="str">
        <f t="shared" si="66"/>
        <v>YACUIBAmay</v>
      </c>
      <c r="C506" s="1" t="s">
        <v>79</v>
      </c>
      <c r="D506" s="1" t="s">
        <v>67</v>
      </c>
      <c r="E506" s="1">
        <v>131</v>
      </c>
      <c r="F506" s="1" t="s">
        <v>119</v>
      </c>
      <c r="G506" s="1" t="s">
        <v>119</v>
      </c>
      <c r="H506" s="1" t="s">
        <v>119</v>
      </c>
      <c r="I506" s="1" t="s">
        <v>126</v>
      </c>
      <c r="J506" s="1" t="s">
        <v>132</v>
      </c>
      <c r="K506" t="s">
        <v>84</v>
      </c>
      <c r="L506" s="6">
        <v>0</v>
      </c>
      <c r="M506" s="6">
        <v>0</v>
      </c>
      <c r="N506" s="6">
        <v>34420.980000000003</v>
      </c>
      <c r="O506" s="6">
        <v>15883.019999999997</v>
      </c>
      <c r="P506" s="6">
        <v>35205.617099999996</v>
      </c>
      <c r="Q506" s="6">
        <v>15202.2534725</v>
      </c>
      <c r="R506" s="6">
        <v>38848.200000000026</v>
      </c>
      <c r="S506" s="6">
        <v>18542.899999999994</v>
      </c>
      <c r="T506" s="6">
        <v>38848.200000000026</v>
      </c>
      <c r="U506" s="6">
        <v>18542.900000000031</v>
      </c>
      <c r="V506" s="30">
        <v>38848.200000000026</v>
      </c>
      <c r="W506" s="30">
        <v>18542.900000000031</v>
      </c>
      <c r="X506" s="30">
        <v>40790.61000000003</v>
      </c>
      <c r="Y506" s="30">
        <v>18268.750362528139</v>
      </c>
      <c r="Z506" s="30">
        <v>0</v>
      </c>
      <c r="AA506" s="30">
        <v>0</v>
      </c>
      <c r="AB506" s="34">
        <v>0</v>
      </c>
      <c r="AC506" s="34">
        <v>0.51478945528820685</v>
      </c>
      <c r="AD506" s="34">
        <v>0.61834756822709946</v>
      </c>
      <c r="AE506" s="34">
        <v>0.61834756822709924</v>
      </c>
      <c r="AF506" s="34">
        <v>0.61834756822709924</v>
      </c>
      <c r="AG506" s="34">
        <v>0.6</v>
      </c>
      <c r="AH506" s="34">
        <v>0</v>
      </c>
      <c r="AI506" s="37">
        <f t="shared" si="67"/>
        <v>0</v>
      </c>
      <c r="AJ506" s="37">
        <f t="shared" si="68"/>
        <v>17719.557544686264</v>
      </c>
      <c r="AK506" s="37">
        <f t="shared" si="69"/>
        <v>24021.690000000021</v>
      </c>
      <c r="AL506" s="37">
        <f t="shared" si="70"/>
        <v>24021.690000000013</v>
      </c>
      <c r="AM506" s="37">
        <f t="shared" si="71"/>
        <v>24021.690000000013</v>
      </c>
      <c r="AN506" s="37">
        <f t="shared" si="72"/>
        <v>24474.366000000016</v>
      </c>
      <c r="AO506" s="37">
        <f t="shared" si="73"/>
        <v>0</v>
      </c>
    </row>
    <row r="507" spans="1:41" hidden="1" x14ac:dyDescent="0.3">
      <c r="A507" t="str">
        <f t="shared" si="65"/>
        <v>131jun</v>
      </c>
      <c r="B507" t="str">
        <f t="shared" si="66"/>
        <v>YACUIBAjun</v>
      </c>
      <c r="C507" s="1" t="s">
        <v>79</v>
      </c>
      <c r="D507" s="1" t="s">
        <v>67</v>
      </c>
      <c r="E507" s="1">
        <v>131</v>
      </c>
      <c r="F507" s="1" t="s">
        <v>119</v>
      </c>
      <c r="G507" s="1" t="s">
        <v>119</v>
      </c>
      <c r="H507" s="1" t="s">
        <v>119</v>
      </c>
      <c r="I507" s="1" t="s">
        <v>126</v>
      </c>
      <c r="J507" s="1" t="s">
        <v>132</v>
      </c>
      <c r="K507" t="s">
        <v>85</v>
      </c>
      <c r="L507" s="6">
        <v>0</v>
      </c>
      <c r="M507" s="6">
        <v>0</v>
      </c>
      <c r="N507" s="6">
        <v>34681.449999999997</v>
      </c>
      <c r="O507" s="6">
        <v>16502.359999999993</v>
      </c>
      <c r="P507" s="6">
        <v>31550.937999999984</v>
      </c>
      <c r="Q507" s="6">
        <v>14938.210009999992</v>
      </c>
      <c r="R507" s="6">
        <v>31063.43</v>
      </c>
      <c r="S507" s="6">
        <v>14359.440000000035</v>
      </c>
      <c r="T507" s="6">
        <v>31063.430000000008</v>
      </c>
      <c r="U507" s="6">
        <v>14359.440000000002</v>
      </c>
      <c r="V507" s="30">
        <v>31063.430000000015</v>
      </c>
      <c r="W507" s="30">
        <v>14359.440000000006</v>
      </c>
      <c r="X507" s="30">
        <v>32616.601500000019</v>
      </c>
      <c r="Y507" s="30">
        <v>14607.885257846367</v>
      </c>
      <c r="Z507" s="30">
        <v>0</v>
      </c>
      <c r="AA507" s="30">
        <v>0</v>
      </c>
      <c r="AB507" s="34">
        <v>0</v>
      </c>
      <c r="AC507" s="34">
        <v>0.59360964102984015</v>
      </c>
      <c r="AD507" s="34">
        <v>0.60050805722355927</v>
      </c>
      <c r="AE507" s="34">
        <v>0.60050805722355927</v>
      </c>
      <c r="AF507" s="34">
        <v>0.60050805722355927</v>
      </c>
      <c r="AG507" s="34">
        <v>0.6</v>
      </c>
      <c r="AH507" s="34">
        <v>0</v>
      </c>
      <c r="AI507" s="37">
        <f t="shared" si="67"/>
        <v>0</v>
      </c>
      <c r="AJ507" s="37">
        <f t="shared" si="68"/>
        <v>20587.243084894348</v>
      </c>
      <c r="AK507" s="37">
        <f t="shared" si="69"/>
        <v>18653.840000000033</v>
      </c>
      <c r="AL507" s="37">
        <f t="shared" si="70"/>
        <v>18653.840000000029</v>
      </c>
      <c r="AM507" s="37">
        <f t="shared" si="71"/>
        <v>18653.840000000037</v>
      </c>
      <c r="AN507" s="37">
        <f t="shared" si="72"/>
        <v>19569.960900000009</v>
      </c>
      <c r="AO507" s="37">
        <f t="shared" si="73"/>
        <v>0</v>
      </c>
    </row>
    <row r="508" spans="1:41" hidden="1" x14ac:dyDescent="0.3">
      <c r="A508" t="str">
        <f t="shared" si="65"/>
        <v>131jul</v>
      </c>
      <c r="B508" t="str">
        <f t="shared" si="66"/>
        <v>YACUIBAjul</v>
      </c>
      <c r="C508" s="1" t="s">
        <v>79</v>
      </c>
      <c r="D508" s="1" t="s">
        <v>67</v>
      </c>
      <c r="E508" s="1">
        <v>131</v>
      </c>
      <c r="F508" s="1" t="s">
        <v>119</v>
      </c>
      <c r="G508" s="1" t="s">
        <v>119</v>
      </c>
      <c r="H508" s="1" t="s">
        <v>119</v>
      </c>
      <c r="I508" s="1" t="s">
        <v>126</v>
      </c>
      <c r="J508" s="1" t="s">
        <v>132</v>
      </c>
      <c r="K508" t="s">
        <v>86</v>
      </c>
      <c r="L508" s="6">
        <v>6876.8300000000008</v>
      </c>
      <c r="M508" s="6">
        <v>3612.4900000000011</v>
      </c>
      <c r="N508" s="6">
        <v>30752.02</v>
      </c>
      <c r="O508" s="6">
        <v>14232.16</v>
      </c>
      <c r="P508" s="6">
        <v>33423.38069999998</v>
      </c>
      <c r="Q508" s="6">
        <v>15518.79643849999</v>
      </c>
      <c r="R508" s="6">
        <v>28308.649999999991</v>
      </c>
      <c r="S508" s="6">
        <v>13364.170000000009</v>
      </c>
      <c r="T508" s="6">
        <v>28308.649999999987</v>
      </c>
      <c r="U508" s="6">
        <v>13364.169999999998</v>
      </c>
      <c r="V508" s="30">
        <v>28308.649999999991</v>
      </c>
      <c r="W508" s="30">
        <v>13364.17</v>
      </c>
      <c r="X508" s="30">
        <v>32838.033999999985</v>
      </c>
      <c r="Y508" s="30">
        <v>14707.057470878972</v>
      </c>
      <c r="Z508" s="30">
        <v>0</v>
      </c>
      <c r="AA508" s="30">
        <v>0</v>
      </c>
      <c r="AB508" s="34">
        <v>0.72268908785007024</v>
      </c>
      <c r="AC508" s="34">
        <v>0.55145027051888607</v>
      </c>
      <c r="AD508" s="34">
        <v>0.67498308820802155</v>
      </c>
      <c r="AE508" s="34">
        <v>0.67498308820802155</v>
      </c>
      <c r="AF508" s="34">
        <v>0.67498308820802155</v>
      </c>
      <c r="AG508" s="34">
        <v>0.6</v>
      </c>
      <c r="AH508" s="34">
        <v>0</v>
      </c>
      <c r="AI508" s="37">
        <f t="shared" si="67"/>
        <v>4969.8099999999995</v>
      </c>
      <c r="AJ508" s="37">
        <f t="shared" si="68"/>
        <v>16958.209748002195</v>
      </c>
      <c r="AK508" s="37">
        <f t="shared" si="69"/>
        <v>19107.86</v>
      </c>
      <c r="AL508" s="37">
        <f t="shared" si="70"/>
        <v>19107.860000000004</v>
      </c>
      <c r="AM508" s="37">
        <f t="shared" si="71"/>
        <v>19107.860000000004</v>
      </c>
      <c r="AN508" s="37">
        <f t="shared" si="72"/>
        <v>19702.82039999999</v>
      </c>
      <c r="AO508" s="37">
        <f t="shared" si="73"/>
        <v>0</v>
      </c>
    </row>
    <row r="509" spans="1:41" hidden="1" x14ac:dyDescent="0.3">
      <c r="A509" t="str">
        <f t="shared" si="65"/>
        <v>131ago</v>
      </c>
      <c r="B509" t="str">
        <f t="shared" si="66"/>
        <v>YACUIBAago</v>
      </c>
      <c r="C509" s="1" t="s">
        <v>79</v>
      </c>
      <c r="D509" s="1" t="s">
        <v>67</v>
      </c>
      <c r="E509" s="1">
        <v>131</v>
      </c>
      <c r="F509" s="1" t="s">
        <v>119</v>
      </c>
      <c r="G509" s="1" t="s">
        <v>119</v>
      </c>
      <c r="H509" s="1" t="s">
        <v>119</v>
      </c>
      <c r="I509" s="1" t="s">
        <v>126</v>
      </c>
      <c r="J509" s="1" t="s">
        <v>132</v>
      </c>
      <c r="K509" t="s">
        <v>87</v>
      </c>
      <c r="L509" s="6">
        <v>107992.21999999999</v>
      </c>
      <c r="M509" s="6">
        <v>38702.929999999993</v>
      </c>
      <c r="N509" s="6">
        <v>56983.380000000005</v>
      </c>
      <c r="O509" s="6">
        <v>19665.099999999999</v>
      </c>
      <c r="P509" s="6">
        <v>59461.857099999994</v>
      </c>
      <c r="Q509" s="6">
        <v>20628.386358500004</v>
      </c>
      <c r="R509" s="6">
        <v>58954.280554294783</v>
      </c>
      <c r="S509" s="6">
        <v>21992.894360779668</v>
      </c>
      <c r="T509" s="6">
        <v>63604.279999999962</v>
      </c>
      <c r="U509" s="6">
        <v>21270.97999999996</v>
      </c>
      <c r="V509" s="30">
        <v>63604.280000000013</v>
      </c>
      <c r="W509" s="30">
        <v>23727.576654000004</v>
      </c>
      <c r="X509" s="30">
        <v>64876.365600000005</v>
      </c>
      <c r="Y509" s="30">
        <v>24739.453670477476</v>
      </c>
      <c r="Z509" s="30">
        <v>0</v>
      </c>
      <c r="AA509" s="30">
        <v>0</v>
      </c>
      <c r="AB509" s="34">
        <v>0.25846158176950168</v>
      </c>
      <c r="AC509" s="34">
        <v>0.22695861379217741</v>
      </c>
      <c r="AD509" s="34">
        <v>0.27694834372781291</v>
      </c>
      <c r="AE509" s="34">
        <v>0.27</v>
      </c>
      <c r="AF509" s="34">
        <v>0.27</v>
      </c>
      <c r="AG509" s="34">
        <v>0.36000000000000004</v>
      </c>
      <c r="AH509" s="34">
        <v>0</v>
      </c>
      <c r="AI509" s="37">
        <f t="shared" si="67"/>
        <v>27911.840000000011</v>
      </c>
      <c r="AJ509" s="37">
        <f t="shared" si="68"/>
        <v>12932.868933992888</v>
      </c>
      <c r="AK509" s="37">
        <f t="shared" si="69"/>
        <v>17615.100000000046</v>
      </c>
      <c r="AL509" s="37">
        <f t="shared" si="70"/>
        <v>15917.655749659592</v>
      </c>
      <c r="AM509" s="37">
        <f t="shared" si="71"/>
        <v>17173.155600000006</v>
      </c>
      <c r="AN509" s="37">
        <f t="shared" si="72"/>
        <v>23355.491616000003</v>
      </c>
      <c r="AO509" s="37">
        <f t="shared" si="73"/>
        <v>0</v>
      </c>
    </row>
    <row r="510" spans="1:41" hidden="1" x14ac:dyDescent="0.3">
      <c r="A510" t="str">
        <f t="shared" si="65"/>
        <v>131sep</v>
      </c>
      <c r="B510" t="str">
        <f t="shared" si="66"/>
        <v>YACUIBAsep</v>
      </c>
      <c r="C510" s="1" t="s">
        <v>79</v>
      </c>
      <c r="D510" s="1" t="s">
        <v>67</v>
      </c>
      <c r="E510" s="1">
        <v>131</v>
      </c>
      <c r="F510" s="1" t="s">
        <v>119</v>
      </c>
      <c r="G510" s="1" t="s">
        <v>119</v>
      </c>
      <c r="H510" s="1" t="s">
        <v>119</v>
      </c>
      <c r="I510" s="1" t="s">
        <v>126</v>
      </c>
      <c r="J510" s="1" t="s">
        <v>132</v>
      </c>
      <c r="K510" t="s">
        <v>88</v>
      </c>
      <c r="L510" s="6">
        <v>31992.52</v>
      </c>
      <c r="M510" s="6">
        <v>15571.529999999999</v>
      </c>
      <c r="N510" s="6">
        <v>40097.269999999997</v>
      </c>
      <c r="O510" s="6">
        <v>16164.18</v>
      </c>
      <c r="P510" s="6">
        <v>31812.098999999995</v>
      </c>
      <c r="Q510" s="6">
        <v>13854.127826999997</v>
      </c>
      <c r="R510" s="6">
        <v>32289.280484999996</v>
      </c>
      <c r="S510" s="6">
        <v>13819.812047579999</v>
      </c>
      <c r="T510" s="6">
        <v>34147.39</v>
      </c>
      <c r="U510" s="6">
        <v>15081.750000000007</v>
      </c>
      <c r="V510" s="30">
        <v>34147.39</v>
      </c>
      <c r="W510" s="30">
        <v>15081.750000000007</v>
      </c>
      <c r="X510" s="30">
        <v>35171.811699999991</v>
      </c>
      <c r="Y510" s="30">
        <v>15557.2675847179</v>
      </c>
      <c r="Z510" s="30">
        <v>0</v>
      </c>
      <c r="AA510" s="30">
        <v>0</v>
      </c>
      <c r="AB510" s="34">
        <v>0.58248209268916684</v>
      </c>
      <c r="AC510" s="34">
        <v>0.39894342471090866</v>
      </c>
      <c r="AD510" s="34">
        <v>0.61124203050364923</v>
      </c>
      <c r="AE510" s="34">
        <v>0.44999999999999996</v>
      </c>
      <c r="AF510" s="34">
        <v>0.44999999999999996</v>
      </c>
      <c r="AG510" s="34">
        <v>0.58000000000000007</v>
      </c>
      <c r="AH510" s="34">
        <v>0</v>
      </c>
      <c r="AI510" s="37">
        <f t="shared" si="67"/>
        <v>18635.070000000025</v>
      </c>
      <c r="AJ510" s="37">
        <f t="shared" si="68"/>
        <v>15996.542215357975</v>
      </c>
      <c r="AK510" s="37">
        <f t="shared" si="69"/>
        <v>20872.320000000007</v>
      </c>
      <c r="AL510" s="37">
        <f t="shared" si="70"/>
        <v>14530.176218249997</v>
      </c>
      <c r="AM510" s="37">
        <f t="shared" si="71"/>
        <v>15366.325499999999</v>
      </c>
      <c r="AN510" s="37">
        <f t="shared" si="72"/>
        <v>20399.650785999998</v>
      </c>
      <c r="AO510" s="37">
        <f t="shared" si="73"/>
        <v>0</v>
      </c>
    </row>
    <row r="511" spans="1:41" hidden="1" x14ac:dyDescent="0.3">
      <c r="A511" t="str">
        <f t="shared" si="65"/>
        <v>131oct</v>
      </c>
      <c r="B511" t="str">
        <f t="shared" si="66"/>
        <v>YACUIBAoct</v>
      </c>
      <c r="C511" s="1" t="s">
        <v>79</v>
      </c>
      <c r="D511" s="1" t="s">
        <v>67</v>
      </c>
      <c r="E511" s="1">
        <v>131</v>
      </c>
      <c r="F511" s="1" t="s">
        <v>119</v>
      </c>
      <c r="G511" s="1" t="s">
        <v>119</v>
      </c>
      <c r="H511" s="1" t="s">
        <v>119</v>
      </c>
      <c r="I511" s="1" t="s">
        <v>126</v>
      </c>
      <c r="J511" s="1" t="s">
        <v>132</v>
      </c>
      <c r="K511" t="s">
        <v>89</v>
      </c>
      <c r="L511" s="6">
        <v>30046.769999999997</v>
      </c>
      <c r="M511" s="6">
        <v>12840.499999999996</v>
      </c>
      <c r="N511" s="6">
        <v>29096.81</v>
      </c>
      <c r="O511" s="6">
        <v>12875.740000000002</v>
      </c>
      <c r="P511" s="6">
        <v>33058.463299999981</v>
      </c>
      <c r="Q511" s="6">
        <v>14628.061491499991</v>
      </c>
      <c r="R511" s="6">
        <v>33554.340249499983</v>
      </c>
      <c r="S511" s="6">
        <v>15971.865958761995</v>
      </c>
      <c r="T511" s="6">
        <v>35924.980000000018</v>
      </c>
      <c r="U511" s="6">
        <v>15278.210000000021</v>
      </c>
      <c r="V511" s="30">
        <v>35924.979999999996</v>
      </c>
      <c r="W511" s="30">
        <v>17100.29048</v>
      </c>
      <c r="X511" s="30">
        <v>37721.228999999992</v>
      </c>
      <c r="Y511" s="30">
        <v>16894.077239069389</v>
      </c>
      <c r="Z511" s="30">
        <v>0</v>
      </c>
      <c r="AA511" s="30">
        <v>0</v>
      </c>
      <c r="AB511" s="34">
        <v>0.49735828510019525</v>
      </c>
      <c r="AC511" s="34">
        <v>0.51522031459037843</v>
      </c>
      <c r="AD511" s="34">
        <v>0.58085293297310114</v>
      </c>
      <c r="AE511" s="34">
        <v>0.65</v>
      </c>
      <c r="AF511" s="34">
        <v>0.65</v>
      </c>
      <c r="AG511" s="34">
        <v>0.59999999999999987</v>
      </c>
      <c r="AH511" s="34">
        <v>0</v>
      </c>
      <c r="AI511" s="37">
        <f t="shared" si="67"/>
        <v>14944.009999999993</v>
      </c>
      <c r="AJ511" s="37">
        <f t="shared" si="68"/>
        <v>14991.26760177647</v>
      </c>
      <c r="AK511" s="37">
        <f t="shared" si="69"/>
        <v>20867.130000000008</v>
      </c>
      <c r="AL511" s="37">
        <f t="shared" si="70"/>
        <v>21810.321162174991</v>
      </c>
      <c r="AM511" s="37">
        <f t="shared" si="71"/>
        <v>23351.236999999997</v>
      </c>
      <c r="AN511" s="37">
        <f t="shared" si="72"/>
        <v>22632.737399999991</v>
      </c>
      <c r="AO511" s="37">
        <f t="shared" si="73"/>
        <v>0</v>
      </c>
    </row>
    <row r="512" spans="1:41" hidden="1" x14ac:dyDescent="0.3">
      <c r="A512" t="str">
        <f t="shared" si="65"/>
        <v>131nov</v>
      </c>
      <c r="B512" t="str">
        <f t="shared" si="66"/>
        <v>YACUIBAnov</v>
      </c>
      <c r="C512" s="1" t="s">
        <v>79</v>
      </c>
      <c r="D512" s="1" t="s">
        <v>67</v>
      </c>
      <c r="E512" s="1">
        <v>131</v>
      </c>
      <c r="F512" s="1" t="s">
        <v>119</v>
      </c>
      <c r="G512" s="1" t="s">
        <v>119</v>
      </c>
      <c r="H512" s="1" t="s">
        <v>119</v>
      </c>
      <c r="I512" s="1" t="s">
        <v>126</v>
      </c>
      <c r="J512" s="1" t="s">
        <v>132</v>
      </c>
      <c r="K512" t="s">
        <v>90</v>
      </c>
      <c r="L512" s="6">
        <v>21134.319999999996</v>
      </c>
      <c r="M512" s="6">
        <v>9253.4800000000014</v>
      </c>
      <c r="N512" s="6">
        <v>29931.29</v>
      </c>
      <c r="O512" s="6">
        <v>12691.11</v>
      </c>
      <c r="P512" s="6">
        <v>36687.75524999998</v>
      </c>
      <c r="Q512" s="6">
        <v>14641.904642499994</v>
      </c>
      <c r="R512" s="6">
        <v>37238.071578749979</v>
      </c>
      <c r="S512" s="6">
        <v>15044.180917814992</v>
      </c>
      <c r="T512" s="6">
        <v>30636.637931034486</v>
      </c>
      <c r="U512" s="6">
        <v>12224.113470202015</v>
      </c>
      <c r="V512" s="30">
        <v>37238.071578749979</v>
      </c>
      <c r="W512" s="30">
        <v>15044.180917814992</v>
      </c>
      <c r="X512" s="30">
        <v>39472.355873474975</v>
      </c>
      <c r="Y512" s="30">
        <v>16365.216321740463</v>
      </c>
      <c r="Z512" s="30">
        <v>0</v>
      </c>
      <c r="AA512" s="30">
        <v>0</v>
      </c>
      <c r="AB512" s="34">
        <v>0.43555884457129435</v>
      </c>
      <c r="AC512" s="34">
        <v>0.45377462849078681</v>
      </c>
      <c r="AD512" s="34">
        <v>0.27694834372781291</v>
      </c>
      <c r="AE512" s="34">
        <v>0.35</v>
      </c>
      <c r="AF512" s="34">
        <v>0.35</v>
      </c>
      <c r="AG512" s="34">
        <v>0.48000000000000004</v>
      </c>
      <c r="AH512" s="34">
        <v>0</v>
      </c>
      <c r="AI512" s="37">
        <f t="shared" si="67"/>
        <v>9205.2399999999961</v>
      </c>
      <c r="AJ512" s="37">
        <f t="shared" si="68"/>
        <v>13582.060000000003</v>
      </c>
      <c r="AK512" s="37">
        <f t="shared" si="69"/>
        <v>8484.7661323886896</v>
      </c>
      <c r="AL512" s="37">
        <f t="shared" si="70"/>
        <v>13033.325052562492</v>
      </c>
      <c r="AM512" s="37">
        <f t="shared" si="71"/>
        <v>13033.325052562492</v>
      </c>
      <c r="AN512" s="37">
        <f t="shared" si="72"/>
        <v>18946.730819267988</v>
      </c>
      <c r="AO512" s="37">
        <f t="shared" si="73"/>
        <v>0</v>
      </c>
    </row>
    <row r="513" spans="1:41" hidden="1" x14ac:dyDescent="0.3">
      <c r="A513" t="str">
        <f t="shared" si="65"/>
        <v>131dic</v>
      </c>
      <c r="B513" t="str">
        <f t="shared" si="66"/>
        <v>YACUIBAdic</v>
      </c>
      <c r="C513" s="2" t="s">
        <v>79</v>
      </c>
      <c r="D513" s="1" t="s">
        <v>67</v>
      </c>
      <c r="E513" s="1">
        <v>131</v>
      </c>
      <c r="F513" s="1" t="s">
        <v>119</v>
      </c>
      <c r="G513" s="1" t="s">
        <v>119</v>
      </c>
      <c r="H513" s="1" t="s">
        <v>119</v>
      </c>
      <c r="I513" s="1" t="s">
        <v>126</v>
      </c>
      <c r="J513" s="1" t="s">
        <v>132</v>
      </c>
      <c r="K513" t="s">
        <v>91</v>
      </c>
      <c r="L513" s="6">
        <v>59088.919999999991</v>
      </c>
      <c r="M513" s="6">
        <v>23899.759999999984</v>
      </c>
      <c r="N513" s="6">
        <v>69476.460000000006</v>
      </c>
      <c r="O513" s="6">
        <v>31480.660000000003</v>
      </c>
      <c r="P513" s="6">
        <v>72681.269250000012</v>
      </c>
      <c r="Q513" s="6">
        <v>33094.591545000003</v>
      </c>
      <c r="R513" s="6">
        <v>73771.488288750013</v>
      </c>
      <c r="S513" s="6">
        <v>34229.970565980009</v>
      </c>
      <c r="T513" s="6">
        <v>49252.155172413775</v>
      </c>
      <c r="U513" s="6">
        <v>23405.370279139788</v>
      </c>
      <c r="V513" s="30">
        <v>73771.488288750013</v>
      </c>
      <c r="W513" s="30">
        <v>34229.970565980009</v>
      </c>
      <c r="X513" s="30">
        <v>78197.777586075026</v>
      </c>
      <c r="Y513" s="30">
        <v>33938.246732442793</v>
      </c>
      <c r="Z513" s="30">
        <v>0</v>
      </c>
      <c r="AA513" s="30">
        <v>0</v>
      </c>
      <c r="AB513" s="34">
        <v>0.32085186190575143</v>
      </c>
      <c r="AC513" s="34">
        <v>0.52250629891575384</v>
      </c>
      <c r="AD513" s="34">
        <v>0.35007838700963034</v>
      </c>
      <c r="AE513" s="34">
        <v>0.6</v>
      </c>
      <c r="AF513" s="34">
        <v>0.6</v>
      </c>
      <c r="AG513" s="34">
        <v>0.55000000000000004</v>
      </c>
      <c r="AH513" s="34">
        <v>0</v>
      </c>
      <c r="AI513" s="37">
        <f t="shared" si="67"/>
        <v>18958.78999999999</v>
      </c>
      <c r="AJ513" s="37">
        <f t="shared" si="68"/>
        <v>36301.887976368416</v>
      </c>
      <c r="AK513" s="37">
        <f t="shared" si="69"/>
        <v>17242.115039506636</v>
      </c>
      <c r="AL513" s="37">
        <f t="shared" si="70"/>
        <v>44262.892973250004</v>
      </c>
      <c r="AM513" s="37">
        <f t="shared" si="71"/>
        <v>44262.892973250004</v>
      </c>
      <c r="AN513" s="37">
        <f t="shared" si="72"/>
        <v>43008.777672341268</v>
      </c>
      <c r="AO513" s="37">
        <f t="shared" si="73"/>
        <v>0</v>
      </c>
    </row>
    <row r="514" spans="1:41" hidden="1" x14ac:dyDescent="0.3">
      <c r="A514" t="str">
        <f t="shared" ref="A514:A560" si="74">CONCATENATE(E514,K514)</f>
        <v>307ene</v>
      </c>
      <c r="B514" t="str">
        <f t="shared" ref="B514:B560" si="75">CONCATENATE(D514,K514)</f>
        <v>HEROINASene</v>
      </c>
      <c r="C514" s="1" t="s">
        <v>92</v>
      </c>
      <c r="D514" s="1" t="s">
        <v>19</v>
      </c>
      <c r="E514" s="1">
        <v>307</v>
      </c>
      <c r="F514" s="1" t="s">
        <v>119</v>
      </c>
      <c r="G514" s="1" t="s">
        <v>122</v>
      </c>
      <c r="H514" s="1" t="s">
        <v>119</v>
      </c>
      <c r="I514" s="1" t="s">
        <v>124</v>
      </c>
      <c r="J514" s="1" t="s">
        <v>136</v>
      </c>
      <c r="K514" t="s">
        <v>80</v>
      </c>
      <c r="L514" s="6">
        <v>52671.330000000016</v>
      </c>
      <c r="M514" s="6">
        <v>10863.36000000001</v>
      </c>
      <c r="N514" s="6">
        <v>56226.840000000011</v>
      </c>
      <c r="O514" s="6">
        <v>10923.930000000013</v>
      </c>
      <c r="P514" s="6">
        <v>58244.800683333342</v>
      </c>
      <c r="Q514" s="6">
        <v>11829</v>
      </c>
      <c r="R514" s="6">
        <v>56839.659999999974</v>
      </c>
      <c r="S514" s="6">
        <v>16857.91438936233</v>
      </c>
      <c r="T514" s="6">
        <v>56839.659999999974</v>
      </c>
      <c r="U514" s="6">
        <v>16900.809999999954</v>
      </c>
      <c r="V514" s="30">
        <v>58244.800683333342</v>
      </c>
      <c r="W514" s="30">
        <v>17318.617138752848</v>
      </c>
      <c r="X514" s="30">
        <v>61157.040717500015</v>
      </c>
      <c r="Y514" s="30">
        <v>14213.77564211603</v>
      </c>
      <c r="Z514" s="30">
        <v>51278.879310344957</v>
      </c>
      <c r="AA514" s="30">
        <v>17555.556739167812</v>
      </c>
      <c r="AB514" s="34">
        <v>2.0181187754324842E-2</v>
      </c>
      <c r="AC514" s="34">
        <v>2.0517642728202893E-2</v>
      </c>
      <c r="AD514" s="34">
        <v>8.607422554354742E-2</v>
      </c>
      <c r="AE514" s="34">
        <v>8.6074225543547433E-2</v>
      </c>
      <c r="AF514" s="34">
        <v>8.6074225543547433E-2</v>
      </c>
      <c r="AG514" s="34">
        <v>0.11999999999999997</v>
      </c>
      <c r="AH514" s="34">
        <v>0.1889319447129594</v>
      </c>
      <c r="AI514" s="37">
        <f t="shared" si="67"/>
        <v>1062.970000000003</v>
      </c>
      <c r="AJ514" s="37">
        <f t="shared" si="68"/>
        <v>1153.6422148558279</v>
      </c>
      <c r="AK514" s="37">
        <f t="shared" si="69"/>
        <v>4892.4297146585486</v>
      </c>
      <c r="AL514" s="37">
        <f t="shared" si="70"/>
        <v>4892.4297146585495</v>
      </c>
      <c r="AM514" s="37">
        <f t="shared" si="71"/>
        <v>5013.3761107561995</v>
      </c>
      <c r="AN514" s="37">
        <f t="shared" si="72"/>
        <v>7338.8448860999997</v>
      </c>
      <c r="AO514" s="37">
        <f t="shared" si="73"/>
        <v>9688.2183908046118</v>
      </c>
    </row>
    <row r="515" spans="1:41" hidden="1" x14ac:dyDescent="0.3">
      <c r="A515" t="str">
        <f t="shared" si="74"/>
        <v>307feb</v>
      </c>
      <c r="B515" t="str">
        <f t="shared" si="75"/>
        <v>HEROINASfeb</v>
      </c>
      <c r="C515" s="1" t="s">
        <v>92</v>
      </c>
      <c r="D515" s="1" t="s">
        <v>19</v>
      </c>
      <c r="E515" s="1">
        <v>307</v>
      </c>
      <c r="F515" s="1" t="s">
        <v>119</v>
      </c>
      <c r="G515" s="1" t="s">
        <v>122</v>
      </c>
      <c r="H515" s="1" t="s">
        <v>119</v>
      </c>
      <c r="I515" s="1" t="s">
        <v>124</v>
      </c>
      <c r="J515" s="1" t="s">
        <v>136</v>
      </c>
      <c r="K515" t="s">
        <v>81</v>
      </c>
      <c r="L515" s="6">
        <v>82597.66</v>
      </c>
      <c r="M515" s="6">
        <v>1154.0800000000045</v>
      </c>
      <c r="N515" s="6">
        <v>53422.8</v>
      </c>
      <c r="O515" s="6">
        <v>6533.5600000000049</v>
      </c>
      <c r="P515" s="6">
        <v>70224.149250000017</v>
      </c>
      <c r="Q515" s="6">
        <v>8631</v>
      </c>
      <c r="R515" s="6">
        <v>90031.769999999931</v>
      </c>
      <c r="S515" s="6">
        <v>19010.070844016256</v>
      </c>
      <c r="T515" s="6">
        <v>90031.76999999996</v>
      </c>
      <c r="U515" s="6">
        <v>19169.809999999998</v>
      </c>
      <c r="V515" s="30">
        <v>90031.770000000033</v>
      </c>
      <c r="W515" s="30">
        <v>19169.810000000012</v>
      </c>
      <c r="X515" s="30">
        <v>94533.358500000031</v>
      </c>
      <c r="Y515" s="30">
        <v>21017.244486686424</v>
      </c>
      <c r="Z515" s="30">
        <v>66903.879310344884</v>
      </c>
      <c r="AA515" s="30">
        <v>12059.850839238476</v>
      </c>
      <c r="AB515" s="34">
        <v>9.079918244657351E-3</v>
      </c>
      <c r="AC515" s="34">
        <v>9.0421223053720433E-3</v>
      </c>
      <c r="AD515" s="34">
        <v>6.0737312421969454E-2</v>
      </c>
      <c r="AE515" s="34">
        <v>6.07373124219696E-2</v>
      </c>
      <c r="AF515" s="34">
        <v>6.07373124219696E-2</v>
      </c>
      <c r="AG515" s="34">
        <v>8.9999999999999983E-2</v>
      </c>
      <c r="AH515" s="34">
        <v>0.12496483417838694</v>
      </c>
      <c r="AI515" s="37">
        <f t="shared" si="67"/>
        <v>749.98000000000468</v>
      </c>
      <c r="AJ515" s="37">
        <f t="shared" si="68"/>
        <v>483.05549149542964</v>
      </c>
      <c r="AK515" s="37">
        <f t="shared" si="69"/>
        <v>5468.2877423928949</v>
      </c>
      <c r="AL515" s="37">
        <f t="shared" si="70"/>
        <v>5468.2877423929058</v>
      </c>
      <c r="AM515" s="37">
        <f t="shared" si="71"/>
        <v>5468.2877423929122</v>
      </c>
      <c r="AN515" s="37">
        <f t="shared" si="72"/>
        <v>8508.002265000001</v>
      </c>
      <c r="AO515" s="37">
        <f t="shared" si="73"/>
        <v>8360.6321839080611</v>
      </c>
    </row>
    <row r="516" spans="1:41" hidden="1" x14ac:dyDescent="0.3">
      <c r="A516" t="str">
        <f t="shared" si="74"/>
        <v>307mar</v>
      </c>
      <c r="B516" t="str">
        <f t="shared" si="75"/>
        <v>HEROINASmar</v>
      </c>
      <c r="C516" s="1" t="s">
        <v>92</v>
      </c>
      <c r="D516" s="1" t="s">
        <v>19</v>
      </c>
      <c r="E516" s="1">
        <v>307</v>
      </c>
      <c r="F516" s="1" t="s">
        <v>119</v>
      </c>
      <c r="G516" s="1" t="s">
        <v>122</v>
      </c>
      <c r="H516" s="1" t="s">
        <v>119</v>
      </c>
      <c r="I516" s="1" t="s">
        <v>124</v>
      </c>
      <c r="J516" s="1" t="s">
        <v>136</v>
      </c>
      <c r="K516" t="s">
        <v>82</v>
      </c>
      <c r="L516" s="6">
        <v>50161.01</v>
      </c>
      <c r="M516" s="6">
        <v>4603.2500000000009</v>
      </c>
      <c r="N516" s="6">
        <v>79525.039999999994</v>
      </c>
      <c r="O516" s="6">
        <v>8967.7900000000027</v>
      </c>
      <c r="P516" s="6">
        <v>60545.770090000013</v>
      </c>
      <c r="Q516" s="6">
        <v>10834</v>
      </c>
      <c r="R516" s="6">
        <v>83897.330000000016</v>
      </c>
      <c r="S516" s="6">
        <v>16546.334575126886</v>
      </c>
      <c r="T516" s="6">
        <v>83897.329999999973</v>
      </c>
      <c r="U516" s="6">
        <v>16574.819999999992</v>
      </c>
      <c r="V516" s="30">
        <v>83897.330000000075</v>
      </c>
      <c r="W516" s="30">
        <v>16574.820000000011</v>
      </c>
      <c r="X516" s="30">
        <v>88092.196500000078</v>
      </c>
      <c r="Y516" s="30">
        <v>21066.351731751183</v>
      </c>
      <c r="Z516" s="30">
        <v>74836.715589845655</v>
      </c>
      <c r="AA516" s="30">
        <v>19083.362475410642</v>
      </c>
      <c r="AB516" s="34">
        <v>1.197822771112465E-2</v>
      </c>
      <c r="AC516" s="34">
        <v>1.1001034594990905E-2</v>
      </c>
      <c r="AD516" s="34">
        <v>8.7328000562677949E-2</v>
      </c>
      <c r="AE516" s="34">
        <v>8.7328000562678212E-2</v>
      </c>
      <c r="AF516" s="34">
        <v>8.7328000562678212E-2</v>
      </c>
      <c r="AG516" s="34">
        <v>0.14000000000000001</v>
      </c>
      <c r="AH516" s="34">
        <v>0.19746893195583815</v>
      </c>
      <c r="AI516" s="37">
        <f t="shared" si="67"/>
        <v>600.84000000000071</v>
      </c>
      <c r="AJ516" s="37">
        <f t="shared" si="68"/>
        <v>874.85771620803553</v>
      </c>
      <c r="AK516" s="37">
        <f t="shared" si="69"/>
        <v>7326.5860814471753</v>
      </c>
      <c r="AL516" s="37">
        <f t="shared" si="70"/>
        <v>7326.5860814472007</v>
      </c>
      <c r="AM516" s="37">
        <f t="shared" si="71"/>
        <v>7326.5860814472062</v>
      </c>
      <c r="AN516" s="37">
        <f t="shared" si="72"/>
        <v>12332.907510000012</v>
      </c>
      <c r="AO516" s="37">
        <f t="shared" si="73"/>
        <v>14777.926298609644</v>
      </c>
    </row>
    <row r="517" spans="1:41" hidden="1" x14ac:dyDescent="0.3">
      <c r="A517" t="str">
        <f t="shared" si="74"/>
        <v>307abr</v>
      </c>
      <c r="B517" t="str">
        <f t="shared" si="75"/>
        <v>HEROINASabr</v>
      </c>
      <c r="C517" s="1" t="s">
        <v>92</v>
      </c>
      <c r="D517" s="1" t="s">
        <v>19</v>
      </c>
      <c r="E517" s="1">
        <v>307</v>
      </c>
      <c r="F517" s="1" t="s">
        <v>119</v>
      </c>
      <c r="G517" s="1" t="s">
        <v>122</v>
      </c>
      <c r="H517" s="1" t="s">
        <v>119</v>
      </c>
      <c r="I517" s="1" t="s">
        <v>124</v>
      </c>
      <c r="J517" s="1" t="s">
        <v>136</v>
      </c>
      <c r="K517" t="s">
        <v>83</v>
      </c>
      <c r="L517" s="6">
        <v>62777.170000000013</v>
      </c>
      <c r="M517" s="6">
        <v>2881.0300000000152</v>
      </c>
      <c r="N517" s="6">
        <v>58007.69</v>
      </c>
      <c r="O517" s="6">
        <v>11716.070000000003</v>
      </c>
      <c r="P517" s="6">
        <v>59834.953560000009</v>
      </c>
      <c r="Q517" s="6">
        <v>12467</v>
      </c>
      <c r="R517" s="6">
        <v>81374.51999999999</v>
      </c>
      <c r="S517" s="6">
        <v>20271.022255675325</v>
      </c>
      <c r="T517" s="6">
        <v>81374.520000000077</v>
      </c>
      <c r="U517" s="6">
        <v>20228.210000000152</v>
      </c>
      <c r="V517" s="30">
        <v>81374.52000000012</v>
      </c>
      <c r="W517" s="30">
        <v>20228.210000000163</v>
      </c>
      <c r="X517" s="30">
        <v>85443.24600000013</v>
      </c>
      <c r="Y517" s="30">
        <v>21007.525426963621</v>
      </c>
      <c r="Z517" s="30">
        <v>0</v>
      </c>
      <c r="AA517" s="30">
        <v>0</v>
      </c>
      <c r="AB517" s="34">
        <v>8.7197304370362598E-3</v>
      </c>
      <c r="AC517" s="34">
        <v>1.2386246474346196E-2</v>
      </c>
      <c r="AD517" s="34">
        <v>0.13872526022262696</v>
      </c>
      <c r="AE517" s="34">
        <v>0.13872526022262649</v>
      </c>
      <c r="AF517" s="34">
        <v>0.13872526022262649</v>
      </c>
      <c r="AG517" s="34">
        <v>0.16</v>
      </c>
      <c r="AH517" s="34">
        <v>0</v>
      </c>
      <c r="AI517" s="37">
        <f t="shared" ref="AI517:AI580" si="76">L517*AB517</f>
        <v>547.39999999999964</v>
      </c>
      <c r="AJ517" s="37">
        <f t="shared" ref="AJ517:AJ580" si="77">N517*AC517</f>
        <v>718.49754574746714</v>
      </c>
      <c r="AK517" s="37">
        <f t="shared" ref="AK517:AK580" si="78">T517*AD517</f>
        <v>11288.701462491374</v>
      </c>
      <c r="AL517" s="37">
        <f t="shared" ref="AL517:AL580" si="79">R517*AE517</f>
        <v>11288.701462491323</v>
      </c>
      <c r="AM517" s="37">
        <f t="shared" ref="AM517:AM580" si="80">V517*AF517</f>
        <v>11288.701462491341</v>
      </c>
      <c r="AN517" s="37">
        <f t="shared" ref="AN517:AN580" si="81">X517*AG517</f>
        <v>13670.919360000022</v>
      </c>
      <c r="AO517" s="37">
        <f t="shared" ref="AO517:AO580" si="82">Z517*AH517</f>
        <v>0</v>
      </c>
    </row>
    <row r="518" spans="1:41" hidden="1" x14ac:dyDescent="0.3">
      <c r="A518" t="str">
        <f t="shared" si="74"/>
        <v>307may</v>
      </c>
      <c r="B518" t="str">
        <f t="shared" si="75"/>
        <v>HEROINASmay</v>
      </c>
      <c r="C518" s="1" t="s">
        <v>92</v>
      </c>
      <c r="D518" s="1" t="s">
        <v>19</v>
      </c>
      <c r="E518" s="1">
        <v>307</v>
      </c>
      <c r="F518" s="1" t="s">
        <v>119</v>
      </c>
      <c r="G518" s="1" t="s">
        <v>122</v>
      </c>
      <c r="H518" s="1" t="s">
        <v>119</v>
      </c>
      <c r="I518" s="1" t="s">
        <v>124</v>
      </c>
      <c r="J518" s="1" t="s">
        <v>136</v>
      </c>
      <c r="K518" t="s">
        <v>84</v>
      </c>
      <c r="L518" s="6">
        <v>43225.53</v>
      </c>
      <c r="M518" s="6">
        <v>8286.2200000000048</v>
      </c>
      <c r="N518" s="6">
        <v>47556.179999999993</v>
      </c>
      <c r="O518" s="6">
        <v>10321.499999999989</v>
      </c>
      <c r="P518" s="6">
        <v>57773.227874999975</v>
      </c>
      <c r="Q518" s="6">
        <v>12295</v>
      </c>
      <c r="R518" s="6">
        <v>71366.879999999946</v>
      </c>
      <c r="S518" s="6">
        <v>18927.078455067174</v>
      </c>
      <c r="T518" s="6">
        <v>71366.879999999961</v>
      </c>
      <c r="U518" s="6">
        <v>18730.639999999941</v>
      </c>
      <c r="V518" s="30">
        <v>71366.879999999961</v>
      </c>
      <c r="W518" s="30">
        <v>18730.639999999941</v>
      </c>
      <c r="X518" s="30">
        <v>74935.223999999958</v>
      </c>
      <c r="Y518" s="30">
        <v>18927.940107759408</v>
      </c>
      <c r="Z518" s="30">
        <v>0</v>
      </c>
      <c r="AA518" s="30">
        <v>0</v>
      </c>
      <c r="AB518" s="34">
        <v>4.9186210093896026E-3</v>
      </c>
      <c r="AC518" s="34">
        <v>1.6868688523419596E-2</v>
      </c>
      <c r="AD518" s="34">
        <v>0.12165811227294746</v>
      </c>
      <c r="AE518" s="34">
        <v>0.12165811227294744</v>
      </c>
      <c r="AF518" s="34">
        <v>0.12165811227294744</v>
      </c>
      <c r="AG518" s="34">
        <v>0.18000000000000002</v>
      </c>
      <c r="AH518" s="34">
        <v>0</v>
      </c>
      <c r="AI518" s="37">
        <f t="shared" si="76"/>
        <v>212.61000000000055</v>
      </c>
      <c r="AJ518" s="37">
        <f t="shared" si="77"/>
        <v>802.21038778367642</v>
      </c>
      <c r="AK518" s="37">
        <f t="shared" si="78"/>
        <v>8682.3598996099627</v>
      </c>
      <c r="AL518" s="37">
        <f t="shared" si="79"/>
        <v>8682.3598996099608</v>
      </c>
      <c r="AM518" s="37">
        <f t="shared" si="80"/>
        <v>8682.3598996099627</v>
      </c>
      <c r="AN518" s="37">
        <f t="shared" si="81"/>
        <v>13488.340319999994</v>
      </c>
      <c r="AO518" s="37">
        <f t="shared" si="82"/>
        <v>0</v>
      </c>
    </row>
    <row r="519" spans="1:41" hidden="1" x14ac:dyDescent="0.3">
      <c r="A519" t="str">
        <f t="shared" si="74"/>
        <v>307jun</v>
      </c>
      <c r="B519" t="str">
        <f t="shared" si="75"/>
        <v>HEROINASjun</v>
      </c>
      <c r="C519" s="1" t="s">
        <v>92</v>
      </c>
      <c r="D519" s="1" t="s">
        <v>19</v>
      </c>
      <c r="E519" s="1">
        <v>307</v>
      </c>
      <c r="F519" s="1" t="s">
        <v>119</v>
      </c>
      <c r="G519" s="1" t="s">
        <v>122</v>
      </c>
      <c r="H519" s="1" t="s">
        <v>119</v>
      </c>
      <c r="I519" s="1" t="s">
        <v>124</v>
      </c>
      <c r="J519" s="1" t="s">
        <v>136</v>
      </c>
      <c r="K519" t="s">
        <v>85</v>
      </c>
      <c r="L519" s="6">
        <v>38086.550000000003</v>
      </c>
      <c r="M519" s="6">
        <v>7462.6600000000026</v>
      </c>
      <c r="N519" s="6">
        <v>27691.73</v>
      </c>
      <c r="O519" s="6">
        <v>7088.15</v>
      </c>
      <c r="P519" s="6">
        <v>58860.815574999971</v>
      </c>
      <c r="Q519" s="6">
        <v>13955</v>
      </c>
      <c r="R519" s="6">
        <v>69033.16000000012</v>
      </c>
      <c r="S519" s="6">
        <v>19050.996592627485</v>
      </c>
      <c r="T519" s="6">
        <v>69033.160000000062</v>
      </c>
      <c r="U519" s="6">
        <v>19059.280000000072</v>
      </c>
      <c r="V519" s="30">
        <v>69033.160000000047</v>
      </c>
      <c r="W519" s="30">
        <v>19059.280000000068</v>
      </c>
      <c r="X519" s="30">
        <v>0</v>
      </c>
      <c r="Y519" s="30">
        <v>0</v>
      </c>
      <c r="Z519" s="30">
        <v>0</v>
      </c>
      <c r="AA519" s="30">
        <v>0</v>
      </c>
      <c r="AB519" s="34">
        <v>1.5164933552658379E-2</v>
      </c>
      <c r="AC519" s="34">
        <v>4.2637422561043789E-2</v>
      </c>
      <c r="AD519" s="34">
        <v>0.13364350057931657</v>
      </c>
      <c r="AE519" s="34">
        <v>0.13364350057931657</v>
      </c>
      <c r="AF519" s="34">
        <v>0.13364350057931657</v>
      </c>
      <c r="AG519" s="34">
        <v>0</v>
      </c>
      <c r="AH519" s="34">
        <v>0</v>
      </c>
      <c r="AI519" s="37">
        <f t="shared" si="76"/>
        <v>577.58000000000106</v>
      </c>
      <c r="AJ519" s="37">
        <f t="shared" si="77"/>
        <v>1180.7039934563331</v>
      </c>
      <c r="AK519" s="37">
        <f t="shared" si="78"/>
        <v>9225.833158452062</v>
      </c>
      <c r="AL519" s="37">
        <f t="shared" si="79"/>
        <v>9225.8331584520693</v>
      </c>
      <c r="AM519" s="37">
        <f t="shared" si="80"/>
        <v>9225.8331584520602</v>
      </c>
      <c r="AN519" s="37">
        <f t="shared" si="81"/>
        <v>0</v>
      </c>
      <c r="AO519" s="37">
        <f t="shared" si="82"/>
        <v>0</v>
      </c>
    </row>
    <row r="520" spans="1:41" hidden="1" x14ac:dyDescent="0.3">
      <c r="A520" t="str">
        <f t="shared" si="74"/>
        <v>307jul</v>
      </c>
      <c r="B520" t="str">
        <f t="shared" si="75"/>
        <v>HEROINASjul</v>
      </c>
      <c r="C520" s="1" t="s">
        <v>92</v>
      </c>
      <c r="D520" s="1" t="s">
        <v>19</v>
      </c>
      <c r="E520" s="1">
        <v>307</v>
      </c>
      <c r="F520" s="1" t="s">
        <v>119</v>
      </c>
      <c r="G520" s="1" t="s">
        <v>122</v>
      </c>
      <c r="H520" s="1" t="s">
        <v>119</v>
      </c>
      <c r="I520" s="1" t="s">
        <v>124</v>
      </c>
      <c r="J520" s="1" t="s">
        <v>136</v>
      </c>
      <c r="K520" t="s">
        <v>86</v>
      </c>
      <c r="L520" s="6">
        <v>48262.880000000005</v>
      </c>
      <c r="M520" s="6">
        <v>10676.560000000009</v>
      </c>
      <c r="N520" s="6">
        <v>57451.829999999987</v>
      </c>
      <c r="O520" s="6">
        <v>12932.359999999995</v>
      </c>
      <c r="P520" s="6">
        <v>56337.896099999969</v>
      </c>
      <c r="Q520" s="6">
        <v>13327</v>
      </c>
      <c r="R520" s="6">
        <v>72187.63</v>
      </c>
      <c r="S520" s="6">
        <v>23728.989999999932</v>
      </c>
      <c r="T520" s="6">
        <v>72187.629999999961</v>
      </c>
      <c r="U520" s="6">
        <v>23728.989999999998</v>
      </c>
      <c r="V520" s="30">
        <v>72187.63000000015</v>
      </c>
      <c r="W520" s="30">
        <v>23728.990000000063</v>
      </c>
      <c r="X520" s="30">
        <v>0</v>
      </c>
      <c r="Y520" s="30">
        <v>0</v>
      </c>
      <c r="Z520" s="30">
        <v>0</v>
      </c>
      <c r="AA520" s="30">
        <v>0</v>
      </c>
      <c r="AB520" s="34">
        <v>3.5068151755552147E-2</v>
      </c>
      <c r="AC520" s="34">
        <v>4.6576407681749692E-2</v>
      </c>
      <c r="AD520" s="34">
        <v>0.20008982148326571</v>
      </c>
      <c r="AE520" s="34">
        <v>0.20008982148326571</v>
      </c>
      <c r="AF520" s="34">
        <v>0.20008982148326571</v>
      </c>
      <c r="AG520" s="34">
        <v>0</v>
      </c>
      <c r="AH520" s="34">
        <v>0</v>
      </c>
      <c r="AI520" s="37">
        <f t="shared" si="76"/>
        <v>1692.4900000000027</v>
      </c>
      <c r="AJ520" s="37">
        <f t="shared" si="77"/>
        <v>2675.8998561425769</v>
      </c>
      <c r="AK520" s="37">
        <f t="shared" si="78"/>
        <v>14444.010000000028</v>
      </c>
      <c r="AL520" s="37">
        <f t="shared" si="79"/>
        <v>14444.010000000037</v>
      </c>
      <c r="AM520" s="37">
        <f t="shared" si="80"/>
        <v>14444.010000000066</v>
      </c>
      <c r="AN520" s="37">
        <f t="shared" si="81"/>
        <v>0</v>
      </c>
      <c r="AO520" s="37">
        <f t="shared" si="82"/>
        <v>0</v>
      </c>
    </row>
    <row r="521" spans="1:41" hidden="1" x14ac:dyDescent="0.3">
      <c r="A521" t="str">
        <f t="shared" si="74"/>
        <v>307ago</v>
      </c>
      <c r="B521" t="str">
        <f t="shared" si="75"/>
        <v>HEROINASago</v>
      </c>
      <c r="C521" s="1" t="s">
        <v>92</v>
      </c>
      <c r="D521" s="1" t="s">
        <v>19</v>
      </c>
      <c r="E521" s="1">
        <v>307</v>
      </c>
      <c r="F521" s="1" t="s">
        <v>119</v>
      </c>
      <c r="G521" s="1" t="s">
        <v>122</v>
      </c>
      <c r="H521" s="1" t="s">
        <v>119</v>
      </c>
      <c r="I521" s="1" t="s">
        <v>124</v>
      </c>
      <c r="J521" s="1" t="s">
        <v>136</v>
      </c>
      <c r="K521" t="s">
        <v>87</v>
      </c>
      <c r="L521" s="6">
        <v>120964.12000000002</v>
      </c>
      <c r="M521" s="6">
        <v>9287.6800000000439</v>
      </c>
      <c r="N521" s="6">
        <v>93370.98000000001</v>
      </c>
      <c r="O521" s="6">
        <v>8491.2400000000234</v>
      </c>
      <c r="P521" s="6">
        <v>101953.5156999999</v>
      </c>
      <c r="Q521" s="6">
        <v>13320</v>
      </c>
      <c r="R521" s="6">
        <v>107514.78243801305</v>
      </c>
      <c r="S521" s="6">
        <v>22260.935703790601</v>
      </c>
      <c r="T521" s="6">
        <v>120705.11000000026</v>
      </c>
      <c r="U521" s="6">
        <v>11440.8200000004</v>
      </c>
      <c r="V521" s="30">
        <v>120705.11000000019</v>
      </c>
      <c r="W521" s="30">
        <v>24991.993025500036</v>
      </c>
      <c r="X521" s="30">
        <v>0</v>
      </c>
      <c r="Y521" s="30">
        <v>0</v>
      </c>
      <c r="Z521" s="30">
        <v>0</v>
      </c>
      <c r="AA521" s="30">
        <v>0</v>
      </c>
      <c r="AB521" s="34">
        <v>9.3773261029799371E-3</v>
      </c>
      <c r="AC521" s="34">
        <v>8.6931618315716115E-3</v>
      </c>
      <c r="AD521" s="34">
        <v>5.7992325262782793E-2</v>
      </c>
      <c r="AE521" s="34">
        <v>7.0000000000000007E-2</v>
      </c>
      <c r="AF521" s="34">
        <v>7.0000000000000007E-2</v>
      </c>
      <c r="AG521" s="34">
        <v>0</v>
      </c>
      <c r="AH521" s="34">
        <v>0</v>
      </c>
      <c r="AI521" s="37">
        <f t="shared" si="76"/>
        <v>1134.3199999999977</v>
      </c>
      <c r="AJ521" s="37">
        <f t="shared" si="77"/>
        <v>811.68903951243635</v>
      </c>
      <c r="AK521" s="37">
        <f t="shared" si="78"/>
        <v>6999.9699999999912</v>
      </c>
      <c r="AL521" s="37">
        <f t="shared" si="79"/>
        <v>7526.0347706609136</v>
      </c>
      <c r="AM521" s="37">
        <f t="shared" si="80"/>
        <v>8449.3577000000132</v>
      </c>
      <c r="AN521" s="37">
        <f t="shared" si="81"/>
        <v>0</v>
      </c>
      <c r="AO521" s="37">
        <f t="shared" si="82"/>
        <v>0</v>
      </c>
    </row>
    <row r="522" spans="1:41" hidden="1" x14ac:dyDescent="0.3">
      <c r="A522" t="str">
        <f t="shared" si="74"/>
        <v>307sep</v>
      </c>
      <c r="B522" t="str">
        <f t="shared" si="75"/>
        <v>HEROINASsep</v>
      </c>
      <c r="C522" s="1" t="s">
        <v>92</v>
      </c>
      <c r="D522" s="1" t="s">
        <v>19</v>
      </c>
      <c r="E522" s="1">
        <v>307</v>
      </c>
      <c r="F522" s="1" t="s">
        <v>119</v>
      </c>
      <c r="G522" s="1" t="s">
        <v>122</v>
      </c>
      <c r="H522" s="1" t="s">
        <v>119</v>
      </c>
      <c r="I522" s="1" t="s">
        <v>124</v>
      </c>
      <c r="J522" s="1" t="s">
        <v>136</v>
      </c>
      <c r="K522" t="s">
        <v>88</v>
      </c>
      <c r="L522" s="6">
        <v>47634.659999999996</v>
      </c>
      <c r="M522" s="6">
        <v>9146.6299999999956</v>
      </c>
      <c r="N522" s="6">
        <v>59148.039999999979</v>
      </c>
      <c r="O522" s="6">
        <v>7822.9399999999896</v>
      </c>
      <c r="P522" s="6">
        <v>53347.900750000008</v>
      </c>
      <c r="Q522" s="6">
        <v>11506</v>
      </c>
      <c r="R522" s="6">
        <v>58191.890138100011</v>
      </c>
      <c r="S522" s="6">
        <v>13197.920683321083</v>
      </c>
      <c r="T522" s="6">
        <v>61925.210000000079</v>
      </c>
      <c r="U522" s="6">
        <v>15538.63000000007</v>
      </c>
      <c r="V522" s="30">
        <v>61925.210000000079</v>
      </c>
      <c r="W522" s="30">
        <v>15538.630000000068</v>
      </c>
      <c r="X522" s="30">
        <v>0</v>
      </c>
      <c r="Y522" s="30">
        <v>0</v>
      </c>
      <c r="Z522" s="30">
        <v>0</v>
      </c>
      <c r="AA522" s="30">
        <v>0</v>
      </c>
      <c r="AB522" s="34">
        <v>1.6105709582056475E-2</v>
      </c>
      <c r="AC522" s="34">
        <v>2.5275600572821001E-2</v>
      </c>
      <c r="AD522" s="34">
        <v>0.11417708555207139</v>
      </c>
      <c r="AE522" s="34">
        <v>0.12000000000000001</v>
      </c>
      <c r="AF522" s="34">
        <v>0.12000000000000001</v>
      </c>
      <c r="AG522" s="34">
        <v>0</v>
      </c>
      <c r="AH522" s="34">
        <v>0</v>
      </c>
      <c r="AI522" s="37">
        <f t="shared" si="76"/>
        <v>767.19000000000221</v>
      </c>
      <c r="AJ522" s="37">
        <f t="shared" si="77"/>
        <v>1495.002233705239</v>
      </c>
      <c r="AK522" s="37">
        <f t="shared" si="78"/>
        <v>7070.439999999996</v>
      </c>
      <c r="AL522" s="37">
        <f t="shared" si="79"/>
        <v>6983.0268165720017</v>
      </c>
      <c r="AM522" s="37">
        <f t="shared" si="80"/>
        <v>7431.02520000001</v>
      </c>
      <c r="AN522" s="37">
        <f t="shared" si="81"/>
        <v>0</v>
      </c>
      <c r="AO522" s="37">
        <f t="shared" si="82"/>
        <v>0</v>
      </c>
    </row>
    <row r="523" spans="1:41" hidden="1" x14ac:dyDescent="0.3">
      <c r="A523" t="str">
        <f t="shared" si="74"/>
        <v>307oct</v>
      </c>
      <c r="B523" t="str">
        <f t="shared" si="75"/>
        <v>HEROINASoct</v>
      </c>
      <c r="C523" s="1" t="s">
        <v>92</v>
      </c>
      <c r="D523" s="1" t="s">
        <v>19</v>
      </c>
      <c r="E523" s="1">
        <v>307</v>
      </c>
      <c r="F523" s="1" t="s">
        <v>119</v>
      </c>
      <c r="G523" s="1" t="s">
        <v>122</v>
      </c>
      <c r="H523" s="1" t="s">
        <v>119</v>
      </c>
      <c r="I523" s="1" t="s">
        <v>124</v>
      </c>
      <c r="J523" s="1" t="s">
        <v>136</v>
      </c>
      <c r="K523" t="s">
        <v>89</v>
      </c>
      <c r="L523" s="6">
        <v>52823.260000000024</v>
      </c>
      <c r="M523" s="6">
        <v>5276.3000000000247</v>
      </c>
      <c r="N523" s="6">
        <v>62839.86</v>
      </c>
      <c r="O523" s="6">
        <v>12470.289999999999</v>
      </c>
      <c r="P523" s="6">
        <v>63033.414439999979</v>
      </c>
      <c r="Q523" s="6">
        <v>13321</v>
      </c>
      <c r="R523" s="6">
        <v>68756.84847115197</v>
      </c>
      <c r="S523" s="6">
        <v>15786.572408976494</v>
      </c>
      <c r="T523" s="6">
        <v>53592.860000000073</v>
      </c>
      <c r="U523" s="6">
        <v>14135.52000000012</v>
      </c>
      <c r="V523" s="30">
        <v>68756.84847115197</v>
      </c>
      <c r="W523" s="30">
        <v>15786.572408976494</v>
      </c>
      <c r="X523" s="30">
        <v>0</v>
      </c>
      <c r="Y523" s="30">
        <v>0</v>
      </c>
      <c r="Z523" s="30">
        <v>0</v>
      </c>
      <c r="AA523" s="30">
        <v>0</v>
      </c>
      <c r="AB523" s="34">
        <v>7.5069202468760919E-3</v>
      </c>
      <c r="AC523" s="34">
        <v>2.3447971639775304E-2</v>
      </c>
      <c r="AD523" s="34">
        <v>0.23592172539401693</v>
      </c>
      <c r="AE523" s="34">
        <v>0.08</v>
      </c>
      <c r="AF523" s="34">
        <v>0.08</v>
      </c>
      <c r="AG523" s="34">
        <v>0</v>
      </c>
      <c r="AH523" s="34">
        <v>0</v>
      </c>
      <c r="AI523" s="37">
        <f t="shared" si="76"/>
        <v>396.54000000000019</v>
      </c>
      <c r="AJ523" s="37">
        <f t="shared" si="77"/>
        <v>1473.4672551274505</v>
      </c>
      <c r="AK523" s="37">
        <f t="shared" si="78"/>
        <v>12643.720000000012</v>
      </c>
      <c r="AL523" s="37">
        <f t="shared" si="79"/>
        <v>5500.5478776921582</v>
      </c>
      <c r="AM523" s="37">
        <f t="shared" si="80"/>
        <v>5500.5478776921582</v>
      </c>
      <c r="AN523" s="37">
        <f t="shared" si="81"/>
        <v>0</v>
      </c>
      <c r="AO523" s="37">
        <f t="shared" si="82"/>
        <v>0</v>
      </c>
    </row>
    <row r="524" spans="1:41" hidden="1" x14ac:dyDescent="0.3">
      <c r="A524" t="str">
        <f t="shared" si="74"/>
        <v>307nov</v>
      </c>
      <c r="B524" t="str">
        <f t="shared" si="75"/>
        <v>HEROINASnov</v>
      </c>
      <c r="C524" s="1" t="s">
        <v>92</v>
      </c>
      <c r="D524" s="1" t="s">
        <v>19</v>
      </c>
      <c r="E524" s="1">
        <v>307</v>
      </c>
      <c r="F524" s="1" t="s">
        <v>119</v>
      </c>
      <c r="G524" s="1" t="s">
        <v>122</v>
      </c>
      <c r="H524" s="1" t="s">
        <v>119</v>
      </c>
      <c r="I524" s="1" t="s">
        <v>124</v>
      </c>
      <c r="J524" s="1" t="s">
        <v>136</v>
      </c>
      <c r="K524" t="s">
        <v>90</v>
      </c>
      <c r="L524" s="6">
        <v>42059.709999999992</v>
      </c>
      <c r="M524" s="6">
        <v>3685.4499999999894</v>
      </c>
      <c r="N524" s="6">
        <v>70138.399999999994</v>
      </c>
      <c r="O524" s="6">
        <v>12131.289999999994</v>
      </c>
      <c r="P524" s="6">
        <v>75487.111109999983</v>
      </c>
      <c r="Q524" s="6">
        <v>14279</v>
      </c>
      <c r="R524" s="6">
        <v>81578.920976576977</v>
      </c>
      <c r="S524" s="6">
        <v>17824.994233382073</v>
      </c>
      <c r="T524" s="6">
        <v>44794.683908045983</v>
      </c>
      <c r="U524" s="6">
        <v>15651.293561789458</v>
      </c>
      <c r="V524" s="30">
        <v>81578.920976576977</v>
      </c>
      <c r="W524" s="30">
        <v>17824.994233382073</v>
      </c>
      <c r="X524" s="30">
        <v>0</v>
      </c>
      <c r="Y524" s="30">
        <v>0</v>
      </c>
      <c r="Z524" s="30">
        <v>0</v>
      </c>
      <c r="AA524" s="30">
        <v>0</v>
      </c>
      <c r="AB524" s="34">
        <v>7.6177415393496655E-3</v>
      </c>
      <c r="AC524" s="34">
        <v>1.9659360883576494E-2</v>
      </c>
      <c r="AD524" s="34">
        <v>0.23592172539401693</v>
      </c>
      <c r="AE524" s="34">
        <v>0.05</v>
      </c>
      <c r="AF524" s="34">
        <v>0.05</v>
      </c>
      <c r="AG524" s="34">
        <v>0</v>
      </c>
      <c r="AH524" s="34">
        <v>0</v>
      </c>
      <c r="AI524" s="37">
        <f t="shared" si="76"/>
        <v>320.40000000000043</v>
      </c>
      <c r="AJ524" s="37">
        <f t="shared" si="77"/>
        <v>1378.8761173966413</v>
      </c>
      <c r="AK524" s="37">
        <f t="shared" si="78"/>
        <v>10568.039116065813</v>
      </c>
      <c r="AL524" s="37">
        <f t="shared" si="79"/>
        <v>4078.9460488288491</v>
      </c>
      <c r="AM524" s="37">
        <f t="shared" si="80"/>
        <v>4078.9460488288491</v>
      </c>
      <c r="AN524" s="37">
        <f t="shared" si="81"/>
        <v>0</v>
      </c>
      <c r="AO524" s="37">
        <f t="shared" si="82"/>
        <v>0</v>
      </c>
    </row>
    <row r="525" spans="1:41" hidden="1" x14ac:dyDescent="0.3">
      <c r="A525" t="str">
        <f t="shared" si="74"/>
        <v>307dic</v>
      </c>
      <c r="B525" t="str">
        <f t="shared" si="75"/>
        <v>HEROINASdic</v>
      </c>
      <c r="C525" s="1" t="s">
        <v>92</v>
      </c>
      <c r="D525" s="1" t="s">
        <v>19</v>
      </c>
      <c r="E525" s="1">
        <v>307</v>
      </c>
      <c r="F525" s="1" t="s">
        <v>119</v>
      </c>
      <c r="G525" s="1" t="s">
        <v>122</v>
      </c>
      <c r="H525" s="1" t="s">
        <v>119</v>
      </c>
      <c r="I525" s="1" t="s">
        <v>124</v>
      </c>
      <c r="J525" s="1" t="s">
        <v>136</v>
      </c>
      <c r="K525" t="s">
        <v>91</v>
      </c>
      <c r="L525" s="6">
        <v>115201.84</v>
      </c>
      <c r="M525" s="6">
        <v>13036.040000000034</v>
      </c>
      <c r="N525" s="6">
        <v>141676.30999999997</v>
      </c>
      <c r="O525" s="6">
        <v>38913.089999999982</v>
      </c>
      <c r="P525" s="6">
        <v>139696.31450000024</v>
      </c>
      <c r="Q525" s="6">
        <v>35546</v>
      </c>
      <c r="R525" s="6">
        <v>150969.80708015026</v>
      </c>
      <c r="S525" s="6">
        <v>34421.116014274259</v>
      </c>
      <c r="T525" s="6">
        <v>99236.637931034449</v>
      </c>
      <c r="U525" s="6">
        <v>32128.421989852959</v>
      </c>
      <c r="V525" s="30">
        <v>150969.80708015026</v>
      </c>
      <c r="W525" s="30">
        <v>34421.116014274259</v>
      </c>
      <c r="X525" s="30">
        <v>0</v>
      </c>
      <c r="Y525" s="30">
        <v>0</v>
      </c>
      <c r="Z525" s="30">
        <v>0</v>
      </c>
      <c r="AA525" s="30">
        <v>0</v>
      </c>
      <c r="AB525" s="34">
        <v>1.8148234437922166E-2</v>
      </c>
      <c r="AC525" s="34">
        <v>5.5973695184845282E-2</v>
      </c>
      <c r="AD525" s="34">
        <v>0.23592172539401693</v>
      </c>
      <c r="AE525" s="34">
        <v>0.05</v>
      </c>
      <c r="AF525" s="34">
        <v>0.05</v>
      </c>
      <c r="AG525" s="34">
        <v>0</v>
      </c>
      <c r="AH525" s="34">
        <v>0</v>
      </c>
      <c r="AI525" s="37">
        <f t="shared" si="76"/>
        <v>2090.7099999999991</v>
      </c>
      <c r="AJ525" s="37">
        <f t="shared" si="77"/>
        <v>7930.1465908536456</v>
      </c>
      <c r="AK525" s="37">
        <f t="shared" si="78"/>
        <v>23412.078842990995</v>
      </c>
      <c r="AL525" s="37">
        <f t="shared" si="79"/>
        <v>7548.4903540075138</v>
      </c>
      <c r="AM525" s="37">
        <f t="shared" si="80"/>
        <v>7548.4903540075138</v>
      </c>
      <c r="AN525" s="37">
        <f t="shared" si="81"/>
        <v>0</v>
      </c>
      <c r="AO525" s="37">
        <f t="shared" si="82"/>
        <v>0</v>
      </c>
    </row>
    <row r="526" spans="1:41" hidden="1" x14ac:dyDescent="0.3">
      <c r="A526" t="str">
        <f t="shared" si="74"/>
        <v>411ene</v>
      </c>
      <c r="B526" t="str">
        <f t="shared" si="75"/>
        <v>OUTLET 3ER ANILLO SCZene</v>
      </c>
      <c r="C526" s="1" t="s">
        <v>92</v>
      </c>
      <c r="D526" s="1" t="s">
        <v>43</v>
      </c>
      <c r="E526" s="1">
        <v>411</v>
      </c>
      <c r="F526" s="1" t="s">
        <v>119</v>
      </c>
      <c r="G526" s="1" t="s">
        <v>122</v>
      </c>
      <c r="H526" s="1" t="s">
        <v>119</v>
      </c>
      <c r="I526" s="1" t="s">
        <v>127</v>
      </c>
      <c r="J526" s="1" t="s">
        <v>136</v>
      </c>
      <c r="K526" t="s">
        <v>80</v>
      </c>
      <c r="L526" s="6">
        <v>71280.910000000018</v>
      </c>
      <c r="M526" s="6">
        <v>15647.080000000013</v>
      </c>
      <c r="N526" s="6">
        <v>73729.840000000011</v>
      </c>
      <c r="O526" s="6">
        <v>17036.580000000002</v>
      </c>
      <c r="P526" s="6">
        <v>106111.00979333326</v>
      </c>
      <c r="Q526" s="6">
        <v>24344.591499533315</v>
      </c>
      <c r="R526" s="6">
        <v>59564.510000000053</v>
      </c>
      <c r="S526" s="6">
        <v>16992.754170468263</v>
      </c>
      <c r="T526" s="6">
        <v>59564.509999999966</v>
      </c>
      <c r="U526" s="6">
        <v>17288.339999999967</v>
      </c>
      <c r="V526" s="30">
        <v>59564.510000000235</v>
      </c>
      <c r="W526" s="30">
        <v>17288.340000000044</v>
      </c>
      <c r="X526" s="30">
        <v>60160.155100000236</v>
      </c>
      <c r="Y526" s="30">
        <v>13113.620113793942</v>
      </c>
      <c r="Z526" s="30">
        <v>58470.689655172479</v>
      </c>
      <c r="AA526" s="30">
        <v>21583.408455736295</v>
      </c>
      <c r="AB526" s="34">
        <v>3.1063436199117202E-2</v>
      </c>
      <c r="AC526" s="34">
        <v>1.9149775150419459E-2</v>
      </c>
      <c r="AD526" s="34">
        <v>0.22445991412528157</v>
      </c>
      <c r="AE526" s="34">
        <v>0.22445991412528163</v>
      </c>
      <c r="AF526" s="34">
        <v>0.22445991412528163</v>
      </c>
      <c r="AG526" s="34">
        <v>0.12</v>
      </c>
      <c r="AH526" s="34">
        <v>0.24675886336606417</v>
      </c>
      <c r="AI526" s="37">
        <f t="shared" si="76"/>
        <v>2214.2300000000159</v>
      </c>
      <c r="AJ526" s="37">
        <f t="shared" si="77"/>
        <v>1411.9098578764028</v>
      </c>
      <c r="AK526" s="37">
        <f t="shared" si="78"/>
        <v>13369.844799514467</v>
      </c>
      <c r="AL526" s="37">
        <f t="shared" si="79"/>
        <v>13369.844799514491</v>
      </c>
      <c r="AM526" s="37">
        <f t="shared" si="80"/>
        <v>13369.844799514531</v>
      </c>
      <c r="AN526" s="37">
        <f t="shared" si="81"/>
        <v>7219.2186120000279</v>
      </c>
      <c r="AO526" s="37">
        <f t="shared" si="82"/>
        <v>14428.160919540247</v>
      </c>
    </row>
    <row r="527" spans="1:41" hidden="1" x14ac:dyDescent="0.3">
      <c r="A527" t="str">
        <f t="shared" si="74"/>
        <v>411feb</v>
      </c>
      <c r="B527" t="str">
        <f t="shared" si="75"/>
        <v>OUTLET 3ER ANILLO SCZfeb</v>
      </c>
      <c r="C527" s="1" t="s">
        <v>92</v>
      </c>
      <c r="D527" s="1" t="s">
        <v>43</v>
      </c>
      <c r="E527" s="1">
        <v>411</v>
      </c>
      <c r="F527" s="1" t="s">
        <v>119</v>
      </c>
      <c r="G527" s="1" t="s">
        <v>122</v>
      </c>
      <c r="H527" s="1" t="s">
        <v>119</v>
      </c>
      <c r="I527" s="1" t="s">
        <v>127</v>
      </c>
      <c r="J527" s="1" t="s">
        <v>136</v>
      </c>
      <c r="K527" t="s">
        <v>81</v>
      </c>
      <c r="L527" s="6">
        <v>94631.920000000013</v>
      </c>
      <c r="M527" s="6">
        <v>9641.59</v>
      </c>
      <c r="N527" s="6">
        <v>86652.770000000019</v>
      </c>
      <c r="O527" s="6">
        <v>15222.720000000034</v>
      </c>
      <c r="P527" s="6">
        <v>104312.92384000002</v>
      </c>
      <c r="Q527" s="6">
        <v>17339.021716300005</v>
      </c>
      <c r="R527" s="6">
        <v>94546.540000000037</v>
      </c>
      <c r="S527" s="6">
        <v>17946.969125978758</v>
      </c>
      <c r="T527" s="6">
        <v>94546.54</v>
      </c>
      <c r="U527" s="6">
        <v>17622.710000000036</v>
      </c>
      <c r="V527" s="30">
        <v>94546.540000000154</v>
      </c>
      <c r="W527" s="30">
        <v>17622.710000000065</v>
      </c>
      <c r="X527" s="30">
        <v>94546.540000000154</v>
      </c>
      <c r="Y527" s="30">
        <v>19589.919759044962</v>
      </c>
      <c r="Z527" s="30">
        <v>74828.735632184151</v>
      </c>
      <c r="AA527" s="30">
        <v>14441.773017732477</v>
      </c>
      <c r="AB527" s="34">
        <v>2.107365041309529E-2</v>
      </c>
      <c r="AC527" s="34">
        <v>2.3844651082527427E-2</v>
      </c>
      <c r="AD527" s="34">
        <v>0.11952204487237163</v>
      </c>
      <c r="AE527" s="34">
        <v>0.11952204487237182</v>
      </c>
      <c r="AF527" s="34">
        <v>0.11952204487237182</v>
      </c>
      <c r="AG527" s="34">
        <v>8.9999999999999969E-2</v>
      </c>
      <c r="AH527" s="34">
        <v>0.17399886330471104</v>
      </c>
      <c r="AI527" s="37">
        <f t="shared" si="76"/>
        <v>1994.2400000000007</v>
      </c>
      <c r="AJ527" s="37">
        <f t="shared" si="77"/>
        <v>2066.2050659845008</v>
      </c>
      <c r="AK527" s="37">
        <f t="shared" si="78"/>
        <v>11300.395796407478</v>
      </c>
      <c r="AL527" s="37">
        <f t="shared" si="79"/>
        <v>11300.395796407502</v>
      </c>
      <c r="AM527" s="37">
        <f t="shared" si="80"/>
        <v>11300.395796407516</v>
      </c>
      <c r="AN527" s="37">
        <f t="shared" si="81"/>
        <v>8509.1886000000104</v>
      </c>
      <c r="AO527" s="37">
        <f t="shared" si="82"/>
        <v>13020.114942528769</v>
      </c>
    </row>
    <row r="528" spans="1:41" hidden="1" x14ac:dyDescent="0.3">
      <c r="A528" t="str">
        <f t="shared" si="74"/>
        <v>411mar</v>
      </c>
      <c r="B528" t="str">
        <f t="shared" si="75"/>
        <v>OUTLET 3ER ANILLO SCZmar</v>
      </c>
      <c r="C528" s="1" t="s">
        <v>92</v>
      </c>
      <c r="D528" s="1" t="s">
        <v>43</v>
      </c>
      <c r="E528" s="1">
        <v>411</v>
      </c>
      <c r="F528" s="1" t="s">
        <v>119</v>
      </c>
      <c r="G528" s="1" t="s">
        <v>122</v>
      </c>
      <c r="H528" s="1" t="s">
        <v>119</v>
      </c>
      <c r="I528" s="1" t="s">
        <v>127</v>
      </c>
      <c r="J528" s="1" t="s">
        <v>136</v>
      </c>
      <c r="K528" t="s">
        <v>82</v>
      </c>
      <c r="L528" s="6">
        <v>77847.24000000002</v>
      </c>
      <c r="M528" s="6">
        <v>7193.9200000000128</v>
      </c>
      <c r="N528" s="6">
        <v>115610.05000000005</v>
      </c>
      <c r="O528" s="6">
        <v>17037.990000000034</v>
      </c>
      <c r="P528" s="6">
        <v>108933.1872999999</v>
      </c>
      <c r="Q528" s="6">
        <v>20576.707887999986</v>
      </c>
      <c r="R528" s="6">
        <v>104897.81000000004</v>
      </c>
      <c r="S528" s="6">
        <v>22207.909433714674</v>
      </c>
      <c r="T528" s="6">
        <v>104897.81000000011</v>
      </c>
      <c r="U528" s="6">
        <v>20546.750000000175</v>
      </c>
      <c r="V528" s="30">
        <v>104897.81000000027</v>
      </c>
      <c r="W528" s="30">
        <v>20546.750000000207</v>
      </c>
      <c r="X528" s="30">
        <v>106995.76620000027</v>
      </c>
      <c r="Y528" s="30">
        <v>24091.704823754746</v>
      </c>
      <c r="Z528" s="30">
        <v>85194.818922509861</v>
      </c>
      <c r="AA528" s="30">
        <v>24280.523392915315</v>
      </c>
      <c r="AB528" s="34">
        <v>2.1124448342677404E-2</v>
      </c>
      <c r="AC528" s="34">
        <v>1.2275919226027079E-2</v>
      </c>
      <c r="AD528" s="34">
        <v>0.13379333589167064</v>
      </c>
      <c r="AE528" s="34">
        <v>0.13379333589167094</v>
      </c>
      <c r="AF528" s="34">
        <v>0.13379333589167094</v>
      </c>
      <c r="AG528" s="34">
        <v>0.14000000000000001</v>
      </c>
      <c r="AH528" s="34">
        <v>0.24618276995582983</v>
      </c>
      <c r="AI528" s="37">
        <f t="shared" si="76"/>
        <v>1644.4800000000105</v>
      </c>
      <c r="AJ528" s="37">
        <f t="shared" si="77"/>
        <v>1419.2196355169524</v>
      </c>
      <c r="AK528" s="37">
        <f t="shared" si="78"/>
        <v>14034.627927630663</v>
      </c>
      <c r="AL528" s="37">
        <f t="shared" si="79"/>
        <v>14034.627927630685</v>
      </c>
      <c r="AM528" s="37">
        <f t="shared" si="80"/>
        <v>14034.627927630716</v>
      </c>
      <c r="AN528" s="37">
        <f t="shared" si="81"/>
        <v>14979.407268000039</v>
      </c>
      <c r="AO528" s="37">
        <f t="shared" si="82"/>
        <v>20973.496508228822</v>
      </c>
    </row>
    <row r="529" spans="1:41" hidden="1" x14ac:dyDescent="0.3">
      <c r="A529" t="str">
        <f t="shared" si="74"/>
        <v>411abr</v>
      </c>
      <c r="B529" t="str">
        <f t="shared" si="75"/>
        <v>OUTLET 3ER ANILLO SCZabr</v>
      </c>
      <c r="C529" s="1" t="s">
        <v>92</v>
      </c>
      <c r="D529" s="1" t="s">
        <v>43</v>
      </c>
      <c r="E529" s="1">
        <v>411</v>
      </c>
      <c r="F529" s="1" t="s">
        <v>119</v>
      </c>
      <c r="G529" s="1" t="s">
        <v>122</v>
      </c>
      <c r="H529" s="1" t="s">
        <v>119</v>
      </c>
      <c r="I529" s="1" t="s">
        <v>127</v>
      </c>
      <c r="J529" s="1" t="s">
        <v>136</v>
      </c>
      <c r="K529" t="s">
        <v>83</v>
      </c>
      <c r="L529" s="6">
        <v>90230.46</v>
      </c>
      <c r="M529" s="6">
        <v>9966.7600000000166</v>
      </c>
      <c r="N529" s="6">
        <v>115190.1</v>
      </c>
      <c r="O529" s="6">
        <v>25934.71000000001</v>
      </c>
      <c r="P529" s="6">
        <v>107106.36784000001</v>
      </c>
      <c r="Q529" s="6">
        <v>22882.1643358</v>
      </c>
      <c r="R529" s="6">
        <v>98134.180000000168</v>
      </c>
      <c r="S529" s="6">
        <v>26323.061716187101</v>
      </c>
      <c r="T529" s="6">
        <v>98134.180000000211</v>
      </c>
      <c r="U529" s="6">
        <v>26373.860000000088</v>
      </c>
      <c r="V529" s="30">
        <v>98134.180000000197</v>
      </c>
      <c r="W529" s="30">
        <v>26373.860000000081</v>
      </c>
      <c r="X529" s="30">
        <v>100096.8636000002</v>
      </c>
      <c r="Y529" s="30">
        <v>23257.662677861423</v>
      </c>
      <c r="Z529" s="30">
        <v>0</v>
      </c>
      <c r="AA529" s="30">
        <v>0</v>
      </c>
      <c r="AB529" s="34">
        <v>2.1376816653710884E-2</v>
      </c>
      <c r="AC529" s="34">
        <v>1.9384548440933486E-2</v>
      </c>
      <c r="AD529" s="34">
        <v>0.17101512209580055</v>
      </c>
      <c r="AE529" s="34">
        <v>0.17101512209580094</v>
      </c>
      <c r="AF529" s="34">
        <v>0.17101512209580094</v>
      </c>
      <c r="AG529" s="34">
        <v>0.16</v>
      </c>
      <c r="AH529" s="34">
        <v>0</v>
      </c>
      <c r="AI529" s="37">
        <f t="shared" si="76"/>
        <v>1928.839999999994</v>
      </c>
      <c r="AJ529" s="37">
        <f t="shared" si="77"/>
        <v>2232.9080733659725</v>
      </c>
      <c r="AK529" s="37">
        <f t="shared" si="78"/>
        <v>16782.428774471304</v>
      </c>
      <c r="AL529" s="37">
        <f t="shared" si="79"/>
        <v>16782.428774471337</v>
      </c>
      <c r="AM529" s="37">
        <f t="shared" si="80"/>
        <v>16782.42877447134</v>
      </c>
      <c r="AN529" s="37">
        <f t="shared" si="81"/>
        <v>16015.498176000032</v>
      </c>
      <c r="AO529" s="37">
        <f t="shared" si="82"/>
        <v>0</v>
      </c>
    </row>
    <row r="530" spans="1:41" hidden="1" x14ac:dyDescent="0.3">
      <c r="A530" t="str">
        <f t="shared" si="74"/>
        <v>411may</v>
      </c>
      <c r="B530" t="str">
        <f t="shared" si="75"/>
        <v>OUTLET 3ER ANILLO SCZmay</v>
      </c>
      <c r="C530" s="1" t="s">
        <v>92</v>
      </c>
      <c r="D530" s="1" t="s">
        <v>43</v>
      </c>
      <c r="E530" s="1">
        <v>411</v>
      </c>
      <c r="F530" s="1" t="s">
        <v>119</v>
      </c>
      <c r="G530" s="1" t="s">
        <v>122</v>
      </c>
      <c r="H530" s="1" t="s">
        <v>119</v>
      </c>
      <c r="I530" s="1" t="s">
        <v>127</v>
      </c>
      <c r="J530" s="1" t="s">
        <v>136</v>
      </c>
      <c r="K530" t="s">
        <v>84</v>
      </c>
      <c r="L530" s="6">
        <v>91034.229999999981</v>
      </c>
      <c r="M530" s="6">
        <v>20020.5</v>
      </c>
      <c r="N530" s="6">
        <v>110822.20999999999</v>
      </c>
      <c r="O530" s="6">
        <v>30745.109999999979</v>
      </c>
      <c r="P530" s="6">
        <v>107161.94310999998</v>
      </c>
      <c r="Q530" s="6">
        <v>22098.899650949996</v>
      </c>
      <c r="R530" s="6">
        <v>97509.800000000119</v>
      </c>
      <c r="S530" s="6">
        <v>28064.929021799235</v>
      </c>
      <c r="T530" s="6">
        <v>97509.800000000105</v>
      </c>
      <c r="U530" s="6">
        <v>28089.110000000219</v>
      </c>
      <c r="V530" s="30">
        <v>97509.800000000105</v>
      </c>
      <c r="W530" s="30">
        <v>28089.110000000219</v>
      </c>
      <c r="X530" s="30">
        <v>0</v>
      </c>
      <c r="Y530" s="30">
        <v>0</v>
      </c>
      <c r="Z530" s="30">
        <v>0</v>
      </c>
      <c r="AA530" s="30">
        <v>0</v>
      </c>
      <c r="AB530" s="34">
        <v>1.5571834902102287E-2</v>
      </c>
      <c r="AC530" s="34">
        <v>3.1382371005819268E-2</v>
      </c>
      <c r="AD530" s="34">
        <v>0.19048944804478979</v>
      </c>
      <c r="AE530" s="34">
        <v>0.19048944804478993</v>
      </c>
      <c r="AF530" s="34">
        <v>0.19048944804478993</v>
      </c>
      <c r="AG530" s="34">
        <v>0</v>
      </c>
      <c r="AH530" s="34">
        <v>0</v>
      </c>
      <c r="AI530" s="37">
        <f t="shared" si="76"/>
        <v>1417.5700000000068</v>
      </c>
      <c r="AJ530" s="37">
        <f t="shared" si="77"/>
        <v>3477.8637099048137</v>
      </c>
      <c r="AK530" s="37">
        <f t="shared" si="78"/>
        <v>18574.587980957862</v>
      </c>
      <c r="AL530" s="37">
        <f t="shared" si="79"/>
        <v>18574.58798095788</v>
      </c>
      <c r="AM530" s="37">
        <f t="shared" si="80"/>
        <v>18574.587980957876</v>
      </c>
      <c r="AN530" s="37">
        <f t="shared" si="81"/>
        <v>0</v>
      </c>
      <c r="AO530" s="37">
        <f t="shared" si="82"/>
        <v>0</v>
      </c>
    </row>
    <row r="531" spans="1:41" hidden="1" x14ac:dyDescent="0.3">
      <c r="A531" t="str">
        <f t="shared" si="74"/>
        <v>411jun</v>
      </c>
      <c r="B531" t="str">
        <f t="shared" si="75"/>
        <v>OUTLET 3ER ANILLO SCZjun</v>
      </c>
      <c r="C531" s="1" t="s">
        <v>92</v>
      </c>
      <c r="D531" s="1" t="s">
        <v>43</v>
      </c>
      <c r="E531" s="1">
        <v>411</v>
      </c>
      <c r="F531" s="1" t="s">
        <v>119</v>
      </c>
      <c r="G531" s="1" t="s">
        <v>122</v>
      </c>
      <c r="H531" s="1" t="s">
        <v>119</v>
      </c>
      <c r="I531" s="1" t="s">
        <v>127</v>
      </c>
      <c r="J531" s="1" t="s">
        <v>136</v>
      </c>
      <c r="K531" t="s">
        <v>85</v>
      </c>
      <c r="L531" s="6">
        <v>75640.950000000012</v>
      </c>
      <c r="M531" s="6">
        <v>16772.89</v>
      </c>
      <c r="N531" s="6">
        <v>101896.81999999998</v>
      </c>
      <c r="O531" s="6">
        <v>28837.949999999983</v>
      </c>
      <c r="P531" s="6">
        <v>105377.63464999992</v>
      </c>
      <c r="Q531" s="6">
        <v>24528.479049249985</v>
      </c>
      <c r="R531" s="6">
        <v>86055.559999999852</v>
      </c>
      <c r="S531" s="6">
        <v>26212.256615879793</v>
      </c>
      <c r="T531" s="6">
        <v>86055.559999999881</v>
      </c>
      <c r="U531" s="6">
        <v>26215.44999999999</v>
      </c>
      <c r="V531" s="30">
        <v>86055.559999999881</v>
      </c>
      <c r="W531" s="30">
        <v>26215.44999999999</v>
      </c>
      <c r="X531" s="30">
        <v>0</v>
      </c>
      <c r="Y531" s="30">
        <v>0</v>
      </c>
      <c r="Z531" s="30">
        <v>0</v>
      </c>
      <c r="AA531" s="30">
        <v>0</v>
      </c>
      <c r="AB531" s="34">
        <v>1.6791169333542209E-2</v>
      </c>
      <c r="AC531" s="34">
        <v>7.4861772083022499E-2</v>
      </c>
      <c r="AD531" s="34">
        <v>0.21532103905999123</v>
      </c>
      <c r="AE531" s="34">
        <v>0.21532103905999123</v>
      </c>
      <c r="AF531" s="34">
        <v>0.21532103905999123</v>
      </c>
      <c r="AG531" s="34">
        <v>0</v>
      </c>
      <c r="AH531" s="34">
        <v>0</v>
      </c>
      <c r="AI531" s="37">
        <f t="shared" si="76"/>
        <v>1270.0999999999997</v>
      </c>
      <c r="AJ531" s="37">
        <f t="shared" si="77"/>
        <v>7628.1765148247669</v>
      </c>
      <c r="AK531" s="37">
        <f t="shared" si="78"/>
        <v>18529.572596089394</v>
      </c>
      <c r="AL531" s="37">
        <f t="shared" si="79"/>
        <v>18529.572596089387</v>
      </c>
      <c r="AM531" s="37">
        <f t="shared" si="80"/>
        <v>18529.572596089394</v>
      </c>
      <c r="AN531" s="37">
        <f t="shared" si="81"/>
        <v>0</v>
      </c>
      <c r="AO531" s="37">
        <f t="shared" si="82"/>
        <v>0</v>
      </c>
    </row>
    <row r="532" spans="1:41" hidden="1" x14ac:dyDescent="0.3">
      <c r="A532" t="str">
        <f t="shared" si="74"/>
        <v>411jul</v>
      </c>
      <c r="B532" t="str">
        <f t="shared" si="75"/>
        <v>OUTLET 3ER ANILLO SCZjul</v>
      </c>
      <c r="C532" s="1" t="s">
        <v>92</v>
      </c>
      <c r="D532" s="1" t="s">
        <v>43</v>
      </c>
      <c r="E532" s="1">
        <v>411</v>
      </c>
      <c r="F532" s="1" t="s">
        <v>119</v>
      </c>
      <c r="G532" s="1" t="s">
        <v>122</v>
      </c>
      <c r="H532" s="1" t="s">
        <v>119</v>
      </c>
      <c r="I532" s="1" t="s">
        <v>127</v>
      </c>
      <c r="J532" s="1" t="s">
        <v>136</v>
      </c>
      <c r="K532" t="s">
        <v>86</v>
      </c>
      <c r="L532" s="6">
        <v>80941.73</v>
      </c>
      <c r="M532" s="6">
        <v>19325.320000000003</v>
      </c>
      <c r="N532" s="6">
        <v>107466.77</v>
      </c>
      <c r="O532" s="6">
        <v>30142.800000000017</v>
      </c>
      <c r="P532" s="6">
        <v>103285.55759999991</v>
      </c>
      <c r="Q532" s="6">
        <v>25930.587755499979</v>
      </c>
      <c r="R532" s="6">
        <v>79957.609999999928</v>
      </c>
      <c r="S532" s="6">
        <v>25298.8500000001</v>
      </c>
      <c r="T532" s="6">
        <v>79957.609999999986</v>
      </c>
      <c r="U532" s="6">
        <v>25298.849999999984</v>
      </c>
      <c r="V532" s="30">
        <v>79957.610000000306</v>
      </c>
      <c r="W532" s="30">
        <v>25298.850000000082</v>
      </c>
      <c r="X532" s="30">
        <v>0</v>
      </c>
      <c r="Y532" s="30">
        <v>0</v>
      </c>
      <c r="Z532" s="30">
        <v>0</v>
      </c>
      <c r="AA532" s="30">
        <v>0</v>
      </c>
      <c r="AB532" s="34">
        <v>6.077940266411426E-2</v>
      </c>
      <c r="AC532" s="34">
        <v>7.8043256188294302E-2</v>
      </c>
      <c r="AD532" s="34">
        <v>0.27571259321032704</v>
      </c>
      <c r="AE532" s="34">
        <v>0.27571259321032704</v>
      </c>
      <c r="AF532" s="34">
        <v>0.27571259321032704</v>
      </c>
      <c r="AG532" s="34">
        <v>0</v>
      </c>
      <c r="AH532" s="34">
        <v>0</v>
      </c>
      <c r="AI532" s="37">
        <f t="shared" si="76"/>
        <v>4919.5900000000165</v>
      </c>
      <c r="AJ532" s="37">
        <f t="shared" si="77"/>
        <v>8387.0566628385004</v>
      </c>
      <c r="AK532" s="37">
        <f t="shared" si="78"/>
        <v>22045.319999999974</v>
      </c>
      <c r="AL532" s="37">
        <f t="shared" si="79"/>
        <v>22045.319999999956</v>
      </c>
      <c r="AM532" s="37">
        <f t="shared" si="80"/>
        <v>22045.320000000062</v>
      </c>
      <c r="AN532" s="37">
        <f t="shared" si="81"/>
        <v>0</v>
      </c>
      <c r="AO532" s="37">
        <f t="shared" si="82"/>
        <v>0</v>
      </c>
    </row>
    <row r="533" spans="1:41" hidden="1" x14ac:dyDescent="0.3">
      <c r="A533" t="str">
        <f t="shared" si="74"/>
        <v>411ago</v>
      </c>
      <c r="B533" t="str">
        <f t="shared" si="75"/>
        <v>OUTLET 3ER ANILLO SCZago</v>
      </c>
      <c r="C533" s="1" t="s">
        <v>92</v>
      </c>
      <c r="D533" s="1" t="s">
        <v>43</v>
      </c>
      <c r="E533" s="1">
        <v>411</v>
      </c>
      <c r="F533" s="1" t="s">
        <v>119</v>
      </c>
      <c r="G533" s="1" t="s">
        <v>122</v>
      </c>
      <c r="H533" s="1" t="s">
        <v>119</v>
      </c>
      <c r="I533" s="1" t="s">
        <v>127</v>
      </c>
      <c r="J533" s="1" t="s">
        <v>136</v>
      </c>
      <c r="K533" t="s">
        <v>87</v>
      </c>
      <c r="L533" s="6">
        <v>175479.7</v>
      </c>
      <c r="M533" s="6">
        <v>20497.020000000051</v>
      </c>
      <c r="N533" s="6">
        <v>122406.73000000001</v>
      </c>
      <c r="O533" s="6">
        <v>20036.360000000022</v>
      </c>
      <c r="P533" s="6">
        <v>130933.99423999985</v>
      </c>
      <c r="Q533" s="6">
        <v>21923.623788399978</v>
      </c>
      <c r="R533" s="6">
        <v>138090.17110724773</v>
      </c>
      <c r="S533" s="6">
        <v>29093.524413662206</v>
      </c>
      <c r="T533" s="6">
        <v>127599.82000000012</v>
      </c>
      <c r="U533" s="6">
        <v>10782.850000000122</v>
      </c>
      <c r="V533" s="30">
        <v>127599.82000000031</v>
      </c>
      <c r="W533" s="30">
        <v>26883.365040265846</v>
      </c>
      <c r="X533" s="30">
        <v>0</v>
      </c>
      <c r="Y533" s="30">
        <v>0</v>
      </c>
      <c r="Z533" s="30">
        <v>0</v>
      </c>
      <c r="AA533" s="30">
        <v>0</v>
      </c>
      <c r="AB533" s="34">
        <v>1.2965431329093958E-2</v>
      </c>
      <c r="AC533" s="34">
        <v>1.3991948979197198E-2</v>
      </c>
      <c r="AD533" s="34">
        <v>9.3468940630166447E-2</v>
      </c>
      <c r="AE533" s="34">
        <v>0.11</v>
      </c>
      <c r="AF533" s="34">
        <v>0.11</v>
      </c>
      <c r="AG533" s="34">
        <v>0</v>
      </c>
      <c r="AH533" s="34">
        <v>0</v>
      </c>
      <c r="AI533" s="37">
        <f t="shared" si="76"/>
        <v>2275.1700000000092</v>
      </c>
      <c r="AJ533" s="37">
        <f t="shared" si="77"/>
        <v>1712.7087208703672</v>
      </c>
      <c r="AK533" s="37">
        <f t="shared" si="78"/>
        <v>11926.619999999937</v>
      </c>
      <c r="AL533" s="37">
        <f t="shared" si="79"/>
        <v>15189.918821797251</v>
      </c>
      <c r="AM533" s="37">
        <f t="shared" si="80"/>
        <v>14035.980200000035</v>
      </c>
      <c r="AN533" s="37">
        <f t="shared" si="81"/>
        <v>0</v>
      </c>
      <c r="AO533" s="37">
        <f t="shared" si="82"/>
        <v>0</v>
      </c>
    </row>
    <row r="534" spans="1:41" hidden="1" x14ac:dyDescent="0.3">
      <c r="A534" t="str">
        <f t="shared" si="74"/>
        <v>411sep</v>
      </c>
      <c r="B534" t="str">
        <f t="shared" si="75"/>
        <v>OUTLET 3ER ANILLO SCZsep</v>
      </c>
      <c r="C534" s="1" t="s">
        <v>92</v>
      </c>
      <c r="D534" s="1" t="s">
        <v>43</v>
      </c>
      <c r="E534" s="1">
        <v>411</v>
      </c>
      <c r="F534" s="1" t="s">
        <v>119</v>
      </c>
      <c r="G534" s="1" t="s">
        <v>122</v>
      </c>
      <c r="H534" s="1" t="s">
        <v>119</v>
      </c>
      <c r="I534" s="1" t="s">
        <v>127</v>
      </c>
      <c r="J534" s="1" t="s">
        <v>136</v>
      </c>
      <c r="K534" t="s">
        <v>88</v>
      </c>
      <c r="L534" s="6">
        <v>97705.930000000022</v>
      </c>
      <c r="M534" s="6">
        <v>15863.940000000002</v>
      </c>
      <c r="N534" s="6">
        <v>89690.760000000009</v>
      </c>
      <c r="O534" s="6">
        <v>16687.43</v>
      </c>
      <c r="P534" s="6">
        <v>64975.07046000001</v>
      </c>
      <c r="Q534" s="6">
        <v>15172.510254600003</v>
      </c>
      <c r="R534" s="6">
        <v>38985.042276000007</v>
      </c>
      <c r="S534" s="6">
        <v>9350.9683583884653</v>
      </c>
      <c r="T534" s="6">
        <v>88872.530000000072</v>
      </c>
      <c r="U534" s="6">
        <v>23748.039999999994</v>
      </c>
      <c r="V534" s="30">
        <v>88872.530000000072</v>
      </c>
      <c r="W534" s="30">
        <v>23748.039999999994</v>
      </c>
      <c r="X534" s="30">
        <v>0</v>
      </c>
      <c r="Y534" s="30">
        <v>0</v>
      </c>
      <c r="Z534" s="30">
        <v>0</v>
      </c>
      <c r="AA534" s="30">
        <v>0</v>
      </c>
      <c r="AB534" s="34">
        <v>1.9757859118683968E-2</v>
      </c>
      <c r="AC534" s="34">
        <v>3.3662260870376937E-2</v>
      </c>
      <c r="AD534" s="34">
        <v>0.12102491062198824</v>
      </c>
      <c r="AE534" s="34">
        <v>0.19</v>
      </c>
      <c r="AF534" s="34">
        <v>0.19</v>
      </c>
      <c r="AG534" s="34">
        <v>0</v>
      </c>
      <c r="AH534" s="34">
        <v>0</v>
      </c>
      <c r="AI534" s="37">
        <f t="shared" si="76"/>
        <v>1930.459999999998</v>
      </c>
      <c r="AJ534" s="37">
        <f t="shared" si="77"/>
        <v>3019.1937607823693</v>
      </c>
      <c r="AK534" s="37">
        <f t="shared" si="78"/>
        <v>10755.789999999977</v>
      </c>
      <c r="AL534" s="37">
        <f t="shared" si="79"/>
        <v>7407.1580324400011</v>
      </c>
      <c r="AM534" s="37">
        <f t="shared" si="80"/>
        <v>16885.780700000014</v>
      </c>
      <c r="AN534" s="37">
        <f t="shared" si="81"/>
        <v>0</v>
      </c>
      <c r="AO534" s="37">
        <f t="shared" si="82"/>
        <v>0</v>
      </c>
    </row>
    <row r="535" spans="1:41" hidden="1" x14ac:dyDescent="0.3">
      <c r="A535" t="str">
        <f t="shared" si="74"/>
        <v>411oct</v>
      </c>
      <c r="B535" t="str">
        <f t="shared" si="75"/>
        <v>OUTLET 3ER ANILLO SCZoct</v>
      </c>
      <c r="C535" s="1" t="s">
        <v>92</v>
      </c>
      <c r="D535" s="1" t="s">
        <v>43</v>
      </c>
      <c r="E535" s="1">
        <v>411</v>
      </c>
      <c r="F535" s="1" t="s">
        <v>119</v>
      </c>
      <c r="G535" s="1" t="s">
        <v>122</v>
      </c>
      <c r="H535" s="1" t="s">
        <v>119</v>
      </c>
      <c r="I535" s="1" t="s">
        <v>127</v>
      </c>
      <c r="J535" s="1" t="s">
        <v>136</v>
      </c>
      <c r="K535" t="s">
        <v>89</v>
      </c>
      <c r="L535" s="6">
        <v>84622.690000000031</v>
      </c>
      <c r="M535" s="6">
        <v>12178.080000000053</v>
      </c>
      <c r="N535" s="6">
        <v>86405.83</v>
      </c>
      <c r="O535" s="6">
        <v>17707.430000000008</v>
      </c>
      <c r="P535" s="6">
        <v>112589.05811999999</v>
      </c>
      <c r="Q535" s="6">
        <v>23932.328295599997</v>
      </c>
      <c r="R535" s="6">
        <v>103581.93347039999</v>
      </c>
      <c r="S535" s="6">
        <v>22914.958522037818</v>
      </c>
      <c r="T535" s="6">
        <v>55497.850000000079</v>
      </c>
      <c r="U535" s="6">
        <v>18119.200000000063</v>
      </c>
      <c r="V535" s="30">
        <v>103581.93347039999</v>
      </c>
      <c r="W535" s="30">
        <v>22914.958522037818</v>
      </c>
      <c r="X535" s="30">
        <v>0</v>
      </c>
      <c r="Y535" s="30">
        <v>0</v>
      </c>
      <c r="Z535" s="30">
        <v>0</v>
      </c>
      <c r="AA535" s="30">
        <v>0</v>
      </c>
      <c r="AB535" s="34">
        <v>2.2633645893317747E-2</v>
      </c>
      <c r="AC535" s="34">
        <v>3.961127156115974E-2</v>
      </c>
      <c r="AD535" s="34">
        <v>0.36457250145726366</v>
      </c>
      <c r="AE535" s="34">
        <v>0.08</v>
      </c>
      <c r="AF535" s="34">
        <v>0.08</v>
      </c>
      <c r="AG535" s="34">
        <v>0</v>
      </c>
      <c r="AH535" s="34">
        <v>0</v>
      </c>
      <c r="AI535" s="37">
        <f t="shared" si="76"/>
        <v>1915.3200000000015</v>
      </c>
      <c r="AJ535" s="37">
        <f t="shared" si="77"/>
        <v>3422.644796597403</v>
      </c>
      <c r="AK535" s="37">
        <f t="shared" si="78"/>
        <v>20232.990000000031</v>
      </c>
      <c r="AL535" s="37">
        <f t="shared" si="79"/>
        <v>8286.5546776319989</v>
      </c>
      <c r="AM535" s="37">
        <f t="shared" si="80"/>
        <v>8286.5546776319989</v>
      </c>
      <c r="AN535" s="37">
        <f t="shared" si="81"/>
        <v>0</v>
      </c>
      <c r="AO535" s="37">
        <f t="shared" si="82"/>
        <v>0</v>
      </c>
    </row>
    <row r="536" spans="1:41" hidden="1" x14ac:dyDescent="0.3">
      <c r="A536" t="str">
        <f t="shared" si="74"/>
        <v>411nov</v>
      </c>
      <c r="B536" t="str">
        <f t="shared" si="75"/>
        <v>OUTLET 3ER ANILLO SCZnov</v>
      </c>
      <c r="C536" s="1" t="s">
        <v>92</v>
      </c>
      <c r="D536" s="1" t="s">
        <v>43</v>
      </c>
      <c r="E536" s="1">
        <v>411</v>
      </c>
      <c r="F536" s="1" t="s">
        <v>119</v>
      </c>
      <c r="G536" s="1" t="s">
        <v>122</v>
      </c>
      <c r="H536" s="1" t="s">
        <v>119</v>
      </c>
      <c r="I536" s="1" t="s">
        <v>127</v>
      </c>
      <c r="J536" s="1" t="s">
        <v>136</v>
      </c>
      <c r="K536" t="s">
        <v>90</v>
      </c>
      <c r="L536" s="6">
        <v>75798.080000000002</v>
      </c>
      <c r="M536" s="6">
        <v>8665.1499999999978</v>
      </c>
      <c r="N536" s="6">
        <v>76520.36</v>
      </c>
      <c r="O536" s="6">
        <v>13530.140000000012</v>
      </c>
      <c r="P536" s="6">
        <v>120716.53208</v>
      </c>
      <c r="Q536" s="6">
        <v>24849.520666400003</v>
      </c>
      <c r="R536" s="6">
        <v>108644.878872</v>
      </c>
      <c r="S536" s="6">
        <v>21493.066119835676</v>
      </c>
      <c r="T536" s="6">
        <v>18890.804597701146</v>
      </c>
      <c r="U536" s="6">
        <v>6720.6516820172228</v>
      </c>
      <c r="V536" s="30">
        <v>108644.878872</v>
      </c>
      <c r="W536" s="30">
        <v>21493.066119835676</v>
      </c>
      <c r="X536" s="30">
        <v>0</v>
      </c>
      <c r="Y536" s="30">
        <v>0</v>
      </c>
      <c r="Z536" s="30">
        <v>0</v>
      </c>
      <c r="AA536" s="30">
        <v>0</v>
      </c>
      <c r="AB536" s="34">
        <v>2.2621417323499558E-2</v>
      </c>
      <c r="AC536" s="34">
        <v>3.5268298738175219E-2</v>
      </c>
      <c r="AD536" s="34">
        <v>0.36457250145726366</v>
      </c>
      <c r="AE536" s="34">
        <v>0.09</v>
      </c>
      <c r="AF536" s="34">
        <v>0.09</v>
      </c>
      <c r="AG536" s="34">
        <v>0</v>
      </c>
      <c r="AH536" s="34">
        <v>0</v>
      </c>
      <c r="AI536" s="37">
        <f t="shared" si="76"/>
        <v>1714.6600000000055</v>
      </c>
      <c r="AJ536" s="37">
        <f t="shared" si="77"/>
        <v>2698.7429160327133</v>
      </c>
      <c r="AK536" s="37">
        <f t="shared" si="78"/>
        <v>6887.0678867242841</v>
      </c>
      <c r="AL536" s="37">
        <f t="shared" si="79"/>
        <v>9778.0390984799997</v>
      </c>
      <c r="AM536" s="37">
        <f t="shared" si="80"/>
        <v>9778.0390984799997</v>
      </c>
      <c r="AN536" s="37">
        <f t="shared" si="81"/>
        <v>0</v>
      </c>
      <c r="AO536" s="37">
        <f t="shared" si="82"/>
        <v>0</v>
      </c>
    </row>
    <row r="537" spans="1:41" hidden="1" x14ac:dyDescent="0.3">
      <c r="A537" t="str">
        <f t="shared" si="74"/>
        <v>411dic</v>
      </c>
      <c r="B537" t="str">
        <f t="shared" si="75"/>
        <v>OUTLET 3ER ANILLO SCZdic</v>
      </c>
      <c r="C537" s="1" t="s">
        <v>92</v>
      </c>
      <c r="D537" s="1" t="s">
        <v>43</v>
      </c>
      <c r="E537" s="1">
        <v>411</v>
      </c>
      <c r="F537" s="1" t="s">
        <v>119</v>
      </c>
      <c r="G537" s="1" t="s">
        <v>122</v>
      </c>
      <c r="H537" s="1" t="s">
        <v>119</v>
      </c>
      <c r="I537" s="1" t="s">
        <v>127</v>
      </c>
      <c r="J537" s="1" t="s">
        <v>136</v>
      </c>
      <c r="K537" t="s">
        <v>91</v>
      </c>
      <c r="L537" s="6">
        <v>174668.97000000003</v>
      </c>
      <c r="M537" s="6">
        <v>31190.000000000047</v>
      </c>
      <c r="N537" s="6">
        <v>186469.13</v>
      </c>
      <c r="O537" s="6">
        <v>48745.589999999953</v>
      </c>
      <c r="P537" s="6">
        <v>190847.27230000019</v>
      </c>
      <c r="Q537" s="6">
        <v>49439.405845500056</v>
      </c>
      <c r="R537" s="6">
        <v>171762.54507000017</v>
      </c>
      <c r="S537" s="6">
        <v>35986.983920221021</v>
      </c>
      <c r="T537" s="6">
        <v>112545.25862068964</v>
      </c>
      <c r="U537" s="6">
        <v>36185.96452351207</v>
      </c>
      <c r="V537" s="30">
        <v>171762.54507000017</v>
      </c>
      <c r="W537" s="30">
        <v>35986.983920221021</v>
      </c>
      <c r="X537" s="30">
        <v>0</v>
      </c>
      <c r="Y537" s="30">
        <v>0</v>
      </c>
      <c r="Z537" s="30">
        <v>0</v>
      </c>
      <c r="AA537" s="30">
        <v>0</v>
      </c>
      <c r="AB537" s="34">
        <v>5.139212763434748E-2</v>
      </c>
      <c r="AC537" s="34">
        <v>0.10414353831184109</v>
      </c>
      <c r="AD537" s="34">
        <v>0.36457250145726366</v>
      </c>
      <c r="AE537" s="34">
        <v>4.9999999999999996E-2</v>
      </c>
      <c r="AF537" s="34">
        <v>4.9999999999999996E-2</v>
      </c>
      <c r="AG537" s="34">
        <v>0</v>
      </c>
      <c r="AH537" s="34">
        <v>0</v>
      </c>
      <c r="AI537" s="37">
        <f t="shared" si="76"/>
        <v>8976.6100000000133</v>
      </c>
      <c r="AJ537" s="37">
        <f t="shared" si="77"/>
        <v>19419.554984130678</v>
      </c>
      <c r="AK537" s="37">
        <f t="shared" si="78"/>
        <v>41030.906462499486</v>
      </c>
      <c r="AL537" s="37">
        <f t="shared" si="79"/>
        <v>8588.127253500008</v>
      </c>
      <c r="AM537" s="37">
        <f t="shared" si="80"/>
        <v>8588.127253500008</v>
      </c>
      <c r="AN537" s="37">
        <f t="shared" si="81"/>
        <v>0</v>
      </c>
      <c r="AO537" s="37">
        <f t="shared" si="82"/>
        <v>0</v>
      </c>
    </row>
    <row r="538" spans="1:41" hidden="1" x14ac:dyDescent="0.3">
      <c r="A538" t="str">
        <f t="shared" si="74"/>
        <v>418ene</v>
      </c>
      <c r="B538" t="str">
        <f t="shared" si="75"/>
        <v>OUTLET BANZERene</v>
      </c>
      <c r="C538" s="1" t="s">
        <v>92</v>
      </c>
      <c r="D538" s="1" t="s">
        <v>44</v>
      </c>
      <c r="E538" s="1">
        <v>418</v>
      </c>
      <c r="F538" s="1" t="s">
        <v>121</v>
      </c>
      <c r="G538" s="1" t="s">
        <v>121</v>
      </c>
      <c r="H538" s="1" t="s">
        <v>121</v>
      </c>
      <c r="I538" s="1" t="s">
        <v>127</v>
      </c>
      <c r="J538" s="1" t="s">
        <v>136</v>
      </c>
      <c r="K538" t="s">
        <v>80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30">
        <v>100098.06000000019</v>
      </c>
      <c r="W538" s="30">
        <v>0</v>
      </c>
      <c r="X538" s="30">
        <v>105102.96300000019</v>
      </c>
      <c r="Y538" s="30">
        <v>27213.817248082465</v>
      </c>
      <c r="Z538" s="30">
        <v>70719.109195402285</v>
      </c>
      <c r="AA538" s="30">
        <v>23153.982842603182</v>
      </c>
      <c r="AB538" s="34">
        <v>0</v>
      </c>
      <c r="AC538" s="34">
        <v>0</v>
      </c>
      <c r="AD538" s="34">
        <v>0</v>
      </c>
      <c r="AE538" s="34">
        <v>0</v>
      </c>
      <c r="AF538" s="34">
        <v>0</v>
      </c>
      <c r="AG538" s="34">
        <v>0.11999999999999998</v>
      </c>
      <c r="AH538" s="34">
        <v>0.1731148606779695</v>
      </c>
      <c r="AI538" s="37">
        <f t="shared" si="76"/>
        <v>0</v>
      </c>
      <c r="AJ538" s="37">
        <f t="shared" si="77"/>
        <v>0</v>
      </c>
      <c r="AK538" s="37">
        <f t="shared" si="78"/>
        <v>0</v>
      </c>
      <c r="AL538" s="37">
        <f t="shared" si="79"/>
        <v>0</v>
      </c>
      <c r="AM538" s="37">
        <f t="shared" si="80"/>
        <v>0</v>
      </c>
      <c r="AN538" s="37">
        <f t="shared" si="81"/>
        <v>12612.355560000022</v>
      </c>
      <c r="AO538" s="37">
        <f t="shared" si="82"/>
        <v>12242.528735632179</v>
      </c>
    </row>
    <row r="539" spans="1:41" hidden="1" x14ac:dyDescent="0.3">
      <c r="A539" t="str">
        <f t="shared" si="74"/>
        <v>418feb</v>
      </c>
      <c r="B539" t="str">
        <f t="shared" si="75"/>
        <v>OUTLET BANZERfeb</v>
      </c>
      <c r="C539" s="1" t="s">
        <v>92</v>
      </c>
      <c r="D539" s="1" t="s">
        <v>44</v>
      </c>
      <c r="E539" s="1">
        <v>418</v>
      </c>
      <c r="F539" s="1" t="s">
        <v>121</v>
      </c>
      <c r="G539" s="1" t="s">
        <v>121</v>
      </c>
      <c r="H539" s="1" t="s">
        <v>121</v>
      </c>
      <c r="I539" s="1" t="s">
        <v>127</v>
      </c>
      <c r="J539" s="1" t="s">
        <v>136</v>
      </c>
      <c r="K539" t="s">
        <v>81</v>
      </c>
      <c r="L539" s="6">
        <v>0</v>
      </c>
      <c r="M539" s="6">
        <v>0</v>
      </c>
      <c r="N539" s="6">
        <v>0</v>
      </c>
      <c r="O539" s="6">
        <v>0</v>
      </c>
      <c r="P539" s="6">
        <v>44172.638212499995</v>
      </c>
      <c r="Q539" s="6">
        <v>7877</v>
      </c>
      <c r="R539" s="6">
        <v>0</v>
      </c>
      <c r="S539" s="6">
        <v>0</v>
      </c>
      <c r="T539" s="6">
        <v>0</v>
      </c>
      <c r="U539" s="6">
        <v>0</v>
      </c>
      <c r="V539" s="30">
        <v>129738.67999999993</v>
      </c>
      <c r="W539" s="30">
        <v>0</v>
      </c>
      <c r="X539" s="30">
        <v>136225.61399999994</v>
      </c>
      <c r="Y539" s="30">
        <v>33989.626598992414</v>
      </c>
      <c r="Z539" s="30">
        <v>105850.57471264437</v>
      </c>
      <c r="AA539" s="30">
        <v>20222.146461813361</v>
      </c>
      <c r="AB539" s="34">
        <v>0</v>
      </c>
      <c r="AC539" s="34">
        <v>0</v>
      </c>
      <c r="AD539" s="34">
        <v>0</v>
      </c>
      <c r="AE539" s="34">
        <v>0</v>
      </c>
      <c r="AF539" s="34">
        <v>0</v>
      </c>
      <c r="AG539" s="34">
        <v>0.09</v>
      </c>
      <c r="AH539" s="34">
        <v>0.12248344011293261</v>
      </c>
      <c r="AI539" s="37">
        <f t="shared" si="76"/>
        <v>0</v>
      </c>
      <c r="AJ539" s="37">
        <f t="shared" si="77"/>
        <v>0</v>
      </c>
      <c r="AK539" s="37">
        <f t="shared" si="78"/>
        <v>0</v>
      </c>
      <c r="AL539" s="37">
        <f t="shared" si="79"/>
        <v>0</v>
      </c>
      <c r="AM539" s="37">
        <f t="shared" si="80"/>
        <v>0</v>
      </c>
      <c r="AN539" s="37">
        <f t="shared" si="81"/>
        <v>12260.305259999994</v>
      </c>
      <c r="AO539" s="37">
        <f t="shared" si="82"/>
        <v>12964.942528735675</v>
      </c>
    </row>
    <row r="540" spans="1:41" hidden="1" x14ac:dyDescent="0.3">
      <c r="A540" t="str">
        <f t="shared" si="74"/>
        <v>418mar</v>
      </c>
      <c r="B540" t="str">
        <f t="shared" si="75"/>
        <v>OUTLET BANZERmar</v>
      </c>
      <c r="C540" s="1" t="s">
        <v>92</v>
      </c>
      <c r="D540" s="1" t="s">
        <v>44</v>
      </c>
      <c r="E540" s="1">
        <v>418</v>
      </c>
      <c r="F540" s="1" t="s">
        <v>121</v>
      </c>
      <c r="G540" s="1" t="s">
        <v>121</v>
      </c>
      <c r="H540" s="1" t="s">
        <v>121</v>
      </c>
      <c r="I540" s="1" t="s">
        <v>127</v>
      </c>
      <c r="J540" s="1" t="s">
        <v>136</v>
      </c>
      <c r="K540" t="s">
        <v>82</v>
      </c>
      <c r="L540" s="6">
        <v>0</v>
      </c>
      <c r="M540" s="6">
        <v>0</v>
      </c>
      <c r="N540" s="6">
        <v>0</v>
      </c>
      <c r="O540" s="6">
        <v>0</v>
      </c>
      <c r="P540" s="6">
        <v>125273.16539499989</v>
      </c>
      <c r="Q540" s="6">
        <v>26145</v>
      </c>
      <c r="R540" s="6">
        <v>44265.350000000013</v>
      </c>
      <c r="S540" s="6">
        <v>10625.745399287023</v>
      </c>
      <c r="T540" s="6">
        <v>44265.350000000042</v>
      </c>
      <c r="U540" s="6">
        <v>10622.470000000038</v>
      </c>
      <c r="V540" s="30">
        <v>100098.06000000019</v>
      </c>
      <c r="W540" s="30">
        <v>24020.789159200249</v>
      </c>
      <c r="X540" s="30">
        <v>105102.96300000018</v>
      </c>
      <c r="Y540" s="30">
        <v>27873.54876810874</v>
      </c>
      <c r="Z540" s="30">
        <v>94671.775097180187</v>
      </c>
      <c r="AA540" s="30">
        <v>23762.615549392227</v>
      </c>
      <c r="AB540" s="34">
        <v>0</v>
      </c>
      <c r="AC540" s="34">
        <v>0</v>
      </c>
      <c r="AD540" s="34">
        <v>4.8261947347235164E-2</v>
      </c>
      <c r="AE540" s="34">
        <v>4.8261947347235101E-2</v>
      </c>
      <c r="AF540" s="34">
        <v>4.8261947347235101E-2</v>
      </c>
      <c r="AG540" s="34">
        <v>0.14000000000000001</v>
      </c>
      <c r="AH540" s="34">
        <v>0.16665147691748497</v>
      </c>
      <c r="AI540" s="37">
        <f t="shared" si="76"/>
        <v>0</v>
      </c>
      <c r="AJ540" s="37">
        <f t="shared" si="77"/>
        <v>0</v>
      </c>
      <c r="AK540" s="37">
        <f t="shared" si="78"/>
        <v>2136.3319910069381</v>
      </c>
      <c r="AL540" s="37">
        <f t="shared" si="79"/>
        <v>2136.331991006934</v>
      </c>
      <c r="AM540" s="37">
        <f t="shared" si="80"/>
        <v>4830.9273012803887</v>
      </c>
      <c r="AN540" s="37">
        <f t="shared" si="81"/>
        <v>14714.414820000025</v>
      </c>
      <c r="AO540" s="37">
        <f t="shared" si="82"/>
        <v>15777.191142345053</v>
      </c>
    </row>
    <row r="541" spans="1:41" hidden="1" x14ac:dyDescent="0.3">
      <c r="A541" t="str">
        <f t="shared" si="74"/>
        <v>418abr</v>
      </c>
      <c r="B541" t="str">
        <f t="shared" si="75"/>
        <v>OUTLET BANZERabr</v>
      </c>
      <c r="C541" s="1" t="s">
        <v>92</v>
      </c>
      <c r="D541" s="1" t="s">
        <v>44</v>
      </c>
      <c r="E541" s="1">
        <v>418</v>
      </c>
      <c r="F541" s="1" t="s">
        <v>121</v>
      </c>
      <c r="G541" s="1" t="s">
        <v>121</v>
      </c>
      <c r="H541" s="1" t="s">
        <v>121</v>
      </c>
      <c r="I541" s="1" t="s">
        <v>127</v>
      </c>
      <c r="J541" s="1" t="s">
        <v>136</v>
      </c>
      <c r="K541" t="s">
        <v>83</v>
      </c>
      <c r="L541" s="6">
        <v>0</v>
      </c>
      <c r="M541" s="6">
        <v>0</v>
      </c>
      <c r="N541" s="6">
        <v>0</v>
      </c>
      <c r="O541" s="6">
        <v>0</v>
      </c>
      <c r="P541" s="6">
        <v>123172.32301599998</v>
      </c>
      <c r="Q541" s="6">
        <v>26440</v>
      </c>
      <c r="R541" s="6">
        <v>141584.12000000014</v>
      </c>
      <c r="S541" s="6">
        <v>40621.173440013416</v>
      </c>
      <c r="T541" s="6">
        <v>141584.12000000017</v>
      </c>
      <c r="U541" s="6">
        <v>40618.100000000268</v>
      </c>
      <c r="V541" s="30">
        <v>141584.12000000011</v>
      </c>
      <c r="W541" s="30">
        <v>40618.100000000246</v>
      </c>
      <c r="X541" s="30">
        <v>148663.32600000012</v>
      </c>
      <c r="Y541" s="30">
        <v>40359.01775028347</v>
      </c>
      <c r="Z541" s="30">
        <v>0</v>
      </c>
      <c r="AA541" s="30">
        <v>0</v>
      </c>
      <c r="AB541" s="34">
        <v>0</v>
      </c>
      <c r="AC541" s="34">
        <v>0</v>
      </c>
      <c r="AD541" s="34">
        <v>8.0326619908137928E-2</v>
      </c>
      <c r="AE541" s="34">
        <v>8.0326619908138053E-2</v>
      </c>
      <c r="AF541" s="34">
        <v>8.0326619908138053E-2</v>
      </c>
      <c r="AG541" s="34">
        <v>0.16000000000000003</v>
      </c>
      <c r="AH541" s="34">
        <v>0</v>
      </c>
      <c r="AI541" s="37">
        <f t="shared" si="76"/>
        <v>0</v>
      </c>
      <c r="AJ541" s="37">
        <f t="shared" si="77"/>
        <v>0</v>
      </c>
      <c r="AK541" s="37">
        <f t="shared" si="78"/>
        <v>11372.973792268203</v>
      </c>
      <c r="AL541" s="37">
        <f t="shared" si="79"/>
        <v>11372.973792268218</v>
      </c>
      <c r="AM541" s="37">
        <f t="shared" si="80"/>
        <v>11372.973792268216</v>
      </c>
      <c r="AN541" s="37">
        <f t="shared" si="81"/>
        <v>23786.132160000023</v>
      </c>
      <c r="AO541" s="37">
        <f t="shared" si="82"/>
        <v>0</v>
      </c>
    </row>
    <row r="542" spans="1:41" hidden="1" x14ac:dyDescent="0.3">
      <c r="A542" t="str">
        <f t="shared" si="74"/>
        <v>418may</v>
      </c>
      <c r="B542" t="str">
        <f t="shared" si="75"/>
        <v>OUTLET BANZERmay</v>
      </c>
      <c r="C542" s="1" t="s">
        <v>92</v>
      </c>
      <c r="D542" s="1" t="s">
        <v>44</v>
      </c>
      <c r="E542" s="1">
        <v>418</v>
      </c>
      <c r="F542" s="1" t="s">
        <v>121</v>
      </c>
      <c r="G542" s="1" t="s">
        <v>121</v>
      </c>
      <c r="H542" s="1" t="s">
        <v>121</v>
      </c>
      <c r="I542" s="1" t="s">
        <v>127</v>
      </c>
      <c r="J542" s="1" t="s">
        <v>136</v>
      </c>
      <c r="K542" t="s">
        <v>84</v>
      </c>
      <c r="L542" s="6">
        <v>0</v>
      </c>
      <c r="M542" s="6">
        <v>0</v>
      </c>
      <c r="N542" s="6">
        <v>0</v>
      </c>
      <c r="O542" s="6">
        <v>0</v>
      </c>
      <c r="P542" s="6">
        <v>123236.23457649995</v>
      </c>
      <c r="Q542" s="6">
        <v>25413.734598592488</v>
      </c>
      <c r="R542" s="6">
        <v>104451.31000000027</v>
      </c>
      <c r="S542" s="6">
        <v>31822.816887308796</v>
      </c>
      <c r="T542" s="6">
        <v>104451.31000000019</v>
      </c>
      <c r="U542" s="6">
        <v>31819.820000000269</v>
      </c>
      <c r="V542" s="30">
        <v>104451.31000000019</v>
      </c>
      <c r="W542" s="30">
        <v>31819.820000000273</v>
      </c>
      <c r="X542" s="30">
        <v>135786.70300000024</v>
      </c>
      <c r="Y542" s="30">
        <v>37715.614393005191</v>
      </c>
      <c r="Z542" s="30">
        <v>0</v>
      </c>
      <c r="AA542" s="30">
        <v>0</v>
      </c>
      <c r="AB542" s="34">
        <v>0</v>
      </c>
      <c r="AC542" s="34">
        <v>0</v>
      </c>
      <c r="AD542" s="34">
        <v>7.9752243105732368E-2</v>
      </c>
      <c r="AE542" s="34">
        <v>7.975224310573234E-2</v>
      </c>
      <c r="AF542" s="34">
        <v>7.975224310573234E-2</v>
      </c>
      <c r="AG542" s="34">
        <v>0.18</v>
      </c>
      <c r="AH542" s="34">
        <v>0</v>
      </c>
      <c r="AI542" s="37">
        <f t="shared" si="76"/>
        <v>0</v>
      </c>
      <c r="AJ542" s="37">
        <f t="shared" si="77"/>
        <v>0</v>
      </c>
      <c r="AK542" s="37">
        <f t="shared" si="78"/>
        <v>8330.2262678322295</v>
      </c>
      <c r="AL542" s="37">
        <f t="shared" si="79"/>
        <v>8330.2262678322331</v>
      </c>
      <c r="AM542" s="37">
        <f t="shared" si="80"/>
        <v>8330.2262678322259</v>
      </c>
      <c r="AN542" s="37">
        <f t="shared" si="81"/>
        <v>24441.606540000044</v>
      </c>
      <c r="AO542" s="37">
        <f t="shared" si="82"/>
        <v>0</v>
      </c>
    </row>
    <row r="543" spans="1:41" hidden="1" x14ac:dyDescent="0.3">
      <c r="A543" t="str">
        <f t="shared" si="74"/>
        <v>418jun</v>
      </c>
      <c r="B543" t="str">
        <f t="shared" si="75"/>
        <v>OUTLET BANZERjun</v>
      </c>
      <c r="C543" s="1" t="s">
        <v>92</v>
      </c>
      <c r="D543" s="1" t="s">
        <v>44</v>
      </c>
      <c r="E543" s="1">
        <v>418</v>
      </c>
      <c r="F543" s="1" t="s">
        <v>121</v>
      </c>
      <c r="G543" s="1" t="s">
        <v>121</v>
      </c>
      <c r="H543" s="1" t="s">
        <v>121</v>
      </c>
      <c r="I543" s="1" t="s">
        <v>127</v>
      </c>
      <c r="J543" s="1" t="s">
        <v>136</v>
      </c>
      <c r="K543" t="s">
        <v>85</v>
      </c>
      <c r="L543" s="6">
        <v>0</v>
      </c>
      <c r="M543" s="6">
        <v>0</v>
      </c>
      <c r="N543" s="6">
        <v>0</v>
      </c>
      <c r="O543" s="6">
        <v>0</v>
      </c>
      <c r="P543" s="6">
        <v>121184.27984749989</v>
      </c>
      <c r="Q543" s="6">
        <v>28207.750906637477</v>
      </c>
      <c r="R543" s="6">
        <v>120142.45000000006</v>
      </c>
      <c r="S543" s="6">
        <v>39053.293660625881</v>
      </c>
      <c r="T543" s="6">
        <v>120142.45000000017</v>
      </c>
      <c r="U543" s="6">
        <v>39055.760000000242</v>
      </c>
      <c r="V543" s="30">
        <v>120142.45000000007</v>
      </c>
      <c r="W543" s="30">
        <v>39055.760000000206</v>
      </c>
      <c r="X543" s="30">
        <v>156185.18500000006</v>
      </c>
      <c r="Y543" s="30">
        <v>43381.421606209638</v>
      </c>
      <c r="Z543" s="30">
        <v>0</v>
      </c>
      <c r="AA543" s="30">
        <v>0</v>
      </c>
      <c r="AB543" s="34">
        <v>0</v>
      </c>
      <c r="AC543" s="34">
        <v>0</v>
      </c>
      <c r="AD543" s="34">
        <v>0.14566890133801177</v>
      </c>
      <c r="AE543" s="34">
        <v>0.14566890133801175</v>
      </c>
      <c r="AF543" s="34">
        <v>0.14566890133801175</v>
      </c>
      <c r="AG543" s="34">
        <v>0.18000000000000002</v>
      </c>
      <c r="AH543" s="34">
        <v>0</v>
      </c>
      <c r="AI543" s="37">
        <f t="shared" si="76"/>
        <v>0</v>
      </c>
      <c r="AJ543" s="37">
        <f t="shared" si="77"/>
        <v>0</v>
      </c>
      <c r="AK543" s="37">
        <f t="shared" si="78"/>
        <v>17501.018695557039</v>
      </c>
      <c r="AL543" s="37">
        <f t="shared" si="79"/>
        <v>17501.018695557017</v>
      </c>
      <c r="AM543" s="37">
        <f t="shared" si="80"/>
        <v>17501.018695557021</v>
      </c>
      <c r="AN543" s="37">
        <f t="shared" si="81"/>
        <v>28113.333300000013</v>
      </c>
      <c r="AO543" s="37">
        <f t="shared" si="82"/>
        <v>0</v>
      </c>
    </row>
    <row r="544" spans="1:41" hidden="1" x14ac:dyDescent="0.3">
      <c r="A544" t="str">
        <f t="shared" si="74"/>
        <v>418jul</v>
      </c>
      <c r="B544" t="str">
        <f t="shared" si="75"/>
        <v>OUTLET BANZERjul</v>
      </c>
      <c r="C544" s="1" t="s">
        <v>92</v>
      </c>
      <c r="D544" s="1" t="s">
        <v>44</v>
      </c>
      <c r="E544" s="1">
        <v>418</v>
      </c>
      <c r="F544" s="1" t="s">
        <v>121</v>
      </c>
      <c r="G544" s="1" t="s">
        <v>121</v>
      </c>
      <c r="H544" s="1" t="s">
        <v>121</v>
      </c>
      <c r="I544" s="1" t="s">
        <v>127</v>
      </c>
      <c r="J544" s="1" t="s">
        <v>136</v>
      </c>
      <c r="K544" t="s">
        <v>86</v>
      </c>
      <c r="L544" s="6">
        <v>0</v>
      </c>
      <c r="M544" s="6">
        <v>0</v>
      </c>
      <c r="N544" s="6">
        <v>0</v>
      </c>
      <c r="O544" s="6">
        <v>0</v>
      </c>
      <c r="P544" s="6">
        <v>118778.39123999988</v>
      </c>
      <c r="Q544" s="6">
        <v>29820.175918824971</v>
      </c>
      <c r="R544" s="6">
        <v>100098.05999999998</v>
      </c>
      <c r="S544" s="6">
        <v>35804.280000000137</v>
      </c>
      <c r="T544" s="6">
        <v>100098.05999999988</v>
      </c>
      <c r="U544" s="6">
        <v>35804.279999999912</v>
      </c>
      <c r="V544" s="30">
        <v>100098.06000000019</v>
      </c>
      <c r="W544" s="30">
        <v>35804.280000000021</v>
      </c>
      <c r="X544" s="30">
        <v>130127.47800000024</v>
      </c>
      <c r="Y544" s="30">
        <v>36552.134132025509</v>
      </c>
      <c r="Z544" s="30">
        <v>0</v>
      </c>
      <c r="AA544" s="30">
        <v>0</v>
      </c>
      <c r="AB544" s="34">
        <v>0</v>
      </c>
      <c r="AC544" s="34">
        <v>0</v>
      </c>
      <c r="AD544" s="34">
        <v>0.23444909921331097</v>
      </c>
      <c r="AE544" s="34">
        <v>0.23444909921331097</v>
      </c>
      <c r="AF544" s="34">
        <v>0.23444909921331097</v>
      </c>
      <c r="AG544" s="34">
        <v>0.19</v>
      </c>
      <c r="AH544" s="34">
        <v>0</v>
      </c>
      <c r="AI544" s="37">
        <f t="shared" si="76"/>
        <v>0</v>
      </c>
      <c r="AJ544" s="37">
        <f t="shared" si="77"/>
        <v>0</v>
      </c>
      <c r="AK544" s="37">
        <f t="shared" si="78"/>
        <v>23467.899999999925</v>
      </c>
      <c r="AL544" s="37">
        <f t="shared" si="79"/>
        <v>23467.899999999951</v>
      </c>
      <c r="AM544" s="37">
        <f t="shared" si="80"/>
        <v>23467.899999999998</v>
      </c>
      <c r="AN544" s="37">
        <f t="shared" si="81"/>
        <v>24724.220820000046</v>
      </c>
      <c r="AO544" s="37">
        <f t="shared" si="82"/>
        <v>0</v>
      </c>
    </row>
    <row r="545" spans="1:41" hidden="1" x14ac:dyDescent="0.3">
      <c r="A545" t="str">
        <f t="shared" si="74"/>
        <v>418ago</v>
      </c>
      <c r="B545" t="str">
        <f t="shared" si="75"/>
        <v>OUTLET BANZERago</v>
      </c>
      <c r="C545" s="1" t="s">
        <v>92</v>
      </c>
      <c r="D545" s="1" t="s">
        <v>44</v>
      </c>
      <c r="E545" s="1">
        <v>418</v>
      </c>
      <c r="F545" s="1" t="s">
        <v>121</v>
      </c>
      <c r="G545" s="1" t="s">
        <v>121</v>
      </c>
      <c r="H545" s="1" t="s">
        <v>121</v>
      </c>
      <c r="I545" s="1" t="s">
        <v>127</v>
      </c>
      <c r="J545" s="1" t="s">
        <v>136</v>
      </c>
      <c r="K545" t="s">
        <v>87</v>
      </c>
      <c r="L545" s="6">
        <v>0</v>
      </c>
      <c r="M545" s="6">
        <v>0</v>
      </c>
      <c r="N545" s="6">
        <v>0</v>
      </c>
      <c r="O545" s="6">
        <v>0</v>
      </c>
      <c r="P545" s="6">
        <v>150574.09337599983</v>
      </c>
      <c r="Q545" s="6">
        <v>27050</v>
      </c>
      <c r="R545" s="6">
        <v>184120.22814299693</v>
      </c>
      <c r="S545" s="6">
        <v>37183.080073478231</v>
      </c>
      <c r="T545" s="6">
        <v>162173.34999999998</v>
      </c>
      <c r="U545" s="6">
        <v>22499.600000000093</v>
      </c>
      <c r="V545" s="30">
        <v>162173.34999999992</v>
      </c>
      <c r="W545" s="30">
        <v>32750.908032499981</v>
      </c>
      <c r="X545" s="30">
        <v>210825.35499999989</v>
      </c>
      <c r="Y545" s="30">
        <v>52602.993546059675</v>
      </c>
      <c r="Z545" s="30">
        <v>0</v>
      </c>
      <c r="AA545" s="30">
        <v>0</v>
      </c>
      <c r="AB545" s="34">
        <v>0</v>
      </c>
      <c r="AC545" s="34">
        <v>0</v>
      </c>
      <c r="AD545" s="34">
        <v>8.0018572718637521E-2</v>
      </c>
      <c r="AE545" s="34">
        <v>7.0000000000000021E-2</v>
      </c>
      <c r="AF545" s="34">
        <v>7.0000000000000021E-2</v>
      </c>
      <c r="AG545" s="34">
        <v>9.0000000000000011E-2</v>
      </c>
      <c r="AH545" s="34">
        <v>0</v>
      </c>
      <c r="AI545" s="37">
        <f t="shared" si="76"/>
        <v>0</v>
      </c>
      <c r="AJ545" s="37">
        <f t="shared" si="77"/>
        <v>0</v>
      </c>
      <c r="AK545" s="37">
        <f t="shared" si="78"/>
        <v>12976.880000000052</v>
      </c>
      <c r="AL545" s="37">
        <f t="shared" si="79"/>
        <v>12888.415970009788</v>
      </c>
      <c r="AM545" s="37">
        <f t="shared" si="80"/>
        <v>11352.134499999998</v>
      </c>
      <c r="AN545" s="37">
        <f t="shared" si="81"/>
        <v>18974.281949999993</v>
      </c>
      <c r="AO545" s="37">
        <f t="shared" si="82"/>
        <v>0</v>
      </c>
    </row>
    <row r="546" spans="1:41" hidden="1" x14ac:dyDescent="0.3">
      <c r="A546" t="str">
        <f t="shared" si="74"/>
        <v>418sep</v>
      </c>
      <c r="B546" t="str">
        <f t="shared" si="75"/>
        <v>OUTLET BANZERsep</v>
      </c>
      <c r="C546" s="1" t="s">
        <v>92</v>
      </c>
      <c r="D546" s="1" t="s">
        <v>44</v>
      </c>
      <c r="E546" s="1">
        <v>418</v>
      </c>
      <c r="F546" s="1" t="s">
        <v>121</v>
      </c>
      <c r="G546" s="1" t="s">
        <v>121</v>
      </c>
      <c r="H546" s="1" t="s">
        <v>121</v>
      </c>
      <c r="I546" s="1" t="s">
        <v>127</v>
      </c>
      <c r="J546" s="1" t="s">
        <v>136</v>
      </c>
      <c r="K546" t="s">
        <v>88</v>
      </c>
      <c r="L546" s="6">
        <v>0</v>
      </c>
      <c r="M546" s="6">
        <v>0</v>
      </c>
      <c r="N546" s="6">
        <v>0</v>
      </c>
      <c r="O546" s="6">
        <v>0</v>
      </c>
      <c r="P546" s="6">
        <v>96451.331029000023</v>
      </c>
      <c r="Q546" s="6">
        <v>22446.286792790001</v>
      </c>
      <c r="R546" s="6">
        <v>96919.119984490666</v>
      </c>
      <c r="S546" s="6">
        <v>19926.571068811281</v>
      </c>
      <c r="T546" s="6">
        <v>84944.220000000103</v>
      </c>
      <c r="U546" s="6">
        <v>24323.390000000087</v>
      </c>
      <c r="V546" s="30">
        <v>84944.220000000103</v>
      </c>
      <c r="W546" s="30">
        <v>24323.39000000009</v>
      </c>
      <c r="X546" s="30">
        <v>110427.48600000014</v>
      </c>
      <c r="Y546" s="30">
        <v>29285.62457711724</v>
      </c>
      <c r="Z546" s="30">
        <v>0</v>
      </c>
      <c r="AA546" s="30">
        <v>0</v>
      </c>
      <c r="AB546" s="34">
        <v>0</v>
      </c>
      <c r="AC546" s="34">
        <v>0</v>
      </c>
      <c r="AD546" s="34">
        <v>0.11520548425778686</v>
      </c>
      <c r="AE546" s="34">
        <v>0.08</v>
      </c>
      <c r="AF546" s="34">
        <v>0.08</v>
      </c>
      <c r="AG546" s="34">
        <v>0.14000000000000004</v>
      </c>
      <c r="AH546" s="34">
        <v>0</v>
      </c>
      <c r="AI546" s="37">
        <f t="shared" si="76"/>
        <v>0</v>
      </c>
      <c r="AJ546" s="37">
        <f t="shared" si="77"/>
        <v>0</v>
      </c>
      <c r="AK546" s="37">
        <f t="shared" si="78"/>
        <v>9786.0399999999954</v>
      </c>
      <c r="AL546" s="37">
        <f t="shared" si="79"/>
        <v>7753.5295987592535</v>
      </c>
      <c r="AM546" s="37">
        <f t="shared" si="80"/>
        <v>6795.5376000000088</v>
      </c>
      <c r="AN546" s="37">
        <f t="shared" si="81"/>
        <v>15459.848040000023</v>
      </c>
      <c r="AO546" s="37">
        <f t="shared" si="82"/>
        <v>0</v>
      </c>
    </row>
    <row r="547" spans="1:41" hidden="1" x14ac:dyDescent="0.3">
      <c r="A547" t="str">
        <f t="shared" si="74"/>
        <v>418oct</v>
      </c>
      <c r="B547" t="str">
        <f t="shared" si="75"/>
        <v>OUTLET BANZERoct</v>
      </c>
      <c r="C547" s="1" t="s">
        <v>92</v>
      </c>
      <c r="D547" s="1" t="s">
        <v>44</v>
      </c>
      <c r="E547" s="1">
        <v>418</v>
      </c>
      <c r="F547" s="1" t="s">
        <v>121</v>
      </c>
      <c r="G547" s="1" t="s">
        <v>121</v>
      </c>
      <c r="H547" s="1" t="s">
        <v>121</v>
      </c>
      <c r="I547" s="1" t="s">
        <v>127</v>
      </c>
      <c r="J547" s="1" t="s">
        <v>136</v>
      </c>
      <c r="K547" t="s">
        <v>89</v>
      </c>
      <c r="L547" s="6">
        <v>0</v>
      </c>
      <c r="M547" s="6">
        <v>0</v>
      </c>
      <c r="N547" s="6">
        <v>0</v>
      </c>
      <c r="O547" s="6">
        <v>0</v>
      </c>
      <c r="P547" s="6">
        <v>129477.41683799998</v>
      </c>
      <c r="Q547" s="6">
        <v>27522.177539939996</v>
      </c>
      <c r="R547" s="6">
        <v>128791.18652875858</v>
      </c>
      <c r="S547" s="6">
        <v>31837.181309909123</v>
      </c>
      <c r="T547" s="6">
        <v>62054.210000000043</v>
      </c>
      <c r="U547" s="6">
        <v>18839.94999999999</v>
      </c>
      <c r="V547" s="30">
        <v>128791.18652875858</v>
      </c>
      <c r="W547" s="30">
        <v>31837.181309909123</v>
      </c>
      <c r="X547" s="30">
        <v>167428.54248738615</v>
      </c>
      <c r="Y547" s="30">
        <v>45453.385848184917</v>
      </c>
      <c r="Z547" s="30">
        <v>0</v>
      </c>
      <c r="AA547" s="30">
        <v>0</v>
      </c>
      <c r="AB547" s="34">
        <v>0</v>
      </c>
      <c r="AC547" s="34">
        <v>0</v>
      </c>
      <c r="AD547" s="34">
        <v>0.2799769749707553</v>
      </c>
      <c r="AE547" s="34">
        <v>0.08</v>
      </c>
      <c r="AF547" s="34">
        <v>0.08</v>
      </c>
      <c r="AG547" s="34">
        <v>0.16</v>
      </c>
      <c r="AH547" s="34">
        <v>0</v>
      </c>
      <c r="AI547" s="37">
        <f t="shared" si="76"/>
        <v>0</v>
      </c>
      <c r="AJ547" s="37">
        <f t="shared" si="77"/>
        <v>0</v>
      </c>
      <c r="AK547" s="37">
        <f t="shared" si="78"/>
        <v>17373.750000000004</v>
      </c>
      <c r="AL547" s="37">
        <f t="shared" si="79"/>
        <v>10303.294922300687</v>
      </c>
      <c r="AM547" s="37">
        <f t="shared" si="80"/>
        <v>10303.294922300687</v>
      </c>
      <c r="AN547" s="37">
        <f t="shared" si="81"/>
        <v>26788.566797981784</v>
      </c>
      <c r="AO547" s="37">
        <f t="shared" si="82"/>
        <v>0</v>
      </c>
    </row>
    <row r="548" spans="1:41" hidden="1" x14ac:dyDescent="0.3">
      <c r="A548" t="str">
        <f t="shared" si="74"/>
        <v>418nov</v>
      </c>
      <c r="B548" t="str">
        <f t="shared" si="75"/>
        <v>OUTLET BANZERnov</v>
      </c>
      <c r="C548" s="1" t="s">
        <v>92</v>
      </c>
      <c r="D548" s="1" t="s">
        <v>44</v>
      </c>
      <c r="E548" s="1">
        <v>418</v>
      </c>
      <c r="F548" s="1" t="s">
        <v>121</v>
      </c>
      <c r="G548" s="1" t="s">
        <v>121</v>
      </c>
      <c r="H548" s="1" t="s">
        <v>121</v>
      </c>
      <c r="I548" s="1" t="s">
        <v>127</v>
      </c>
      <c r="J548" s="1" t="s">
        <v>136</v>
      </c>
      <c r="K548" t="s">
        <v>90</v>
      </c>
      <c r="L548" s="6">
        <v>0</v>
      </c>
      <c r="M548" s="6">
        <v>0</v>
      </c>
      <c r="N548" s="6">
        <v>0</v>
      </c>
      <c r="O548" s="6">
        <v>0</v>
      </c>
      <c r="P548" s="6">
        <v>138824.01189199998</v>
      </c>
      <c r="Q548" s="6">
        <v>28576.948766359994</v>
      </c>
      <c r="R548" s="6">
        <v>138088.24462897237</v>
      </c>
      <c r="S548" s="6">
        <v>32726.913977066448</v>
      </c>
      <c r="T548" s="6">
        <v>22858.620689655174</v>
      </c>
      <c r="U548" s="6">
        <v>7827.593258344551</v>
      </c>
      <c r="V548" s="30">
        <v>138088.24462897237</v>
      </c>
      <c r="W548" s="30">
        <v>32726.913977066448</v>
      </c>
      <c r="X548" s="30">
        <v>179514.7180176641</v>
      </c>
      <c r="Y548" s="30">
        <v>49297.939620750411</v>
      </c>
      <c r="Z548" s="30">
        <v>0</v>
      </c>
      <c r="AA548" s="30">
        <v>0</v>
      </c>
      <c r="AB548" s="34">
        <v>0</v>
      </c>
      <c r="AC548" s="34">
        <v>0</v>
      </c>
      <c r="AD548" s="34">
        <v>0.2799769749707553</v>
      </c>
      <c r="AE548" s="34">
        <v>0.05</v>
      </c>
      <c r="AF548" s="34">
        <v>0.05</v>
      </c>
      <c r="AG548" s="34">
        <v>0.17</v>
      </c>
      <c r="AH548" s="34">
        <v>0</v>
      </c>
      <c r="AI548" s="37">
        <f t="shared" si="76"/>
        <v>0</v>
      </c>
      <c r="AJ548" s="37">
        <f t="shared" si="77"/>
        <v>0</v>
      </c>
      <c r="AK548" s="37">
        <f t="shared" si="78"/>
        <v>6399.8874726935755</v>
      </c>
      <c r="AL548" s="37">
        <f t="shared" si="79"/>
        <v>6904.4122314486194</v>
      </c>
      <c r="AM548" s="37">
        <f t="shared" si="80"/>
        <v>6904.4122314486194</v>
      </c>
      <c r="AN548" s="37">
        <f t="shared" si="81"/>
        <v>30517.502063002899</v>
      </c>
      <c r="AO548" s="37">
        <f t="shared" si="82"/>
        <v>0</v>
      </c>
    </row>
    <row r="549" spans="1:41" hidden="1" x14ac:dyDescent="0.3">
      <c r="A549" t="str">
        <f t="shared" si="74"/>
        <v>418dic</v>
      </c>
      <c r="B549" t="str">
        <f t="shared" si="75"/>
        <v>OUTLET BANZERdic</v>
      </c>
      <c r="C549" s="1" t="s">
        <v>92</v>
      </c>
      <c r="D549" s="1" t="s">
        <v>44</v>
      </c>
      <c r="E549" s="1">
        <v>418</v>
      </c>
      <c r="F549" s="1" t="s">
        <v>121</v>
      </c>
      <c r="G549" s="1" t="s">
        <v>121</v>
      </c>
      <c r="H549" s="1" t="s">
        <v>121</v>
      </c>
      <c r="I549" s="1" t="s">
        <v>127</v>
      </c>
      <c r="J549" s="1" t="s">
        <v>136</v>
      </c>
      <c r="K549" t="s">
        <v>91</v>
      </c>
      <c r="L549" s="6">
        <v>0</v>
      </c>
      <c r="M549" s="6">
        <v>0</v>
      </c>
      <c r="N549" s="6">
        <v>0</v>
      </c>
      <c r="O549" s="6">
        <v>0</v>
      </c>
      <c r="P549" s="6">
        <v>219474.36314500018</v>
      </c>
      <c r="Q549" s="6">
        <v>56855.316722325049</v>
      </c>
      <c r="R549" s="6">
        <v>218311.14902033168</v>
      </c>
      <c r="S549" s="6">
        <v>53813.698233511757</v>
      </c>
      <c r="T549" s="6">
        <v>166062.06896551725</v>
      </c>
      <c r="U549" s="6">
        <v>50370.969517966099</v>
      </c>
      <c r="V549" s="30">
        <v>218311.14902033168</v>
      </c>
      <c r="W549" s="30">
        <v>53813.698233511757</v>
      </c>
      <c r="X549" s="30">
        <v>283804.49372643116</v>
      </c>
      <c r="Y549" s="30">
        <v>77937.769951801631</v>
      </c>
      <c r="Z549" s="30">
        <v>0</v>
      </c>
      <c r="AA549" s="30">
        <v>0</v>
      </c>
      <c r="AB549" s="34">
        <v>0</v>
      </c>
      <c r="AC549" s="34">
        <v>0</v>
      </c>
      <c r="AD549" s="34">
        <v>0.2799769749707553</v>
      </c>
      <c r="AE549" s="34">
        <v>0.05</v>
      </c>
      <c r="AF549" s="34">
        <v>0.05</v>
      </c>
      <c r="AG549" s="34">
        <v>0.17000000000000004</v>
      </c>
      <c r="AH549" s="34">
        <v>0</v>
      </c>
      <c r="AI549" s="37">
        <f t="shared" si="76"/>
        <v>0</v>
      </c>
      <c r="AJ549" s="37">
        <f t="shared" si="77"/>
        <v>0</v>
      </c>
      <c r="AK549" s="37">
        <f t="shared" si="78"/>
        <v>46493.55572635046</v>
      </c>
      <c r="AL549" s="37">
        <f t="shared" si="79"/>
        <v>10915.557451016584</v>
      </c>
      <c r="AM549" s="37">
        <f t="shared" si="80"/>
        <v>10915.557451016584</v>
      </c>
      <c r="AN549" s="37">
        <f t="shared" si="81"/>
        <v>48246.763933493312</v>
      </c>
      <c r="AO549" s="37">
        <f t="shared" si="82"/>
        <v>0</v>
      </c>
    </row>
    <row r="550" spans="1:41" hidden="1" x14ac:dyDescent="0.3">
      <c r="A550" t="str">
        <f t="shared" si="74"/>
        <v>201ene</v>
      </c>
      <c r="B550" t="str">
        <f t="shared" si="75"/>
        <v>OUTLET BOLIVARene</v>
      </c>
      <c r="C550" s="1" t="s">
        <v>92</v>
      </c>
      <c r="D550" s="1" t="s">
        <v>45</v>
      </c>
      <c r="E550" s="1">
        <v>201</v>
      </c>
      <c r="F550" s="1" t="s">
        <v>119</v>
      </c>
      <c r="G550" s="1" t="s">
        <v>119</v>
      </c>
      <c r="H550" s="1" t="s">
        <v>119</v>
      </c>
      <c r="I550" s="1" t="s">
        <v>125</v>
      </c>
      <c r="J550" s="1" t="s">
        <v>136</v>
      </c>
      <c r="K550" t="s">
        <v>80</v>
      </c>
      <c r="L550" s="6">
        <v>49714.13</v>
      </c>
      <c r="M550" s="6">
        <v>11982.170000000002</v>
      </c>
      <c r="N550" s="6">
        <v>43773.03</v>
      </c>
      <c r="O550" s="6">
        <v>9735.7600000000057</v>
      </c>
      <c r="P550" s="6">
        <v>49118.961899999995</v>
      </c>
      <c r="Q550" s="6">
        <v>13435</v>
      </c>
      <c r="R550" s="6">
        <v>42478.809999999976</v>
      </c>
      <c r="S550" s="6">
        <v>10415.49038501086</v>
      </c>
      <c r="T550" s="6">
        <v>42478.80999999999</v>
      </c>
      <c r="U550" s="6">
        <v>10533.200000000019</v>
      </c>
      <c r="V550" s="30">
        <v>49610.151518999992</v>
      </c>
      <c r="W550" s="30">
        <v>12301.513342297767</v>
      </c>
      <c r="X550" s="30">
        <v>51594.557579759989</v>
      </c>
      <c r="Y550" s="30">
        <v>11013.627197502934</v>
      </c>
      <c r="Z550" s="30">
        <v>33992.241379310355</v>
      </c>
      <c r="AA550" s="30">
        <v>11381.712039796108</v>
      </c>
      <c r="AB550" s="34">
        <v>6.3525400122661363E-2</v>
      </c>
      <c r="AC550" s="34">
        <v>2.0908536603474786E-2</v>
      </c>
      <c r="AD550" s="34">
        <v>0.10631840849697266</v>
      </c>
      <c r="AE550" s="34">
        <v>0.10631840849697273</v>
      </c>
      <c r="AF550" s="34">
        <v>0.10631840849697273</v>
      </c>
      <c r="AG550" s="34">
        <v>0.12000000000000001</v>
      </c>
      <c r="AH550" s="34">
        <v>0.22110353106270014</v>
      </c>
      <c r="AI550" s="37">
        <f t="shared" si="76"/>
        <v>3158.1100000000029</v>
      </c>
      <c r="AJ550" s="37">
        <f t="shared" si="77"/>
        <v>915.2299999999999</v>
      </c>
      <c r="AK550" s="37">
        <f t="shared" si="78"/>
        <v>4516.2794740452864</v>
      </c>
      <c r="AL550" s="37">
        <f t="shared" si="79"/>
        <v>4516.2794740452873</v>
      </c>
      <c r="AM550" s="37">
        <f t="shared" si="80"/>
        <v>5274.4723547937538</v>
      </c>
      <c r="AN550" s="37">
        <f t="shared" si="81"/>
        <v>6191.3469095711989</v>
      </c>
      <c r="AO550" s="37">
        <f t="shared" si="82"/>
        <v>7515.8045977011479</v>
      </c>
    </row>
    <row r="551" spans="1:41" hidden="1" x14ac:dyDescent="0.3">
      <c r="A551" t="str">
        <f t="shared" si="74"/>
        <v>201feb</v>
      </c>
      <c r="B551" t="str">
        <f t="shared" si="75"/>
        <v>OUTLET BOLIVARfeb</v>
      </c>
      <c r="C551" s="1" t="s">
        <v>92</v>
      </c>
      <c r="D551" s="1" t="s">
        <v>45</v>
      </c>
      <c r="E551" s="1">
        <v>201</v>
      </c>
      <c r="F551" s="1" t="s">
        <v>119</v>
      </c>
      <c r="G551" s="1" t="s">
        <v>119</v>
      </c>
      <c r="H551" s="1" t="s">
        <v>119</v>
      </c>
      <c r="I551" s="1" t="s">
        <v>125</v>
      </c>
      <c r="J551" s="1" t="s">
        <v>136</v>
      </c>
      <c r="K551" t="s">
        <v>81</v>
      </c>
      <c r="L551" s="6">
        <v>69682.660000000018</v>
      </c>
      <c r="M551" s="6">
        <v>9496.1800000000148</v>
      </c>
      <c r="N551" s="6">
        <v>45895.78</v>
      </c>
      <c r="O551" s="6">
        <v>8187.0299999999952</v>
      </c>
      <c r="P551" s="6">
        <v>61618.503900000003</v>
      </c>
      <c r="Q551" s="6">
        <v>11418</v>
      </c>
      <c r="R551" s="6">
        <v>64207.479999999981</v>
      </c>
      <c r="S551" s="6">
        <v>12336.943635706339</v>
      </c>
      <c r="T551" s="6">
        <v>64207.479999999967</v>
      </c>
      <c r="U551" s="6">
        <v>12583.199999999953</v>
      </c>
      <c r="V551" s="30">
        <v>66133.704400000104</v>
      </c>
      <c r="W551" s="30">
        <v>12960.69599999998</v>
      </c>
      <c r="X551" s="30">
        <v>66133.704400000104</v>
      </c>
      <c r="Y551" s="30">
        <v>13420.526463207814</v>
      </c>
      <c r="Z551" s="30">
        <v>53605.316091954155</v>
      </c>
      <c r="AA551" s="30">
        <v>7968.5887977637685</v>
      </c>
      <c r="AB551" s="34">
        <v>1.5816847405079035E-2</v>
      </c>
      <c r="AC551" s="34">
        <v>3.0387156528179891E-2</v>
      </c>
      <c r="AD551" s="34">
        <v>6.5164129892699776E-2</v>
      </c>
      <c r="AE551" s="34">
        <v>6.5164129892699763E-2</v>
      </c>
      <c r="AF551" s="34">
        <v>6.5164129892699763E-2</v>
      </c>
      <c r="AG551" s="34">
        <v>0.09</v>
      </c>
      <c r="AH551" s="34">
        <v>0.12131023632177486</v>
      </c>
      <c r="AI551" s="37">
        <f t="shared" si="76"/>
        <v>1102.1600000000049</v>
      </c>
      <c r="AJ551" s="37">
        <f t="shared" si="77"/>
        <v>1394.642250842908</v>
      </c>
      <c r="AK551" s="37">
        <f t="shared" si="78"/>
        <v>4184.0245668029211</v>
      </c>
      <c r="AL551" s="37">
        <f t="shared" si="79"/>
        <v>4184.0245668029211</v>
      </c>
      <c r="AM551" s="37">
        <f t="shared" si="80"/>
        <v>4309.5453038070164</v>
      </c>
      <c r="AN551" s="37">
        <f t="shared" si="81"/>
        <v>5952.0333960000089</v>
      </c>
      <c r="AO551" s="37">
        <f t="shared" si="82"/>
        <v>6502.8735632183989</v>
      </c>
    </row>
    <row r="552" spans="1:41" hidden="1" x14ac:dyDescent="0.3">
      <c r="A552" t="str">
        <f t="shared" si="74"/>
        <v>201mar</v>
      </c>
      <c r="B552" t="str">
        <f t="shared" si="75"/>
        <v>OUTLET BOLIVARmar</v>
      </c>
      <c r="C552" s="1" t="s">
        <v>92</v>
      </c>
      <c r="D552" s="1" t="s">
        <v>45</v>
      </c>
      <c r="E552" s="1">
        <v>201</v>
      </c>
      <c r="F552" s="1" t="s">
        <v>119</v>
      </c>
      <c r="G552" s="1" t="s">
        <v>119</v>
      </c>
      <c r="H552" s="1" t="s">
        <v>119</v>
      </c>
      <c r="I552" s="1" t="s">
        <v>125</v>
      </c>
      <c r="J552" s="1" t="s">
        <v>136</v>
      </c>
      <c r="K552" t="s">
        <v>82</v>
      </c>
      <c r="L552" s="6">
        <v>53416.930000000022</v>
      </c>
      <c r="M552" s="6">
        <v>10708.500000000013</v>
      </c>
      <c r="N552" s="6">
        <v>66760.509999999995</v>
      </c>
      <c r="O552" s="6">
        <v>10368.960000000003</v>
      </c>
      <c r="P552" s="6">
        <v>51567.836740000028</v>
      </c>
      <c r="Q552" s="6">
        <v>11183</v>
      </c>
      <c r="R552" s="6">
        <v>56650.460000000006</v>
      </c>
      <c r="S552" s="6">
        <v>10232.688276102734</v>
      </c>
      <c r="T552" s="6">
        <v>56650.459999999992</v>
      </c>
      <c r="U552" s="6">
        <v>10299.010000000017</v>
      </c>
      <c r="V552" s="30">
        <v>60049.487600000008</v>
      </c>
      <c r="W552" s="30">
        <v>10916.95060000002</v>
      </c>
      <c r="X552" s="30">
        <v>62451.46710400001</v>
      </c>
      <c r="Y552" s="30">
        <v>13769.801029724233</v>
      </c>
      <c r="Z552" s="30">
        <v>55667.307025685986</v>
      </c>
      <c r="AA552" s="30">
        <v>12246.807545650918</v>
      </c>
      <c r="AB552" s="34">
        <v>1.204992499568959E-2</v>
      </c>
      <c r="AC552" s="34">
        <v>2.019009849955208E-2</v>
      </c>
      <c r="AD552" s="34">
        <v>0.10380007823680165</v>
      </c>
      <c r="AE552" s="34">
        <v>0.1038000782368014</v>
      </c>
      <c r="AF552" s="34">
        <v>0.1038000782368014</v>
      </c>
      <c r="AG552" s="34">
        <v>0.14000000000000001</v>
      </c>
      <c r="AH552" s="34">
        <v>0.15245289651293581</v>
      </c>
      <c r="AI552" s="37">
        <f t="shared" si="76"/>
        <v>643.67000000000144</v>
      </c>
      <c r="AJ552" s="37">
        <f t="shared" si="77"/>
        <v>1347.9012727803315</v>
      </c>
      <c r="AK552" s="37">
        <f t="shared" si="78"/>
        <v>5880.3221801508016</v>
      </c>
      <c r="AL552" s="37">
        <f t="shared" si="79"/>
        <v>5880.3221801507889</v>
      </c>
      <c r="AM552" s="37">
        <f t="shared" si="80"/>
        <v>6233.1415109598365</v>
      </c>
      <c r="AN552" s="37">
        <f t="shared" si="81"/>
        <v>8743.2053945600019</v>
      </c>
      <c r="AO552" s="37">
        <f t="shared" si="82"/>
        <v>8486.6421971407308</v>
      </c>
    </row>
    <row r="553" spans="1:41" hidden="1" x14ac:dyDescent="0.3">
      <c r="A553" t="str">
        <f t="shared" si="74"/>
        <v>201abr</v>
      </c>
      <c r="B553" t="str">
        <f t="shared" si="75"/>
        <v>OUTLET BOLIVARabr</v>
      </c>
      <c r="C553" s="1" t="s">
        <v>92</v>
      </c>
      <c r="D553" s="1" t="s">
        <v>45</v>
      </c>
      <c r="E553" s="1">
        <v>201</v>
      </c>
      <c r="F553" s="1" t="s">
        <v>119</v>
      </c>
      <c r="G553" s="1" t="s">
        <v>119</v>
      </c>
      <c r="H553" s="1" t="s">
        <v>119</v>
      </c>
      <c r="I553" s="1" t="s">
        <v>125</v>
      </c>
      <c r="J553" s="1" t="s">
        <v>136</v>
      </c>
      <c r="K553" t="s">
        <v>83</v>
      </c>
      <c r="L553" s="6">
        <v>55190.16</v>
      </c>
      <c r="M553" s="6">
        <v>11360.949999999995</v>
      </c>
      <c r="N553" s="6">
        <v>39896.83</v>
      </c>
      <c r="O553" s="6">
        <v>8714.5799999999981</v>
      </c>
      <c r="P553" s="6">
        <v>49743.923160000006</v>
      </c>
      <c r="Q553" s="6">
        <v>12181.477668600002</v>
      </c>
      <c r="R553" s="6">
        <v>65037.370000000024</v>
      </c>
      <c r="S553" s="6">
        <v>15601.524373356511</v>
      </c>
      <c r="T553" s="6">
        <v>65037.370000000039</v>
      </c>
      <c r="U553" s="6">
        <v>15712.240000000136</v>
      </c>
      <c r="V553" s="30">
        <v>68939.612200000061</v>
      </c>
      <c r="W553" s="30">
        <v>16654.974400000148</v>
      </c>
      <c r="X553" s="30">
        <v>71007.800566000049</v>
      </c>
      <c r="Y553" s="30">
        <v>16155.067082172984</v>
      </c>
      <c r="Z553" s="30">
        <v>0</v>
      </c>
      <c r="AA553" s="30">
        <v>0</v>
      </c>
      <c r="AB553" s="34">
        <v>1.5727803651955374E-2</v>
      </c>
      <c r="AC553" s="34">
        <v>2.6017953751854572E-2</v>
      </c>
      <c r="AD553" s="34">
        <v>0.13505637801840653</v>
      </c>
      <c r="AE553" s="34">
        <v>0.13505637801840631</v>
      </c>
      <c r="AF553" s="34">
        <v>0.13505637801840631</v>
      </c>
      <c r="AG553" s="34">
        <v>0.16000000000000003</v>
      </c>
      <c r="AH553" s="34">
        <v>0</v>
      </c>
      <c r="AI553" s="37">
        <f t="shared" si="76"/>
        <v>868.02000000000146</v>
      </c>
      <c r="AJ553" s="37">
        <f t="shared" si="77"/>
        <v>1038.0338777856041</v>
      </c>
      <c r="AK553" s="37">
        <f t="shared" si="78"/>
        <v>8783.7116280429782</v>
      </c>
      <c r="AL553" s="37">
        <f t="shared" si="79"/>
        <v>8783.7116280429618</v>
      </c>
      <c r="AM553" s="37">
        <f t="shared" si="80"/>
        <v>9310.7343257255434</v>
      </c>
      <c r="AN553" s="37">
        <f t="shared" si="81"/>
        <v>11361.24809056001</v>
      </c>
      <c r="AO553" s="37">
        <f t="shared" si="82"/>
        <v>0</v>
      </c>
    </row>
    <row r="554" spans="1:41" hidden="1" x14ac:dyDescent="0.3">
      <c r="A554" t="str">
        <f t="shared" si="74"/>
        <v>201may</v>
      </c>
      <c r="B554" t="str">
        <f t="shared" si="75"/>
        <v>OUTLET BOLIVARmay</v>
      </c>
      <c r="C554" s="1" t="s">
        <v>92</v>
      </c>
      <c r="D554" s="1" t="s">
        <v>45</v>
      </c>
      <c r="E554" s="1">
        <v>201</v>
      </c>
      <c r="F554" s="1" t="s">
        <v>119</v>
      </c>
      <c r="G554" s="1" t="s">
        <v>119</v>
      </c>
      <c r="H554" s="1" t="s">
        <v>119</v>
      </c>
      <c r="I554" s="1" t="s">
        <v>125</v>
      </c>
      <c r="J554" s="1" t="s">
        <v>136</v>
      </c>
      <c r="K554" t="s">
        <v>84</v>
      </c>
      <c r="L554" s="6">
        <v>45796.75</v>
      </c>
      <c r="M554" s="6">
        <v>11646.200000000004</v>
      </c>
      <c r="N554" s="6">
        <v>40705.780000000006</v>
      </c>
      <c r="O554" s="6">
        <v>10040.09</v>
      </c>
      <c r="P554" s="6">
        <v>50851.312199999993</v>
      </c>
      <c r="Q554" s="6">
        <v>12515</v>
      </c>
      <c r="R554" s="6">
        <v>52226.44999999999</v>
      </c>
      <c r="S554" s="6">
        <v>13258.83716953932</v>
      </c>
      <c r="T554" s="6">
        <v>52226.45</v>
      </c>
      <c r="U554" s="6">
        <v>13226.179999999949</v>
      </c>
      <c r="V554" s="30">
        <v>55360.036999999997</v>
      </c>
      <c r="W554" s="30">
        <v>14019.750799999947</v>
      </c>
      <c r="X554" s="30">
        <v>57020.838109999997</v>
      </c>
      <c r="Y554" s="30">
        <v>13373.341720911048</v>
      </c>
      <c r="Z554" s="30">
        <v>0</v>
      </c>
      <c r="AA554" s="30">
        <v>0</v>
      </c>
      <c r="AB554" s="34">
        <v>1.2924061205216544E-2</v>
      </c>
      <c r="AC554" s="34">
        <v>3.2166427934048475E-2</v>
      </c>
      <c r="AD554" s="34">
        <v>0.1153594156182261</v>
      </c>
      <c r="AE554" s="34">
        <v>0.11535941561822577</v>
      </c>
      <c r="AF554" s="34">
        <v>0.11535941561822577</v>
      </c>
      <c r="AG554" s="34">
        <v>0.18</v>
      </c>
      <c r="AH554" s="34">
        <v>0</v>
      </c>
      <c r="AI554" s="37">
        <f t="shared" si="76"/>
        <v>591.88000000000079</v>
      </c>
      <c r="AJ554" s="37">
        <f t="shared" si="77"/>
        <v>1309.359538869232</v>
      </c>
      <c r="AK554" s="37">
        <f t="shared" si="78"/>
        <v>6024.8127518145038</v>
      </c>
      <c r="AL554" s="37">
        <f t="shared" si="79"/>
        <v>6024.8127518144856</v>
      </c>
      <c r="AM554" s="37">
        <f t="shared" si="80"/>
        <v>6386.3015169233558</v>
      </c>
      <c r="AN554" s="37">
        <f t="shared" si="81"/>
        <v>10263.750859799999</v>
      </c>
      <c r="AO554" s="37">
        <f t="shared" si="82"/>
        <v>0</v>
      </c>
    </row>
    <row r="555" spans="1:41" hidden="1" x14ac:dyDescent="0.3">
      <c r="A555" t="str">
        <f t="shared" si="74"/>
        <v>201jun</v>
      </c>
      <c r="B555" t="str">
        <f t="shared" si="75"/>
        <v>OUTLET BOLIVARjun</v>
      </c>
      <c r="C555" s="1" t="s">
        <v>92</v>
      </c>
      <c r="D555" s="1" t="s">
        <v>45</v>
      </c>
      <c r="E555" s="1">
        <v>201</v>
      </c>
      <c r="F555" s="1" t="s">
        <v>119</v>
      </c>
      <c r="G555" s="1" t="s">
        <v>119</v>
      </c>
      <c r="H555" s="1" t="s">
        <v>119</v>
      </c>
      <c r="I555" s="1" t="s">
        <v>125</v>
      </c>
      <c r="J555" s="1" t="s">
        <v>136</v>
      </c>
      <c r="K555" t="s">
        <v>85</v>
      </c>
      <c r="L555" s="6">
        <v>36937.949999999997</v>
      </c>
      <c r="M555" s="6">
        <v>9337.0000000000036</v>
      </c>
      <c r="N555" s="6">
        <v>39764.700000000012</v>
      </c>
      <c r="O555" s="6">
        <v>10475.120000000006</v>
      </c>
      <c r="P555" s="6">
        <v>50205.0409</v>
      </c>
      <c r="Q555" s="6">
        <v>11573</v>
      </c>
      <c r="R555" s="6">
        <v>44158.46</v>
      </c>
      <c r="S555" s="6">
        <v>10346.347690028531</v>
      </c>
      <c r="T555" s="6">
        <v>44158.46</v>
      </c>
      <c r="U555" s="6">
        <v>10352.590000000018</v>
      </c>
      <c r="V555" s="30">
        <v>46807.967600000004</v>
      </c>
      <c r="W555" s="30">
        <v>10973.74540000002</v>
      </c>
      <c r="X555" s="30">
        <v>48680.286303999994</v>
      </c>
      <c r="Y555" s="30">
        <v>11417.196333720778</v>
      </c>
      <c r="Z555" s="30">
        <v>0</v>
      </c>
      <c r="AA555" s="30">
        <v>0</v>
      </c>
      <c r="AB555" s="34">
        <v>1.8009120701067621E-2</v>
      </c>
      <c r="AC555" s="34">
        <v>3.2210599306139835E-2</v>
      </c>
      <c r="AD555" s="34">
        <v>0.1198359476549114</v>
      </c>
      <c r="AE555" s="34">
        <v>0.11983594765491139</v>
      </c>
      <c r="AF555" s="34">
        <v>0.11983594765491139</v>
      </c>
      <c r="AG555" s="34">
        <v>0.18000000000000002</v>
      </c>
      <c r="AH555" s="34">
        <v>0</v>
      </c>
      <c r="AI555" s="37">
        <f t="shared" si="76"/>
        <v>665.22000000000071</v>
      </c>
      <c r="AJ555" s="37">
        <f t="shared" si="77"/>
        <v>1280.8448182288591</v>
      </c>
      <c r="AK555" s="37">
        <f t="shared" si="78"/>
        <v>5291.7709010814988</v>
      </c>
      <c r="AL555" s="37">
        <f t="shared" si="79"/>
        <v>5291.7709010814979</v>
      </c>
      <c r="AM555" s="37">
        <f t="shared" si="80"/>
        <v>5609.2771551463884</v>
      </c>
      <c r="AN555" s="37">
        <f t="shared" si="81"/>
        <v>8762.4515347199995</v>
      </c>
      <c r="AO555" s="37">
        <f t="shared" si="82"/>
        <v>0</v>
      </c>
    </row>
    <row r="556" spans="1:41" hidden="1" x14ac:dyDescent="0.3">
      <c r="A556" t="str">
        <f t="shared" si="74"/>
        <v>201jul</v>
      </c>
      <c r="B556" t="str">
        <f t="shared" si="75"/>
        <v>OUTLET BOLIVARjul</v>
      </c>
      <c r="C556" s="1" t="s">
        <v>92</v>
      </c>
      <c r="D556" s="1" t="s">
        <v>45</v>
      </c>
      <c r="E556" s="1">
        <v>201</v>
      </c>
      <c r="F556" s="1" t="s">
        <v>119</v>
      </c>
      <c r="G556" s="1" t="s">
        <v>119</v>
      </c>
      <c r="H556" s="1" t="s">
        <v>119</v>
      </c>
      <c r="I556" s="1" t="s">
        <v>125</v>
      </c>
      <c r="J556" s="1" t="s">
        <v>136</v>
      </c>
      <c r="K556" t="s">
        <v>86</v>
      </c>
      <c r="L556" s="6">
        <v>44610.81</v>
      </c>
      <c r="M556" s="6">
        <v>12129.389999999996</v>
      </c>
      <c r="N556" s="6">
        <v>41877.130000000005</v>
      </c>
      <c r="O556" s="6">
        <v>10022.480000000003</v>
      </c>
      <c r="P556" s="6">
        <v>46537.391899999988</v>
      </c>
      <c r="Q556" s="6">
        <v>11715</v>
      </c>
      <c r="R556" s="6">
        <v>47004.039999999972</v>
      </c>
      <c r="S556" s="6">
        <v>14450.170000000016</v>
      </c>
      <c r="T556" s="6">
        <v>47004.039999999943</v>
      </c>
      <c r="U556" s="6">
        <v>14450.169999999933</v>
      </c>
      <c r="V556" s="30">
        <v>49824.282399999996</v>
      </c>
      <c r="W556" s="30">
        <v>15317.180199999944</v>
      </c>
      <c r="X556" s="30">
        <v>51817.253696000007</v>
      </c>
      <c r="Y556" s="30">
        <v>12334.882375134912</v>
      </c>
      <c r="Z556" s="30">
        <v>0</v>
      </c>
      <c r="AA556" s="30">
        <v>0</v>
      </c>
      <c r="AB556" s="34">
        <v>2.8965400986890925E-2</v>
      </c>
      <c r="AC556" s="34">
        <v>3.9275171150092832E-2</v>
      </c>
      <c r="AD556" s="34">
        <v>0.24034955293204585</v>
      </c>
      <c r="AE556" s="34">
        <v>0.24034955293204591</v>
      </c>
      <c r="AF556" s="34">
        <v>0.24034955293204591</v>
      </c>
      <c r="AG556" s="34">
        <v>0.18999999999999997</v>
      </c>
      <c r="AH556" s="34">
        <v>0</v>
      </c>
      <c r="AI556" s="37">
        <f t="shared" si="76"/>
        <v>1292.1700000000035</v>
      </c>
      <c r="AJ556" s="37">
        <f t="shared" si="77"/>
        <v>1644.7314480246871</v>
      </c>
      <c r="AK556" s="37">
        <f t="shared" si="78"/>
        <v>11297.399999999987</v>
      </c>
      <c r="AL556" s="37">
        <f t="shared" si="79"/>
        <v>11297.399999999996</v>
      </c>
      <c r="AM556" s="37">
        <f t="shared" si="80"/>
        <v>11975.244000000002</v>
      </c>
      <c r="AN556" s="37">
        <f t="shared" si="81"/>
        <v>9845.2782022400006</v>
      </c>
      <c r="AO556" s="37">
        <f t="shared" si="82"/>
        <v>0</v>
      </c>
    </row>
    <row r="557" spans="1:41" hidden="1" x14ac:dyDescent="0.3">
      <c r="A557" t="str">
        <f t="shared" si="74"/>
        <v>201ago</v>
      </c>
      <c r="B557" t="str">
        <f t="shared" si="75"/>
        <v>OUTLET BOLIVARago</v>
      </c>
      <c r="C557" s="1" t="s">
        <v>92</v>
      </c>
      <c r="D557" s="1" t="s">
        <v>45</v>
      </c>
      <c r="E557" s="1">
        <v>201</v>
      </c>
      <c r="F557" s="1" t="s">
        <v>119</v>
      </c>
      <c r="G557" s="1" t="s">
        <v>119</v>
      </c>
      <c r="H557" s="1" t="s">
        <v>119</v>
      </c>
      <c r="I557" s="1" t="s">
        <v>125</v>
      </c>
      <c r="J557" s="1" t="s">
        <v>136</v>
      </c>
      <c r="K557" t="s">
        <v>87</v>
      </c>
      <c r="L557" s="6">
        <v>117748.26000000004</v>
      </c>
      <c r="M557" s="6">
        <v>13724.080000000011</v>
      </c>
      <c r="N557" s="6">
        <v>66435.569999999992</v>
      </c>
      <c r="O557" s="6">
        <v>7215.5099999999902</v>
      </c>
      <c r="P557" s="6">
        <v>69659.841799999995</v>
      </c>
      <c r="Q557" s="6">
        <v>12528</v>
      </c>
      <c r="R557" s="6">
        <v>76716.761726248747</v>
      </c>
      <c r="S557" s="6">
        <v>15009.634431740569</v>
      </c>
      <c r="T557" s="6">
        <v>98005.470000000045</v>
      </c>
      <c r="U557" s="6">
        <v>9177.5400000000809</v>
      </c>
      <c r="V557" s="30">
        <v>103885.79820000019</v>
      </c>
      <c r="W557" s="30">
        <v>20325.256417830038</v>
      </c>
      <c r="X557" s="30">
        <v>103885.79820000022</v>
      </c>
      <c r="Y557" s="30">
        <v>21081.566752437466</v>
      </c>
      <c r="Z557" s="30">
        <v>0</v>
      </c>
      <c r="AA557" s="30">
        <v>0</v>
      </c>
      <c r="AB557" s="34">
        <v>1.0478626180972849E-2</v>
      </c>
      <c r="AC557" s="34">
        <v>1.4352162224427333E-2</v>
      </c>
      <c r="AD557" s="34">
        <v>8.1540856852173327E-2</v>
      </c>
      <c r="AE557" s="34">
        <v>7.0000000000000021E-2</v>
      </c>
      <c r="AF557" s="34">
        <v>7.0000000000000021E-2</v>
      </c>
      <c r="AG557" s="34">
        <v>8.9999999999999983E-2</v>
      </c>
      <c r="AH557" s="34">
        <v>0</v>
      </c>
      <c r="AI557" s="37">
        <f t="shared" si="76"/>
        <v>1233.8399999999986</v>
      </c>
      <c r="AJ557" s="37">
        <f t="shared" si="77"/>
        <v>953.49407811229764</v>
      </c>
      <c r="AK557" s="37">
        <f t="shared" si="78"/>
        <v>7991.4499999999707</v>
      </c>
      <c r="AL557" s="37">
        <f t="shared" si="79"/>
        <v>5370.1733208374135</v>
      </c>
      <c r="AM557" s="37">
        <f t="shared" si="80"/>
        <v>7272.0058740000159</v>
      </c>
      <c r="AN557" s="37">
        <f t="shared" si="81"/>
        <v>9349.7218380000177</v>
      </c>
      <c r="AO557" s="37">
        <f t="shared" si="82"/>
        <v>0</v>
      </c>
    </row>
    <row r="558" spans="1:41" hidden="1" x14ac:dyDescent="0.3">
      <c r="A558" t="str">
        <f t="shared" si="74"/>
        <v>201sep</v>
      </c>
      <c r="B558" t="str">
        <f t="shared" si="75"/>
        <v>OUTLET BOLIVARsep</v>
      </c>
      <c r="C558" s="1" t="s">
        <v>92</v>
      </c>
      <c r="D558" s="1" t="s">
        <v>45</v>
      </c>
      <c r="E558" s="1">
        <v>201</v>
      </c>
      <c r="F558" s="1" t="s">
        <v>119</v>
      </c>
      <c r="G558" s="1" t="s">
        <v>119</v>
      </c>
      <c r="H558" s="1" t="s">
        <v>119</v>
      </c>
      <c r="I558" s="1" t="s">
        <v>125</v>
      </c>
      <c r="J558" s="1" t="s">
        <v>136</v>
      </c>
      <c r="K558" t="s">
        <v>88</v>
      </c>
      <c r="L558" s="6">
        <v>45212.29</v>
      </c>
      <c r="M558" s="6">
        <v>7777.0799999999954</v>
      </c>
      <c r="N558" s="6">
        <v>55985.48</v>
      </c>
      <c r="O558" s="6">
        <v>8644.2000000000044</v>
      </c>
      <c r="P558" s="6">
        <v>44838.262749999994</v>
      </c>
      <c r="Q558" s="6">
        <v>10874</v>
      </c>
      <c r="R558" s="6">
        <v>46418.811511937492</v>
      </c>
      <c r="S558" s="6">
        <v>9283.7623023874967</v>
      </c>
      <c r="T558" s="6">
        <v>39067.97</v>
      </c>
      <c r="U558" s="6">
        <v>10076.109999999993</v>
      </c>
      <c r="V558" s="30">
        <v>41412.048200000005</v>
      </c>
      <c r="W558" s="30">
        <v>10680.676599999993</v>
      </c>
      <c r="X558" s="30">
        <v>43068.530128000013</v>
      </c>
      <c r="Y558" s="30">
        <v>9496.0954162637936</v>
      </c>
      <c r="Z558" s="30">
        <v>0</v>
      </c>
      <c r="AA558" s="30">
        <v>0</v>
      </c>
      <c r="AB558" s="34">
        <v>2.0592188539886008E-2</v>
      </c>
      <c r="AC558" s="34">
        <v>2.7984060939232721E-2</v>
      </c>
      <c r="AD558" s="34">
        <v>0.12996887219888817</v>
      </c>
      <c r="AE558" s="34">
        <v>9.9999999999999978E-2</v>
      </c>
      <c r="AF558" s="34">
        <v>9.9999999999999978E-2</v>
      </c>
      <c r="AG558" s="34">
        <v>0.13999999999999999</v>
      </c>
      <c r="AH558" s="34">
        <v>0</v>
      </c>
      <c r="AI558" s="37">
        <f t="shared" si="76"/>
        <v>931.02000000000282</v>
      </c>
      <c r="AJ558" s="37">
        <f t="shared" si="77"/>
        <v>1566.7010840321948</v>
      </c>
      <c r="AK558" s="37">
        <f t="shared" si="78"/>
        <v>5077.6199999999972</v>
      </c>
      <c r="AL558" s="37">
        <f t="shared" si="79"/>
        <v>4641.8811511937483</v>
      </c>
      <c r="AM558" s="37">
        <f t="shared" si="80"/>
        <v>4141.2048199999999</v>
      </c>
      <c r="AN558" s="37">
        <f t="shared" si="81"/>
        <v>6029.594217920001</v>
      </c>
      <c r="AO558" s="37">
        <f t="shared" si="82"/>
        <v>0</v>
      </c>
    </row>
    <row r="559" spans="1:41" hidden="1" x14ac:dyDescent="0.3">
      <c r="A559" t="str">
        <f t="shared" si="74"/>
        <v>201oct</v>
      </c>
      <c r="B559" t="str">
        <f t="shared" si="75"/>
        <v>OUTLET BOLIVARoct</v>
      </c>
      <c r="C559" s="1" t="s">
        <v>92</v>
      </c>
      <c r="D559" s="1" t="s">
        <v>45</v>
      </c>
      <c r="E559" s="1">
        <v>201</v>
      </c>
      <c r="F559" s="1" t="s">
        <v>119</v>
      </c>
      <c r="G559" s="1" t="s">
        <v>119</v>
      </c>
      <c r="H559" s="1" t="s">
        <v>119</v>
      </c>
      <c r="I559" s="1" t="s">
        <v>125</v>
      </c>
      <c r="J559" s="1" t="s">
        <v>136</v>
      </c>
      <c r="K559" t="s">
        <v>89</v>
      </c>
      <c r="L559" s="6">
        <v>40574.769999999997</v>
      </c>
      <c r="M559" s="6">
        <v>6407.9599999999973</v>
      </c>
      <c r="N559" s="6">
        <v>48265.259999999995</v>
      </c>
      <c r="O559" s="6">
        <v>6957.6099999999942</v>
      </c>
      <c r="P559" s="6">
        <v>52142.76079999996</v>
      </c>
      <c r="Q559" s="6">
        <v>12316</v>
      </c>
      <c r="R559" s="6">
        <v>53980.793118199952</v>
      </c>
      <c r="S559" s="6">
        <v>10364.312278694391</v>
      </c>
      <c r="T559" s="6">
        <v>37982.049999999996</v>
      </c>
      <c r="U559" s="6">
        <v>10395.249999999985</v>
      </c>
      <c r="V559" s="30">
        <v>55600.216911745949</v>
      </c>
      <c r="W559" s="30">
        <v>10675.241647055222</v>
      </c>
      <c r="X559" s="30">
        <v>58102.226672774501</v>
      </c>
      <c r="Y559" s="30">
        <v>13218.904994104754</v>
      </c>
      <c r="Z559" s="30">
        <v>0</v>
      </c>
      <c r="AA559" s="30">
        <v>0</v>
      </c>
      <c r="AB559" s="34">
        <v>2.2075541032025598E-2</v>
      </c>
      <c r="AC559" s="34">
        <v>2.587783303124664E-2</v>
      </c>
      <c r="AD559" s="34">
        <v>0.2776827475083628</v>
      </c>
      <c r="AE559" s="34">
        <v>0.08</v>
      </c>
      <c r="AF559" s="34">
        <v>0.08</v>
      </c>
      <c r="AG559" s="34">
        <v>0.16000000000000003</v>
      </c>
      <c r="AH559" s="34">
        <v>0</v>
      </c>
      <c r="AI559" s="37">
        <f t="shared" si="76"/>
        <v>895.71000000000117</v>
      </c>
      <c r="AJ559" s="37">
        <f t="shared" si="77"/>
        <v>1249.0003394897071</v>
      </c>
      <c r="AK559" s="37">
        <f t="shared" si="78"/>
        <v>10546.96000000001</v>
      </c>
      <c r="AL559" s="37">
        <f t="shared" si="79"/>
        <v>4318.4634494559959</v>
      </c>
      <c r="AM559" s="37">
        <f t="shared" si="80"/>
        <v>4448.0173529396761</v>
      </c>
      <c r="AN559" s="37">
        <f t="shared" si="81"/>
        <v>9296.3562676439215</v>
      </c>
      <c r="AO559" s="37">
        <f t="shared" si="82"/>
        <v>0</v>
      </c>
    </row>
    <row r="560" spans="1:41" hidden="1" x14ac:dyDescent="0.3">
      <c r="A560" t="str">
        <f t="shared" si="74"/>
        <v>201nov</v>
      </c>
      <c r="B560" t="str">
        <f t="shared" si="75"/>
        <v>OUTLET BOLIVARnov</v>
      </c>
      <c r="C560" s="1" t="s">
        <v>92</v>
      </c>
      <c r="D560" s="1" t="s">
        <v>45</v>
      </c>
      <c r="E560" s="1">
        <v>201</v>
      </c>
      <c r="F560" s="1" t="s">
        <v>119</v>
      </c>
      <c r="G560" s="1" t="s">
        <v>119</v>
      </c>
      <c r="H560" s="1" t="s">
        <v>119</v>
      </c>
      <c r="I560" s="1" t="s">
        <v>125</v>
      </c>
      <c r="J560" s="1" t="s">
        <v>136</v>
      </c>
      <c r="K560" t="s">
        <v>90</v>
      </c>
      <c r="L560" s="6">
        <v>24178.040000000005</v>
      </c>
      <c r="M560" s="6">
        <v>2931.9900000000043</v>
      </c>
      <c r="N560" s="6">
        <v>50026.50999999998</v>
      </c>
      <c r="O560" s="6">
        <v>6115.1599999999853</v>
      </c>
      <c r="P560" s="6">
        <v>58451.982249999943</v>
      </c>
      <c r="Q560" s="6">
        <v>12257</v>
      </c>
      <c r="R560" s="6">
        <v>60217.23211394994</v>
      </c>
      <c r="S560" s="6">
        <v>10267.038075428465</v>
      </c>
      <c r="T560" s="6">
        <v>34247.557471264357</v>
      </c>
      <c r="U560" s="6">
        <v>11317.231894207369</v>
      </c>
      <c r="V560" s="30">
        <v>62023.74907736844</v>
      </c>
      <c r="W560" s="30">
        <v>10575.049217691319</v>
      </c>
      <c r="X560" s="30">
        <v>64814.817785850028</v>
      </c>
      <c r="Y560" s="30">
        <v>14973.695793824441</v>
      </c>
      <c r="Z560" s="30">
        <v>0</v>
      </c>
      <c r="AA560" s="30">
        <v>0</v>
      </c>
      <c r="AB560" s="34">
        <v>3.2082832189871515E-3</v>
      </c>
      <c r="AC560" s="34">
        <v>3.2045684701928444E-2</v>
      </c>
      <c r="AD560" s="34">
        <v>0.2776827475083628</v>
      </c>
      <c r="AE560" s="34">
        <v>0.05</v>
      </c>
      <c r="AF560" s="34">
        <v>0.05</v>
      </c>
      <c r="AG560" s="34">
        <v>0.17</v>
      </c>
      <c r="AH560" s="34">
        <v>0</v>
      </c>
      <c r="AI560" s="37">
        <f t="shared" si="76"/>
        <v>77.570000000000121</v>
      </c>
      <c r="AJ560" s="37">
        <f t="shared" si="77"/>
        <v>1603.1337661978696</v>
      </c>
      <c r="AK560" s="37">
        <f t="shared" si="78"/>
        <v>9509.9558540712442</v>
      </c>
      <c r="AL560" s="37">
        <f t="shared" si="79"/>
        <v>3010.861605697497</v>
      </c>
      <c r="AM560" s="37">
        <f t="shared" si="80"/>
        <v>3101.1874538684224</v>
      </c>
      <c r="AN560" s="37">
        <f t="shared" si="81"/>
        <v>11018.519023594505</v>
      </c>
      <c r="AO560" s="37">
        <f t="shared" si="82"/>
        <v>0</v>
      </c>
    </row>
    <row r="561" spans="1:41" hidden="1" x14ac:dyDescent="0.3">
      <c r="A561" t="str">
        <f t="shared" ref="A561:A624" si="83">CONCATENATE(E561,K561)</f>
        <v>201dic</v>
      </c>
      <c r="B561" t="str">
        <f t="shared" ref="B561:B624" si="84">CONCATENATE(D561,K561)</f>
        <v>OUTLET BOLIVARdic</v>
      </c>
      <c r="C561" s="1" t="s">
        <v>92</v>
      </c>
      <c r="D561" s="1" t="s">
        <v>45</v>
      </c>
      <c r="E561" s="1">
        <v>201</v>
      </c>
      <c r="F561" s="1" t="s">
        <v>119</v>
      </c>
      <c r="G561" s="1" t="s">
        <v>119</v>
      </c>
      <c r="H561" s="1" t="s">
        <v>119</v>
      </c>
      <c r="I561" s="1" t="s">
        <v>125</v>
      </c>
      <c r="J561" s="1" t="s">
        <v>136</v>
      </c>
      <c r="K561" t="s">
        <v>91</v>
      </c>
      <c r="L561" s="6">
        <v>92170.680000000022</v>
      </c>
      <c r="M561" s="6">
        <v>14269.06000000003</v>
      </c>
      <c r="N561" s="6">
        <v>86898.770000000019</v>
      </c>
      <c r="O561" s="6">
        <v>23648.580000000009</v>
      </c>
      <c r="P561" s="6">
        <v>87316.255099999995</v>
      </c>
      <c r="Q561" s="6">
        <v>22220</v>
      </c>
      <c r="R561" s="6">
        <v>89953.206004020001</v>
      </c>
      <c r="S561" s="6">
        <v>17046.132537761794</v>
      </c>
      <c r="T561" s="6">
        <v>57614.942528735628</v>
      </c>
      <c r="U561" s="6">
        <v>17907.583620610425</v>
      </c>
      <c r="V561" s="30">
        <v>92651.802184140601</v>
      </c>
      <c r="W561" s="30">
        <v>17557.516513894647</v>
      </c>
      <c r="X561" s="30">
        <v>96821.133282426934</v>
      </c>
      <c r="Y561" s="30">
        <v>22367.882001527385</v>
      </c>
      <c r="Z561" s="30">
        <v>0</v>
      </c>
      <c r="AA561" s="30">
        <v>0</v>
      </c>
      <c r="AB561" s="34">
        <v>3.3375906524721305E-2</v>
      </c>
      <c r="AC561" s="34">
        <v>8.462881043320658E-2</v>
      </c>
      <c r="AD561" s="34">
        <v>0.2776827475083628</v>
      </c>
      <c r="AE561" s="34">
        <v>5.0000000000000017E-2</v>
      </c>
      <c r="AF561" s="34">
        <v>5.0000000000000017E-2</v>
      </c>
      <c r="AG561" s="34">
        <v>0.17000000000000004</v>
      </c>
      <c r="AH561" s="34">
        <v>0</v>
      </c>
      <c r="AI561" s="37">
        <f t="shared" si="76"/>
        <v>3076.28</v>
      </c>
      <c r="AJ561" s="37">
        <f t="shared" si="77"/>
        <v>7354.1395332088205</v>
      </c>
      <c r="AK561" s="37">
        <f t="shared" si="78"/>
        <v>15998.67553891573</v>
      </c>
      <c r="AL561" s="37">
        <f t="shared" si="79"/>
        <v>4497.6603002010015</v>
      </c>
      <c r="AM561" s="37">
        <f t="shared" si="80"/>
        <v>4632.5901092070317</v>
      </c>
      <c r="AN561" s="37">
        <f t="shared" si="81"/>
        <v>16459.592658012582</v>
      </c>
      <c r="AO561" s="37">
        <f t="shared" si="82"/>
        <v>0</v>
      </c>
    </row>
    <row r="562" spans="1:41" hidden="1" x14ac:dyDescent="0.3">
      <c r="A562" t="str">
        <f t="shared" si="83"/>
        <v>204ene</v>
      </c>
      <c r="B562" t="str">
        <f t="shared" si="84"/>
        <v>OUTLET CASONAene</v>
      </c>
      <c r="C562" s="1" t="s">
        <v>92</v>
      </c>
      <c r="D562" s="1" t="s">
        <v>46</v>
      </c>
      <c r="E562" s="1">
        <v>204</v>
      </c>
      <c r="F562" s="1" t="s">
        <v>119</v>
      </c>
      <c r="G562" s="1" t="s">
        <v>119</v>
      </c>
      <c r="H562" s="1" t="s">
        <v>119</v>
      </c>
      <c r="I562" s="1" t="s">
        <v>125</v>
      </c>
      <c r="J562" s="1" t="s">
        <v>136</v>
      </c>
      <c r="K562" t="s">
        <v>80</v>
      </c>
      <c r="L562" s="6">
        <v>49926.590000000004</v>
      </c>
      <c r="M562" s="6">
        <v>10577.079999999994</v>
      </c>
      <c r="N562" s="6">
        <v>34978.300000000003</v>
      </c>
      <c r="O562" s="6">
        <v>7983.480000000005</v>
      </c>
      <c r="P562" s="6">
        <v>57693.266766666668</v>
      </c>
      <c r="Q562" s="6">
        <v>13116</v>
      </c>
      <c r="R562" s="6">
        <v>42241.099999999933</v>
      </c>
      <c r="S562" s="6">
        <v>10823.794785792979</v>
      </c>
      <c r="T562" s="6">
        <v>42241.099999999933</v>
      </c>
      <c r="U562" s="6">
        <v>10297.289999999935</v>
      </c>
      <c r="V562" s="30">
        <v>57693.266766666668</v>
      </c>
      <c r="W562" s="30">
        <v>14064.12946025852</v>
      </c>
      <c r="X562" s="30">
        <v>60000.997437333324</v>
      </c>
      <c r="Y562" s="30">
        <v>10487.756455050247</v>
      </c>
      <c r="Z562" s="30">
        <v>42091.666666666715</v>
      </c>
      <c r="AA562" s="30">
        <v>13586.035144997175</v>
      </c>
      <c r="AB562" s="34">
        <v>2.6245934280710977E-2</v>
      </c>
      <c r="AC562" s="34">
        <v>2.2140870196664785E-2</v>
      </c>
      <c r="AD562" s="34">
        <v>0.12189095632203276</v>
      </c>
      <c r="AE562" s="34">
        <v>0.12189095632203285</v>
      </c>
      <c r="AF562" s="34">
        <v>0.12189095632203285</v>
      </c>
      <c r="AG562" s="34">
        <v>0.12</v>
      </c>
      <c r="AH562" s="34">
        <v>0.23368537469534892</v>
      </c>
      <c r="AI562" s="37">
        <f t="shared" si="76"/>
        <v>1310.3700000000019</v>
      </c>
      <c r="AJ562" s="37">
        <f t="shared" si="77"/>
        <v>774.44999999999993</v>
      </c>
      <c r="AK562" s="37">
        <f t="shared" si="78"/>
        <v>5148.8080750946101</v>
      </c>
      <c r="AL562" s="37">
        <f t="shared" si="79"/>
        <v>5148.8080750946137</v>
      </c>
      <c r="AM562" s="37">
        <f t="shared" si="80"/>
        <v>7032.2874595311559</v>
      </c>
      <c r="AN562" s="37">
        <f t="shared" si="81"/>
        <v>7200.1196924799988</v>
      </c>
      <c r="AO562" s="37">
        <f t="shared" si="82"/>
        <v>9836.2068965517392</v>
      </c>
    </row>
    <row r="563" spans="1:41" hidden="1" x14ac:dyDescent="0.3">
      <c r="A563" t="str">
        <f t="shared" si="83"/>
        <v>204feb</v>
      </c>
      <c r="B563" t="str">
        <f t="shared" si="84"/>
        <v>OUTLET CASONAfeb</v>
      </c>
      <c r="C563" s="1" t="s">
        <v>92</v>
      </c>
      <c r="D563" s="1" t="s">
        <v>46</v>
      </c>
      <c r="E563" s="1">
        <v>204</v>
      </c>
      <c r="F563" s="1" t="s">
        <v>119</v>
      </c>
      <c r="G563" s="1" t="s">
        <v>119</v>
      </c>
      <c r="H563" s="1" t="s">
        <v>119</v>
      </c>
      <c r="I563" s="1" t="s">
        <v>125</v>
      </c>
      <c r="J563" s="1" t="s">
        <v>136</v>
      </c>
      <c r="K563" t="s">
        <v>81</v>
      </c>
      <c r="L563" s="6">
        <v>85843.64</v>
      </c>
      <c r="M563" s="6">
        <v>1628.0799999999986</v>
      </c>
      <c r="N563" s="6">
        <v>56445</v>
      </c>
      <c r="O563" s="6">
        <v>9419.6900000000096</v>
      </c>
      <c r="P563" s="6">
        <v>74455.276499999964</v>
      </c>
      <c r="Q563" s="6">
        <v>11505</v>
      </c>
      <c r="R563" s="6">
        <v>61097.420000000013</v>
      </c>
      <c r="S563" s="6">
        <v>10624.183434951176</v>
      </c>
      <c r="T563" s="6">
        <v>61097.420000000027</v>
      </c>
      <c r="U563" s="6">
        <v>10555.320000000051</v>
      </c>
      <c r="V563" s="30">
        <v>74455.276499999964</v>
      </c>
      <c r="W563" s="30">
        <v>12863.051650069399</v>
      </c>
      <c r="X563" s="30">
        <v>75944.382029999964</v>
      </c>
      <c r="Y563" s="30">
        <v>12366.650306184194</v>
      </c>
      <c r="Z563" s="30">
        <v>49632.614942528824</v>
      </c>
      <c r="AA563" s="30">
        <v>7548.8357319893112</v>
      </c>
      <c r="AB563" s="34">
        <v>1.2837642951766809E-2</v>
      </c>
      <c r="AC563" s="34">
        <v>1.8456100061658383E-2</v>
      </c>
      <c r="AD563" s="34">
        <v>9.2643362515163835E-2</v>
      </c>
      <c r="AE563" s="34">
        <v>9.2643362515163821E-2</v>
      </c>
      <c r="AF563" s="34">
        <v>9.2643362515163821E-2</v>
      </c>
      <c r="AG563" s="34">
        <v>0.09</v>
      </c>
      <c r="AH563" s="34">
        <v>0.17924809592320579</v>
      </c>
      <c r="AI563" s="37">
        <f t="shared" si="76"/>
        <v>1102.0300000000072</v>
      </c>
      <c r="AJ563" s="37">
        <f t="shared" si="77"/>
        <v>1041.7545679803075</v>
      </c>
      <c r="AK563" s="37">
        <f t="shared" si="78"/>
        <v>5660.2704298012241</v>
      </c>
      <c r="AL563" s="37">
        <f t="shared" si="79"/>
        <v>5660.2704298012213</v>
      </c>
      <c r="AM563" s="37">
        <f t="shared" si="80"/>
        <v>6897.7871719562545</v>
      </c>
      <c r="AN563" s="37">
        <f t="shared" si="81"/>
        <v>6834.9943826999961</v>
      </c>
      <c r="AO563" s="37">
        <f t="shared" si="82"/>
        <v>8896.5517241379439</v>
      </c>
    </row>
    <row r="564" spans="1:41" hidden="1" x14ac:dyDescent="0.3">
      <c r="A564" t="str">
        <f t="shared" si="83"/>
        <v>204mar</v>
      </c>
      <c r="B564" t="str">
        <f t="shared" si="84"/>
        <v>OUTLET CASONAmar</v>
      </c>
      <c r="C564" s="1" t="s">
        <v>92</v>
      </c>
      <c r="D564" s="1" t="s">
        <v>46</v>
      </c>
      <c r="E564" s="1">
        <v>204</v>
      </c>
      <c r="F564" s="1" t="s">
        <v>119</v>
      </c>
      <c r="G564" s="1" t="s">
        <v>119</v>
      </c>
      <c r="H564" s="1" t="s">
        <v>119</v>
      </c>
      <c r="I564" s="1" t="s">
        <v>125</v>
      </c>
      <c r="J564" s="1" t="s">
        <v>136</v>
      </c>
      <c r="K564" t="s">
        <v>82</v>
      </c>
      <c r="L564" s="6">
        <v>53205.960000000006</v>
      </c>
      <c r="M564" s="6">
        <v>3929.0500000000038</v>
      </c>
      <c r="N564" s="6">
        <v>70929.61</v>
      </c>
      <c r="O564" s="6">
        <v>11627.910000000007</v>
      </c>
      <c r="P564" s="6">
        <v>60001.99319999999</v>
      </c>
      <c r="Q564" s="6">
        <v>12302</v>
      </c>
      <c r="R564" s="6">
        <v>70698.779999999897</v>
      </c>
      <c r="S564" s="6">
        <v>12220.221746954399</v>
      </c>
      <c r="T564" s="6">
        <v>70698.779999999941</v>
      </c>
      <c r="U564" s="6">
        <v>12395.619999999915</v>
      </c>
      <c r="V564" s="30">
        <v>73526.731199999937</v>
      </c>
      <c r="W564" s="30">
        <v>12891.444799999912</v>
      </c>
      <c r="X564" s="30">
        <v>75732.53313599994</v>
      </c>
      <c r="Y564" s="30">
        <v>13841.096744125827</v>
      </c>
      <c r="Z564" s="30">
        <v>58596.131261442759</v>
      </c>
      <c r="AA564" s="30">
        <v>16758.493540772626</v>
      </c>
      <c r="AB564" s="34">
        <v>1.6796990412352362E-2</v>
      </c>
      <c r="AC564" s="34">
        <v>5.9461145168637677E-3</v>
      </c>
      <c r="AD564" s="34">
        <v>9.9337447312987256E-2</v>
      </c>
      <c r="AE564" s="34">
        <v>9.9337447312987007E-2</v>
      </c>
      <c r="AF564" s="34">
        <v>9.9337447312987007E-2</v>
      </c>
      <c r="AG564" s="34">
        <v>0.14000000000000001</v>
      </c>
      <c r="AH564" s="34">
        <v>0.22826639234278556</v>
      </c>
      <c r="AI564" s="37">
        <f t="shared" si="76"/>
        <v>893.70000000000334</v>
      </c>
      <c r="AJ564" s="37">
        <f t="shared" si="77"/>
        <v>421.75558369648547</v>
      </c>
      <c r="AK564" s="37">
        <f t="shared" si="78"/>
        <v>7023.0363333424712</v>
      </c>
      <c r="AL564" s="37">
        <f t="shared" si="79"/>
        <v>7023.0363333424493</v>
      </c>
      <c r="AM564" s="37">
        <f t="shared" si="80"/>
        <v>7303.957786676152</v>
      </c>
      <c r="AN564" s="37">
        <f t="shared" si="81"/>
        <v>10602.554639039992</v>
      </c>
      <c r="AO564" s="37">
        <f t="shared" si="82"/>
        <v>13375.527488293856</v>
      </c>
    </row>
    <row r="565" spans="1:41" hidden="1" x14ac:dyDescent="0.3">
      <c r="A565" t="str">
        <f t="shared" si="83"/>
        <v>204abr</v>
      </c>
      <c r="B565" t="str">
        <f t="shared" si="84"/>
        <v>OUTLET CASONAabr</v>
      </c>
      <c r="C565" s="1" t="s">
        <v>92</v>
      </c>
      <c r="D565" s="1" t="s">
        <v>46</v>
      </c>
      <c r="E565" s="1">
        <v>204</v>
      </c>
      <c r="F565" s="1" t="s">
        <v>119</v>
      </c>
      <c r="G565" s="1" t="s">
        <v>119</v>
      </c>
      <c r="H565" s="1" t="s">
        <v>119</v>
      </c>
      <c r="I565" s="1" t="s">
        <v>125</v>
      </c>
      <c r="J565" s="1" t="s">
        <v>136</v>
      </c>
      <c r="K565" t="s">
        <v>83</v>
      </c>
      <c r="L565" s="6">
        <v>59533.03</v>
      </c>
      <c r="M565" s="6">
        <v>4059.0500000000061</v>
      </c>
      <c r="N565" s="6">
        <v>54698.43</v>
      </c>
      <c r="O565" s="6">
        <v>13017.89</v>
      </c>
      <c r="P565" s="6">
        <v>59538.565509999964</v>
      </c>
      <c r="Q565" s="6">
        <v>12647</v>
      </c>
      <c r="R565" s="6">
        <v>62666.130000000012</v>
      </c>
      <c r="S565" s="6">
        <v>12200.141528304162</v>
      </c>
      <c r="T565" s="6">
        <v>62666.129999999961</v>
      </c>
      <c r="U565" s="6">
        <v>11612.349999999977</v>
      </c>
      <c r="V565" s="30">
        <v>65172.775199999967</v>
      </c>
      <c r="W565" s="30">
        <v>12076.843999999977</v>
      </c>
      <c r="X565" s="30">
        <v>67779.68620799997</v>
      </c>
      <c r="Y565" s="30">
        <v>12927.805811339615</v>
      </c>
      <c r="Z565" s="30">
        <v>0</v>
      </c>
      <c r="AA565" s="30">
        <v>0</v>
      </c>
      <c r="AB565" s="34">
        <v>1.9576863465541775E-2</v>
      </c>
      <c r="AC565" s="34">
        <v>2.1857343691275039E-2</v>
      </c>
      <c r="AD565" s="34">
        <v>0.1397400026058421</v>
      </c>
      <c r="AE565" s="34">
        <v>0.1397400026058418</v>
      </c>
      <c r="AF565" s="34">
        <v>0.1397400026058418</v>
      </c>
      <c r="AG565" s="34">
        <v>0.16</v>
      </c>
      <c r="AH565" s="34">
        <v>0</v>
      </c>
      <c r="AI565" s="37">
        <f t="shared" si="76"/>
        <v>1165.4700000000025</v>
      </c>
      <c r="AJ565" s="37">
        <f t="shared" si="77"/>
        <v>1195.5623838831493</v>
      </c>
      <c r="AK565" s="37">
        <f t="shared" si="78"/>
        <v>8756.9651694980348</v>
      </c>
      <c r="AL565" s="37">
        <f t="shared" si="79"/>
        <v>8756.9651694980221</v>
      </c>
      <c r="AM565" s="37">
        <f t="shared" si="80"/>
        <v>9107.2437762779373</v>
      </c>
      <c r="AN565" s="37">
        <f t="shared" si="81"/>
        <v>10844.749793279996</v>
      </c>
      <c r="AO565" s="37">
        <f t="shared" si="82"/>
        <v>0</v>
      </c>
    </row>
    <row r="566" spans="1:41" hidden="1" x14ac:dyDescent="0.3">
      <c r="A566" t="str">
        <f t="shared" si="83"/>
        <v>204may</v>
      </c>
      <c r="B566" t="str">
        <f t="shared" si="84"/>
        <v>OUTLET CASONAmay</v>
      </c>
      <c r="C566" s="1" t="s">
        <v>92</v>
      </c>
      <c r="D566" s="1" t="s">
        <v>46</v>
      </c>
      <c r="E566" s="1">
        <v>204</v>
      </c>
      <c r="F566" s="1" t="s">
        <v>119</v>
      </c>
      <c r="G566" s="1" t="s">
        <v>119</v>
      </c>
      <c r="H566" s="1" t="s">
        <v>119</v>
      </c>
      <c r="I566" s="1" t="s">
        <v>125</v>
      </c>
      <c r="J566" s="1" t="s">
        <v>136</v>
      </c>
      <c r="K566" t="s">
        <v>84</v>
      </c>
      <c r="L566" s="6">
        <v>47208.99</v>
      </c>
      <c r="M566" s="6">
        <v>7815.9800000000041</v>
      </c>
      <c r="N566" s="6">
        <v>57634.729999999996</v>
      </c>
      <c r="O566" s="6">
        <v>15499.280000000004</v>
      </c>
      <c r="P566" s="6">
        <v>56182.007990000013</v>
      </c>
      <c r="Q566" s="6">
        <v>12890</v>
      </c>
      <c r="R566" s="6">
        <v>56840.879999999932</v>
      </c>
      <c r="S566" s="6">
        <v>13067.433974461552</v>
      </c>
      <c r="T566" s="6">
        <v>56840.879999999932</v>
      </c>
      <c r="U566" s="6">
        <v>12349.659999999931</v>
      </c>
      <c r="V566" s="30">
        <v>59114.515199999929</v>
      </c>
      <c r="W566" s="30">
        <v>12843.646399999927</v>
      </c>
      <c r="X566" s="30">
        <v>61479.095807999925</v>
      </c>
      <c r="Y566" s="30">
        <v>12216.056457399287</v>
      </c>
      <c r="Z566" s="30">
        <v>0</v>
      </c>
      <c r="AA566" s="30">
        <v>0</v>
      </c>
      <c r="AB566" s="34">
        <v>4.2424970328744739E-2</v>
      </c>
      <c r="AC566" s="34">
        <v>1.2707701400611959E-2</v>
      </c>
      <c r="AD566" s="34">
        <v>0.13989407454122435</v>
      </c>
      <c r="AE566" s="34">
        <v>0.13989407454122404</v>
      </c>
      <c r="AF566" s="34">
        <v>0.13989407454122404</v>
      </c>
      <c r="AG566" s="34">
        <v>0.18</v>
      </c>
      <c r="AH566" s="34">
        <v>0</v>
      </c>
      <c r="AI566" s="37">
        <f t="shared" si="76"/>
        <v>2002.840000000007</v>
      </c>
      <c r="AJ566" s="37">
        <f t="shared" si="77"/>
        <v>732.40493914489207</v>
      </c>
      <c r="AK566" s="37">
        <f t="shared" si="78"/>
        <v>7951.7023037087793</v>
      </c>
      <c r="AL566" s="37">
        <f t="shared" si="79"/>
        <v>7951.7023037087611</v>
      </c>
      <c r="AM566" s="37">
        <f t="shared" si="80"/>
        <v>8269.770395857111</v>
      </c>
      <c r="AN566" s="37">
        <f t="shared" si="81"/>
        <v>11066.237245439987</v>
      </c>
      <c r="AO566" s="37">
        <f t="shared" si="82"/>
        <v>0</v>
      </c>
    </row>
    <row r="567" spans="1:41" hidden="1" x14ac:dyDescent="0.3">
      <c r="A567" t="str">
        <f t="shared" si="83"/>
        <v>204jun</v>
      </c>
      <c r="B567" t="str">
        <f t="shared" si="84"/>
        <v>OUTLET CASONAjun</v>
      </c>
      <c r="C567" s="1" t="s">
        <v>92</v>
      </c>
      <c r="D567" s="1" t="s">
        <v>46</v>
      </c>
      <c r="E567" s="1">
        <v>204</v>
      </c>
      <c r="F567" s="1" t="s">
        <v>119</v>
      </c>
      <c r="G567" s="1" t="s">
        <v>119</v>
      </c>
      <c r="H567" s="1" t="s">
        <v>119</v>
      </c>
      <c r="I567" s="1" t="s">
        <v>125</v>
      </c>
      <c r="J567" s="1" t="s">
        <v>136</v>
      </c>
      <c r="K567" t="s">
        <v>85</v>
      </c>
      <c r="L567" s="6">
        <v>41464.9</v>
      </c>
      <c r="M567" s="6">
        <v>7827.3900000000031</v>
      </c>
      <c r="N567" s="6">
        <v>43574.909999999989</v>
      </c>
      <c r="O567" s="6">
        <v>11630.879999999994</v>
      </c>
      <c r="P567" s="6">
        <v>44057.172899999969</v>
      </c>
      <c r="Q567" s="6">
        <v>9830.5227809999924</v>
      </c>
      <c r="R567" s="6">
        <v>56261.560000000012</v>
      </c>
      <c r="S567" s="6">
        <v>12556.919999999962</v>
      </c>
      <c r="T567" s="6">
        <v>56261.560000000005</v>
      </c>
      <c r="U567" s="6">
        <v>12556.919999999998</v>
      </c>
      <c r="V567" s="30">
        <v>58512.022400000016</v>
      </c>
      <c r="W567" s="30">
        <v>13059.196800000002</v>
      </c>
      <c r="X567" s="30">
        <v>60852.50329600001</v>
      </c>
      <c r="Y567" s="30">
        <v>12091.550893324635</v>
      </c>
      <c r="Z567" s="30">
        <v>0</v>
      </c>
      <c r="AA567" s="30">
        <v>0</v>
      </c>
      <c r="AB567" s="34">
        <v>2.0790114048267402E-2</v>
      </c>
      <c r="AC567" s="34">
        <v>6.2959761254515037E-2</v>
      </c>
      <c r="AD567" s="34">
        <v>0.13820697470884216</v>
      </c>
      <c r="AE567" s="34">
        <v>0.13820697470884216</v>
      </c>
      <c r="AF567" s="34">
        <v>0.13820697470884216</v>
      </c>
      <c r="AG567" s="34">
        <v>0.18000000000000002</v>
      </c>
      <c r="AH567" s="34">
        <v>0</v>
      </c>
      <c r="AI567" s="37">
        <f t="shared" si="76"/>
        <v>862.06000000000301</v>
      </c>
      <c r="AJ567" s="37">
        <f t="shared" si="77"/>
        <v>2743.4659302869791</v>
      </c>
      <c r="AK567" s="37">
        <f t="shared" si="78"/>
        <v>7775.7400000000061</v>
      </c>
      <c r="AL567" s="37">
        <f t="shared" si="79"/>
        <v>7775.7400000000071</v>
      </c>
      <c r="AM567" s="37">
        <f t="shared" si="80"/>
        <v>8086.7696000000087</v>
      </c>
      <c r="AN567" s="37">
        <f t="shared" si="81"/>
        <v>10953.450593280004</v>
      </c>
      <c r="AO567" s="37">
        <f t="shared" si="82"/>
        <v>0</v>
      </c>
    </row>
    <row r="568" spans="1:41" hidden="1" x14ac:dyDescent="0.3">
      <c r="A568" t="str">
        <f t="shared" si="83"/>
        <v>204jul</v>
      </c>
      <c r="B568" t="str">
        <f t="shared" si="84"/>
        <v>OUTLET CASONAjul</v>
      </c>
      <c r="C568" s="1" t="s">
        <v>92</v>
      </c>
      <c r="D568" s="1" t="s">
        <v>46</v>
      </c>
      <c r="E568" s="1">
        <v>204</v>
      </c>
      <c r="F568" s="1" t="s">
        <v>119</v>
      </c>
      <c r="G568" s="1" t="s">
        <v>119</v>
      </c>
      <c r="H568" s="1" t="s">
        <v>119</v>
      </c>
      <c r="I568" s="1" t="s">
        <v>125</v>
      </c>
      <c r="J568" s="1" t="s">
        <v>136</v>
      </c>
      <c r="K568" t="s">
        <v>86</v>
      </c>
      <c r="L568" s="6">
        <v>47143.29</v>
      </c>
      <c r="M568" s="6">
        <v>10001.640000000001</v>
      </c>
      <c r="N568" s="6">
        <v>71455</v>
      </c>
      <c r="O568" s="6">
        <v>17057.049999999996</v>
      </c>
      <c r="P568" s="6">
        <v>60750.283599999995</v>
      </c>
      <c r="Q568" s="6">
        <v>15409.226822499999</v>
      </c>
      <c r="R568" s="6">
        <v>51283.890000000029</v>
      </c>
      <c r="S568" s="6">
        <v>13425.030000000083</v>
      </c>
      <c r="T568" s="6">
        <v>51283.890000000043</v>
      </c>
      <c r="U568" s="6">
        <v>13425.030000000013</v>
      </c>
      <c r="V568" s="30">
        <v>53335.245599999995</v>
      </c>
      <c r="W568" s="30">
        <v>13962.031200000001</v>
      </c>
      <c r="X568" s="30">
        <v>55468.655423999997</v>
      </c>
      <c r="Y568" s="30">
        <v>11242.804909258964</v>
      </c>
      <c r="Z568" s="30">
        <v>0</v>
      </c>
      <c r="AA568" s="30">
        <v>0</v>
      </c>
      <c r="AB568" s="34">
        <v>5.967445208003104E-2</v>
      </c>
      <c r="AC568" s="34">
        <v>3.1378066090646667E-2</v>
      </c>
      <c r="AD568" s="34">
        <v>0.22156782568561004</v>
      </c>
      <c r="AE568" s="34">
        <v>0.22156782568561004</v>
      </c>
      <c r="AF568" s="34">
        <v>0.22156782568561004</v>
      </c>
      <c r="AG568" s="34">
        <v>0.19000000000000003</v>
      </c>
      <c r="AH568" s="34">
        <v>0</v>
      </c>
      <c r="AI568" s="37">
        <f t="shared" si="76"/>
        <v>2813.2500000000064</v>
      </c>
      <c r="AJ568" s="37">
        <f t="shared" si="77"/>
        <v>2242.1197125071576</v>
      </c>
      <c r="AK568" s="37">
        <f t="shared" si="78"/>
        <v>11362.86000000001</v>
      </c>
      <c r="AL568" s="37">
        <f t="shared" si="79"/>
        <v>11362.860000000006</v>
      </c>
      <c r="AM568" s="37">
        <f t="shared" si="80"/>
        <v>11817.374399999999</v>
      </c>
      <c r="AN568" s="37">
        <f t="shared" si="81"/>
        <v>10539.044530560001</v>
      </c>
      <c r="AO568" s="37">
        <f t="shared" si="82"/>
        <v>0</v>
      </c>
    </row>
    <row r="569" spans="1:41" hidden="1" x14ac:dyDescent="0.3">
      <c r="A569" t="str">
        <f t="shared" si="83"/>
        <v>204ago</v>
      </c>
      <c r="B569" t="str">
        <f t="shared" si="84"/>
        <v>OUTLET CASONAago</v>
      </c>
      <c r="C569" s="1" t="s">
        <v>92</v>
      </c>
      <c r="D569" s="1" t="s">
        <v>46</v>
      </c>
      <c r="E569" s="1">
        <v>204</v>
      </c>
      <c r="F569" s="1" t="s">
        <v>119</v>
      </c>
      <c r="G569" s="1" t="s">
        <v>119</v>
      </c>
      <c r="H569" s="1" t="s">
        <v>119</v>
      </c>
      <c r="I569" s="1" t="s">
        <v>125</v>
      </c>
      <c r="J569" s="1" t="s">
        <v>136</v>
      </c>
      <c r="K569" t="s">
        <v>87</v>
      </c>
      <c r="L569" s="6">
        <v>124943.53000000003</v>
      </c>
      <c r="M569" s="6">
        <v>5559.7600000000384</v>
      </c>
      <c r="N569" s="6">
        <v>109050.76000000001</v>
      </c>
      <c r="O569" s="6">
        <v>13468.479999999996</v>
      </c>
      <c r="P569" s="6">
        <v>116418.81206</v>
      </c>
      <c r="Q569" s="6">
        <v>19238</v>
      </c>
      <c r="R569" s="6">
        <v>93594.449306023482</v>
      </c>
      <c r="S569" s="6">
        <v>15897.017214628086</v>
      </c>
      <c r="T569" s="6">
        <v>93008.560000000085</v>
      </c>
      <c r="U569" s="6">
        <v>-499.44999999992433</v>
      </c>
      <c r="V569" s="30">
        <v>96728.90240000021</v>
      </c>
      <c r="W569" s="30">
        <v>16429.404072640034</v>
      </c>
      <c r="X569" s="30">
        <v>96728.902400000225</v>
      </c>
      <c r="Y569" s="30">
        <v>15751.165241021899</v>
      </c>
      <c r="Z569" s="30">
        <v>0</v>
      </c>
      <c r="AA569" s="30">
        <v>0</v>
      </c>
      <c r="AB569" s="34">
        <v>8.3465706467553552E-3</v>
      </c>
      <c r="AC569" s="34">
        <v>9.4775995449946603E-3</v>
      </c>
      <c r="AD569" s="34">
        <v>8.0850300230430647E-2</v>
      </c>
      <c r="AE569" s="34">
        <v>7.0000000000000007E-2</v>
      </c>
      <c r="AF569" s="34">
        <v>7.0000000000000007E-2</v>
      </c>
      <c r="AG569" s="34">
        <v>8.9999999999999983E-2</v>
      </c>
      <c r="AH569" s="34">
        <v>0</v>
      </c>
      <c r="AI569" s="37">
        <f t="shared" si="76"/>
        <v>1042.8499999999974</v>
      </c>
      <c r="AJ569" s="37">
        <f t="shared" si="77"/>
        <v>1033.539433357322</v>
      </c>
      <c r="AK569" s="37">
        <f t="shared" si="78"/>
        <v>7519.7700000000295</v>
      </c>
      <c r="AL569" s="37">
        <f t="shared" si="79"/>
        <v>6551.6114514216442</v>
      </c>
      <c r="AM569" s="37">
        <f t="shared" si="80"/>
        <v>6771.0231680000152</v>
      </c>
      <c r="AN569" s="37">
        <f t="shared" si="81"/>
        <v>8705.6012160000191</v>
      </c>
      <c r="AO569" s="37">
        <f t="shared" si="82"/>
        <v>0</v>
      </c>
    </row>
    <row r="570" spans="1:41" hidden="1" x14ac:dyDescent="0.3">
      <c r="A570" t="str">
        <f t="shared" si="83"/>
        <v>204sep</v>
      </c>
      <c r="B570" t="str">
        <f t="shared" si="84"/>
        <v>OUTLET CASONAsep</v>
      </c>
      <c r="C570" s="1" t="s">
        <v>92</v>
      </c>
      <c r="D570" s="1" t="s">
        <v>46</v>
      </c>
      <c r="E570" s="1">
        <v>204</v>
      </c>
      <c r="F570" s="1" t="s">
        <v>119</v>
      </c>
      <c r="G570" s="1" t="s">
        <v>119</v>
      </c>
      <c r="H570" s="1" t="s">
        <v>119</v>
      </c>
      <c r="I570" s="1" t="s">
        <v>125</v>
      </c>
      <c r="J570" s="1" t="s">
        <v>136</v>
      </c>
      <c r="K570" t="s">
        <v>88</v>
      </c>
      <c r="L570" s="6">
        <v>54532.410000000011</v>
      </c>
      <c r="M570" s="6">
        <v>8230.7700000000095</v>
      </c>
      <c r="N570" s="6">
        <v>56047.039999999994</v>
      </c>
      <c r="O570" s="6">
        <v>9810.01</v>
      </c>
      <c r="P570" s="6">
        <v>60113.646960000005</v>
      </c>
      <c r="Q570" s="6">
        <v>13120</v>
      </c>
      <c r="R570" s="6">
        <v>67724.259271762508</v>
      </c>
      <c r="S570" s="6">
        <v>14723.253965681168</v>
      </c>
      <c r="T570" s="6">
        <v>50050.270000000004</v>
      </c>
      <c r="U570" s="6">
        <v>10575.640000000014</v>
      </c>
      <c r="V570" s="30">
        <v>71110.472235350637</v>
      </c>
      <c r="W570" s="30">
        <v>15025.668284927624</v>
      </c>
      <c r="X570" s="30">
        <v>73243.786402411148</v>
      </c>
      <c r="Y570" s="30">
        <v>13386.246194635163</v>
      </c>
      <c r="Z570" s="30">
        <v>0</v>
      </c>
      <c r="AA570" s="30">
        <v>0</v>
      </c>
      <c r="AB570" s="34">
        <v>3.6095782306338635E-2</v>
      </c>
      <c r="AC570" s="34">
        <v>2.8198430733367127E-2</v>
      </c>
      <c r="AD570" s="34">
        <v>0.10927493498037057</v>
      </c>
      <c r="AE570" s="34">
        <v>0.14000000000000001</v>
      </c>
      <c r="AF570" s="34">
        <v>0.14000000000000001</v>
      </c>
      <c r="AG570" s="34">
        <v>0.14000000000000007</v>
      </c>
      <c r="AH570" s="34">
        <v>0</v>
      </c>
      <c r="AI570" s="37">
        <f t="shared" si="76"/>
        <v>1968.3900000000044</v>
      </c>
      <c r="AJ570" s="37">
        <f t="shared" si="77"/>
        <v>1580.4385752502565</v>
      </c>
      <c r="AK570" s="37">
        <f t="shared" si="78"/>
        <v>5469.2399999999916</v>
      </c>
      <c r="AL570" s="37">
        <f t="shared" si="79"/>
        <v>9481.3962980467513</v>
      </c>
      <c r="AM570" s="37">
        <f t="shared" si="80"/>
        <v>9955.4661129490905</v>
      </c>
      <c r="AN570" s="37">
        <f t="shared" si="81"/>
        <v>10254.130096337565</v>
      </c>
      <c r="AO570" s="37">
        <f t="shared" si="82"/>
        <v>0</v>
      </c>
    </row>
    <row r="571" spans="1:41" hidden="1" x14ac:dyDescent="0.3">
      <c r="A571" t="str">
        <f t="shared" si="83"/>
        <v>204oct</v>
      </c>
      <c r="B571" t="str">
        <f t="shared" si="84"/>
        <v>OUTLET CASONAoct</v>
      </c>
      <c r="C571" s="1" t="s">
        <v>92</v>
      </c>
      <c r="D571" s="1" t="s">
        <v>46</v>
      </c>
      <c r="E571" s="1">
        <v>204</v>
      </c>
      <c r="F571" s="1" t="s">
        <v>119</v>
      </c>
      <c r="G571" s="1" t="s">
        <v>119</v>
      </c>
      <c r="H571" s="1" t="s">
        <v>119</v>
      </c>
      <c r="I571" s="1" t="s">
        <v>125</v>
      </c>
      <c r="J571" s="1" t="s">
        <v>136</v>
      </c>
      <c r="K571" t="s">
        <v>89</v>
      </c>
      <c r="L571" s="6">
        <v>48378.570000000007</v>
      </c>
      <c r="M571" s="6">
        <v>6034.9800000000023</v>
      </c>
      <c r="N571" s="6">
        <v>50055.079999999987</v>
      </c>
      <c r="O571" s="6">
        <v>9771.1599999999889</v>
      </c>
      <c r="P571" s="6">
        <v>67731.03237500001</v>
      </c>
      <c r="Q571" s="6">
        <v>14569</v>
      </c>
      <c r="R571" s="6">
        <v>48571.826743680002</v>
      </c>
      <c r="S571" s="6">
        <v>9811.5090022233599</v>
      </c>
      <c r="T571" s="6">
        <v>48181.950000000063</v>
      </c>
      <c r="U571" s="6">
        <v>11494.690000000061</v>
      </c>
      <c r="V571" s="30">
        <v>49543.263278553604</v>
      </c>
      <c r="W571" s="30">
        <v>10007.739182267827</v>
      </c>
      <c r="X571" s="30">
        <v>51524.993809695756</v>
      </c>
      <c r="Y571" s="30">
        <v>9827.5036617623446</v>
      </c>
      <c r="Z571" s="30">
        <v>0</v>
      </c>
      <c r="AA571" s="30">
        <v>0</v>
      </c>
      <c r="AB571" s="34">
        <v>1.5919031918471372E-2</v>
      </c>
      <c r="AC571" s="34">
        <v>2.7095458179264616E-2</v>
      </c>
      <c r="AD571" s="34">
        <v>0.30160464655332592</v>
      </c>
      <c r="AE571" s="34">
        <v>7.9999999999999988E-2</v>
      </c>
      <c r="AF571" s="34">
        <v>7.9999999999999988E-2</v>
      </c>
      <c r="AG571" s="34">
        <v>0.15999999999999998</v>
      </c>
      <c r="AH571" s="34">
        <v>0</v>
      </c>
      <c r="AI571" s="37">
        <f t="shared" si="76"/>
        <v>770.14000000000169</v>
      </c>
      <c r="AJ571" s="37">
        <f t="shared" si="77"/>
        <v>1356.2653267997443</v>
      </c>
      <c r="AK571" s="37">
        <f t="shared" si="78"/>
        <v>14531.90000000004</v>
      </c>
      <c r="AL571" s="37">
        <f t="shared" si="79"/>
        <v>3885.7461394943994</v>
      </c>
      <c r="AM571" s="37">
        <f t="shared" si="80"/>
        <v>3963.4610622842879</v>
      </c>
      <c r="AN571" s="37">
        <f t="shared" si="81"/>
        <v>8243.9990095513203</v>
      </c>
      <c r="AO571" s="37">
        <f t="shared" si="82"/>
        <v>0</v>
      </c>
    </row>
    <row r="572" spans="1:41" hidden="1" x14ac:dyDescent="0.3">
      <c r="A572" t="str">
        <f t="shared" si="83"/>
        <v>204nov</v>
      </c>
      <c r="B572" t="str">
        <f t="shared" si="84"/>
        <v>OUTLET CASONAnov</v>
      </c>
      <c r="C572" s="1" t="s">
        <v>92</v>
      </c>
      <c r="D572" s="1" t="s">
        <v>46</v>
      </c>
      <c r="E572" s="1">
        <v>204</v>
      </c>
      <c r="F572" s="1" t="s">
        <v>119</v>
      </c>
      <c r="G572" s="1" t="s">
        <v>119</v>
      </c>
      <c r="H572" s="1" t="s">
        <v>119</v>
      </c>
      <c r="I572" s="1" t="s">
        <v>125</v>
      </c>
      <c r="J572" s="1" t="s">
        <v>136</v>
      </c>
      <c r="K572" t="s">
        <v>90</v>
      </c>
      <c r="L572" s="6">
        <v>41577.17</v>
      </c>
      <c r="M572" s="6">
        <v>5022.2599999999984</v>
      </c>
      <c r="N572" s="6">
        <v>66584.539999999964</v>
      </c>
      <c r="O572" s="6">
        <v>8037.9999999999673</v>
      </c>
      <c r="P572" s="6">
        <v>84950.041655000037</v>
      </c>
      <c r="Q572" s="6">
        <v>17461</v>
      </c>
      <c r="R572" s="6">
        <v>87515.532912981042</v>
      </c>
      <c r="S572" s="6">
        <v>17459.348816139718</v>
      </c>
      <c r="T572" s="6">
        <v>31373.275862068967</v>
      </c>
      <c r="U572" s="6">
        <v>10224.023601514966</v>
      </c>
      <c r="V572" s="30">
        <v>87515.532912981042</v>
      </c>
      <c r="W572" s="30">
        <v>17459.348816139718</v>
      </c>
      <c r="X572" s="30">
        <v>91016.154229500273</v>
      </c>
      <c r="Y572" s="30">
        <v>17722.454052883542</v>
      </c>
      <c r="Z572" s="30">
        <v>0</v>
      </c>
      <c r="AA572" s="30">
        <v>0</v>
      </c>
      <c r="AB572" s="34">
        <v>8.7430193060278345E-3</v>
      </c>
      <c r="AC572" s="34">
        <v>4.1371102413539231E-2</v>
      </c>
      <c r="AD572" s="34">
        <v>0.30160464655332592</v>
      </c>
      <c r="AE572" s="34">
        <v>0.05</v>
      </c>
      <c r="AF572" s="34">
        <v>0.05</v>
      </c>
      <c r="AG572" s="34">
        <v>0.17</v>
      </c>
      <c r="AH572" s="34">
        <v>0</v>
      </c>
      <c r="AI572" s="37">
        <f t="shared" si="76"/>
        <v>363.5100000000013</v>
      </c>
      <c r="AJ572" s="37">
        <f t="shared" si="77"/>
        <v>2754.6758234983981</v>
      </c>
      <c r="AK572" s="37">
        <f t="shared" si="78"/>
        <v>9462.3257775993025</v>
      </c>
      <c r="AL572" s="37">
        <f t="shared" si="79"/>
        <v>4375.7766456490526</v>
      </c>
      <c r="AM572" s="37">
        <f t="shared" si="80"/>
        <v>4375.7766456490526</v>
      </c>
      <c r="AN572" s="37">
        <f t="shared" si="81"/>
        <v>15472.746219015047</v>
      </c>
      <c r="AO572" s="37">
        <f t="shared" si="82"/>
        <v>0</v>
      </c>
    </row>
    <row r="573" spans="1:41" hidden="1" x14ac:dyDescent="0.3">
      <c r="A573" t="str">
        <f t="shared" si="83"/>
        <v>204dic</v>
      </c>
      <c r="B573" t="str">
        <f t="shared" si="84"/>
        <v>OUTLET CASONAdic</v>
      </c>
      <c r="C573" s="1" t="s">
        <v>92</v>
      </c>
      <c r="D573" s="1" t="s">
        <v>46</v>
      </c>
      <c r="E573" s="1">
        <v>204</v>
      </c>
      <c r="F573" s="1" t="s">
        <v>119</v>
      </c>
      <c r="G573" s="1" t="s">
        <v>119</v>
      </c>
      <c r="H573" s="1" t="s">
        <v>119</v>
      </c>
      <c r="I573" s="1" t="s">
        <v>125</v>
      </c>
      <c r="J573" s="1" t="s">
        <v>136</v>
      </c>
      <c r="K573" t="s">
        <v>91</v>
      </c>
      <c r="L573" s="6">
        <v>94329.81</v>
      </c>
      <c r="M573" s="6">
        <v>11863.470000000023</v>
      </c>
      <c r="N573" s="6">
        <v>111007.13999999997</v>
      </c>
      <c r="O573" s="6">
        <v>28899.039999999975</v>
      </c>
      <c r="P573" s="6">
        <v>120144.97075000017</v>
      </c>
      <c r="Q573" s="6">
        <v>30530</v>
      </c>
      <c r="R573" s="6">
        <v>123773.34886665018</v>
      </c>
      <c r="S573" s="6">
        <v>24692.783098896711</v>
      </c>
      <c r="T573" s="6">
        <v>79882.614942528729</v>
      </c>
      <c r="U573" s="6">
        <v>19656.776507008421</v>
      </c>
      <c r="V573" s="30">
        <v>123773.34886665018</v>
      </c>
      <c r="W573" s="30">
        <v>24692.783098896711</v>
      </c>
      <c r="X573" s="30">
        <v>128724.28282131618</v>
      </c>
      <c r="Y573" s="30">
        <v>25064.893228061057</v>
      </c>
      <c r="Z573" s="30">
        <v>0</v>
      </c>
      <c r="AA573" s="30">
        <v>0</v>
      </c>
      <c r="AB573" s="34">
        <v>3.9399104058409545E-2</v>
      </c>
      <c r="AC573" s="34">
        <v>0.10476858248429879</v>
      </c>
      <c r="AD573" s="34">
        <v>0.30160464655332592</v>
      </c>
      <c r="AE573" s="34">
        <v>0.05</v>
      </c>
      <c r="AF573" s="34">
        <v>0.05</v>
      </c>
      <c r="AG573" s="34">
        <v>0.16999999999999998</v>
      </c>
      <c r="AH573" s="34">
        <v>0</v>
      </c>
      <c r="AI573" s="37">
        <f t="shared" si="76"/>
        <v>3716.5100000000011</v>
      </c>
      <c r="AJ573" s="37">
        <f t="shared" si="77"/>
        <v>11630.0607034361</v>
      </c>
      <c r="AK573" s="37">
        <f t="shared" si="78"/>
        <v>24092.967845496809</v>
      </c>
      <c r="AL573" s="37">
        <f t="shared" si="79"/>
        <v>6188.6674433325097</v>
      </c>
      <c r="AM573" s="37">
        <f t="shared" si="80"/>
        <v>6188.6674433325097</v>
      </c>
      <c r="AN573" s="37">
        <f t="shared" si="81"/>
        <v>21883.128079623748</v>
      </c>
      <c r="AO573" s="37">
        <f t="shared" si="82"/>
        <v>0</v>
      </c>
    </row>
    <row r="574" spans="1:41" hidden="1" x14ac:dyDescent="0.3">
      <c r="A574" t="str">
        <f t="shared" si="83"/>
        <v>415ene</v>
      </c>
      <c r="B574" t="str">
        <f t="shared" si="84"/>
        <v>OUTLET CATOLICAene</v>
      </c>
      <c r="C574" s="1" t="s">
        <v>92</v>
      </c>
      <c r="D574" s="1" t="s">
        <v>47</v>
      </c>
      <c r="E574" s="1">
        <v>415</v>
      </c>
      <c r="F574" s="1" t="s">
        <v>119</v>
      </c>
      <c r="G574" s="1" t="s">
        <v>120</v>
      </c>
      <c r="H574" s="1" t="s">
        <v>119</v>
      </c>
      <c r="I574" s="1" t="s">
        <v>127</v>
      </c>
      <c r="J574" s="1" t="s">
        <v>136</v>
      </c>
      <c r="K574" t="s">
        <v>80</v>
      </c>
      <c r="L574" s="6">
        <v>58241.56</v>
      </c>
      <c r="M574" s="6">
        <v>15428.910000000002</v>
      </c>
      <c r="N574" s="6">
        <v>43180.6</v>
      </c>
      <c r="O574" s="6">
        <v>8093.4499999999962</v>
      </c>
      <c r="P574" s="6">
        <v>67069.224644827584</v>
      </c>
      <c r="Q574" s="6">
        <v>14164</v>
      </c>
      <c r="R574" s="6">
        <v>48646.749999999978</v>
      </c>
      <c r="S574" s="6">
        <v>10674.720905451451</v>
      </c>
      <c r="T574" s="6">
        <v>48646.749999999971</v>
      </c>
      <c r="U574" s="6">
        <v>11193.599999999955</v>
      </c>
      <c r="V574" s="30">
        <v>67069.224644827584</v>
      </c>
      <c r="W574" s="30">
        <v>15432.604911619777</v>
      </c>
      <c r="X574" s="30">
        <v>70422.685877068972</v>
      </c>
      <c r="Y574" s="30">
        <v>13803.223687668726</v>
      </c>
      <c r="Z574" s="30">
        <v>49027.72988505751</v>
      </c>
      <c r="AA574" s="30">
        <v>15750.24039538201</v>
      </c>
      <c r="AB574" s="34">
        <v>4.311319957775861E-2</v>
      </c>
      <c r="AC574" s="34">
        <v>2.001167453722355E-2</v>
      </c>
      <c r="AD574" s="34">
        <v>7.2778877857969521E-2</v>
      </c>
      <c r="AE574" s="34">
        <v>7.2778877857969673E-2</v>
      </c>
      <c r="AF574" s="34">
        <v>7.2778877857969673E-2</v>
      </c>
      <c r="AG574" s="34">
        <v>0.11999999999999998</v>
      </c>
      <c r="AH574" s="34">
        <v>0.21750534092540891</v>
      </c>
      <c r="AI574" s="37">
        <f t="shared" si="76"/>
        <v>2510.9800000000027</v>
      </c>
      <c r="AJ574" s="37">
        <f t="shared" si="77"/>
        <v>864.11611352203522</v>
      </c>
      <c r="AK574" s="37">
        <f t="shared" si="78"/>
        <v>3540.4558764371768</v>
      </c>
      <c r="AL574" s="37">
        <f t="shared" si="79"/>
        <v>3540.4558764371845</v>
      </c>
      <c r="AM574" s="37">
        <f t="shared" si="80"/>
        <v>4881.2229084546361</v>
      </c>
      <c r="AN574" s="37">
        <f t="shared" si="81"/>
        <v>8450.722305248275</v>
      </c>
      <c r="AO574" s="37">
        <f t="shared" si="82"/>
        <v>10663.793103448292</v>
      </c>
    </row>
    <row r="575" spans="1:41" hidden="1" x14ac:dyDescent="0.3">
      <c r="A575" t="str">
        <f t="shared" si="83"/>
        <v>415feb</v>
      </c>
      <c r="B575" t="str">
        <f t="shared" si="84"/>
        <v>OUTLET CATOLICAfeb</v>
      </c>
      <c r="C575" s="1" t="s">
        <v>92</v>
      </c>
      <c r="D575" s="1" t="s">
        <v>47</v>
      </c>
      <c r="E575" s="1">
        <v>415</v>
      </c>
      <c r="F575" s="1" t="s">
        <v>119</v>
      </c>
      <c r="G575" s="1" t="s">
        <v>120</v>
      </c>
      <c r="H575" s="1" t="s">
        <v>119</v>
      </c>
      <c r="I575" s="1" t="s">
        <v>127</v>
      </c>
      <c r="J575" s="1" t="s">
        <v>136</v>
      </c>
      <c r="K575" t="s">
        <v>81</v>
      </c>
      <c r="L575" s="6">
        <v>65599.260000000009</v>
      </c>
      <c r="M575" s="6">
        <v>5519.4200000000037</v>
      </c>
      <c r="N575" s="6">
        <v>42489.539999999994</v>
      </c>
      <c r="O575" s="6">
        <v>5595.2899999999972</v>
      </c>
      <c r="P575" s="6">
        <v>69923.495499999946</v>
      </c>
      <c r="Q575" s="6">
        <v>11184</v>
      </c>
      <c r="R575" s="6">
        <v>70868.630000000077</v>
      </c>
      <c r="S575" s="6">
        <v>9284.5363731280431</v>
      </c>
      <c r="T575" s="6">
        <v>70868.63</v>
      </c>
      <c r="U575" s="6">
        <v>9907.4999999999272</v>
      </c>
      <c r="V575" s="30">
        <v>69923.495499999946</v>
      </c>
      <c r="W575" s="30">
        <v>9775.3693230170302</v>
      </c>
      <c r="X575" s="30">
        <v>73419.670274999939</v>
      </c>
      <c r="Y575" s="30">
        <v>13567.408185130766</v>
      </c>
      <c r="Z575" s="30">
        <v>70231.623563218498</v>
      </c>
      <c r="AA575" s="30">
        <v>8041.2337622121413</v>
      </c>
      <c r="AB575" s="34">
        <v>1.3899242156085295E-2</v>
      </c>
      <c r="AC575" s="34">
        <v>1.9357212257354442E-2</v>
      </c>
      <c r="AD575" s="34">
        <v>4.9387797866410732E-2</v>
      </c>
      <c r="AE575" s="34">
        <v>4.9387797866410857E-2</v>
      </c>
      <c r="AF575" s="34">
        <v>4.9387797866410857E-2</v>
      </c>
      <c r="AG575" s="34">
        <v>9.0000000000000011E-2</v>
      </c>
      <c r="AH575" s="34">
        <v>9.2469069403151014E-2</v>
      </c>
      <c r="AI575" s="37">
        <f t="shared" si="76"/>
        <v>911.78</v>
      </c>
      <c r="AJ575" s="37">
        <f t="shared" si="77"/>
        <v>822.47904449735177</v>
      </c>
      <c r="AK575" s="37">
        <f t="shared" si="78"/>
        <v>3500.045573509452</v>
      </c>
      <c r="AL575" s="37">
        <f t="shared" si="79"/>
        <v>3500.0455735094642</v>
      </c>
      <c r="AM575" s="37">
        <f t="shared" si="80"/>
        <v>3453.3674618668865</v>
      </c>
      <c r="AN575" s="37">
        <f t="shared" si="81"/>
        <v>6607.7703247499949</v>
      </c>
      <c r="AO575" s="37">
        <f t="shared" si="82"/>
        <v>6494.2528735632277</v>
      </c>
    </row>
    <row r="576" spans="1:41" hidden="1" x14ac:dyDescent="0.3">
      <c r="A576" t="str">
        <f t="shared" si="83"/>
        <v>415mar</v>
      </c>
      <c r="B576" t="str">
        <f t="shared" si="84"/>
        <v>OUTLET CATOLICAmar</v>
      </c>
      <c r="C576" s="1" t="s">
        <v>92</v>
      </c>
      <c r="D576" s="1" t="s">
        <v>47</v>
      </c>
      <c r="E576" s="1">
        <v>415</v>
      </c>
      <c r="F576" s="1" t="s">
        <v>119</v>
      </c>
      <c r="G576" s="1" t="s">
        <v>120</v>
      </c>
      <c r="H576" s="1" t="s">
        <v>119</v>
      </c>
      <c r="I576" s="1" t="s">
        <v>127</v>
      </c>
      <c r="J576" s="1" t="s">
        <v>136</v>
      </c>
      <c r="K576" t="s">
        <v>82</v>
      </c>
      <c r="L576" s="6">
        <v>53591.35</v>
      </c>
      <c r="M576" s="6">
        <v>8229.2600000000075</v>
      </c>
      <c r="N576" s="6">
        <v>79994.13</v>
      </c>
      <c r="O576" s="6">
        <v>9312.8699999999917</v>
      </c>
      <c r="P576" s="6">
        <v>68833.915099999998</v>
      </c>
      <c r="Q576" s="6">
        <v>12916</v>
      </c>
      <c r="R576" s="6">
        <v>85992.580000000016</v>
      </c>
      <c r="S576" s="6">
        <v>16131.913834459965</v>
      </c>
      <c r="T576" s="6">
        <v>85992.579999999973</v>
      </c>
      <c r="U576" s="6">
        <v>16553.880000000005</v>
      </c>
      <c r="V576" s="30">
        <v>85992.579999999958</v>
      </c>
      <c r="W576" s="30">
        <v>16553.88</v>
      </c>
      <c r="X576" s="30">
        <v>0</v>
      </c>
      <c r="Y576" s="30">
        <v>0</v>
      </c>
      <c r="Z576" s="30">
        <v>63586</v>
      </c>
      <c r="AA576" s="30">
        <f>Z576*0.216</f>
        <v>13734.575999999999</v>
      </c>
      <c r="AB576" s="34">
        <v>1.5575647935721011E-2</v>
      </c>
      <c r="AC576" s="34">
        <v>2.4485885166808906E-2</v>
      </c>
      <c r="AD576" s="34">
        <v>8.0899450503978135E-2</v>
      </c>
      <c r="AE576" s="34">
        <v>8.0899450503978343E-2</v>
      </c>
      <c r="AF576" s="34">
        <v>8.0899450503978343E-2</v>
      </c>
      <c r="AG576" s="34">
        <v>0</v>
      </c>
      <c r="AH576" s="34">
        <v>0.15961148607868217</v>
      </c>
      <c r="AI576" s="37">
        <f t="shared" si="76"/>
        <v>834.72000000000219</v>
      </c>
      <c r="AJ576" s="37">
        <f t="shared" si="77"/>
        <v>1958.7270811987835</v>
      </c>
      <c r="AK576" s="37">
        <f t="shared" si="78"/>
        <v>6956.752469419378</v>
      </c>
      <c r="AL576" s="37">
        <f t="shared" si="79"/>
        <v>6956.7524694193989</v>
      </c>
      <c r="AM576" s="37">
        <f t="shared" si="80"/>
        <v>6956.7524694193944</v>
      </c>
      <c r="AN576" s="37">
        <f t="shared" si="81"/>
        <v>0</v>
      </c>
      <c r="AO576" s="37">
        <f t="shared" si="82"/>
        <v>10149.055953799085</v>
      </c>
    </row>
    <row r="577" spans="1:41" hidden="1" x14ac:dyDescent="0.3">
      <c r="A577" t="str">
        <f t="shared" si="83"/>
        <v>415abr</v>
      </c>
      <c r="B577" t="str">
        <f t="shared" si="84"/>
        <v>OUTLET CATOLICAabr</v>
      </c>
      <c r="C577" s="1" t="s">
        <v>92</v>
      </c>
      <c r="D577" s="1" t="s">
        <v>47</v>
      </c>
      <c r="E577" s="1">
        <v>415</v>
      </c>
      <c r="F577" s="1" t="s">
        <v>119</v>
      </c>
      <c r="G577" s="1" t="s">
        <v>120</v>
      </c>
      <c r="H577" s="1" t="s">
        <v>119</v>
      </c>
      <c r="I577" s="1" t="s">
        <v>127</v>
      </c>
      <c r="J577" s="1" t="s">
        <v>136</v>
      </c>
      <c r="K577" t="s">
        <v>83</v>
      </c>
      <c r="L577" s="6">
        <v>65813.810000000027</v>
      </c>
      <c r="M577" s="6">
        <v>7653.4500000000262</v>
      </c>
      <c r="N577" s="6">
        <v>64262.470000000008</v>
      </c>
      <c r="O577" s="6">
        <v>12193.310000000009</v>
      </c>
      <c r="P577" s="6">
        <v>64498.585780000001</v>
      </c>
      <c r="Q577" s="6">
        <v>13805</v>
      </c>
      <c r="R577" s="6">
        <v>78894.880000000019</v>
      </c>
      <c r="S577" s="6">
        <v>17493.397858732325</v>
      </c>
      <c r="T577" s="6">
        <v>78894.879999999961</v>
      </c>
      <c r="U577" s="6">
        <v>17477.279999999933</v>
      </c>
      <c r="V577" s="30">
        <v>78894.880000000034</v>
      </c>
      <c r="W577" s="30">
        <v>17477.279999999948</v>
      </c>
      <c r="X577" s="30">
        <v>47336.928000000022</v>
      </c>
      <c r="Y577" s="30">
        <v>9985.9978428140585</v>
      </c>
      <c r="Z577" s="30">
        <v>0</v>
      </c>
      <c r="AA577" s="30">
        <v>0</v>
      </c>
      <c r="AB577" s="34">
        <v>1.2953816227931526E-2</v>
      </c>
      <c r="AC577" s="34">
        <v>3.3318512866733145E-2</v>
      </c>
      <c r="AD577" s="34">
        <v>9.0911911891753322E-2</v>
      </c>
      <c r="AE577" s="34">
        <v>9.0911911891753391E-2</v>
      </c>
      <c r="AF577" s="34">
        <v>9.0911911891753391E-2</v>
      </c>
      <c r="AG577" s="34">
        <v>0.16</v>
      </c>
      <c r="AH577" s="34">
        <v>0</v>
      </c>
      <c r="AI577" s="37">
        <f t="shared" si="76"/>
        <v>852.54000000000246</v>
      </c>
      <c r="AJ577" s="37">
        <f t="shared" si="77"/>
        <v>2141.1299335430531</v>
      </c>
      <c r="AK577" s="37">
        <f t="shared" si="78"/>
        <v>7172.4843792704478</v>
      </c>
      <c r="AL577" s="37">
        <f t="shared" si="79"/>
        <v>7172.4843792704587</v>
      </c>
      <c r="AM577" s="37">
        <f t="shared" si="80"/>
        <v>7172.4843792704596</v>
      </c>
      <c r="AN577" s="37">
        <f t="shared" si="81"/>
        <v>7573.9084800000037</v>
      </c>
      <c r="AO577" s="37">
        <f t="shared" si="82"/>
        <v>0</v>
      </c>
    </row>
    <row r="578" spans="1:41" hidden="1" x14ac:dyDescent="0.3">
      <c r="A578" t="str">
        <f t="shared" si="83"/>
        <v>415may</v>
      </c>
      <c r="B578" t="str">
        <f t="shared" si="84"/>
        <v>OUTLET CATOLICAmay</v>
      </c>
      <c r="C578" s="1" t="s">
        <v>92</v>
      </c>
      <c r="D578" s="1" t="s">
        <v>47</v>
      </c>
      <c r="E578" s="1">
        <v>415</v>
      </c>
      <c r="F578" s="1" t="s">
        <v>119</v>
      </c>
      <c r="G578" s="1" t="s">
        <v>120</v>
      </c>
      <c r="H578" s="1" t="s">
        <v>119</v>
      </c>
      <c r="I578" s="1" t="s">
        <v>127</v>
      </c>
      <c r="J578" s="1" t="s">
        <v>136</v>
      </c>
      <c r="K578" t="s">
        <v>84</v>
      </c>
      <c r="L578" s="6">
        <v>50266.64</v>
      </c>
      <c r="M578" s="6">
        <v>11006.870000000003</v>
      </c>
      <c r="N578" s="6">
        <v>66626.299999999988</v>
      </c>
      <c r="O578" s="6">
        <v>15429.05000000001</v>
      </c>
      <c r="P578" s="6">
        <v>65897.138220000008</v>
      </c>
      <c r="Q578" s="6">
        <v>14345</v>
      </c>
      <c r="R578" s="6">
        <v>79217.610000000044</v>
      </c>
      <c r="S578" s="6">
        <v>17314.397272976945</v>
      </c>
      <c r="T578" s="6">
        <v>79217.610000000073</v>
      </c>
      <c r="U578" s="6">
        <v>17254.890000000087</v>
      </c>
      <c r="V578" s="30">
        <v>79217.610000000073</v>
      </c>
      <c r="W578" s="30">
        <v>17254.890000000087</v>
      </c>
      <c r="X578" s="30">
        <v>95061.132000000085</v>
      </c>
      <c r="Y578" s="30">
        <v>20764.295127302317</v>
      </c>
      <c r="Z578" s="30">
        <v>0</v>
      </c>
      <c r="AA578" s="30">
        <v>0</v>
      </c>
      <c r="AB578" s="34">
        <v>1.980160201676499E-2</v>
      </c>
      <c r="AC578" s="34">
        <v>3.5297834950699984E-2</v>
      </c>
      <c r="AD578" s="34">
        <v>0.1080997778270853</v>
      </c>
      <c r="AE578" s="34">
        <v>0.10809977782708519</v>
      </c>
      <c r="AF578" s="34">
        <v>0.10809977782708519</v>
      </c>
      <c r="AG578" s="34">
        <v>0.17999999999999997</v>
      </c>
      <c r="AH578" s="34">
        <v>0</v>
      </c>
      <c r="AI578" s="37">
        <f t="shared" si="76"/>
        <v>995.35999999999967</v>
      </c>
      <c r="AJ578" s="37">
        <f t="shared" si="77"/>
        <v>2351.7641407758219</v>
      </c>
      <c r="AK578" s="37">
        <f t="shared" si="78"/>
        <v>8563.4060409926988</v>
      </c>
      <c r="AL578" s="37">
        <f t="shared" si="79"/>
        <v>8563.406040992686</v>
      </c>
      <c r="AM578" s="37">
        <f t="shared" si="80"/>
        <v>8563.4060409926897</v>
      </c>
      <c r="AN578" s="37">
        <f t="shared" si="81"/>
        <v>17111.003760000011</v>
      </c>
      <c r="AO578" s="37">
        <f t="shared" si="82"/>
        <v>0</v>
      </c>
    </row>
    <row r="579" spans="1:41" hidden="1" x14ac:dyDescent="0.3">
      <c r="A579" t="str">
        <f t="shared" si="83"/>
        <v>415jun</v>
      </c>
      <c r="B579" t="str">
        <f t="shared" si="84"/>
        <v>OUTLET CATOLICAjun</v>
      </c>
      <c r="C579" s="1" t="s">
        <v>92</v>
      </c>
      <c r="D579" s="1" t="s">
        <v>47</v>
      </c>
      <c r="E579" s="1">
        <v>415</v>
      </c>
      <c r="F579" s="1" t="s">
        <v>119</v>
      </c>
      <c r="G579" s="1" t="s">
        <v>120</v>
      </c>
      <c r="H579" s="1" t="s">
        <v>119</v>
      </c>
      <c r="I579" s="1" t="s">
        <v>127</v>
      </c>
      <c r="J579" s="1" t="s">
        <v>136</v>
      </c>
      <c r="K579" t="s">
        <v>85</v>
      </c>
      <c r="L579" s="6">
        <v>41116.840000000004</v>
      </c>
      <c r="M579" s="6">
        <v>8768.6200000000044</v>
      </c>
      <c r="N579" s="6">
        <v>54932.45</v>
      </c>
      <c r="O579" s="6">
        <v>12951.360000000004</v>
      </c>
      <c r="P579" s="6">
        <v>65619.531500000026</v>
      </c>
      <c r="Q579" s="6">
        <v>14305.467293000002</v>
      </c>
      <c r="R579" s="6">
        <v>73378.660000000018</v>
      </c>
      <c r="S579" s="6">
        <v>19206.324086606524</v>
      </c>
      <c r="T579" s="6">
        <v>73378.660000000047</v>
      </c>
      <c r="U579" s="6">
        <v>19215.900000000016</v>
      </c>
      <c r="V579" s="30">
        <v>73378.660000000062</v>
      </c>
      <c r="W579" s="30">
        <v>19215.900000000023</v>
      </c>
      <c r="X579" s="30">
        <v>88054.39200000008</v>
      </c>
      <c r="Y579" s="30">
        <v>19233.806123234135</v>
      </c>
      <c r="Z579" s="30">
        <v>0</v>
      </c>
      <c r="AA579" s="30">
        <v>0</v>
      </c>
      <c r="AB579" s="34">
        <v>1.1320422483829045E-2</v>
      </c>
      <c r="AC579" s="34">
        <v>5.2198491827969769E-2</v>
      </c>
      <c r="AD579" s="34">
        <v>0.11874442837561459</v>
      </c>
      <c r="AE579" s="34">
        <v>0.11874442837561458</v>
      </c>
      <c r="AF579" s="34">
        <v>0.11874442837561458</v>
      </c>
      <c r="AG579" s="34">
        <v>0.18000000000000002</v>
      </c>
      <c r="AH579" s="34">
        <v>0</v>
      </c>
      <c r="AI579" s="37">
        <f t="shared" si="76"/>
        <v>465.46000000000146</v>
      </c>
      <c r="AJ579" s="37">
        <f t="shared" si="77"/>
        <v>2867.3910424153578</v>
      </c>
      <c r="AK579" s="37">
        <f t="shared" si="78"/>
        <v>8713.3070366685806</v>
      </c>
      <c r="AL579" s="37">
        <f t="shared" si="79"/>
        <v>8713.307036668577</v>
      </c>
      <c r="AM579" s="37">
        <f t="shared" si="80"/>
        <v>8713.3070366685824</v>
      </c>
      <c r="AN579" s="37">
        <f t="shared" si="81"/>
        <v>15849.790560000016</v>
      </c>
      <c r="AO579" s="37">
        <f t="shared" si="82"/>
        <v>0</v>
      </c>
    </row>
    <row r="580" spans="1:41" hidden="1" x14ac:dyDescent="0.3">
      <c r="A580" t="str">
        <f t="shared" si="83"/>
        <v>415jul</v>
      </c>
      <c r="B580" t="str">
        <f t="shared" si="84"/>
        <v>OUTLET CATOLICAjul</v>
      </c>
      <c r="C580" s="1" t="s">
        <v>92</v>
      </c>
      <c r="D580" s="1" t="s">
        <v>47</v>
      </c>
      <c r="E580" s="1">
        <v>415</v>
      </c>
      <c r="F580" s="1" t="s">
        <v>119</v>
      </c>
      <c r="G580" s="1" t="s">
        <v>120</v>
      </c>
      <c r="H580" s="1" t="s">
        <v>119</v>
      </c>
      <c r="I580" s="1" t="s">
        <v>127</v>
      </c>
      <c r="J580" s="1" t="s">
        <v>136</v>
      </c>
      <c r="K580" t="s">
        <v>86</v>
      </c>
      <c r="L580" s="6">
        <v>48343.460000000006</v>
      </c>
      <c r="M580" s="6">
        <v>11740.610000000004</v>
      </c>
      <c r="N580" s="6">
        <v>73868.539999999979</v>
      </c>
      <c r="O580" s="6">
        <v>16924.359999999993</v>
      </c>
      <c r="P580" s="6">
        <v>64213.050699999971</v>
      </c>
      <c r="Q580" s="6">
        <v>14944</v>
      </c>
      <c r="R580" s="6">
        <v>64426.490000000013</v>
      </c>
      <c r="S580" s="6">
        <v>17868.879999999848</v>
      </c>
      <c r="T580" s="6">
        <v>64426.490000000034</v>
      </c>
      <c r="U580" s="6">
        <v>17868.880000000019</v>
      </c>
      <c r="V580" s="30">
        <v>64426.49</v>
      </c>
      <c r="W580" s="30">
        <v>17868.880000000008</v>
      </c>
      <c r="X580" s="30">
        <v>77311.788</v>
      </c>
      <c r="Y580" s="30">
        <v>17176.249414000536</v>
      </c>
      <c r="Z580" s="30">
        <v>0</v>
      </c>
      <c r="AA580" s="30">
        <v>0</v>
      </c>
      <c r="AB580" s="34">
        <v>2.5618770356941743E-2</v>
      </c>
      <c r="AC580" s="34">
        <v>4.2978139955461375E-2</v>
      </c>
      <c r="AD580" s="34">
        <v>0.15811508589091278</v>
      </c>
      <c r="AE580" s="34">
        <v>0.15811508589091278</v>
      </c>
      <c r="AF580" s="34">
        <v>0.15811508589091278</v>
      </c>
      <c r="AG580" s="34">
        <v>0.18999999999999995</v>
      </c>
      <c r="AH580" s="34">
        <v>0</v>
      </c>
      <c r="AI580" s="37">
        <f t="shared" si="76"/>
        <v>1238.4999999999991</v>
      </c>
      <c r="AJ580" s="37">
        <f t="shared" si="77"/>
        <v>3174.7324504255957</v>
      </c>
      <c r="AK580" s="37">
        <f t="shared" si="78"/>
        <v>10186.800000000039</v>
      </c>
      <c r="AL580" s="37">
        <f t="shared" si="79"/>
        <v>10186.800000000036</v>
      </c>
      <c r="AM580" s="37">
        <f t="shared" si="80"/>
        <v>10186.800000000032</v>
      </c>
      <c r="AN580" s="37">
        <f t="shared" si="81"/>
        <v>14689.239719999996</v>
      </c>
      <c r="AO580" s="37">
        <f t="shared" si="82"/>
        <v>0</v>
      </c>
    </row>
    <row r="581" spans="1:41" hidden="1" x14ac:dyDescent="0.3">
      <c r="A581" t="str">
        <f t="shared" si="83"/>
        <v>415ago</v>
      </c>
      <c r="B581" t="str">
        <f t="shared" si="84"/>
        <v>OUTLET CATOLICAago</v>
      </c>
      <c r="C581" s="1" t="s">
        <v>92</v>
      </c>
      <c r="D581" s="1" t="s">
        <v>47</v>
      </c>
      <c r="E581" s="1">
        <v>415</v>
      </c>
      <c r="F581" s="1" t="s">
        <v>119</v>
      </c>
      <c r="G581" s="1" t="s">
        <v>120</v>
      </c>
      <c r="H581" s="1" t="s">
        <v>119</v>
      </c>
      <c r="I581" s="1" t="s">
        <v>127</v>
      </c>
      <c r="J581" s="1" t="s">
        <v>136</v>
      </c>
      <c r="K581" t="s">
        <v>87</v>
      </c>
      <c r="L581" s="6">
        <v>90848.76999999999</v>
      </c>
      <c r="M581" s="6">
        <v>7467.9299999999985</v>
      </c>
      <c r="N581" s="6">
        <v>102243.32999999999</v>
      </c>
      <c r="O581" s="6">
        <v>15994.900000000023</v>
      </c>
      <c r="P581" s="6">
        <v>105819.53389999995</v>
      </c>
      <c r="Q581" s="6">
        <v>17054</v>
      </c>
      <c r="R581" s="6">
        <v>124281.15399652296</v>
      </c>
      <c r="S581" s="6">
        <v>22786.949585262486</v>
      </c>
      <c r="T581" s="6">
        <v>118946.09999999995</v>
      </c>
      <c r="U581" s="6">
        <v>7355.1499999999942</v>
      </c>
      <c r="V581" s="30">
        <v>118946.09999999998</v>
      </c>
      <c r="W581" s="30">
        <v>21808.767434999998</v>
      </c>
      <c r="X581" s="30">
        <v>142735.32</v>
      </c>
      <c r="Y581" s="30">
        <v>26376.423942272471</v>
      </c>
      <c r="Z581" s="30">
        <v>0</v>
      </c>
      <c r="AA581" s="30">
        <v>0</v>
      </c>
      <c r="AB581" s="34">
        <v>9.4103640588639285E-3</v>
      </c>
      <c r="AC581" s="34">
        <v>9.0096480579090026E-3</v>
      </c>
      <c r="AD581" s="34">
        <v>6.6543585708147959E-2</v>
      </c>
      <c r="AE581" s="34">
        <v>7.0000000000000007E-2</v>
      </c>
      <c r="AF581" s="34">
        <v>7.0000000000000007E-2</v>
      </c>
      <c r="AG581" s="34">
        <v>8.9999999999999983E-2</v>
      </c>
      <c r="AH581" s="34">
        <v>0</v>
      </c>
      <c r="AI581" s="37">
        <f t="shared" ref="AI581:AI644" si="85">L581*AB581</f>
        <v>854.91999999999541</v>
      </c>
      <c r="AJ581" s="37">
        <f t="shared" ref="AJ581:AJ644" si="86">N581*AC581</f>
        <v>921.17641956864918</v>
      </c>
      <c r="AK581" s="37">
        <f t="shared" ref="AK581:AK644" si="87">T581*AD581</f>
        <v>7915.0999999999349</v>
      </c>
      <c r="AL581" s="37">
        <f t="shared" ref="AL581:AL644" si="88">R581*AE581</f>
        <v>8699.6807797566089</v>
      </c>
      <c r="AM581" s="37">
        <f t="shared" ref="AM581:AM644" si="89">V581*AF581</f>
        <v>8326.226999999999</v>
      </c>
      <c r="AN581" s="37">
        <f t="shared" ref="AN581:AN644" si="90">X581*AG581</f>
        <v>12846.178799999998</v>
      </c>
      <c r="AO581" s="37">
        <f t="shared" ref="AO581:AO644" si="91">Z581*AH581</f>
        <v>0</v>
      </c>
    </row>
    <row r="582" spans="1:41" hidden="1" x14ac:dyDescent="0.3">
      <c r="A582" t="str">
        <f t="shared" si="83"/>
        <v>415sep</v>
      </c>
      <c r="B582" t="str">
        <f t="shared" si="84"/>
        <v>OUTLET CATOLICAsep</v>
      </c>
      <c r="C582" s="1" t="s">
        <v>92</v>
      </c>
      <c r="D582" s="1" t="s">
        <v>47</v>
      </c>
      <c r="E582" s="1">
        <v>415</v>
      </c>
      <c r="F582" s="1" t="s">
        <v>119</v>
      </c>
      <c r="G582" s="1" t="s">
        <v>120</v>
      </c>
      <c r="H582" s="1" t="s">
        <v>119</v>
      </c>
      <c r="I582" s="1" t="s">
        <v>127</v>
      </c>
      <c r="J582" s="1" t="s">
        <v>136</v>
      </c>
      <c r="K582" t="s">
        <v>88</v>
      </c>
      <c r="L582" s="6">
        <v>47577.61</v>
      </c>
      <c r="M582" s="6">
        <v>7476.9200000000064</v>
      </c>
      <c r="N582" s="6">
        <v>66529.66</v>
      </c>
      <c r="O582" s="6">
        <v>12625.000000000004</v>
      </c>
      <c r="P582" s="6">
        <v>60796.318175000008</v>
      </c>
      <c r="Q582" s="6">
        <v>13144</v>
      </c>
      <c r="R582" s="6">
        <v>63860.452611020002</v>
      </c>
      <c r="S582" s="6">
        <v>12069.62554348278</v>
      </c>
      <c r="T582" s="6">
        <v>57137.09000000004</v>
      </c>
      <c r="U582" s="6">
        <v>12938.71000000005</v>
      </c>
      <c r="V582" s="30">
        <v>57137.09000000004</v>
      </c>
      <c r="W582" s="30">
        <v>12938.71000000005</v>
      </c>
      <c r="X582" s="30">
        <v>68564.508000000031</v>
      </c>
      <c r="Y582" s="30">
        <v>13951.544541512696</v>
      </c>
      <c r="Z582" s="30">
        <v>0</v>
      </c>
      <c r="AA582" s="30">
        <v>0</v>
      </c>
      <c r="AB582" s="34">
        <v>2.8657387371917187E-2</v>
      </c>
      <c r="AC582" s="34">
        <v>2.666849465066903E-2</v>
      </c>
      <c r="AD582" s="34">
        <v>0.12754149712559743</v>
      </c>
      <c r="AE582" s="34">
        <v>0.1</v>
      </c>
      <c r="AF582" s="34">
        <v>0.1</v>
      </c>
      <c r="AG582" s="34">
        <v>0.14000000000000004</v>
      </c>
      <c r="AH582" s="34">
        <v>0</v>
      </c>
      <c r="AI582" s="37">
        <f t="shared" si="85"/>
        <v>1363.450000000001</v>
      </c>
      <c r="AJ582" s="37">
        <f t="shared" si="86"/>
        <v>1774.2458818208295</v>
      </c>
      <c r="AK582" s="37">
        <f t="shared" si="87"/>
        <v>7287.3500000000067</v>
      </c>
      <c r="AL582" s="37">
        <f t="shared" si="88"/>
        <v>6386.0452611020009</v>
      </c>
      <c r="AM582" s="37">
        <f t="shared" si="89"/>
        <v>5713.7090000000044</v>
      </c>
      <c r="AN582" s="37">
        <f t="shared" si="90"/>
        <v>9599.0311200000069</v>
      </c>
      <c r="AO582" s="37">
        <f t="shared" si="91"/>
        <v>0</v>
      </c>
    </row>
    <row r="583" spans="1:41" hidden="1" x14ac:dyDescent="0.3">
      <c r="A583" t="str">
        <f t="shared" si="83"/>
        <v>415oct</v>
      </c>
      <c r="B583" t="str">
        <f t="shared" si="84"/>
        <v>OUTLET CATOLICAoct</v>
      </c>
      <c r="C583" s="1" t="s">
        <v>92</v>
      </c>
      <c r="D583" s="1" t="s">
        <v>47</v>
      </c>
      <c r="E583" s="1">
        <v>415</v>
      </c>
      <c r="F583" s="1" t="s">
        <v>119</v>
      </c>
      <c r="G583" s="1" t="s">
        <v>120</v>
      </c>
      <c r="H583" s="1" t="s">
        <v>119</v>
      </c>
      <c r="I583" s="1" t="s">
        <v>127</v>
      </c>
      <c r="J583" s="1" t="s">
        <v>136</v>
      </c>
      <c r="K583" t="s">
        <v>89</v>
      </c>
      <c r="L583" s="6">
        <v>45835.43</v>
      </c>
      <c r="M583" s="6">
        <v>4061.0600000000004</v>
      </c>
      <c r="N583" s="6">
        <v>68079.570000000007</v>
      </c>
      <c r="O583" s="6">
        <v>14093.809999999998</v>
      </c>
      <c r="P583" s="6">
        <v>70540.57282500001</v>
      </c>
      <c r="Q583" s="6">
        <v>14768</v>
      </c>
      <c r="R583" s="6">
        <v>74095.817695380014</v>
      </c>
      <c r="S583" s="6">
        <v>14908.078520310461</v>
      </c>
      <c r="T583" s="6">
        <v>37747.219999999972</v>
      </c>
      <c r="U583" s="6">
        <v>7566.319999999967</v>
      </c>
      <c r="V583" s="30">
        <v>74095.817695380014</v>
      </c>
      <c r="W583" s="30">
        <v>14908.078520310461</v>
      </c>
      <c r="X583" s="30">
        <v>60914.484000000019</v>
      </c>
      <c r="Y583" s="30">
        <v>12850.261550984709</v>
      </c>
      <c r="Z583" s="30">
        <v>0</v>
      </c>
      <c r="AA583" s="30">
        <v>0</v>
      </c>
      <c r="AB583" s="34">
        <v>2.1221574663966312E-2</v>
      </c>
      <c r="AC583" s="34">
        <v>3.0628976922851277E-2</v>
      </c>
      <c r="AD583" s="34">
        <v>0.24230261195394009</v>
      </c>
      <c r="AE583" s="34">
        <v>0.08</v>
      </c>
      <c r="AF583" s="34">
        <v>0.08</v>
      </c>
      <c r="AG583" s="34">
        <v>0.15999999999999998</v>
      </c>
      <c r="AH583" s="34">
        <v>0</v>
      </c>
      <c r="AI583" s="37">
        <f t="shared" si="85"/>
        <v>972.70000000000141</v>
      </c>
      <c r="AJ583" s="37">
        <f t="shared" si="86"/>
        <v>2085.2075784476383</v>
      </c>
      <c r="AK583" s="37">
        <f t="shared" si="87"/>
        <v>9146.25</v>
      </c>
      <c r="AL583" s="37">
        <f t="shared" si="88"/>
        <v>5927.6654156304012</v>
      </c>
      <c r="AM583" s="37">
        <f t="shared" si="89"/>
        <v>5927.6654156304012</v>
      </c>
      <c r="AN583" s="37">
        <f t="shared" si="90"/>
        <v>9746.3174400000007</v>
      </c>
      <c r="AO583" s="37">
        <f t="shared" si="91"/>
        <v>0</v>
      </c>
    </row>
    <row r="584" spans="1:41" hidden="1" x14ac:dyDescent="0.3">
      <c r="A584" t="str">
        <f t="shared" si="83"/>
        <v>415nov</v>
      </c>
      <c r="B584" t="str">
        <f t="shared" si="84"/>
        <v>OUTLET CATOLICAnov</v>
      </c>
      <c r="C584" s="1" t="s">
        <v>92</v>
      </c>
      <c r="D584" s="1" t="s">
        <v>47</v>
      </c>
      <c r="E584" s="1">
        <v>415</v>
      </c>
      <c r="F584" s="1" t="s">
        <v>119</v>
      </c>
      <c r="G584" s="1" t="s">
        <v>120</v>
      </c>
      <c r="H584" s="1" t="s">
        <v>119</v>
      </c>
      <c r="I584" s="1" t="s">
        <v>127</v>
      </c>
      <c r="J584" s="1" t="s">
        <v>136</v>
      </c>
      <c r="K584" t="s">
        <v>90</v>
      </c>
      <c r="L584" s="6">
        <v>30305.380000000005</v>
      </c>
      <c r="M584" s="6">
        <v>3162.9599999999996</v>
      </c>
      <c r="N584" s="6">
        <v>58754.659999999989</v>
      </c>
      <c r="O584" s="6">
        <v>9493.409999999998</v>
      </c>
      <c r="P584" s="6">
        <v>84921.755049999978</v>
      </c>
      <c r="Q584" s="6">
        <v>17132.452696249999</v>
      </c>
      <c r="R584" s="6">
        <v>87486.392052509967</v>
      </c>
      <c r="S584" s="6">
        <v>17409.792018449483</v>
      </c>
      <c r="T584" s="6">
        <v>13851.293103448275</v>
      </c>
      <c r="U584" s="6">
        <v>3393.4467949090072</v>
      </c>
      <c r="V584" s="30">
        <v>87486.392052509967</v>
      </c>
      <c r="W584" s="30">
        <v>17409.792018449483</v>
      </c>
      <c r="X584" s="30">
        <v>104983.67046301195</v>
      </c>
      <c r="Y584" s="30">
        <v>22539.297646344217</v>
      </c>
      <c r="Z584" s="30">
        <v>0</v>
      </c>
      <c r="AA584" s="30">
        <v>0</v>
      </c>
      <c r="AB584" s="34">
        <v>1.4698380287592525E-2</v>
      </c>
      <c r="AC584" s="34">
        <v>2.6806011769122035E-2</v>
      </c>
      <c r="AD584" s="34">
        <v>0.24230261195394009</v>
      </c>
      <c r="AE584" s="34">
        <v>4.9999999999999996E-2</v>
      </c>
      <c r="AF584" s="34">
        <v>4.9999999999999996E-2</v>
      </c>
      <c r="AG584" s="34">
        <v>0.17000000000000004</v>
      </c>
      <c r="AH584" s="34">
        <v>0</v>
      </c>
      <c r="AI584" s="37">
        <f t="shared" si="85"/>
        <v>445.44000000000079</v>
      </c>
      <c r="AJ584" s="37">
        <f t="shared" si="86"/>
        <v>1574.9781074507634</v>
      </c>
      <c r="AK584" s="37">
        <f t="shared" si="87"/>
        <v>3356.2044979051143</v>
      </c>
      <c r="AL584" s="37">
        <f t="shared" si="88"/>
        <v>4374.3196026254982</v>
      </c>
      <c r="AM584" s="37">
        <f t="shared" si="89"/>
        <v>4374.3196026254982</v>
      </c>
      <c r="AN584" s="37">
        <f t="shared" si="90"/>
        <v>17847.223978712034</v>
      </c>
      <c r="AO584" s="37">
        <f t="shared" si="91"/>
        <v>0</v>
      </c>
    </row>
    <row r="585" spans="1:41" hidden="1" x14ac:dyDescent="0.3">
      <c r="A585" t="str">
        <f t="shared" si="83"/>
        <v>415dic</v>
      </c>
      <c r="B585" t="str">
        <f t="shared" si="84"/>
        <v>OUTLET CATOLICAdic</v>
      </c>
      <c r="C585" s="1" t="s">
        <v>92</v>
      </c>
      <c r="D585" s="1" t="s">
        <v>47</v>
      </c>
      <c r="E585" s="1">
        <v>415</v>
      </c>
      <c r="F585" s="1" t="s">
        <v>119</v>
      </c>
      <c r="G585" s="1" t="s">
        <v>120</v>
      </c>
      <c r="H585" s="1" t="s">
        <v>119</v>
      </c>
      <c r="I585" s="1" t="s">
        <v>127</v>
      </c>
      <c r="J585" s="1" t="s">
        <v>136</v>
      </c>
      <c r="K585" t="s">
        <v>91</v>
      </c>
      <c r="L585" s="6">
        <v>90758.60000000002</v>
      </c>
      <c r="M585" s="6">
        <v>12062.429999999998</v>
      </c>
      <c r="N585" s="6">
        <v>129899.92</v>
      </c>
      <c r="O585" s="6">
        <v>31063.360000000011</v>
      </c>
      <c r="P585" s="6">
        <v>130180.2875500001</v>
      </c>
      <c r="Q585" s="6">
        <v>30481</v>
      </c>
      <c r="R585" s="6">
        <v>134111.73223401009</v>
      </c>
      <c r="S585" s="6">
        <v>26688.234714568011</v>
      </c>
      <c r="T585" s="6">
        <v>100574.13793103452</v>
      </c>
      <c r="U585" s="6">
        <v>30226.712497390927</v>
      </c>
      <c r="V585" s="30">
        <v>134111.73223401009</v>
      </c>
      <c r="W585" s="30">
        <v>26688.234714568011</v>
      </c>
      <c r="X585" s="30">
        <v>160934.07868081215</v>
      </c>
      <c r="Y585" s="30">
        <v>34551.479147464139</v>
      </c>
      <c r="Z585" s="30">
        <v>0</v>
      </c>
      <c r="AA585" s="30">
        <v>0</v>
      </c>
      <c r="AB585" s="34">
        <v>1.144508619568836E-2</v>
      </c>
      <c r="AC585" s="34">
        <v>6.6377792019457357E-2</v>
      </c>
      <c r="AD585" s="34">
        <v>0.24230261195394009</v>
      </c>
      <c r="AE585" s="34">
        <v>0.05</v>
      </c>
      <c r="AF585" s="34">
        <v>0.05</v>
      </c>
      <c r="AG585" s="34">
        <v>0.17</v>
      </c>
      <c r="AH585" s="34">
        <v>0</v>
      </c>
      <c r="AI585" s="37">
        <f t="shared" si="85"/>
        <v>1038.7400000000018</v>
      </c>
      <c r="AJ585" s="37">
        <f t="shared" si="86"/>
        <v>8622.4698731041499</v>
      </c>
      <c r="AK585" s="37">
        <f t="shared" si="87"/>
        <v>24369.376315705504</v>
      </c>
      <c r="AL585" s="37">
        <f t="shared" si="88"/>
        <v>6705.5866117005053</v>
      </c>
      <c r="AM585" s="37">
        <f t="shared" si="89"/>
        <v>6705.5866117005053</v>
      </c>
      <c r="AN585" s="37">
        <f t="shared" si="90"/>
        <v>27358.793375738067</v>
      </c>
      <c r="AO585" s="37">
        <f t="shared" si="91"/>
        <v>0</v>
      </c>
    </row>
    <row r="586" spans="1:41" hidden="1" x14ac:dyDescent="0.3">
      <c r="A586" t="str">
        <f t="shared" si="83"/>
        <v>OUT-CBBAago</v>
      </c>
      <c r="B586" t="str">
        <f t="shared" si="84"/>
        <v>OUTLET COCHABAMBAago</v>
      </c>
      <c r="C586" s="1" t="s">
        <v>92</v>
      </c>
      <c r="D586" s="1" t="s">
        <v>48</v>
      </c>
      <c r="E586" s="1" t="s">
        <v>111</v>
      </c>
      <c r="F586" s="1" t="s">
        <v>121</v>
      </c>
      <c r="G586" s="1" t="s">
        <v>121</v>
      </c>
      <c r="H586" s="1" t="s">
        <v>303</v>
      </c>
      <c r="I586" s="1" t="s">
        <v>124</v>
      </c>
      <c r="J586" s="1" t="s">
        <v>136</v>
      </c>
      <c r="K586" t="s">
        <v>87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30">
        <v>0</v>
      </c>
      <c r="W586" s="30">
        <v>0</v>
      </c>
      <c r="X586" s="30">
        <v>168987.15400000027</v>
      </c>
      <c r="Y586" s="30">
        <v>34013.773655016535</v>
      </c>
      <c r="Z586" s="30">
        <v>0</v>
      </c>
      <c r="AA586" s="30">
        <v>0</v>
      </c>
      <c r="AB586" s="34">
        <v>0</v>
      </c>
      <c r="AC586" s="34">
        <v>0</v>
      </c>
      <c r="AD586" s="34">
        <v>0</v>
      </c>
      <c r="AE586" s="34">
        <v>0</v>
      </c>
      <c r="AF586" s="34">
        <v>0</v>
      </c>
      <c r="AG586" s="34">
        <v>0.09</v>
      </c>
      <c r="AH586" s="34">
        <v>0</v>
      </c>
      <c r="AI586" s="37">
        <f t="shared" si="85"/>
        <v>0</v>
      </c>
      <c r="AJ586" s="37">
        <f t="shared" si="86"/>
        <v>0</v>
      </c>
      <c r="AK586" s="37">
        <f t="shared" si="87"/>
        <v>0</v>
      </c>
      <c r="AL586" s="37">
        <f t="shared" si="88"/>
        <v>0</v>
      </c>
      <c r="AM586" s="37">
        <f t="shared" si="89"/>
        <v>0</v>
      </c>
      <c r="AN586" s="37">
        <f t="shared" si="90"/>
        <v>15208.843860000025</v>
      </c>
      <c r="AO586" s="37">
        <f t="shared" si="91"/>
        <v>0</v>
      </c>
    </row>
    <row r="587" spans="1:41" hidden="1" x14ac:dyDescent="0.3">
      <c r="A587" t="str">
        <f t="shared" si="83"/>
        <v>OUT-CBBAsep</v>
      </c>
      <c r="B587" t="str">
        <f t="shared" si="84"/>
        <v>OUTLET COCHABAMBAsep</v>
      </c>
      <c r="C587" s="1" t="s">
        <v>92</v>
      </c>
      <c r="D587" s="1" t="s">
        <v>48</v>
      </c>
      <c r="E587" s="1" t="s">
        <v>111</v>
      </c>
      <c r="F587" s="1" t="s">
        <v>121</v>
      </c>
      <c r="G587" s="1" t="s">
        <v>121</v>
      </c>
      <c r="H587" s="1" t="s">
        <v>303</v>
      </c>
      <c r="I587" s="1" t="s">
        <v>124</v>
      </c>
      <c r="J587" s="1" t="s">
        <v>136</v>
      </c>
      <c r="K587" t="s">
        <v>88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30">
        <v>0</v>
      </c>
      <c r="W587" s="30">
        <v>0</v>
      </c>
      <c r="X587" s="30">
        <v>86695.294000000111</v>
      </c>
      <c r="Y587" s="30">
        <v>19012.471177373121</v>
      </c>
      <c r="Z587" s="30">
        <v>0</v>
      </c>
      <c r="AA587" s="30">
        <v>0</v>
      </c>
      <c r="AB587" s="34">
        <v>0</v>
      </c>
      <c r="AC587" s="34">
        <v>0</v>
      </c>
      <c r="AD587" s="34">
        <v>0</v>
      </c>
      <c r="AE587" s="34">
        <v>0</v>
      </c>
      <c r="AF587" s="34">
        <v>0</v>
      </c>
      <c r="AG587" s="34">
        <v>0.14000000000000001</v>
      </c>
      <c r="AH587" s="34">
        <v>0</v>
      </c>
      <c r="AI587" s="37">
        <f t="shared" si="85"/>
        <v>0</v>
      </c>
      <c r="AJ587" s="37">
        <f t="shared" si="86"/>
        <v>0</v>
      </c>
      <c r="AK587" s="37">
        <f t="shared" si="87"/>
        <v>0</v>
      </c>
      <c r="AL587" s="37">
        <f t="shared" si="88"/>
        <v>0</v>
      </c>
      <c r="AM587" s="37">
        <f t="shared" si="89"/>
        <v>0</v>
      </c>
      <c r="AN587" s="37">
        <f t="shared" si="90"/>
        <v>12137.341160000016</v>
      </c>
      <c r="AO587" s="37">
        <f t="shared" si="91"/>
        <v>0</v>
      </c>
    </row>
    <row r="588" spans="1:41" hidden="1" x14ac:dyDescent="0.3">
      <c r="A588" t="str">
        <f t="shared" si="83"/>
        <v>OUT-CBBAoct</v>
      </c>
      <c r="B588" t="str">
        <f t="shared" si="84"/>
        <v>OUTLET COCHABAMBAoct</v>
      </c>
      <c r="C588" s="1" t="s">
        <v>92</v>
      </c>
      <c r="D588" s="1" t="s">
        <v>48</v>
      </c>
      <c r="E588" s="1" t="s">
        <v>111</v>
      </c>
      <c r="F588" s="1" t="s">
        <v>121</v>
      </c>
      <c r="G588" s="1" t="s">
        <v>121</v>
      </c>
      <c r="H588" s="1" t="s">
        <v>303</v>
      </c>
      <c r="I588" s="1" t="s">
        <v>124</v>
      </c>
      <c r="J588" s="1" t="s">
        <v>136</v>
      </c>
      <c r="K588" t="s">
        <v>89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30">
        <v>0</v>
      </c>
      <c r="W588" s="30">
        <v>0</v>
      </c>
      <c r="X588" s="30">
        <v>65404.164000000004</v>
      </c>
      <c r="Y588" s="30">
        <v>14814.764352740865</v>
      </c>
      <c r="Z588" s="30">
        <v>0</v>
      </c>
      <c r="AA588" s="30">
        <v>0</v>
      </c>
      <c r="AB588" s="34">
        <v>0</v>
      </c>
      <c r="AC588" s="34">
        <v>0</v>
      </c>
      <c r="AD588" s="34">
        <v>0</v>
      </c>
      <c r="AE588" s="34">
        <v>0</v>
      </c>
      <c r="AF588" s="34">
        <v>0</v>
      </c>
      <c r="AG588" s="34">
        <v>0.16</v>
      </c>
      <c r="AH588" s="34">
        <v>0</v>
      </c>
      <c r="AI588" s="37">
        <f t="shared" si="85"/>
        <v>0</v>
      </c>
      <c r="AJ588" s="37">
        <f t="shared" si="86"/>
        <v>0</v>
      </c>
      <c r="AK588" s="37">
        <f t="shared" si="87"/>
        <v>0</v>
      </c>
      <c r="AL588" s="37">
        <f t="shared" si="88"/>
        <v>0</v>
      </c>
      <c r="AM588" s="37">
        <f t="shared" si="89"/>
        <v>0</v>
      </c>
      <c r="AN588" s="37">
        <f t="shared" si="90"/>
        <v>10464.66624</v>
      </c>
      <c r="AO588" s="37">
        <f t="shared" si="91"/>
        <v>0</v>
      </c>
    </row>
    <row r="589" spans="1:41" hidden="1" x14ac:dyDescent="0.3">
      <c r="A589" t="str">
        <f t="shared" si="83"/>
        <v>OUT-CBBAnov</v>
      </c>
      <c r="B589" t="str">
        <f t="shared" si="84"/>
        <v>OUTLET COCHABAMBAnov</v>
      </c>
      <c r="C589" s="1" t="s">
        <v>92</v>
      </c>
      <c r="D589" s="1" t="s">
        <v>48</v>
      </c>
      <c r="E589" s="1" t="s">
        <v>111</v>
      </c>
      <c r="F589" s="1" t="s">
        <v>121</v>
      </c>
      <c r="G589" s="1" t="s">
        <v>121</v>
      </c>
      <c r="H589" s="1" t="s">
        <v>303</v>
      </c>
      <c r="I589" s="1" t="s">
        <v>124</v>
      </c>
      <c r="J589" s="1" t="s">
        <v>136</v>
      </c>
      <c r="K589" t="s">
        <v>90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30">
        <v>0</v>
      </c>
      <c r="W589" s="30">
        <v>0</v>
      </c>
      <c r="X589" s="30">
        <v>114210.48936720779</v>
      </c>
      <c r="Y589" s="30">
        <v>26281.595428138098</v>
      </c>
      <c r="Z589" s="30">
        <v>0</v>
      </c>
      <c r="AA589" s="30">
        <v>0</v>
      </c>
      <c r="AB589" s="34">
        <v>0</v>
      </c>
      <c r="AC589" s="34">
        <v>0</v>
      </c>
      <c r="AD589" s="34">
        <v>0</v>
      </c>
      <c r="AE589" s="34">
        <v>0</v>
      </c>
      <c r="AF589" s="34">
        <v>0</v>
      </c>
      <c r="AG589" s="34">
        <v>0.16999999999999998</v>
      </c>
      <c r="AH589" s="34">
        <v>0</v>
      </c>
      <c r="AI589" s="37">
        <f t="shared" si="85"/>
        <v>0</v>
      </c>
      <c r="AJ589" s="37">
        <f t="shared" si="86"/>
        <v>0</v>
      </c>
      <c r="AK589" s="37">
        <f t="shared" si="87"/>
        <v>0</v>
      </c>
      <c r="AL589" s="37">
        <f t="shared" si="88"/>
        <v>0</v>
      </c>
      <c r="AM589" s="37">
        <f t="shared" si="89"/>
        <v>0</v>
      </c>
      <c r="AN589" s="37">
        <f t="shared" si="90"/>
        <v>19415.783192425322</v>
      </c>
      <c r="AO589" s="37">
        <f t="shared" si="91"/>
        <v>0</v>
      </c>
    </row>
    <row r="590" spans="1:41" hidden="1" x14ac:dyDescent="0.3">
      <c r="A590" t="str">
        <f t="shared" si="83"/>
        <v>OUT-CBBAdic</v>
      </c>
      <c r="B590" t="str">
        <f t="shared" si="84"/>
        <v>OUTLET COCHABAMBAdic</v>
      </c>
      <c r="C590" s="1" t="s">
        <v>92</v>
      </c>
      <c r="D590" s="1" t="s">
        <v>48</v>
      </c>
      <c r="E590" s="1" t="s">
        <v>111</v>
      </c>
      <c r="F590" s="1" t="s">
        <v>121</v>
      </c>
      <c r="G590" s="1" t="s">
        <v>121</v>
      </c>
      <c r="H590" s="1" t="s">
        <v>303</v>
      </c>
      <c r="I590" s="1" t="s">
        <v>124</v>
      </c>
      <c r="J590" s="1" t="s">
        <v>136</v>
      </c>
      <c r="K590" t="s">
        <v>91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30">
        <v>0</v>
      </c>
      <c r="W590" s="30">
        <v>0</v>
      </c>
      <c r="X590" s="30">
        <v>211357.72991221037</v>
      </c>
      <c r="Y590" s="30">
        <v>48636.674082558471</v>
      </c>
      <c r="Z590" s="30">
        <v>0</v>
      </c>
      <c r="AA590" s="30">
        <v>0</v>
      </c>
      <c r="AB590" s="34">
        <v>0</v>
      </c>
      <c r="AC590" s="34">
        <v>0</v>
      </c>
      <c r="AD590" s="34">
        <v>0</v>
      </c>
      <c r="AE590" s="34">
        <v>0</v>
      </c>
      <c r="AF590" s="34">
        <v>0</v>
      </c>
      <c r="AG590" s="34">
        <v>0.16999999999999998</v>
      </c>
      <c r="AH590" s="34">
        <v>0</v>
      </c>
      <c r="AI590" s="37">
        <f t="shared" si="85"/>
        <v>0</v>
      </c>
      <c r="AJ590" s="37">
        <f t="shared" si="86"/>
        <v>0</v>
      </c>
      <c r="AK590" s="37">
        <f t="shared" si="87"/>
        <v>0</v>
      </c>
      <c r="AL590" s="37">
        <f t="shared" si="88"/>
        <v>0</v>
      </c>
      <c r="AM590" s="37">
        <f t="shared" si="89"/>
        <v>0</v>
      </c>
      <c r="AN590" s="37">
        <f t="shared" si="90"/>
        <v>35930.814085075763</v>
      </c>
      <c r="AO590" s="37">
        <f t="shared" si="91"/>
        <v>0</v>
      </c>
    </row>
    <row r="591" spans="1:41" hidden="1" x14ac:dyDescent="0.3">
      <c r="A591" t="str">
        <f t="shared" si="83"/>
        <v>213ene</v>
      </c>
      <c r="B591" t="str">
        <f t="shared" si="84"/>
        <v>OUTLET MONTENEGROene</v>
      </c>
      <c r="C591" s="1" t="s">
        <v>92</v>
      </c>
      <c r="D591" s="1" t="s">
        <v>49</v>
      </c>
      <c r="E591" s="1">
        <v>213</v>
      </c>
      <c r="F591" s="1" t="s">
        <v>119</v>
      </c>
      <c r="G591" s="1" t="s">
        <v>120</v>
      </c>
      <c r="H591" s="1" t="s">
        <v>119</v>
      </c>
      <c r="I591" s="1" t="s">
        <v>125</v>
      </c>
      <c r="J591" s="1" t="s">
        <v>136</v>
      </c>
      <c r="K591" t="s">
        <v>80</v>
      </c>
      <c r="L591" s="6">
        <v>42786.740000000005</v>
      </c>
      <c r="M591" s="6">
        <v>11406.720000000005</v>
      </c>
      <c r="N591" s="6">
        <v>50578.359999999993</v>
      </c>
      <c r="O591" s="6">
        <v>11823.169999999995</v>
      </c>
      <c r="P591" s="6">
        <v>66713.498433333312</v>
      </c>
      <c r="Q591" s="6">
        <v>14312</v>
      </c>
      <c r="R591" s="6">
        <v>46071.499999999985</v>
      </c>
      <c r="S591" s="6">
        <v>11649.340812031911</v>
      </c>
      <c r="T591" s="6">
        <v>46071.499999999985</v>
      </c>
      <c r="U591" s="6">
        <v>11735.589999999967</v>
      </c>
      <c r="V591" s="30">
        <v>66713.498433333312</v>
      </c>
      <c r="W591" s="30">
        <v>16993.635220890141</v>
      </c>
      <c r="X591" s="30">
        <v>70049.173354999977</v>
      </c>
      <c r="Y591" s="30">
        <v>14649.679448667306</v>
      </c>
      <c r="Z591" s="30">
        <v>57983.189655172551</v>
      </c>
      <c r="AA591" s="30">
        <v>20602.81934888893</v>
      </c>
      <c r="AB591" s="34">
        <v>3.7409954579386118E-2</v>
      </c>
      <c r="AC591" s="34">
        <v>3.0609355499448487E-2</v>
      </c>
      <c r="AD591" s="34">
        <v>0.11879953504488837</v>
      </c>
      <c r="AE591" s="34">
        <v>0.11879953504488837</v>
      </c>
      <c r="AF591" s="34">
        <v>0.11879953504488837</v>
      </c>
      <c r="AG591" s="34">
        <v>0.12</v>
      </c>
      <c r="AH591" s="34">
        <v>0.18586936859920225</v>
      </c>
      <c r="AI591" s="37">
        <f t="shared" si="85"/>
        <v>1600.6500000000033</v>
      </c>
      <c r="AJ591" s="37">
        <f t="shared" si="86"/>
        <v>1548.1710018190852</v>
      </c>
      <c r="AK591" s="37">
        <f t="shared" si="87"/>
        <v>5473.272778820573</v>
      </c>
      <c r="AL591" s="37">
        <f t="shared" si="88"/>
        <v>5473.272778820573</v>
      </c>
      <c r="AM591" s="37">
        <f t="shared" si="89"/>
        <v>7925.5325950978859</v>
      </c>
      <c r="AN591" s="37">
        <f t="shared" si="90"/>
        <v>8405.9008025999974</v>
      </c>
      <c r="AO591" s="37">
        <f t="shared" si="91"/>
        <v>10777.298850574718</v>
      </c>
    </row>
    <row r="592" spans="1:41" hidden="1" x14ac:dyDescent="0.3">
      <c r="A592" t="str">
        <f t="shared" si="83"/>
        <v>213feb</v>
      </c>
      <c r="B592" t="str">
        <f t="shared" si="84"/>
        <v>OUTLET MONTENEGROfeb</v>
      </c>
      <c r="C592" s="1" t="s">
        <v>92</v>
      </c>
      <c r="D592" s="1" t="s">
        <v>49</v>
      </c>
      <c r="E592" s="1">
        <v>213</v>
      </c>
      <c r="F592" s="1" t="s">
        <v>119</v>
      </c>
      <c r="G592" s="1" t="s">
        <v>120</v>
      </c>
      <c r="H592" s="1" t="s">
        <v>119</v>
      </c>
      <c r="I592" s="1" t="s">
        <v>125</v>
      </c>
      <c r="J592" s="1" t="s">
        <v>136</v>
      </c>
      <c r="K592" t="s">
        <v>81</v>
      </c>
      <c r="L592" s="6">
        <v>42301.130000000005</v>
      </c>
      <c r="M592" s="6">
        <v>4873.1400000000049</v>
      </c>
      <c r="N592" s="6">
        <v>56004.91</v>
      </c>
      <c r="O592" s="6">
        <v>8173.3600000000042</v>
      </c>
      <c r="P592" s="6">
        <v>68528.616000000024</v>
      </c>
      <c r="Q592" s="6">
        <v>12338</v>
      </c>
      <c r="R592" s="6">
        <v>93786.099999999991</v>
      </c>
      <c r="S592" s="6">
        <v>14674.24139753764</v>
      </c>
      <c r="T592" s="6">
        <v>93786.099999999977</v>
      </c>
      <c r="U592" s="6">
        <v>14891.290000000008</v>
      </c>
      <c r="V592" s="30">
        <v>93786.100000000151</v>
      </c>
      <c r="W592" s="30">
        <v>14891.290000000037</v>
      </c>
      <c r="X592" s="30">
        <v>98475.405000000173</v>
      </c>
      <c r="Y592" s="30">
        <v>19544.803070355461</v>
      </c>
      <c r="Z592" s="30">
        <v>74914.224137931</v>
      </c>
      <c r="AA592" s="30">
        <v>15596.978473329611</v>
      </c>
      <c r="AB592" s="34">
        <v>8.6612343452763651E-3</v>
      </c>
      <c r="AC592" s="34">
        <v>2.6053133675767261E-2</v>
      </c>
      <c r="AD592" s="34">
        <v>5.4340622012298431E-2</v>
      </c>
      <c r="AE592" s="34">
        <v>5.4340622012298542E-2</v>
      </c>
      <c r="AF592" s="34">
        <v>5.4340622012298542E-2</v>
      </c>
      <c r="AG592" s="34">
        <v>0.09</v>
      </c>
      <c r="AH592" s="34">
        <v>0.11839210744855697</v>
      </c>
      <c r="AI592" s="37">
        <f t="shared" si="85"/>
        <v>366.38000000000045</v>
      </c>
      <c r="AJ592" s="37">
        <f t="shared" si="86"/>
        <v>1459.1034067293147</v>
      </c>
      <c r="AK592" s="37">
        <f t="shared" si="87"/>
        <v>5096.3950101076207</v>
      </c>
      <c r="AL592" s="37">
        <f t="shared" si="88"/>
        <v>5096.3950101076316</v>
      </c>
      <c r="AM592" s="37">
        <f t="shared" si="89"/>
        <v>5096.3950101076407</v>
      </c>
      <c r="AN592" s="37">
        <f t="shared" si="90"/>
        <v>8862.786450000016</v>
      </c>
      <c r="AO592" s="37">
        <f t="shared" si="91"/>
        <v>8869.2528735632059</v>
      </c>
    </row>
    <row r="593" spans="1:41" hidden="1" x14ac:dyDescent="0.3">
      <c r="A593" t="str">
        <f t="shared" si="83"/>
        <v>213mar</v>
      </c>
      <c r="B593" t="str">
        <f t="shared" si="84"/>
        <v>OUTLET MONTENEGROmar</v>
      </c>
      <c r="C593" s="1" t="s">
        <v>92</v>
      </c>
      <c r="D593" s="1" t="s">
        <v>49</v>
      </c>
      <c r="E593" s="1">
        <v>213</v>
      </c>
      <c r="F593" s="1" t="s">
        <v>119</v>
      </c>
      <c r="G593" s="1" t="s">
        <v>120</v>
      </c>
      <c r="H593" s="1" t="s">
        <v>119</v>
      </c>
      <c r="I593" s="1" t="s">
        <v>125</v>
      </c>
      <c r="J593" s="1" t="s">
        <v>136</v>
      </c>
      <c r="K593" t="s">
        <v>82</v>
      </c>
      <c r="L593" s="6">
        <v>53900.36</v>
      </c>
      <c r="M593" s="6">
        <v>8585.0500000000065</v>
      </c>
      <c r="N593" s="6">
        <v>73968.37</v>
      </c>
      <c r="O593" s="6">
        <v>11232.029999999988</v>
      </c>
      <c r="P593" s="6">
        <v>68891.844370000021</v>
      </c>
      <c r="Q593" s="6">
        <v>14930</v>
      </c>
      <c r="R593" s="6">
        <v>90810.52999999997</v>
      </c>
      <c r="S593" s="6">
        <v>15904.656276662303</v>
      </c>
      <c r="T593" s="6">
        <v>90810.529999999882</v>
      </c>
      <c r="U593" s="6">
        <v>16116.839999999909</v>
      </c>
      <c r="V593" s="30">
        <v>90810.53</v>
      </c>
      <c r="W593" s="30">
        <v>16116.839999999929</v>
      </c>
      <c r="X593" s="30">
        <v>61297.107749999996</v>
      </c>
      <c r="Y593" s="30">
        <v>13254.952088757638</v>
      </c>
      <c r="Z593" s="30">
        <v>69140.486660794457</v>
      </c>
      <c r="AA593" s="30">
        <v>17215.981178537819</v>
      </c>
      <c r="AB593" s="34">
        <v>1.57796719725063E-2</v>
      </c>
      <c r="AC593" s="34">
        <v>2.8644741247276645E-2</v>
      </c>
      <c r="AD593" s="34">
        <v>6.9131172363205304E-2</v>
      </c>
      <c r="AE593" s="34">
        <v>6.9131172363205332E-2</v>
      </c>
      <c r="AF593" s="34">
        <v>6.9131172363205332E-2</v>
      </c>
      <c r="AG593" s="34">
        <v>0.14000000000000001</v>
      </c>
      <c r="AH593" s="34">
        <v>0.16081169069232018</v>
      </c>
      <c r="AI593" s="37">
        <f t="shared" si="85"/>
        <v>850.52999999999963</v>
      </c>
      <c r="AJ593" s="37">
        <f t="shared" si="86"/>
        <v>2118.8048191328203</v>
      </c>
      <c r="AK593" s="37">
        <f t="shared" si="87"/>
        <v>6277.8384018240176</v>
      </c>
      <c r="AL593" s="37">
        <f t="shared" si="88"/>
        <v>6277.8384018240267</v>
      </c>
      <c r="AM593" s="37">
        <f t="shared" si="89"/>
        <v>6277.8384018240286</v>
      </c>
      <c r="AN593" s="37">
        <f t="shared" si="90"/>
        <v>8581.5950850000008</v>
      </c>
      <c r="AO593" s="37">
        <f t="shared" si="91"/>
        <v>11118.598555212167</v>
      </c>
    </row>
    <row r="594" spans="1:41" hidden="1" x14ac:dyDescent="0.3">
      <c r="A594" t="str">
        <f t="shared" si="83"/>
        <v>213abr</v>
      </c>
      <c r="B594" t="str">
        <f t="shared" si="84"/>
        <v>OUTLET MONTENEGROabr</v>
      </c>
      <c r="C594" s="1" t="s">
        <v>92</v>
      </c>
      <c r="D594" s="1" t="s">
        <v>49</v>
      </c>
      <c r="E594" s="1">
        <v>213</v>
      </c>
      <c r="F594" s="1" t="s">
        <v>119</v>
      </c>
      <c r="G594" s="1" t="s">
        <v>120</v>
      </c>
      <c r="H594" s="1" t="s">
        <v>119</v>
      </c>
      <c r="I594" s="1" t="s">
        <v>125</v>
      </c>
      <c r="J594" s="1" t="s">
        <v>136</v>
      </c>
      <c r="K594" t="s">
        <v>83</v>
      </c>
      <c r="L594" s="6">
        <v>57750.180000000015</v>
      </c>
      <c r="M594" s="6">
        <v>5775.6900000000178</v>
      </c>
      <c r="N594" s="6">
        <v>60452.38</v>
      </c>
      <c r="O594" s="6">
        <v>15139.239999999996</v>
      </c>
      <c r="P594" s="6">
        <v>68254.255789999967</v>
      </c>
      <c r="Q594" s="6">
        <v>13975</v>
      </c>
      <c r="R594" s="6">
        <v>92018.650000000023</v>
      </c>
      <c r="S594" s="6">
        <v>21453.435156900028</v>
      </c>
      <c r="T594" s="6">
        <v>92018.650000000023</v>
      </c>
      <c r="U594" s="6">
        <v>21509.440000000031</v>
      </c>
      <c r="V594" s="30">
        <v>92018.650000000052</v>
      </c>
      <c r="W594" s="30">
        <v>21509.440000000039</v>
      </c>
      <c r="X594" s="30">
        <v>124225.17750000006</v>
      </c>
      <c r="Y594" s="30">
        <v>27745.434300440102</v>
      </c>
      <c r="Z594" s="30">
        <v>0</v>
      </c>
      <c r="AA594" s="30">
        <v>0</v>
      </c>
      <c r="AB594" s="34">
        <v>1.8085657914832458E-2</v>
      </c>
      <c r="AC594" s="34">
        <v>4.5683266995403288E-2</v>
      </c>
      <c r="AD594" s="34">
        <v>9.5944425173891568E-2</v>
      </c>
      <c r="AE594" s="34">
        <v>9.594442517389129E-2</v>
      </c>
      <c r="AF594" s="34">
        <v>9.594442517389129E-2</v>
      </c>
      <c r="AG594" s="34">
        <v>0.16</v>
      </c>
      <c r="AH594" s="34">
        <v>0</v>
      </c>
      <c r="AI594" s="37">
        <f t="shared" si="85"/>
        <v>1044.4499999999994</v>
      </c>
      <c r="AJ594" s="37">
        <f t="shared" si="86"/>
        <v>2761.6622160475777</v>
      </c>
      <c r="AK594" s="37">
        <f t="shared" si="87"/>
        <v>8828.6764795275194</v>
      </c>
      <c r="AL594" s="37">
        <f t="shared" si="88"/>
        <v>8828.6764795274939</v>
      </c>
      <c r="AM594" s="37">
        <f t="shared" si="89"/>
        <v>8828.6764795274976</v>
      </c>
      <c r="AN594" s="37">
        <f t="shared" si="90"/>
        <v>19876.02840000001</v>
      </c>
      <c r="AO594" s="37">
        <f t="shared" si="91"/>
        <v>0</v>
      </c>
    </row>
    <row r="595" spans="1:41" hidden="1" x14ac:dyDescent="0.3">
      <c r="A595" t="str">
        <f t="shared" si="83"/>
        <v>213may</v>
      </c>
      <c r="B595" t="str">
        <f t="shared" si="84"/>
        <v>OUTLET MONTENEGROmay</v>
      </c>
      <c r="C595" s="1" t="s">
        <v>92</v>
      </c>
      <c r="D595" s="1" t="s">
        <v>49</v>
      </c>
      <c r="E595" s="1">
        <v>213</v>
      </c>
      <c r="F595" s="1" t="s">
        <v>119</v>
      </c>
      <c r="G595" s="1" t="s">
        <v>120</v>
      </c>
      <c r="H595" s="1" t="s">
        <v>119</v>
      </c>
      <c r="I595" s="1" t="s">
        <v>125</v>
      </c>
      <c r="J595" s="1" t="s">
        <v>136</v>
      </c>
      <c r="K595" t="s">
        <v>84</v>
      </c>
      <c r="L595" s="6">
        <v>45037.74</v>
      </c>
      <c r="M595" s="6">
        <v>9636.7400000000052</v>
      </c>
      <c r="N595" s="6">
        <v>63665.86</v>
      </c>
      <c r="O595" s="6">
        <v>17477.659999999993</v>
      </c>
      <c r="P595" s="6">
        <v>66535.79724</v>
      </c>
      <c r="Q595" s="6">
        <v>13499</v>
      </c>
      <c r="R595" s="6">
        <v>78298.48000000004</v>
      </c>
      <c r="S595" s="6">
        <v>20342.189999999984</v>
      </c>
      <c r="T595" s="6">
        <v>78298.480000000069</v>
      </c>
      <c r="U595" s="6">
        <v>20342.190000000002</v>
      </c>
      <c r="V595" s="30">
        <v>78298.480000000069</v>
      </c>
      <c r="W595" s="30">
        <v>20342.190000000002</v>
      </c>
      <c r="X595" s="30">
        <v>105702.94800000009</v>
      </c>
      <c r="Y595" s="30">
        <v>24359.747504751354</v>
      </c>
      <c r="Z595" s="30">
        <v>0</v>
      </c>
      <c r="AA595" s="30">
        <v>0</v>
      </c>
      <c r="AB595" s="34">
        <v>1.760967579634326E-2</v>
      </c>
      <c r="AC595" s="34">
        <v>4.6227501630319509E-2</v>
      </c>
      <c r="AD595" s="34">
        <v>0.10199023020625696</v>
      </c>
      <c r="AE595" s="34">
        <v>0.1019902302062569</v>
      </c>
      <c r="AF595" s="34">
        <v>0.1019902302062569</v>
      </c>
      <c r="AG595" s="34">
        <v>0.18</v>
      </c>
      <c r="AH595" s="34">
        <v>0</v>
      </c>
      <c r="AI595" s="37">
        <f t="shared" si="85"/>
        <v>793.1000000000007</v>
      </c>
      <c r="AJ595" s="37">
        <f t="shared" si="86"/>
        <v>2943.1136469456937</v>
      </c>
      <c r="AK595" s="37">
        <f t="shared" si="87"/>
        <v>7985.680000000013</v>
      </c>
      <c r="AL595" s="37">
        <f t="shared" si="88"/>
        <v>7985.6800000000057</v>
      </c>
      <c r="AM595" s="37">
        <f t="shared" si="89"/>
        <v>7985.6800000000085</v>
      </c>
      <c r="AN595" s="37">
        <f t="shared" si="90"/>
        <v>19026.530640000015</v>
      </c>
      <c r="AO595" s="37">
        <f t="shared" si="91"/>
        <v>0</v>
      </c>
    </row>
    <row r="596" spans="1:41" hidden="1" x14ac:dyDescent="0.3">
      <c r="A596" t="str">
        <f t="shared" si="83"/>
        <v>213jun</v>
      </c>
      <c r="B596" t="str">
        <f t="shared" si="84"/>
        <v>OUTLET MONTENEGROjun</v>
      </c>
      <c r="C596" s="1" t="s">
        <v>92</v>
      </c>
      <c r="D596" s="1" t="s">
        <v>49</v>
      </c>
      <c r="E596" s="1">
        <v>213</v>
      </c>
      <c r="F596" s="1" t="s">
        <v>119</v>
      </c>
      <c r="G596" s="1" t="s">
        <v>120</v>
      </c>
      <c r="H596" s="1" t="s">
        <v>119</v>
      </c>
      <c r="I596" s="1" t="s">
        <v>125</v>
      </c>
      <c r="J596" s="1" t="s">
        <v>136</v>
      </c>
      <c r="K596" t="s">
        <v>85</v>
      </c>
      <c r="L596" s="6">
        <v>33509.980000000003</v>
      </c>
      <c r="M596" s="6">
        <v>7372.8700000000044</v>
      </c>
      <c r="N596" s="6">
        <v>56766.17</v>
      </c>
      <c r="O596" s="6">
        <v>16938.949999999997</v>
      </c>
      <c r="P596" s="6">
        <v>64755.04354999998</v>
      </c>
      <c r="Q596" s="6">
        <v>13148</v>
      </c>
      <c r="R596" s="6">
        <v>74890.9399999999</v>
      </c>
      <c r="S596" s="6">
        <v>20154.070654880397</v>
      </c>
      <c r="T596" s="6">
        <v>74890.939999999988</v>
      </c>
      <c r="U596" s="6">
        <v>20189.739999999991</v>
      </c>
      <c r="V596" s="30">
        <v>74890.939999999988</v>
      </c>
      <c r="W596" s="30">
        <v>20189.739999999991</v>
      </c>
      <c r="X596" s="30">
        <v>101102.76899999997</v>
      </c>
      <c r="Y596" s="30">
        <v>23299.614357692277</v>
      </c>
      <c r="Z596" s="30">
        <v>0</v>
      </c>
      <c r="AA596" s="30">
        <v>0</v>
      </c>
      <c r="AB596" s="34">
        <v>2.9241139505305644E-2</v>
      </c>
      <c r="AC596" s="34">
        <v>8.2665997321346663E-2</v>
      </c>
      <c r="AD596" s="34">
        <v>0.1302985235749331</v>
      </c>
      <c r="AE596" s="34">
        <v>0.1302985235749331</v>
      </c>
      <c r="AF596" s="34">
        <v>0.1302985235749331</v>
      </c>
      <c r="AG596" s="34">
        <v>0.18000000000000002</v>
      </c>
      <c r="AH596" s="34">
        <v>0</v>
      </c>
      <c r="AI596" s="37">
        <f t="shared" si="85"/>
        <v>979.87000000000216</v>
      </c>
      <c r="AJ596" s="37">
        <f t="shared" si="86"/>
        <v>4692.6320571631095</v>
      </c>
      <c r="AK596" s="37">
        <f t="shared" si="87"/>
        <v>9758.1789111388989</v>
      </c>
      <c r="AL596" s="37">
        <f t="shared" si="88"/>
        <v>9758.178911138888</v>
      </c>
      <c r="AM596" s="37">
        <f t="shared" si="89"/>
        <v>9758.1789111388989</v>
      </c>
      <c r="AN596" s="37">
        <f t="shared" si="90"/>
        <v>18198.498419999996</v>
      </c>
      <c r="AO596" s="37">
        <f t="shared" si="91"/>
        <v>0</v>
      </c>
    </row>
    <row r="597" spans="1:41" hidden="1" x14ac:dyDescent="0.3">
      <c r="A597" t="str">
        <f t="shared" si="83"/>
        <v>213jul</v>
      </c>
      <c r="B597" t="str">
        <f t="shared" si="84"/>
        <v>OUTLET MONTENEGROjul</v>
      </c>
      <c r="C597" s="1" t="s">
        <v>92</v>
      </c>
      <c r="D597" s="1" t="s">
        <v>49</v>
      </c>
      <c r="E597" s="1">
        <v>213</v>
      </c>
      <c r="F597" s="1" t="s">
        <v>119</v>
      </c>
      <c r="G597" s="1" t="s">
        <v>120</v>
      </c>
      <c r="H597" s="1" t="s">
        <v>119</v>
      </c>
      <c r="I597" s="1" t="s">
        <v>125</v>
      </c>
      <c r="J597" s="1" t="s">
        <v>136</v>
      </c>
      <c r="K597" t="s">
        <v>86</v>
      </c>
      <c r="L597" s="6">
        <v>35767.79</v>
      </c>
      <c r="M597" s="6">
        <v>9088.3500000000022</v>
      </c>
      <c r="N597" s="6">
        <v>68322.099999999991</v>
      </c>
      <c r="O597" s="6">
        <v>18376.979999999981</v>
      </c>
      <c r="P597" s="6">
        <v>64363.792749999993</v>
      </c>
      <c r="Q597" s="6">
        <v>14229</v>
      </c>
      <c r="R597" s="6">
        <v>73325.529999999955</v>
      </c>
      <c r="S597" s="6">
        <v>21085.590000000244</v>
      </c>
      <c r="T597" s="6">
        <v>73325.530000000086</v>
      </c>
      <c r="U597" s="6">
        <v>21085.590000000098</v>
      </c>
      <c r="V597" s="30">
        <v>73325.529999999984</v>
      </c>
      <c r="W597" s="30">
        <v>21085.590000000069</v>
      </c>
      <c r="X597" s="30">
        <v>98989.465499999991</v>
      </c>
      <c r="Y597" s="30">
        <v>23164.344930973326</v>
      </c>
      <c r="Z597" s="30">
        <v>0</v>
      </c>
      <c r="AA597" s="30">
        <v>0</v>
      </c>
      <c r="AB597" s="34">
        <v>4.70395291406039E-2</v>
      </c>
      <c r="AC597" s="34">
        <v>6.149974859860266E-2</v>
      </c>
      <c r="AD597" s="34">
        <v>0.16890638226549443</v>
      </c>
      <c r="AE597" s="34">
        <v>0.1689063822654944</v>
      </c>
      <c r="AF597" s="34">
        <v>0.1689063822654944</v>
      </c>
      <c r="AG597" s="34">
        <v>0.19</v>
      </c>
      <c r="AH597" s="34">
        <v>0</v>
      </c>
      <c r="AI597" s="37">
        <f t="shared" si="85"/>
        <v>1682.5000000000009</v>
      </c>
      <c r="AJ597" s="37">
        <f t="shared" si="86"/>
        <v>4201.7919737285902</v>
      </c>
      <c r="AK597" s="37">
        <f t="shared" si="87"/>
        <v>12385.149999999994</v>
      </c>
      <c r="AL597" s="37">
        <f t="shared" si="88"/>
        <v>12385.149999999971</v>
      </c>
      <c r="AM597" s="37">
        <f t="shared" si="89"/>
        <v>12385.149999999974</v>
      </c>
      <c r="AN597" s="37">
        <f t="shared" si="90"/>
        <v>18807.998444999997</v>
      </c>
      <c r="AO597" s="37">
        <f t="shared" si="91"/>
        <v>0</v>
      </c>
    </row>
    <row r="598" spans="1:41" hidden="1" x14ac:dyDescent="0.3">
      <c r="A598" t="str">
        <f t="shared" si="83"/>
        <v>213ago</v>
      </c>
      <c r="B598" t="str">
        <f t="shared" si="84"/>
        <v>OUTLET MONTENEGROago</v>
      </c>
      <c r="C598" s="1" t="s">
        <v>92</v>
      </c>
      <c r="D598" s="1" t="s">
        <v>49</v>
      </c>
      <c r="E598" s="1">
        <v>213</v>
      </c>
      <c r="F598" s="1" t="s">
        <v>119</v>
      </c>
      <c r="G598" s="1" t="s">
        <v>120</v>
      </c>
      <c r="H598" s="1" t="s">
        <v>119</v>
      </c>
      <c r="I598" s="1" t="s">
        <v>125</v>
      </c>
      <c r="J598" s="1" t="s">
        <v>136</v>
      </c>
      <c r="K598" t="s">
        <v>87</v>
      </c>
      <c r="L598" s="6">
        <v>73374.499999999985</v>
      </c>
      <c r="M598" s="6">
        <v>6883.8100000000013</v>
      </c>
      <c r="N598" s="6">
        <v>93273.039999999979</v>
      </c>
      <c r="O598" s="6">
        <v>7909.7799999999825</v>
      </c>
      <c r="P598" s="6">
        <v>102130.41679999999</v>
      </c>
      <c r="Q598" s="6">
        <v>18263</v>
      </c>
      <c r="R598" s="6">
        <v>121212.48352747301</v>
      </c>
      <c r="S598" s="6">
        <v>19206.118014928099</v>
      </c>
      <c r="T598" s="6">
        <v>143733.60000000003</v>
      </c>
      <c r="U598" s="6">
        <v>7582.6599999999744</v>
      </c>
      <c r="V598" s="30">
        <v>143733.59999999977</v>
      </c>
      <c r="W598" s="30">
        <v>22774.588919999966</v>
      </c>
      <c r="X598" s="30">
        <v>194040.35999999969</v>
      </c>
      <c r="Y598" s="30">
        <v>38511.957619274253</v>
      </c>
      <c r="Z598" s="30">
        <v>0</v>
      </c>
      <c r="AA598" s="30">
        <v>0</v>
      </c>
      <c r="AB598" s="34">
        <v>1.6060756802431433E-2</v>
      </c>
      <c r="AC598" s="34">
        <v>1.4865221351233174E-2</v>
      </c>
      <c r="AD598" s="34">
        <v>5.2849716419821058E-2</v>
      </c>
      <c r="AE598" s="34">
        <v>7.0000000000000007E-2</v>
      </c>
      <c r="AF598" s="34">
        <v>7.0000000000000007E-2</v>
      </c>
      <c r="AG598" s="34">
        <v>8.9999999999999983E-2</v>
      </c>
      <c r="AH598" s="34">
        <v>0</v>
      </c>
      <c r="AI598" s="37">
        <f t="shared" si="85"/>
        <v>1178.4500000000048</v>
      </c>
      <c r="AJ598" s="37">
        <f t="shared" si="86"/>
        <v>1386.5243857024257</v>
      </c>
      <c r="AK598" s="37">
        <f t="shared" si="87"/>
        <v>7596.2799999999943</v>
      </c>
      <c r="AL598" s="37">
        <f t="shared" si="88"/>
        <v>8484.8738469231121</v>
      </c>
      <c r="AM598" s="37">
        <f t="shared" si="89"/>
        <v>10061.351999999984</v>
      </c>
      <c r="AN598" s="37">
        <f t="shared" si="90"/>
        <v>17463.632399999969</v>
      </c>
      <c r="AO598" s="37">
        <f t="shared" si="91"/>
        <v>0</v>
      </c>
    </row>
    <row r="599" spans="1:41" hidden="1" x14ac:dyDescent="0.3">
      <c r="A599" t="str">
        <f t="shared" si="83"/>
        <v>213sep</v>
      </c>
      <c r="B599" t="str">
        <f t="shared" si="84"/>
        <v>OUTLET MONTENEGROsep</v>
      </c>
      <c r="C599" s="1" t="s">
        <v>92</v>
      </c>
      <c r="D599" s="1" t="s">
        <v>49</v>
      </c>
      <c r="E599" s="1">
        <v>213</v>
      </c>
      <c r="F599" s="1" t="s">
        <v>119</v>
      </c>
      <c r="G599" s="1" t="s">
        <v>120</v>
      </c>
      <c r="H599" s="1" t="s">
        <v>119</v>
      </c>
      <c r="I599" s="1" t="s">
        <v>125</v>
      </c>
      <c r="J599" s="1" t="s">
        <v>136</v>
      </c>
      <c r="K599" t="s">
        <v>88</v>
      </c>
      <c r="L599" s="6">
        <v>33259.270000000004</v>
      </c>
      <c r="M599" s="6">
        <v>6446.7900000000009</v>
      </c>
      <c r="N599" s="6">
        <v>65615.960000000006</v>
      </c>
      <c r="O599" s="6">
        <v>10972.980000000003</v>
      </c>
      <c r="P599" s="6">
        <v>61612.730879999996</v>
      </c>
      <c r="Q599" s="6">
        <v>13992</v>
      </c>
      <c r="R599" s="6">
        <v>65962.589680128003</v>
      </c>
      <c r="S599" s="6">
        <v>12598.854628904448</v>
      </c>
      <c r="T599" s="6">
        <v>68561.920000000042</v>
      </c>
      <c r="U599" s="6">
        <v>17132.550000000032</v>
      </c>
      <c r="V599" s="30">
        <v>68561.920000000042</v>
      </c>
      <c r="W599" s="30">
        <v>17132.550000000032</v>
      </c>
      <c r="X599" s="30">
        <v>92558.592000000062</v>
      </c>
      <c r="Y599" s="30">
        <v>20014.96885247195</v>
      </c>
      <c r="Z599" s="30">
        <v>0</v>
      </c>
      <c r="AA599" s="30">
        <v>0</v>
      </c>
      <c r="AB599" s="34">
        <v>2.5012274773318934E-2</v>
      </c>
      <c r="AC599" s="34">
        <v>3.5573908154758298E-2</v>
      </c>
      <c r="AD599" s="34">
        <v>9.7173037161153011E-2</v>
      </c>
      <c r="AE599" s="34">
        <v>0.1</v>
      </c>
      <c r="AF599" s="34">
        <v>0.1</v>
      </c>
      <c r="AG599" s="34">
        <v>0.13999999999999999</v>
      </c>
      <c r="AH599" s="34">
        <v>0</v>
      </c>
      <c r="AI599" s="37">
        <f t="shared" si="85"/>
        <v>831.89000000000328</v>
      </c>
      <c r="AJ599" s="37">
        <f t="shared" si="86"/>
        <v>2334.2161345262944</v>
      </c>
      <c r="AK599" s="37">
        <f t="shared" si="87"/>
        <v>6662.3700000000035</v>
      </c>
      <c r="AL599" s="37">
        <f t="shared" si="88"/>
        <v>6596.2589680128003</v>
      </c>
      <c r="AM599" s="37">
        <f t="shared" si="89"/>
        <v>6856.1920000000046</v>
      </c>
      <c r="AN599" s="37">
        <f t="shared" si="90"/>
        <v>12958.202880000008</v>
      </c>
      <c r="AO599" s="37">
        <f t="shared" si="91"/>
        <v>0</v>
      </c>
    </row>
    <row r="600" spans="1:41" hidden="1" x14ac:dyDescent="0.3">
      <c r="A600" t="str">
        <f t="shared" si="83"/>
        <v>213oct</v>
      </c>
      <c r="B600" t="str">
        <f t="shared" si="84"/>
        <v>OUTLET MONTENEGROoct</v>
      </c>
      <c r="C600" s="1" t="s">
        <v>92</v>
      </c>
      <c r="D600" s="1" t="s">
        <v>49</v>
      </c>
      <c r="E600" s="1">
        <v>213</v>
      </c>
      <c r="F600" s="1" t="s">
        <v>119</v>
      </c>
      <c r="G600" s="1" t="s">
        <v>120</v>
      </c>
      <c r="H600" s="1" t="s">
        <v>119</v>
      </c>
      <c r="I600" s="1" t="s">
        <v>125</v>
      </c>
      <c r="J600" s="1" t="s">
        <v>136</v>
      </c>
      <c r="K600" t="s">
        <v>89</v>
      </c>
      <c r="L600" s="6">
        <v>32305.679999999993</v>
      </c>
      <c r="M600" s="6">
        <v>4604.6299999999965</v>
      </c>
      <c r="N600" s="6">
        <v>71381.119999999995</v>
      </c>
      <c r="O600" s="6">
        <v>16105.279999999988</v>
      </c>
      <c r="P600" s="6">
        <v>69739.854019999999</v>
      </c>
      <c r="Q600" s="6">
        <v>14678</v>
      </c>
      <c r="R600" s="6">
        <v>74663.487713812006</v>
      </c>
      <c r="S600" s="6">
        <v>15709.197814986046</v>
      </c>
      <c r="T600" s="6">
        <v>67374.310000000143</v>
      </c>
      <c r="U600" s="6">
        <v>16052.970000000161</v>
      </c>
      <c r="V600" s="30">
        <v>74663.487713812006</v>
      </c>
      <c r="W600" s="30">
        <v>15709.197814986046</v>
      </c>
      <c r="X600" s="30">
        <v>77623.636499999993</v>
      </c>
      <c r="Y600" s="30">
        <v>17337.077314073413</v>
      </c>
      <c r="Z600" s="30">
        <v>0</v>
      </c>
      <c r="AA600" s="30">
        <v>0</v>
      </c>
      <c r="AB600" s="34">
        <v>9.0535162856810354E-3</v>
      </c>
      <c r="AC600" s="34">
        <v>4.6285143724771355E-2</v>
      </c>
      <c r="AD600" s="34">
        <v>0.19557187301806875</v>
      </c>
      <c r="AE600" s="34">
        <v>0.08</v>
      </c>
      <c r="AF600" s="34">
        <v>0.08</v>
      </c>
      <c r="AG600" s="34">
        <v>0.16</v>
      </c>
      <c r="AH600" s="34">
        <v>0</v>
      </c>
      <c r="AI600" s="37">
        <f t="shared" si="85"/>
        <v>292.48000000000008</v>
      </c>
      <c r="AJ600" s="37">
        <f t="shared" si="86"/>
        <v>3303.8853984351508</v>
      </c>
      <c r="AK600" s="37">
        <f t="shared" si="87"/>
        <v>13176.520000000028</v>
      </c>
      <c r="AL600" s="37">
        <f t="shared" si="88"/>
        <v>5973.0790171049603</v>
      </c>
      <c r="AM600" s="37">
        <f t="shared" si="89"/>
        <v>5973.0790171049603</v>
      </c>
      <c r="AN600" s="37">
        <f t="shared" si="90"/>
        <v>12419.78184</v>
      </c>
      <c r="AO600" s="37">
        <f t="shared" si="91"/>
        <v>0</v>
      </c>
    </row>
    <row r="601" spans="1:41" hidden="1" x14ac:dyDescent="0.3">
      <c r="A601" t="str">
        <f t="shared" si="83"/>
        <v>213nov</v>
      </c>
      <c r="B601" t="str">
        <f t="shared" si="84"/>
        <v>OUTLET MONTENEGROnov</v>
      </c>
      <c r="C601" s="1" t="s">
        <v>92</v>
      </c>
      <c r="D601" s="1" t="s">
        <v>49</v>
      </c>
      <c r="E601" s="1">
        <v>213</v>
      </c>
      <c r="F601" s="1" t="s">
        <v>119</v>
      </c>
      <c r="G601" s="1" t="s">
        <v>120</v>
      </c>
      <c r="H601" s="1" t="s">
        <v>119</v>
      </c>
      <c r="I601" s="1" t="s">
        <v>125</v>
      </c>
      <c r="J601" s="1" t="s">
        <v>136</v>
      </c>
      <c r="K601" t="s">
        <v>90</v>
      </c>
      <c r="L601" s="6">
        <v>41311.56</v>
      </c>
      <c r="M601" s="6">
        <v>5559.3300000000008</v>
      </c>
      <c r="N601" s="6">
        <v>93044.76999999996</v>
      </c>
      <c r="O601" s="6">
        <v>14725.459999999954</v>
      </c>
      <c r="P601" s="6">
        <v>98365.494399999996</v>
      </c>
      <c r="Q601" s="6">
        <v>18641</v>
      </c>
      <c r="R601" s="6">
        <v>104316.60681119999</v>
      </c>
      <c r="S601" s="6">
        <v>19767.996990722397</v>
      </c>
      <c r="T601" s="6">
        <v>52636.637931034493</v>
      </c>
      <c r="U601" s="6">
        <v>19604.754424852097</v>
      </c>
      <c r="V601" s="30">
        <v>104316.60681119999</v>
      </c>
      <c r="W601" s="30">
        <v>19767.996990722397</v>
      </c>
      <c r="X601" s="30">
        <v>140827.41919511999</v>
      </c>
      <c r="Y601" s="30">
        <v>31953.929718791744</v>
      </c>
      <c r="Z601" s="30">
        <v>0</v>
      </c>
      <c r="AA601" s="30">
        <v>0</v>
      </c>
      <c r="AB601" s="34">
        <v>9.4249648282466545E-3</v>
      </c>
      <c r="AC601" s="34">
        <v>2.8982216139926197E-2</v>
      </c>
      <c r="AD601" s="34">
        <v>0.19557187301806875</v>
      </c>
      <c r="AE601" s="34">
        <v>0.05</v>
      </c>
      <c r="AF601" s="34">
        <v>0.05</v>
      </c>
      <c r="AG601" s="34">
        <v>0.17000000000000007</v>
      </c>
      <c r="AH601" s="34">
        <v>0</v>
      </c>
      <c r="AI601" s="37">
        <f t="shared" si="85"/>
        <v>389.36000000000132</v>
      </c>
      <c r="AJ601" s="37">
        <f t="shared" si="86"/>
        <v>2696.6436348297198</v>
      </c>
      <c r="AK601" s="37">
        <f t="shared" si="87"/>
        <v>10294.245869546339</v>
      </c>
      <c r="AL601" s="37">
        <f t="shared" si="88"/>
        <v>5215.83034056</v>
      </c>
      <c r="AM601" s="37">
        <f t="shared" si="89"/>
        <v>5215.83034056</v>
      </c>
      <c r="AN601" s="37">
        <f t="shared" si="90"/>
        <v>23940.661263170408</v>
      </c>
      <c r="AO601" s="37">
        <f t="shared" si="91"/>
        <v>0</v>
      </c>
    </row>
    <row r="602" spans="1:41" hidden="1" x14ac:dyDescent="0.3">
      <c r="A602" t="str">
        <f t="shared" si="83"/>
        <v>213dic</v>
      </c>
      <c r="B602" t="str">
        <f t="shared" si="84"/>
        <v>OUTLET MONTENEGROdic</v>
      </c>
      <c r="C602" s="1" t="s">
        <v>92</v>
      </c>
      <c r="D602" s="1" t="s">
        <v>49</v>
      </c>
      <c r="E602" s="1">
        <v>213</v>
      </c>
      <c r="F602" s="1" t="s">
        <v>119</v>
      </c>
      <c r="G602" s="1" t="s">
        <v>120</v>
      </c>
      <c r="H602" s="1" t="s">
        <v>119</v>
      </c>
      <c r="I602" s="1" t="s">
        <v>125</v>
      </c>
      <c r="J602" s="1" t="s">
        <v>136</v>
      </c>
      <c r="K602" t="s">
        <v>91</v>
      </c>
      <c r="L602" s="6">
        <v>98130.61</v>
      </c>
      <c r="M602" s="6">
        <v>16413.510000000009</v>
      </c>
      <c r="N602" s="6">
        <v>142629.68</v>
      </c>
      <c r="O602" s="6">
        <v>36653.099999999977</v>
      </c>
      <c r="P602" s="6">
        <v>147524.34440000023</v>
      </c>
      <c r="Q602" s="6">
        <v>33917</v>
      </c>
      <c r="R602" s="6">
        <v>156449.56723620027</v>
      </c>
      <c r="S602" s="6">
        <v>29647.192991259955</v>
      </c>
      <c r="T602" s="6">
        <v>134526.00574712644</v>
      </c>
      <c r="U602" s="6">
        <v>45554.743833742607</v>
      </c>
      <c r="V602" s="30">
        <v>156449.56723620027</v>
      </c>
      <c r="W602" s="30">
        <v>29647.192991259955</v>
      </c>
      <c r="X602" s="30">
        <v>211206.91576887039</v>
      </c>
      <c r="Y602" s="30">
        <v>47923.13159733823</v>
      </c>
      <c r="Z602" s="30">
        <v>0</v>
      </c>
      <c r="AA602" s="30">
        <v>0</v>
      </c>
      <c r="AB602" s="34">
        <v>2.6632158915551443E-2</v>
      </c>
      <c r="AC602" s="34">
        <v>0.10592314271232882</v>
      </c>
      <c r="AD602" s="34">
        <v>0.19557187301806875</v>
      </c>
      <c r="AE602" s="34">
        <v>5.000000000000001E-2</v>
      </c>
      <c r="AF602" s="34">
        <v>5.000000000000001E-2</v>
      </c>
      <c r="AG602" s="34">
        <v>0.17</v>
      </c>
      <c r="AH602" s="34">
        <v>0</v>
      </c>
      <c r="AI602" s="37">
        <f t="shared" si="85"/>
        <v>2613.4300000000017</v>
      </c>
      <c r="AJ602" s="37">
        <f t="shared" si="86"/>
        <v>15107.783949653791</v>
      </c>
      <c r="AK602" s="37">
        <f t="shared" si="87"/>
        <v>26309.502913605</v>
      </c>
      <c r="AL602" s="37">
        <f t="shared" si="88"/>
        <v>7822.4783618100146</v>
      </c>
      <c r="AM602" s="37">
        <f t="shared" si="89"/>
        <v>7822.4783618100146</v>
      </c>
      <c r="AN602" s="37">
        <f t="shared" si="90"/>
        <v>35905.175680707966</v>
      </c>
      <c r="AO602" s="37">
        <f t="shared" si="91"/>
        <v>0</v>
      </c>
    </row>
    <row r="603" spans="1:41" hidden="1" x14ac:dyDescent="0.3">
      <c r="A603" t="str">
        <f t="shared" si="83"/>
        <v>102ene</v>
      </c>
      <c r="B603" t="str">
        <f t="shared" si="84"/>
        <v>OUTLET TARIJAene</v>
      </c>
      <c r="C603" s="1" t="s">
        <v>92</v>
      </c>
      <c r="D603" s="1" t="s">
        <v>50</v>
      </c>
      <c r="E603" s="1">
        <v>102</v>
      </c>
      <c r="F603" s="1" t="s">
        <v>119</v>
      </c>
      <c r="G603" s="1" t="s">
        <v>119</v>
      </c>
      <c r="H603" s="1" t="s">
        <v>119</v>
      </c>
      <c r="I603" s="1" t="s">
        <v>126</v>
      </c>
      <c r="J603" s="1" t="s">
        <v>136</v>
      </c>
      <c r="K603" t="s">
        <v>80</v>
      </c>
      <c r="L603" s="6">
        <v>55894.340000000004</v>
      </c>
      <c r="M603" s="6">
        <v>9629.3299999999945</v>
      </c>
      <c r="N603" s="6">
        <v>73091.400000000023</v>
      </c>
      <c r="O603" s="6">
        <v>11550.270000000019</v>
      </c>
      <c r="P603" s="6">
        <v>81996.346999999994</v>
      </c>
      <c r="Q603" s="6">
        <v>16673</v>
      </c>
      <c r="R603" s="6">
        <v>71059.880000000048</v>
      </c>
      <c r="S603" s="6">
        <v>16169.809251399318</v>
      </c>
      <c r="T603" s="6">
        <v>71059.879999999961</v>
      </c>
      <c r="U603" s="6">
        <v>16244.699999999917</v>
      </c>
      <c r="V603" s="30">
        <v>82816.310469999997</v>
      </c>
      <c r="W603" s="30">
        <v>18932.288074395889</v>
      </c>
      <c r="X603" s="30">
        <v>85300.799784100018</v>
      </c>
      <c r="Y603" s="30">
        <v>17135.975232997233</v>
      </c>
      <c r="Z603" s="30">
        <v>65251.436781609307</v>
      </c>
      <c r="AA603" s="30">
        <v>21024.260394606004</v>
      </c>
      <c r="AB603" s="34">
        <v>2.2279357802596895E-2</v>
      </c>
      <c r="AC603" s="34">
        <v>2.3472589600553449E-2</v>
      </c>
      <c r="AD603" s="34">
        <v>6.0543151198937169E-2</v>
      </c>
      <c r="AE603" s="34">
        <v>6.0543151198937162E-2</v>
      </c>
      <c r="AF603" s="34">
        <v>6.0543151198937162E-2</v>
      </c>
      <c r="AG603" s="34">
        <v>0.12000000000000001</v>
      </c>
      <c r="AH603" s="34">
        <v>0.13084883848948561</v>
      </c>
      <c r="AI603" s="37">
        <f t="shared" si="85"/>
        <v>1245.2900000000038</v>
      </c>
      <c r="AJ603" s="37">
        <f t="shared" si="86"/>
        <v>1715.6444355298929</v>
      </c>
      <c r="AK603" s="37">
        <f t="shared" si="87"/>
        <v>4302.1890590183293</v>
      </c>
      <c r="AL603" s="37">
        <f t="shared" si="88"/>
        <v>4302.1890590183339</v>
      </c>
      <c r="AM603" s="37">
        <f t="shared" si="89"/>
        <v>5013.9604065233325</v>
      </c>
      <c r="AN603" s="37">
        <f t="shared" si="90"/>
        <v>10236.095974092003</v>
      </c>
      <c r="AO603" s="37">
        <f t="shared" si="91"/>
        <v>8538.0747126436763</v>
      </c>
    </row>
    <row r="604" spans="1:41" hidden="1" x14ac:dyDescent="0.3">
      <c r="A604" t="str">
        <f t="shared" si="83"/>
        <v>102feb</v>
      </c>
      <c r="B604" t="str">
        <f t="shared" si="84"/>
        <v>OUTLET TARIJAfeb</v>
      </c>
      <c r="C604" s="1" t="s">
        <v>92</v>
      </c>
      <c r="D604" s="1" t="s">
        <v>50</v>
      </c>
      <c r="E604" s="1">
        <v>102</v>
      </c>
      <c r="F604" s="1" t="s">
        <v>119</v>
      </c>
      <c r="G604" s="1" t="s">
        <v>119</v>
      </c>
      <c r="H604" s="1" t="s">
        <v>119</v>
      </c>
      <c r="I604" s="1" t="s">
        <v>126</v>
      </c>
      <c r="J604" s="1" t="s">
        <v>136</v>
      </c>
      <c r="K604" t="s">
        <v>81</v>
      </c>
      <c r="L604" s="6">
        <v>73161.109999999986</v>
      </c>
      <c r="M604" s="6">
        <v>-1593.8499999999976</v>
      </c>
      <c r="N604" s="6">
        <v>66182.200000000012</v>
      </c>
      <c r="O604" s="6">
        <v>8946.4900000000089</v>
      </c>
      <c r="P604" s="6">
        <v>86962.971500000072</v>
      </c>
      <c r="Q604" s="6">
        <v>14713</v>
      </c>
      <c r="R604" s="6">
        <v>89248.279999999984</v>
      </c>
      <c r="S604" s="6">
        <v>12796.280194368044</v>
      </c>
      <c r="T604" s="6">
        <v>89248.279999999941</v>
      </c>
      <c r="U604" s="6">
        <v>13037.699999999997</v>
      </c>
      <c r="V604" s="30">
        <v>91033.245600000067</v>
      </c>
      <c r="W604" s="30">
        <v>13298.454000000016</v>
      </c>
      <c r="X604" s="30">
        <v>91033.245600000067</v>
      </c>
      <c r="Y604" s="30">
        <v>17286.304383404706</v>
      </c>
      <c r="Z604" s="30">
        <v>67483.778735632412</v>
      </c>
      <c r="AA604" s="30">
        <v>11598.851082086665</v>
      </c>
      <c r="AB604" s="34">
        <v>1.4948515679983534E-2</v>
      </c>
      <c r="AC604" s="34">
        <v>1.802832805283525E-2</v>
      </c>
      <c r="AD604" s="34">
        <v>4.9892108005582483E-2</v>
      </c>
      <c r="AE604" s="34">
        <v>4.9892108005582587E-2</v>
      </c>
      <c r="AF604" s="34">
        <v>4.9892108005582587E-2</v>
      </c>
      <c r="AG604" s="34">
        <v>0.09</v>
      </c>
      <c r="AH604" s="34">
        <v>9.3472867362122361E-2</v>
      </c>
      <c r="AI604" s="37">
        <f t="shared" si="85"/>
        <v>1093.6499999999999</v>
      </c>
      <c r="AJ604" s="37">
        <f t="shared" si="86"/>
        <v>1193.1544128583532</v>
      </c>
      <c r="AK604" s="37">
        <f t="shared" si="87"/>
        <v>4452.7848250724637</v>
      </c>
      <c r="AL604" s="37">
        <f t="shared" si="88"/>
        <v>4452.7848250724755</v>
      </c>
      <c r="AM604" s="37">
        <f t="shared" si="89"/>
        <v>4541.8405215739294</v>
      </c>
      <c r="AN604" s="37">
        <f t="shared" si="90"/>
        <v>8192.9921040000063</v>
      </c>
      <c r="AO604" s="37">
        <f t="shared" si="91"/>
        <v>6307.9022988505822</v>
      </c>
    </row>
    <row r="605" spans="1:41" hidden="1" x14ac:dyDescent="0.3">
      <c r="A605" t="str">
        <f t="shared" si="83"/>
        <v>102mar</v>
      </c>
      <c r="B605" t="str">
        <f t="shared" si="84"/>
        <v>OUTLET TARIJAmar</v>
      </c>
      <c r="C605" s="1" t="s">
        <v>92</v>
      </c>
      <c r="D605" s="1" t="s">
        <v>50</v>
      </c>
      <c r="E605" s="1">
        <v>102</v>
      </c>
      <c r="F605" s="1" t="s">
        <v>119</v>
      </c>
      <c r="G605" s="1" t="s">
        <v>119</v>
      </c>
      <c r="H605" s="1" t="s">
        <v>119</v>
      </c>
      <c r="I605" s="1" t="s">
        <v>126</v>
      </c>
      <c r="J605" s="1" t="s">
        <v>136</v>
      </c>
      <c r="K605" t="s">
        <v>82</v>
      </c>
      <c r="L605" s="6">
        <v>49383.76</v>
      </c>
      <c r="M605" s="6">
        <v>4180.7000000000053</v>
      </c>
      <c r="N605" s="6">
        <v>88293.419999999984</v>
      </c>
      <c r="O605" s="6">
        <v>9995.7899999999936</v>
      </c>
      <c r="P605" s="6">
        <v>82824.34090000001</v>
      </c>
      <c r="Q605" s="6">
        <v>17078</v>
      </c>
      <c r="R605" s="6">
        <v>86502.499999999956</v>
      </c>
      <c r="S605" s="6">
        <v>14422.966867593534</v>
      </c>
      <c r="T605" s="6">
        <v>86502.499999999956</v>
      </c>
      <c r="U605" s="6">
        <v>14503.539999999935</v>
      </c>
      <c r="V605" s="30">
        <v>89962.599999999846</v>
      </c>
      <c r="W605" s="30">
        <v>15083.681599999916</v>
      </c>
      <c r="X605" s="30">
        <v>93561.103999999847</v>
      </c>
      <c r="Y605" s="30">
        <v>19481.416743421054</v>
      </c>
      <c r="Z605" s="30">
        <v>76518.633156132448</v>
      </c>
      <c r="AA605" s="30">
        <v>18670.546490096316</v>
      </c>
      <c r="AB605" s="34">
        <v>1.4517323103789599E-2</v>
      </c>
      <c r="AC605" s="34">
        <v>1.2900853514397261E-2</v>
      </c>
      <c r="AD605" s="34">
        <v>6.2042865538540971E-2</v>
      </c>
      <c r="AE605" s="34">
        <v>6.2042865538540957E-2</v>
      </c>
      <c r="AF605" s="34">
        <v>6.2042865538540957E-2</v>
      </c>
      <c r="AG605" s="34">
        <v>0.14000000000000004</v>
      </c>
      <c r="AH605" s="34">
        <v>0.1286474096712181</v>
      </c>
      <c r="AI605" s="37">
        <f t="shared" si="85"/>
        <v>716.92000000000064</v>
      </c>
      <c r="AJ605" s="37">
        <f t="shared" si="86"/>
        <v>1139.0604777051533</v>
      </c>
      <c r="AK605" s="37">
        <f t="shared" si="87"/>
        <v>5366.8629762476376</v>
      </c>
      <c r="AL605" s="37">
        <f t="shared" si="88"/>
        <v>5366.8629762476367</v>
      </c>
      <c r="AM605" s="37">
        <f t="shared" si="89"/>
        <v>5581.5374952975353</v>
      </c>
      <c r="AN605" s="37">
        <f t="shared" si="90"/>
        <v>13098.554559999982</v>
      </c>
      <c r="AO605" s="37">
        <f t="shared" si="91"/>
        <v>9843.9239471186229</v>
      </c>
    </row>
    <row r="606" spans="1:41" hidden="1" x14ac:dyDescent="0.3">
      <c r="A606" t="str">
        <f t="shared" si="83"/>
        <v>102abr</v>
      </c>
      <c r="B606" t="str">
        <f t="shared" si="84"/>
        <v>OUTLET TARIJAabr</v>
      </c>
      <c r="C606" s="1" t="s">
        <v>92</v>
      </c>
      <c r="D606" s="1" t="s">
        <v>50</v>
      </c>
      <c r="E606" s="1">
        <v>102</v>
      </c>
      <c r="F606" s="1" t="s">
        <v>119</v>
      </c>
      <c r="G606" s="1" t="s">
        <v>119</v>
      </c>
      <c r="H606" s="1" t="s">
        <v>119</v>
      </c>
      <c r="I606" s="1" t="s">
        <v>126</v>
      </c>
      <c r="J606" s="1" t="s">
        <v>136</v>
      </c>
      <c r="K606" t="s">
        <v>83</v>
      </c>
      <c r="L606" s="6">
        <v>55907.330000000009</v>
      </c>
      <c r="M606" s="6">
        <v>2007.6900000000187</v>
      </c>
      <c r="N606" s="6">
        <v>73019.470000000016</v>
      </c>
      <c r="O606" s="6">
        <v>14864.800000000021</v>
      </c>
      <c r="P606" s="6">
        <v>79249.784379999997</v>
      </c>
      <c r="Q606" s="6">
        <v>16665</v>
      </c>
      <c r="R606" s="6">
        <v>82324.619999999879</v>
      </c>
      <c r="S606" s="6">
        <v>18478.301710410233</v>
      </c>
      <c r="T606" s="6">
        <v>82324.619999999879</v>
      </c>
      <c r="U606" s="6">
        <v>18452.66999999994</v>
      </c>
      <c r="V606" s="30">
        <v>85617.604799999783</v>
      </c>
      <c r="W606" s="30">
        <v>19190.77679999992</v>
      </c>
      <c r="X606" s="30">
        <v>88186.132943999764</v>
      </c>
      <c r="Y606" s="30">
        <v>19008.859984504477</v>
      </c>
      <c r="Z606" s="30">
        <v>0</v>
      </c>
      <c r="AA606" s="30">
        <v>0</v>
      </c>
      <c r="AB606" s="34">
        <v>1.6138134301888509E-2</v>
      </c>
      <c r="AC606" s="34">
        <v>2.4284710885388958E-2</v>
      </c>
      <c r="AD606" s="34">
        <v>8.2597407138885567E-2</v>
      </c>
      <c r="AE606" s="34">
        <v>8.2597407138885817E-2</v>
      </c>
      <c r="AF606" s="34">
        <v>8.2597407138885817E-2</v>
      </c>
      <c r="AG606" s="34">
        <v>0.16000000000000003</v>
      </c>
      <c r="AH606" s="34">
        <v>0</v>
      </c>
      <c r="AI606" s="37">
        <f t="shared" si="85"/>
        <v>902.24000000000069</v>
      </c>
      <c r="AJ606" s="37">
        <f t="shared" si="86"/>
        <v>1773.2567179543328</v>
      </c>
      <c r="AK606" s="37">
        <f t="shared" si="87"/>
        <v>6799.8001556940317</v>
      </c>
      <c r="AL606" s="37">
        <f t="shared" si="88"/>
        <v>6799.8001556940517</v>
      </c>
      <c r="AM606" s="37">
        <f t="shared" si="89"/>
        <v>7071.7921619218068</v>
      </c>
      <c r="AN606" s="37">
        <f t="shared" si="90"/>
        <v>14109.781271039965</v>
      </c>
      <c r="AO606" s="37">
        <f t="shared" si="91"/>
        <v>0</v>
      </c>
    </row>
    <row r="607" spans="1:41" hidden="1" x14ac:dyDescent="0.3">
      <c r="A607" t="str">
        <f t="shared" si="83"/>
        <v>102may</v>
      </c>
      <c r="B607" t="str">
        <f t="shared" si="84"/>
        <v>OUTLET TARIJAmay</v>
      </c>
      <c r="C607" s="1" t="s">
        <v>92</v>
      </c>
      <c r="D607" s="1" t="s">
        <v>50</v>
      </c>
      <c r="E607" s="1">
        <v>102</v>
      </c>
      <c r="F607" s="1" t="s">
        <v>119</v>
      </c>
      <c r="G607" s="1" t="s">
        <v>119</v>
      </c>
      <c r="H607" s="1" t="s">
        <v>119</v>
      </c>
      <c r="I607" s="1" t="s">
        <v>126</v>
      </c>
      <c r="J607" s="1" t="s">
        <v>136</v>
      </c>
      <c r="K607" t="s">
        <v>84</v>
      </c>
      <c r="L607" s="6">
        <v>39288.410000000003</v>
      </c>
      <c r="M607" s="6">
        <v>5657.48</v>
      </c>
      <c r="N607" s="6">
        <v>74036.83</v>
      </c>
      <c r="O607" s="6">
        <v>17669.910000000011</v>
      </c>
      <c r="P607" s="6">
        <v>76942.468819999936</v>
      </c>
      <c r="Q607" s="6">
        <v>16279</v>
      </c>
      <c r="R607" s="6">
        <v>82777.419999999955</v>
      </c>
      <c r="S607" s="6">
        <v>19365.88294041247</v>
      </c>
      <c r="T607" s="6">
        <v>82777.419999999955</v>
      </c>
      <c r="U607" s="6">
        <v>19310.849999999919</v>
      </c>
      <c r="V607" s="30">
        <v>86088.516799999954</v>
      </c>
      <c r="W607" s="30">
        <v>20083.283999999916</v>
      </c>
      <c r="X607" s="30">
        <v>89532.057471999957</v>
      </c>
      <c r="Y607" s="30">
        <v>19955.475031957114</v>
      </c>
      <c r="Z607" s="30">
        <v>0</v>
      </c>
      <c r="AA607" s="30">
        <v>0</v>
      </c>
      <c r="AB607" s="34">
        <v>1.3493292296634032E-2</v>
      </c>
      <c r="AC607" s="34">
        <v>2.7171730206224667E-2</v>
      </c>
      <c r="AD607" s="34">
        <v>8.5688272894652376E-2</v>
      </c>
      <c r="AE607" s="34">
        <v>8.5688272894652279E-2</v>
      </c>
      <c r="AF607" s="34">
        <v>8.5688272894652279E-2</v>
      </c>
      <c r="AG607" s="34">
        <v>0.18000000000000002</v>
      </c>
      <c r="AH607" s="34">
        <v>0</v>
      </c>
      <c r="AI607" s="37">
        <f t="shared" si="85"/>
        <v>530.12999999999954</v>
      </c>
      <c r="AJ607" s="37">
        <f t="shared" si="86"/>
        <v>2011.7087700841207</v>
      </c>
      <c r="AK607" s="37">
        <f t="shared" si="87"/>
        <v>7093.0541544752514</v>
      </c>
      <c r="AL607" s="37">
        <f t="shared" si="88"/>
        <v>7093.0541544752432</v>
      </c>
      <c r="AM607" s="37">
        <f t="shared" si="89"/>
        <v>7376.7763206542531</v>
      </c>
      <c r="AN607" s="37">
        <f t="shared" si="90"/>
        <v>16115.770344959994</v>
      </c>
      <c r="AO607" s="37">
        <f t="shared" si="91"/>
        <v>0</v>
      </c>
    </row>
    <row r="608" spans="1:41" hidden="1" x14ac:dyDescent="0.3">
      <c r="A608" t="str">
        <f t="shared" si="83"/>
        <v>102jun</v>
      </c>
      <c r="B608" t="str">
        <f t="shared" si="84"/>
        <v>OUTLET TARIJAjun</v>
      </c>
      <c r="C608" s="1" t="s">
        <v>92</v>
      </c>
      <c r="D608" s="1" t="s">
        <v>50</v>
      </c>
      <c r="E608" s="1">
        <v>102</v>
      </c>
      <c r="F608" s="1" t="s">
        <v>119</v>
      </c>
      <c r="G608" s="1" t="s">
        <v>119</v>
      </c>
      <c r="H608" s="1" t="s">
        <v>119</v>
      </c>
      <c r="I608" s="1" t="s">
        <v>126</v>
      </c>
      <c r="J608" s="1" t="s">
        <v>136</v>
      </c>
      <c r="K608" t="s">
        <v>85</v>
      </c>
      <c r="L608" s="6">
        <v>40008.849999999991</v>
      </c>
      <c r="M608" s="6">
        <v>6466.0499999999984</v>
      </c>
      <c r="N608" s="6">
        <v>65689.460000000021</v>
      </c>
      <c r="O608" s="6">
        <v>15720.420000000015</v>
      </c>
      <c r="P608" s="6">
        <v>49175.247599999981</v>
      </c>
      <c r="Q608" s="6">
        <v>10323</v>
      </c>
      <c r="R608" s="6">
        <v>73770.740000000034</v>
      </c>
      <c r="S608" s="6">
        <v>18170.510093004203</v>
      </c>
      <c r="T608" s="6">
        <v>73770.740000000034</v>
      </c>
      <c r="U608" s="6">
        <v>18166.380000000019</v>
      </c>
      <c r="V608" s="30">
        <v>76721.569599999988</v>
      </c>
      <c r="W608" s="30">
        <v>18893.035200000009</v>
      </c>
      <c r="X608" s="30">
        <v>80174.040231999985</v>
      </c>
      <c r="Y608" s="30">
        <v>17869.700565757164</v>
      </c>
      <c r="Z608" s="30">
        <v>0</v>
      </c>
      <c r="AA608" s="30">
        <v>0</v>
      </c>
      <c r="AB608" s="34">
        <v>1.2963631796465074E-2</v>
      </c>
      <c r="AC608" s="34">
        <v>4.0022022571462264E-2</v>
      </c>
      <c r="AD608" s="34">
        <v>0.12086245644084022</v>
      </c>
      <c r="AE608" s="34">
        <v>0.12086245644084022</v>
      </c>
      <c r="AF608" s="34">
        <v>0.12086245644084022</v>
      </c>
      <c r="AG608" s="34">
        <v>0.18</v>
      </c>
      <c r="AH608" s="34">
        <v>0</v>
      </c>
      <c r="AI608" s="37">
        <f t="shared" si="85"/>
        <v>518.66000000000156</v>
      </c>
      <c r="AJ608" s="37">
        <f t="shared" si="86"/>
        <v>2629.0250508271683</v>
      </c>
      <c r="AK608" s="37">
        <f t="shared" si="87"/>
        <v>8916.1128498585531</v>
      </c>
      <c r="AL608" s="37">
        <f t="shared" si="88"/>
        <v>8916.1128498585531</v>
      </c>
      <c r="AM608" s="37">
        <f t="shared" si="89"/>
        <v>9272.7573638528902</v>
      </c>
      <c r="AN608" s="37">
        <f t="shared" si="90"/>
        <v>14431.327241759996</v>
      </c>
      <c r="AO608" s="37">
        <f t="shared" si="91"/>
        <v>0</v>
      </c>
    </row>
    <row r="609" spans="1:41" hidden="1" x14ac:dyDescent="0.3">
      <c r="A609" t="str">
        <f t="shared" si="83"/>
        <v>102jul</v>
      </c>
      <c r="B609" t="str">
        <f t="shared" si="84"/>
        <v>OUTLET TARIJAjul</v>
      </c>
      <c r="C609" s="1" t="s">
        <v>92</v>
      </c>
      <c r="D609" s="1" t="s">
        <v>50</v>
      </c>
      <c r="E609" s="1">
        <v>102</v>
      </c>
      <c r="F609" s="1" t="s">
        <v>119</v>
      </c>
      <c r="G609" s="1" t="s">
        <v>119</v>
      </c>
      <c r="H609" s="1" t="s">
        <v>119</v>
      </c>
      <c r="I609" s="1" t="s">
        <v>126</v>
      </c>
      <c r="J609" s="1" t="s">
        <v>136</v>
      </c>
      <c r="K609" t="s">
        <v>86</v>
      </c>
      <c r="L609" s="6">
        <v>39689.58</v>
      </c>
      <c r="M609" s="6">
        <v>7625.9600000000028</v>
      </c>
      <c r="N609" s="6">
        <v>80226.87000000001</v>
      </c>
      <c r="O609" s="6">
        <v>18596.900000000009</v>
      </c>
      <c r="P609" s="6">
        <v>79097.133999999991</v>
      </c>
      <c r="Q609" s="6">
        <v>18500</v>
      </c>
      <c r="R609" s="6">
        <v>72456.700000000041</v>
      </c>
      <c r="S609" s="6">
        <v>20557.550000000087</v>
      </c>
      <c r="T609" s="6">
        <v>72456.700000000055</v>
      </c>
      <c r="U609" s="6">
        <v>20557.550000000047</v>
      </c>
      <c r="V609" s="30">
        <v>75354.968000000124</v>
      </c>
      <c r="W609" s="30">
        <v>21379.852000000068</v>
      </c>
      <c r="X609" s="30">
        <v>78745.941560000123</v>
      </c>
      <c r="Y609" s="30">
        <v>17840.100041666494</v>
      </c>
      <c r="Z609" s="30">
        <v>0</v>
      </c>
      <c r="AA609" s="30">
        <v>0</v>
      </c>
      <c r="AB609" s="34">
        <v>2.8641774490936911E-2</v>
      </c>
      <c r="AC609" s="34">
        <v>4.4457750317532962E-2</v>
      </c>
      <c r="AD609" s="34">
        <v>0.15775821973675314</v>
      </c>
      <c r="AE609" s="34">
        <v>0.15775821973675314</v>
      </c>
      <c r="AF609" s="34">
        <v>0.15775821973675314</v>
      </c>
      <c r="AG609" s="34">
        <v>0.18999999999999997</v>
      </c>
      <c r="AH609" s="34">
        <v>0</v>
      </c>
      <c r="AI609" s="37">
        <f t="shared" si="85"/>
        <v>1136.7799999999997</v>
      </c>
      <c r="AJ609" s="37">
        <f t="shared" si="86"/>
        <v>3566.7061552171763</v>
      </c>
      <c r="AK609" s="37">
        <f t="shared" si="87"/>
        <v>11430.64000000001</v>
      </c>
      <c r="AL609" s="37">
        <f t="shared" si="88"/>
        <v>11430.640000000007</v>
      </c>
      <c r="AM609" s="37">
        <f t="shared" si="89"/>
        <v>11887.865600000021</v>
      </c>
      <c r="AN609" s="37">
        <f t="shared" si="90"/>
        <v>14961.728896400022</v>
      </c>
      <c r="AO609" s="37">
        <f t="shared" si="91"/>
        <v>0</v>
      </c>
    </row>
    <row r="610" spans="1:41" hidden="1" x14ac:dyDescent="0.3">
      <c r="A610" t="str">
        <f t="shared" si="83"/>
        <v>102ago</v>
      </c>
      <c r="B610" t="str">
        <f t="shared" si="84"/>
        <v>OUTLET TARIJAago</v>
      </c>
      <c r="C610" s="1" t="s">
        <v>92</v>
      </c>
      <c r="D610" s="1" t="s">
        <v>50</v>
      </c>
      <c r="E610" s="1">
        <v>102</v>
      </c>
      <c r="F610" s="1" t="s">
        <v>119</v>
      </c>
      <c r="G610" s="1" t="s">
        <v>119</v>
      </c>
      <c r="H610" s="1" t="s">
        <v>119</v>
      </c>
      <c r="I610" s="1" t="s">
        <v>126</v>
      </c>
      <c r="J610" s="1" t="s">
        <v>136</v>
      </c>
      <c r="K610" t="s">
        <v>87</v>
      </c>
      <c r="L610" s="6">
        <v>143088.74000000005</v>
      </c>
      <c r="M610" s="6">
        <v>1937.1200000000208</v>
      </c>
      <c r="N610" s="6">
        <v>133482.73000000001</v>
      </c>
      <c r="O610" s="6">
        <v>15607.929999999998</v>
      </c>
      <c r="P610" s="6">
        <v>142200.56426000007</v>
      </c>
      <c r="Q610" s="6">
        <v>26187</v>
      </c>
      <c r="R610" s="6">
        <v>130418.49493462288</v>
      </c>
      <c r="S610" s="6">
        <v>20482.224629482524</v>
      </c>
      <c r="T610" s="6">
        <v>133231.56000000011</v>
      </c>
      <c r="U610" s="6">
        <v>7427.1300000001938</v>
      </c>
      <c r="V610" s="30">
        <v>138560.82240000021</v>
      </c>
      <c r="W610" s="30">
        <v>21760.977157920031</v>
      </c>
      <c r="X610" s="30">
        <v>142717.64707200023</v>
      </c>
      <c r="Y610" s="30">
        <v>27100.656160389837</v>
      </c>
      <c r="Z610" s="30">
        <v>0</v>
      </c>
      <c r="AA610" s="30">
        <v>0</v>
      </c>
      <c r="AB610" s="34">
        <v>1.0099466946176215E-2</v>
      </c>
      <c r="AC610" s="34">
        <v>7.8658736920735935E-3</v>
      </c>
      <c r="AD610" s="34">
        <v>5.8966959480171117E-2</v>
      </c>
      <c r="AE610" s="34">
        <v>7.0000000000000007E-2</v>
      </c>
      <c r="AF610" s="34">
        <v>7.0000000000000007E-2</v>
      </c>
      <c r="AG610" s="34">
        <v>9.0000000000000011E-2</v>
      </c>
      <c r="AH610" s="34">
        <v>0</v>
      </c>
      <c r="AI610" s="37">
        <f t="shared" si="85"/>
        <v>1445.1200000000028</v>
      </c>
      <c r="AJ610" s="37">
        <f t="shared" si="86"/>
        <v>1049.9582942531626</v>
      </c>
      <c r="AK610" s="37">
        <f t="shared" si="87"/>
        <v>7856.2599999999939</v>
      </c>
      <c r="AL610" s="37">
        <f t="shared" si="88"/>
        <v>9129.2946454236026</v>
      </c>
      <c r="AM610" s="37">
        <f t="shared" si="89"/>
        <v>9699.2575680000155</v>
      </c>
      <c r="AN610" s="37">
        <f t="shared" si="90"/>
        <v>12844.588236480022</v>
      </c>
      <c r="AO610" s="37">
        <f t="shared" si="91"/>
        <v>0</v>
      </c>
    </row>
    <row r="611" spans="1:41" hidden="1" x14ac:dyDescent="0.3">
      <c r="A611" t="str">
        <f t="shared" si="83"/>
        <v>102sep</v>
      </c>
      <c r="B611" t="str">
        <f t="shared" si="84"/>
        <v>OUTLET TARIJAsep</v>
      </c>
      <c r="C611" s="1" t="s">
        <v>92</v>
      </c>
      <c r="D611" s="1" t="s">
        <v>50</v>
      </c>
      <c r="E611" s="1">
        <v>102</v>
      </c>
      <c r="F611" s="1" t="s">
        <v>119</v>
      </c>
      <c r="G611" s="1" t="s">
        <v>119</v>
      </c>
      <c r="H611" s="1" t="s">
        <v>119</v>
      </c>
      <c r="I611" s="1" t="s">
        <v>126</v>
      </c>
      <c r="J611" s="1" t="s">
        <v>136</v>
      </c>
      <c r="K611" t="s">
        <v>88</v>
      </c>
      <c r="L611" s="6">
        <v>54633.78</v>
      </c>
      <c r="M611" s="6">
        <v>7787.3699999999944</v>
      </c>
      <c r="N611" s="6">
        <v>90480.09</v>
      </c>
      <c r="O611" s="6">
        <v>12924.030000000015</v>
      </c>
      <c r="P611" s="6">
        <v>74950.140794999985</v>
      </c>
      <c r="Q611" s="6">
        <v>16671</v>
      </c>
      <c r="R611" s="6">
        <v>76456.638624979474</v>
      </c>
      <c r="S611" s="6">
        <v>14603.217977371078</v>
      </c>
      <c r="T611" s="6">
        <v>65086.699999999917</v>
      </c>
      <c r="U611" s="6">
        <v>13473.539999999884</v>
      </c>
      <c r="V611" s="30">
        <v>77985.771397479068</v>
      </c>
      <c r="W611" s="30">
        <v>16143.765321560049</v>
      </c>
      <c r="X611" s="30">
        <v>81105.202253378244</v>
      </c>
      <c r="Y611" s="30">
        <v>16887.832417598627</v>
      </c>
      <c r="Z611" s="30">
        <v>0</v>
      </c>
      <c r="AA611" s="30">
        <v>0</v>
      </c>
      <c r="AB611" s="34">
        <v>1.772676172141122E-2</v>
      </c>
      <c r="AC611" s="34">
        <v>1.5156970117695191E-2</v>
      </c>
      <c r="AD611" s="34">
        <v>7.9712445092468831E-2</v>
      </c>
      <c r="AE611" s="34">
        <v>9.9999999999999992E-2</v>
      </c>
      <c r="AF611" s="34">
        <v>9.9999999999999992E-2</v>
      </c>
      <c r="AG611" s="34">
        <v>0.14000000000000004</v>
      </c>
      <c r="AH611" s="34">
        <v>0</v>
      </c>
      <c r="AI611" s="37">
        <f t="shared" si="85"/>
        <v>968.48000000000184</v>
      </c>
      <c r="AJ611" s="37">
        <f t="shared" si="86"/>
        <v>1371.4040203763714</v>
      </c>
      <c r="AK611" s="37">
        <f t="shared" si="87"/>
        <v>5188.2199999999848</v>
      </c>
      <c r="AL611" s="37">
        <f t="shared" si="88"/>
        <v>7645.6638624979469</v>
      </c>
      <c r="AM611" s="37">
        <f t="shared" si="89"/>
        <v>7798.5771397479057</v>
      </c>
      <c r="AN611" s="37">
        <f t="shared" si="90"/>
        <v>11354.728315472958</v>
      </c>
      <c r="AO611" s="37">
        <f t="shared" si="91"/>
        <v>0</v>
      </c>
    </row>
    <row r="612" spans="1:41" hidden="1" x14ac:dyDescent="0.3">
      <c r="A612" t="str">
        <f t="shared" si="83"/>
        <v>102oct</v>
      </c>
      <c r="B612" t="str">
        <f t="shared" si="84"/>
        <v>OUTLET TARIJAoct</v>
      </c>
      <c r="C612" s="1" t="s">
        <v>92</v>
      </c>
      <c r="D612" s="1" t="s">
        <v>50</v>
      </c>
      <c r="E612" s="1">
        <v>102</v>
      </c>
      <c r="F612" s="1" t="s">
        <v>119</v>
      </c>
      <c r="G612" s="1" t="s">
        <v>119</v>
      </c>
      <c r="H612" s="1" t="s">
        <v>119</v>
      </c>
      <c r="I612" s="1" t="s">
        <v>126</v>
      </c>
      <c r="J612" s="1" t="s">
        <v>136</v>
      </c>
      <c r="K612" t="s">
        <v>89</v>
      </c>
      <c r="L612" s="6">
        <v>48905.44000000001</v>
      </c>
      <c r="M612" s="6">
        <v>2740.6400000000076</v>
      </c>
      <c r="N612" s="6">
        <v>87231.62</v>
      </c>
      <c r="O612" s="6">
        <v>14862.919999999993</v>
      </c>
      <c r="P612" s="6">
        <v>84748.237744999948</v>
      </c>
      <c r="Q612" s="6">
        <v>17899</v>
      </c>
      <c r="R612" s="6">
        <v>86451.677323674448</v>
      </c>
      <c r="S612" s="6">
        <v>18189.432908901104</v>
      </c>
      <c r="T612" s="6">
        <v>60508.140000000014</v>
      </c>
      <c r="U612" s="6">
        <v>13668.85000000002</v>
      </c>
      <c r="V612" s="30">
        <v>88180.710870147945</v>
      </c>
      <c r="W612" s="30">
        <v>18553.221567079127</v>
      </c>
      <c r="X612" s="30">
        <v>92148.842859304597</v>
      </c>
      <c r="Y612" s="30">
        <v>19863.037341244581</v>
      </c>
      <c r="Z612" s="30">
        <v>0</v>
      </c>
      <c r="AA612" s="30">
        <v>0</v>
      </c>
      <c r="AB612" s="34">
        <v>5.2294795834573913E-3</v>
      </c>
      <c r="AC612" s="34">
        <v>1.7653480933765994E-2</v>
      </c>
      <c r="AD612" s="34">
        <v>0.21568288167509364</v>
      </c>
      <c r="AE612" s="34">
        <v>0.08</v>
      </c>
      <c r="AF612" s="34">
        <v>0.08</v>
      </c>
      <c r="AG612" s="34">
        <v>0.16000000000000003</v>
      </c>
      <c r="AH612" s="34">
        <v>0</v>
      </c>
      <c r="AI612" s="37">
        <f t="shared" si="85"/>
        <v>255.75000000000048</v>
      </c>
      <c r="AJ612" s="37">
        <f t="shared" si="86"/>
        <v>1539.9417404915202</v>
      </c>
      <c r="AK612" s="37">
        <f t="shared" si="87"/>
        <v>13050.570000000003</v>
      </c>
      <c r="AL612" s="37">
        <f t="shared" si="88"/>
        <v>6916.1341858939559</v>
      </c>
      <c r="AM612" s="37">
        <f t="shared" si="89"/>
        <v>7054.4568696118358</v>
      </c>
      <c r="AN612" s="37">
        <f t="shared" si="90"/>
        <v>14743.814857488738</v>
      </c>
      <c r="AO612" s="37">
        <f t="shared" si="91"/>
        <v>0</v>
      </c>
    </row>
    <row r="613" spans="1:41" hidden="1" x14ac:dyDescent="0.3">
      <c r="A613" t="str">
        <f t="shared" si="83"/>
        <v>102nov</v>
      </c>
      <c r="B613" t="str">
        <f t="shared" si="84"/>
        <v>OUTLET TARIJAnov</v>
      </c>
      <c r="C613" s="1" t="s">
        <v>92</v>
      </c>
      <c r="D613" s="1" t="s">
        <v>50</v>
      </c>
      <c r="E613" s="1">
        <v>102</v>
      </c>
      <c r="F613" s="1" t="s">
        <v>119</v>
      </c>
      <c r="G613" s="1" t="s">
        <v>119</v>
      </c>
      <c r="H613" s="1" t="s">
        <v>119</v>
      </c>
      <c r="I613" s="1" t="s">
        <v>126</v>
      </c>
      <c r="J613" s="1" t="s">
        <v>136</v>
      </c>
      <c r="K613" t="s">
        <v>90</v>
      </c>
      <c r="L613" s="6">
        <v>36800.94</v>
      </c>
      <c r="M613" s="6">
        <v>3615.3499999999976</v>
      </c>
      <c r="N613" s="6">
        <v>78034.219999999987</v>
      </c>
      <c r="O613" s="6">
        <v>12525.020000000006</v>
      </c>
      <c r="P613" s="6">
        <v>96624.935899999997</v>
      </c>
      <c r="Q613" s="6">
        <v>18845</v>
      </c>
      <c r="R613" s="6">
        <v>97591.185258999991</v>
      </c>
      <c r="S613" s="6">
        <v>19420.645866540999</v>
      </c>
      <c r="T613" s="6">
        <v>37902.442528735628</v>
      </c>
      <c r="U613" s="6">
        <v>10561.277232804276</v>
      </c>
      <c r="V613" s="30">
        <v>99543.008964179986</v>
      </c>
      <c r="W613" s="30">
        <v>19809.058783871817</v>
      </c>
      <c r="X613" s="30">
        <v>104022.44436756807</v>
      </c>
      <c r="Y613" s="30">
        <v>22803.811259730403</v>
      </c>
      <c r="Z613" s="30">
        <v>0</v>
      </c>
      <c r="AA613" s="30">
        <v>0</v>
      </c>
      <c r="AB613" s="34">
        <v>7.9261562340527478E-3</v>
      </c>
      <c r="AC613" s="34">
        <v>1.0977163767488828E-2</v>
      </c>
      <c r="AD613" s="34">
        <v>0.21568288167509364</v>
      </c>
      <c r="AE613" s="34">
        <v>0.05</v>
      </c>
      <c r="AF613" s="34">
        <v>0.05</v>
      </c>
      <c r="AG613" s="34">
        <v>0.17000000000000004</v>
      </c>
      <c r="AH613" s="34">
        <v>0</v>
      </c>
      <c r="AI613" s="37">
        <f t="shared" si="85"/>
        <v>291.69000000000113</v>
      </c>
      <c r="AJ613" s="37">
        <f t="shared" si="86"/>
        <v>856.59441240825186</v>
      </c>
      <c r="AK613" s="37">
        <f t="shared" si="87"/>
        <v>8174.9080271223238</v>
      </c>
      <c r="AL613" s="37">
        <f t="shared" si="88"/>
        <v>4879.5592629499997</v>
      </c>
      <c r="AM613" s="37">
        <f t="shared" si="89"/>
        <v>4977.1504482089995</v>
      </c>
      <c r="AN613" s="37">
        <f t="shared" si="90"/>
        <v>17683.815542486576</v>
      </c>
      <c r="AO613" s="37">
        <f t="shared" si="91"/>
        <v>0</v>
      </c>
    </row>
    <row r="614" spans="1:41" hidden="1" x14ac:dyDescent="0.3">
      <c r="A614" t="str">
        <f t="shared" si="83"/>
        <v>102dic</v>
      </c>
      <c r="B614" t="str">
        <f t="shared" si="84"/>
        <v>OUTLET TARIJAdic</v>
      </c>
      <c r="C614" s="1" t="s">
        <v>92</v>
      </c>
      <c r="D614" s="1" t="s">
        <v>50</v>
      </c>
      <c r="E614" s="1">
        <v>102</v>
      </c>
      <c r="F614" s="1" t="s">
        <v>119</v>
      </c>
      <c r="G614" s="1" t="s">
        <v>119</v>
      </c>
      <c r="H614" s="1" t="s">
        <v>119</v>
      </c>
      <c r="I614" s="1" t="s">
        <v>126</v>
      </c>
      <c r="J614" s="1" t="s">
        <v>136</v>
      </c>
      <c r="K614" t="s">
        <v>91</v>
      </c>
      <c r="L614" s="6">
        <v>105364.14</v>
      </c>
      <c r="M614" s="6">
        <v>13810.219999999998</v>
      </c>
      <c r="N614" s="6">
        <v>179066.02999999997</v>
      </c>
      <c r="O614" s="6">
        <v>41632.940000000017</v>
      </c>
      <c r="P614" s="6">
        <v>179486.95520000026</v>
      </c>
      <c r="Q614" s="6">
        <v>42177</v>
      </c>
      <c r="R614" s="6">
        <v>181281.82475200025</v>
      </c>
      <c r="S614" s="6">
        <v>37797.260460792051</v>
      </c>
      <c r="T614" s="6">
        <v>102726.00574712643</v>
      </c>
      <c r="U614" s="6">
        <v>31331.005160452369</v>
      </c>
      <c r="V614" s="30">
        <v>184907.46124704025</v>
      </c>
      <c r="W614" s="30">
        <v>38553.20567000789</v>
      </c>
      <c r="X614" s="30">
        <v>193228.29700315706</v>
      </c>
      <c r="Y614" s="30">
        <v>42359.527712395546</v>
      </c>
      <c r="Z614" s="30">
        <v>0</v>
      </c>
      <c r="AA614" s="30">
        <v>0</v>
      </c>
      <c r="AB614" s="34">
        <v>1.0910068643847868E-2</v>
      </c>
      <c r="AC614" s="34">
        <v>6.337860124944901E-2</v>
      </c>
      <c r="AD614" s="34">
        <v>0.21568288167509364</v>
      </c>
      <c r="AE614" s="34">
        <v>0.05</v>
      </c>
      <c r="AF614" s="34">
        <v>0.05</v>
      </c>
      <c r="AG614" s="34">
        <v>0.17</v>
      </c>
      <c r="AH614" s="34">
        <v>0</v>
      </c>
      <c r="AI614" s="37">
        <f t="shared" si="85"/>
        <v>1149.5299999999968</v>
      </c>
      <c r="AJ614" s="37">
        <f t="shared" si="86"/>
        <v>11348.954512691871</v>
      </c>
      <c r="AK614" s="37">
        <f t="shared" si="87"/>
        <v>22156.240942512461</v>
      </c>
      <c r="AL614" s="37">
        <f t="shared" si="88"/>
        <v>9064.0912376000124</v>
      </c>
      <c r="AM614" s="37">
        <f t="shared" si="89"/>
        <v>9245.3730623520132</v>
      </c>
      <c r="AN614" s="37">
        <f t="shared" si="90"/>
        <v>32848.8104905367</v>
      </c>
      <c r="AO614" s="37">
        <f t="shared" si="91"/>
        <v>0</v>
      </c>
    </row>
    <row r="615" spans="1:41" hidden="1" x14ac:dyDescent="0.3">
      <c r="A615" t="str">
        <f t="shared" si="83"/>
        <v>306ene</v>
      </c>
      <c r="B615" t="str">
        <f t="shared" si="84"/>
        <v>PADILLAene</v>
      </c>
      <c r="C615" s="1" t="s">
        <v>92</v>
      </c>
      <c r="D615" s="1" t="s">
        <v>51</v>
      </c>
      <c r="E615" s="1">
        <v>306</v>
      </c>
      <c r="F615" s="1" t="s">
        <v>119</v>
      </c>
      <c r="G615" s="1" t="s">
        <v>119</v>
      </c>
      <c r="H615" s="1" t="s">
        <v>119</v>
      </c>
      <c r="I615" s="1" t="s">
        <v>124</v>
      </c>
      <c r="J615" s="1" t="s">
        <v>136</v>
      </c>
      <c r="K615" t="s">
        <v>80</v>
      </c>
      <c r="L615" s="6">
        <v>50574.06</v>
      </c>
      <c r="M615" s="6">
        <v>11974.470000000003</v>
      </c>
      <c r="N615" s="6">
        <v>55391.23000000001</v>
      </c>
      <c r="O615" s="6">
        <v>12642.980000000005</v>
      </c>
      <c r="P615" s="6">
        <v>69738.141499999983</v>
      </c>
      <c r="Q615" s="6">
        <v>16480</v>
      </c>
      <c r="R615" s="6">
        <v>60167.090000000026</v>
      </c>
      <c r="S615" s="6">
        <v>14753.046365126409</v>
      </c>
      <c r="T615" s="6">
        <v>60167.089999999982</v>
      </c>
      <c r="U615" s="6">
        <v>14959.639999999963</v>
      </c>
      <c r="V615" s="30">
        <v>71132.90432999999</v>
      </c>
      <c r="W615" s="30">
        <v>17686.124439976051</v>
      </c>
      <c r="X615" s="30">
        <v>74689.549546499969</v>
      </c>
      <c r="Y615" s="30">
        <v>15841.162758824215</v>
      </c>
      <c r="Z615" s="30">
        <v>60369.54022988509</v>
      </c>
      <c r="AA615" s="30">
        <v>21644.470695487224</v>
      </c>
      <c r="AB615" s="34">
        <v>3.1736427725992444E-2</v>
      </c>
      <c r="AC615" s="34">
        <v>3.5660204856150381E-2</v>
      </c>
      <c r="AD615" s="34">
        <v>7.6929212800314103E-2</v>
      </c>
      <c r="AE615" s="34">
        <v>7.6929212800314284E-2</v>
      </c>
      <c r="AF615" s="34">
        <v>7.6929212800314284E-2</v>
      </c>
      <c r="AG615" s="34">
        <v>0.12</v>
      </c>
      <c r="AH615" s="34">
        <v>0.20494940167360029</v>
      </c>
      <c r="AI615" s="37">
        <f t="shared" si="85"/>
        <v>1605.0400000000054</v>
      </c>
      <c r="AJ615" s="37">
        <f t="shared" si="86"/>
        <v>1975.262609034143</v>
      </c>
      <c r="AK615" s="37">
        <f t="shared" si="87"/>
        <v>4628.6068701856493</v>
      </c>
      <c r="AL615" s="37">
        <f t="shared" si="88"/>
        <v>4628.6068701856639</v>
      </c>
      <c r="AM615" s="37">
        <f t="shared" si="89"/>
        <v>5472.1983343069669</v>
      </c>
      <c r="AN615" s="37">
        <f t="shared" si="90"/>
        <v>8962.7459455799963</v>
      </c>
      <c r="AO615" s="37">
        <f t="shared" si="91"/>
        <v>12372.701149425291</v>
      </c>
    </row>
    <row r="616" spans="1:41" hidden="1" x14ac:dyDescent="0.3">
      <c r="A616" t="str">
        <f t="shared" si="83"/>
        <v>306feb</v>
      </c>
      <c r="B616" t="str">
        <f t="shared" si="84"/>
        <v>PADILLAfeb</v>
      </c>
      <c r="C616" s="1" t="s">
        <v>92</v>
      </c>
      <c r="D616" s="1" t="s">
        <v>51</v>
      </c>
      <c r="E616" s="1">
        <v>306</v>
      </c>
      <c r="F616" s="1" t="s">
        <v>119</v>
      </c>
      <c r="G616" s="1" t="s">
        <v>119</v>
      </c>
      <c r="H616" s="1" t="s">
        <v>119</v>
      </c>
      <c r="I616" s="1" t="s">
        <v>124</v>
      </c>
      <c r="J616" s="1" t="s">
        <v>136</v>
      </c>
      <c r="K616" t="s">
        <v>81</v>
      </c>
      <c r="L616" s="6">
        <v>64341.790000000008</v>
      </c>
      <c r="M616" s="6">
        <v>6313.8400000000056</v>
      </c>
      <c r="N616" s="6">
        <v>62385.67</v>
      </c>
      <c r="O616" s="6">
        <v>11174.000000000009</v>
      </c>
      <c r="P616" s="6">
        <v>80718.311099999948</v>
      </c>
      <c r="Q616" s="6">
        <v>14632</v>
      </c>
      <c r="R616" s="6">
        <v>91587.349999999962</v>
      </c>
      <c r="S616" s="6">
        <v>14641.519723573496</v>
      </c>
      <c r="T616" s="6">
        <v>91587.349999999933</v>
      </c>
      <c r="U616" s="6">
        <v>15161.059999999969</v>
      </c>
      <c r="V616" s="30">
        <v>98914.338000000091</v>
      </c>
      <c r="W616" s="30">
        <v>16373.944799999992</v>
      </c>
      <c r="X616" s="30">
        <v>100892.62476000009</v>
      </c>
      <c r="Y616" s="30">
        <v>20307.690974233192</v>
      </c>
      <c r="Z616" s="30">
        <v>78261.364942529064</v>
      </c>
      <c r="AA616" s="30">
        <v>14417.132913466885</v>
      </c>
      <c r="AB616" s="34">
        <v>1.38005175174642E-2</v>
      </c>
      <c r="AC616" s="34">
        <v>2.9738487722480958E-2</v>
      </c>
      <c r="AD616" s="34">
        <v>5.2424608843008522E-2</v>
      </c>
      <c r="AE616" s="34">
        <v>5.2424608843008653E-2</v>
      </c>
      <c r="AF616" s="34">
        <v>5.2424608843008653E-2</v>
      </c>
      <c r="AG616" s="34">
        <v>9.0000000000000024E-2</v>
      </c>
      <c r="AH616" s="34">
        <v>0.12581258166205864</v>
      </c>
      <c r="AI616" s="37">
        <f t="shared" si="85"/>
        <v>887.950000000003</v>
      </c>
      <c r="AJ616" s="37">
        <f t="shared" si="86"/>
        <v>1855.2554813537486</v>
      </c>
      <c r="AK616" s="37">
        <f t="shared" si="87"/>
        <v>4801.430998717713</v>
      </c>
      <c r="AL616" s="37">
        <f t="shared" si="88"/>
        <v>4801.4309987177267</v>
      </c>
      <c r="AM616" s="37">
        <f t="shared" si="89"/>
        <v>5185.5454786151513</v>
      </c>
      <c r="AN616" s="37">
        <f t="shared" si="90"/>
        <v>9080.3362284000104</v>
      </c>
      <c r="AO616" s="37">
        <f t="shared" si="91"/>
        <v>9846.2643678161112</v>
      </c>
    </row>
    <row r="617" spans="1:41" hidden="1" x14ac:dyDescent="0.3">
      <c r="A617" t="str">
        <f t="shared" si="83"/>
        <v>306mar</v>
      </c>
      <c r="B617" t="str">
        <f t="shared" si="84"/>
        <v>PADILLAmar</v>
      </c>
      <c r="C617" s="1" t="s">
        <v>92</v>
      </c>
      <c r="D617" s="1" t="s">
        <v>51</v>
      </c>
      <c r="E617" s="1">
        <v>306</v>
      </c>
      <c r="F617" s="1" t="s">
        <v>119</v>
      </c>
      <c r="G617" s="1" t="s">
        <v>119</v>
      </c>
      <c r="H617" s="1" t="s">
        <v>119</v>
      </c>
      <c r="I617" s="1" t="s">
        <v>124</v>
      </c>
      <c r="J617" s="1" t="s">
        <v>136</v>
      </c>
      <c r="K617" t="s">
        <v>82</v>
      </c>
      <c r="L617" s="6">
        <v>48323.28</v>
      </c>
      <c r="M617" s="6">
        <v>8813.3799999999974</v>
      </c>
      <c r="N617" s="6">
        <v>89902.73</v>
      </c>
      <c r="O617" s="6">
        <v>17485.489999999987</v>
      </c>
      <c r="P617" s="6">
        <v>73187.658849999993</v>
      </c>
      <c r="Q617" s="6">
        <v>15576</v>
      </c>
      <c r="R617" s="6">
        <v>83176.170000000013</v>
      </c>
      <c r="S617" s="6">
        <v>16730.208478124641</v>
      </c>
      <c r="T617" s="6">
        <v>83176.169999999984</v>
      </c>
      <c r="U617" s="6">
        <v>16918.179999999935</v>
      </c>
      <c r="V617" s="30">
        <v>89830.263600000151</v>
      </c>
      <c r="W617" s="30">
        <v>18271.634399999963</v>
      </c>
      <c r="X617" s="30">
        <v>92525.171508000145</v>
      </c>
      <c r="Y617" s="30">
        <v>20290.976306941822</v>
      </c>
      <c r="Z617" s="30">
        <v>86889.215936289242</v>
      </c>
      <c r="AA617" s="30">
        <v>23546.977518734388</v>
      </c>
      <c r="AB617" s="34">
        <v>2.2834542688327474E-2</v>
      </c>
      <c r="AC617" s="34">
        <v>1.6337254680529743E-2</v>
      </c>
      <c r="AD617" s="34">
        <v>9.83047113171715E-2</v>
      </c>
      <c r="AE617" s="34">
        <v>9.8304711317171431E-2</v>
      </c>
      <c r="AF617" s="34">
        <v>9.8304711317171431E-2</v>
      </c>
      <c r="AG617" s="34">
        <v>0.14000000000000007</v>
      </c>
      <c r="AH617" s="34">
        <v>0.18241038249049737</v>
      </c>
      <c r="AI617" s="37">
        <f t="shared" si="85"/>
        <v>1103.4400000000012</v>
      </c>
      <c r="AJ617" s="37">
        <f t="shared" si="86"/>
        <v>1468.7637964849016</v>
      </c>
      <c r="AK617" s="37">
        <f t="shared" si="87"/>
        <v>8176.6093803179792</v>
      </c>
      <c r="AL617" s="37">
        <f t="shared" si="88"/>
        <v>8176.6093803179765</v>
      </c>
      <c r="AM617" s="37">
        <f t="shared" si="89"/>
        <v>8830.738130743428</v>
      </c>
      <c r="AN617" s="37">
        <f t="shared" si="90"/>
        <v>12953.524011120027</v>
      </c>
      <c r="AO617" s="37">
        <f t="shared" si="91"/>
        <v>15849.495113237941</v>
      </c>
    </row>
    <row r="618" spans="1:41" hidden="1" x14ac:dyDescent="0.3">
      <c r="A618" t="str">
        <f t="shared" si="83"/>
        <v>306abr</v>
      </c>
      <c r="B618" t="str">
        <f t="shared" si="84"/>
        <v>PADILLAabr</v>
      </c>
      <c r="C618" s="1" t="s">
        <v>92</v>
      </c>
      <c r="D618" s="1" t="s">
        <v>51</v>
      </c>
      <c r="E618" s="1">
        <v>306</v>
      </c>
      <c r="F618" s="1" t="s">
        <v>119</v>
      </c>
      <c r="G618" s="1" t="s">
        <v>119</v>
      </c>
      <c r="H618" s="1" t="s">
        <v>119</v>
      </c>
      <c r="I618" s="1" t="s">
        <v>124</v>
      </c>
      <c r="J618" s="1" t="s">
        <v>136</v>
      </c>
      <c r="K618" t="s">
        <v>83</v>
      </c>
      <c r="L618" s="6">
        <v>68882.89</v>
      </c>
      <c r="M618" s="6">
        <v>6899.4400000000005</v>
      </c>
      <c r="N618" s="6">
        <v>60920.80999999999</v>
      </c>
      <c r="O618" s="6">
        <v>14740.839999999998</v>
      </c>
      <c r="P618" s="6">
        <v>69036.887349999946</v>
      </c>
      <c r="Q618" s="6">
        <v>16797</v>
      </c>
      <c r="R618" s="6">
        <v>90055.420000000071</v>
      </c>
      <c r="S618" s="6">
        <v>23622.521368361795</v>
      </c>
      <c r="T618" s="6">
        <v>90055.420000000056</v>
      </c>
      <c r="U618" s="6">
        <v>23348.679999999978</v>
      </c>
      <c r="V618" s="30">
        <v>97259.853599999973</v>
      </c>
      <c r="W618" s="30">
        <v>25216.57439999995</v>
      </c>
      <c r="X618" s="30">
        <v>102122.84627999998</v>
      </c>
      <c r="Y618" s="30">
        <v>23131.950783277018</v>
      </c>
      <c r="Z618" s="30">
        <v>0</v>
      </c>
      <c r="AA618" s="30">
        <v>0</v>
      </c>
      <c r="AB618" s="34">
        <v>1.933861950333389E-2</v>
      </c>
      <c r="AC618" s="34">
        <v>2.0588040841082032E-2</v>
      </c>
      <c r="AD618" s="34">
        <v>0.11372704677328063</v>
      </c>
      <c r="AE618" s="34">
        <v>0.11372704677328044</v>
      </c>
      <c r="AF618" s="34">
        <v>0.11372704677328044</v>
      </c>
      <c r="AG618" s="34">
        <v>0.15999999999999998</v>
      </c>
      <c r="AH618" s="34">
        <v>0</v>
      </c>
      <c r="AI618" s="37">
        <f t="shared" si="85"/>
        <v>1332.1000000000029</v>
      </c>
      <c r="AJ618" s="37">
        <f t="shared" si="86"/>
        <v>1254.2401243517984</v>
      </c>
      <c r="AK618" s="37">
        <f t="shared" si="87"/>
        <v>10241.736962527439</v>
      </c>
      <c r="AL618" s="37">
        <f t="shared" si="88"/>
        <v>10241.736962527422</v>
      </c>
      <c r="AM618" s="37">
        <f t="shared" si="89"/>
        <v>11061.075919529605</v>
      </c>
      <c r="AN618" s="37">
        <f t="shared" si="90"/>
        <v>16339.655404799994</v>
      </c>
      <c r="AO618" s="37">
        <f t="shared" si="91"/>
        <v>0</v>
      </c>
    </row>
    <row r="619" spans="1:41" hidden="1" x14ac:dyDescent="0.3">
      <c r="A619" t="str">
        <f t="shared" si="83"/>
        <v>306may</v>
      </c>
      <c r="B619" t="str">
        <f t="shared" si="84"/>
        <v>PADILLAmay</v>
      </c>
      <c r="C619" s="1" t="s">
        <v>92</v>
      </c>
      <c r="D619" s="1" t="s">
        <v>51</v>
      </c>
      <c r="E619" s="1">
        <v>306</v>
      </c>
      <c r="F619" s="1" t="s">
        <v>119</v>
      </c>
      <c r="G619" s="1" t="s">
        <v>119</v>
      </c>
      <c r="H619" s="1" t="s">
        <v>119</v>
      </c>
      <c r="I619" s="1" t="s">
        <v>124</v>
      </c>
      <c r="J619" s="1" t="s">
        <v>136</v>
      </c>
      <c r="K619" t="s">
        <v>84</v>
      </c>
      <c r="L619" s="6">
        <v>37464.120000000003</v>
      </c>
      <c r="M619" s="6">
        <v>8036.4900000000007</v>
      </c>
      <c r="N619" s="6">
        <v>57380.60000000002</v>
      </c>
      <c r="O619" s="6">
        <v>15205.660000000011</v>
      </c>
      <c r="P619" s="6">
        <v>67986.471500000029</v>
      </c>
      <c r="Q619" s="6">
        <v>16388</v>
      </c>
      <c r="R619" s="6">
        <v>86442.900000000081</v>
      </c>
      <c r="S619" s="6">
        <v>22497.28121084423</v>
      </c>
      <c r="T619" s="6">
        <v>86442.900000000052</v>
      </c>
      <c r="U619" s="6">
        <v>22008.340000000113</v>
      </c>
      <c r="V619" s="30">
        <v>93358.332000000068</v>
      </c>
      <c r="W619" s="30">
        <v>23769.007200000124</v>
      </c>
      <c r="X619" s="30">
        <v>98959.83192000007</v>
      </c>
      <c r="Y619" s="30">
        <v>23128.874629701328</v>
      </c>
      <c r="Z619" s="30">
        <v>0</v>
      </c>
      <c r="AA619" s="30">
        <v>0</v>
      </c>
      <c r="AB619" s="34">
        <v>2.076653608839607E-2</v>
      </c>
      <c r="AC619" s="34">
        <v>2.9852459247651363E-2</v>
      </c>
      <c r="AD619" s="34">
        <v>9.7173075911905646E-2</v>
      </c>
      <c r="AE619" s="34">
        <v>9.7173075911905576E-2</v>
      </c>
      <c r="AF619" s="34">
        <v>9.7173075911905576E-2</v>
      </c>
      <c r="AG619" s="34">
        <v>0.18000000000000002</v>
      </c>
      <c r="AH619" s="34">
        <v>0</v>
      </c>
      <c r="AI619" s="37">
        <f t="shared" si="85"/>
        <v>778.00000000000102</v>
      </c>
      <c r="AJ619" s="37">
        <f t="shared" si="86"/>
        <v>1712.9520231057843</v>
      </c>
      <c r="AK619" s="37">
        <f t="shared" si="87"/>
        <v>8399.922483745273</v>
      </c>
      <c r="AL619" s="37">
        <f t="shared" si="88"/>
        <v>8399.9224837452712</v>
      </c>
      <c r="AM619" s="37">
        <f t="shared" si="89"/>
        <v>9071.9162824448904</v>
      </c>
      <c r="AN619" s="37">
        <f t="shared" si="90"/>
        <v>17812.769745600013</v>
      </c>
      <c r="AO619" s="37">
        <f t="shared" si="91"/>
        <v>0</v>
      </c>
    </row>
    <row r="620" spans="1:41" hidden="1" x14ac:dyDescent="0.3">
      <c r="A620" t="str">
        <f t="shared" si="83"/>
        <v>306jun</v>
      </c>
      <c r="B620" t="str">
        <f t="shared" si="84"/>
        <v>PADILLAjun</v>
      </c>
      <c r="C620" s="1" t="s">
        <v>92</v>
      </c>
      <c r="D620" s="1" t="s">
        <v>51</v>
      </c>
      <c r="E620" s="1">
        <v>306</v>
      </c>
      <c r="F620" s="1" t="s">
        <v>119</v>
      </c>
      <c r="G620" s="1" t="s">
        <v>119</v>
      </c>
      <c r="H620" s="1" t="s">
        <v>119</v>
      </c>
      <c r="I620" s="1" t="s">
        <v>124</v>
      </c>
      <c r="J620" s="1" t="s">
        <v>136</v>
      </c>
      <c r="K620" t="s">
        <v>85</v>
      </c>
      <c r="L620" s="6">
        <v>41789.540000000008</v>
      </c>
      <c r="M620" s="6">
        <v>10490.980000000007</v>
      </c>
      <c r="N620" s="6">
        <v>41927.279999999999</v>
      </c>
      <c r="O620" s="6">
        <v>11686.459999999995</v>
      </c>
      <c r="P620" s="6">
        <v>67390.890299999999</v>
      </c>
      <c r="Q620" s="6">
        <v>16955</v>
      </c>
      <c r="R620" s="6">
        <v>78541.850000000079</v>
      </c>
      <c r="S620" s="6">
        <v>20384.560404228869</v>
      </c>
      <c r="T620" s="6">
        <v>78541.850000000064</v>
      </c>
      <c r="U620" s="6">
        <v>20373.870000000017</v>
      </c>
      <c r="V620" s="30">
        <v>84825.198000000091</v>
      </c>
      <c r="W620" s="30">
        <v>22003.779600000023</v>
      </c>
      <c r="X620" s="30">
        <v>90762.961860000083</v>
      </c>
      <c r="Y620" s="30">
        <v>21213.103591135361</v>
      </c>
      <c r="Z620" s="30">
        <v>0</v>
      </c>
      <c r="AA620" s="30">
        <v>0</v>
      </c>
      <c r="AB620" s="34">
        <v>2.5320929591471964E-2</v>
      </c>
      <c r="AC620" s="34">
        <v>5.9961932850269586E-2</v>
      </c>
      <c r="AD620" s="34">
        <v>0.11339503141276905</v>
      </c>
      <c r="AE620" s="34">
        <v>0.11339503141276906</v>
      </c>
      <c r="AF620" s="34">
        <v>0.11339503141276906</v>
      </c>
      <c r="AG620" s="34">
        <v>0.18</v>
      </c>
      <c r="AH620" s="34">
        <v>0</v>
      </c>
      <c r="AI620" s="37">
        <f t="shared" si="85"/>
        <v>1058.1500000000015</v>
      </c>
      <c r="AJ620" s="37">
        <f t="shared" si="86"/>
        <v>2514.040747954451</v>
      </c>
      <c r="AK620" s="37">
        <f t="shared" si="87"/>
        <v>8906.2555479670027</v>
      </c>
      <c r="AL620" s="37">
        <f t="shared" si="88"/>
        <v>8906.2555479670045</v>
      </c>
      <c r="AM620" s="37">
        <f t="shared" si="89"/>
        <v>9618.7559918043662</v>
      </c>
      <c r="AN620" s="37">
        <f t="shared" si="90"/>
        <v>16337.333134800014</v>
      </c>
      <c r="AO620" s="37">
        <f t="shared" si="91"/>
        <v>0</v>
      </c>
    </row>
    <row r="621" spans="1:41" hidden="1" x14ac:dyDescent="0.3">
      <c r="A621" t="str">
        <f t="shared" si="83"/>
        <v>306jul</v>
      </c>
      <c r="B621" t="str">
        <f t="shared" si="84"/>
        <v>PADILLAjul</v>
      </c>
      <c r="C621" s="1" t="s">
        <v>92</v>
      </c>
      <c r="D621" s="1" t="s">
        <v>51</v>
      </c>
      <c r="E621" s="1">
        <v>306</v>
      </c>
      <c r="F621" s="1" t="s">
        <v>119</v>
      </c>
      <c r="G621" s="1" t="s">
        <v>119</v>
      </c>
      <c r="H621" s="1" t="s">
        <v>119</v>
      </c>
      <c r="I621" s="1" t="s">
        <v>124</v>
      </c>
      <c r="J621" s="1" t="s">
        <v>136</v>
      </c>
      <c r="K621" t="s">
        <v>86</v>
      </c>
      <c r="L621" s="6">
        <v>42686.530000000006</v>
      </c>
      <c r="M621" s="6">
        <v>10520.230000000007</v>
      </c>
      <c r="N621" s="6">
        <v>75777.330000000016</v>
      </c>
      <c r="O621" s="6">
        <v>19602.500000000011</v>
      </c>
      <c r="P621" s="6">
        <v>69036.680299999949</v>
      </c>
      <c r="Q621" s="6">
        <v>20271</v>
      </c>
      <c r="R621" s="6">
        <v>80962.240000000034</v>
      </c>
      <c r="S621" s="6">
        <v>25348.680000000022</v>
      </c>
      <c r="T621" s="6">
        <v>80962.240000000107</v>
      </c>
      <c r="U621" s="6">
        <v>25348.680000000088</v>
      </c>
      <c r="V621" s="30">
        <v>87439.219200000225</v>
      </c>
      <c r="W621" s="30">
        <v>27376.574400000125</v>
      </c>
      <c r="X621" s="30">
        <v>93559.96454400025</v>
      </c>
      <c r="Y621" s="30">
        <v>22204.046030861064</v>
      </c>
      <c r="Z621" s="30">
        <v>0</v>
      </c>
      <c r="AA621" s="30">
        <v>0</v>
      </c>
      <c r="AB621" s="34">
        <v>3.640024148132915E-2</v>
      </c>
      <c r="AC621" s="34">
        <v>6.0974750303972168E-2</v>
      </c>
      <c r="AD621" s="34">
        <v>0.20935450896615559</v>
      </c>
      <c r="AE621" s="34">
        <v>0.20935450896615559</v>
      </c>
      <c r="AF621" s="34">
        <v>0.20935450896615559</v>
      </c>
      <c r="AG621" s="34">
        <v>0.18999999999999997</v>
      </c>
      <c r="AH621" s="34">
        <v>0</v>
      </c>
      <c r="AI621" s="37">
        <f t="shared" si="85"/>
        <v>1553.8000000000013</v>
      </c>
      <c r="AJ621" s="37">
        <f t="shared" si="86"/>
        <v>4620.5037754517007</v>
      </c>
      <c r="AK621" s="37">
        <f t="shared" si="87"/>
        <v>16949.810000000063</v>
      </c>
      <c r="AL621" s="37">
        <f t="shared" si="88"/>
        <v>16949.810000000049</v>
      </c>
      <c r="AM621" s="37">
        <f t="shared" si="89"/>
        <v>18305.794800000091</v>
      </c>
      <c r="AN621" s="37">
        <f t="shared" si="90"/>
        <v>17776.393263360045</v>
      </c>
      <c r="AO621" s="37">
        <f t="shared" si="91"/>
        <v>0</v>
      </c>
    </row>
    <row r="622" spans="1:41" hidden="1" x14ac:dyDescent="0.3">
      <c r="A622" t="str">
        <f t="shared" si="83"/>
        <v>306ago</v>
      </c>
      <c r="B622" t="str">
        <f t="shared" si="84"/>
        <v>PADILLAago</v>
      </c>
      <c r="C622" s="1" t="s">
        <v>92</v>
      </c>
      <c r="D622" s="1" t="s">
        <v>51</v>
      </c>
      <c r="E622" s="1">
        <v>306</v>
      </c>
      <c r="F622" s="1" t="s">
        <v>119</v>
      </c>
      <c r="G622" s="1" t="s">
        <v>119</v>
      </c>
      <c r="H622" s="1" t="s">
        <v>119</v>
      </c>
      <c r="I622" s="1" t="s">
        <v>124</v>
      </c>
      <c r="J622" s="1" t="s">
        <v>136</v>
      </c>
      <c r="K622" t="s">
        <v>87</v>
      </c>
      <c r="L622" s="6">
        <v>95505.98000000001</v>
      </c>
      <c r="M622" s="6">
        <v>8335.3699999999953</v>
      </c>
      <c r="N622" s="6">
        <v>111130.9</v>
      </c>
      <c r="O622" s="6">
        <v>17404.980000000021</v>
      </c>
      <c r="P622" s="6">
        <v>116304.46405999997</v>
      </c>
      <c r="Q622" s="6">
        <v>21139</v>
      </c>
      <c r="R622" s="6">
        <v>137523.73289704189</v>
      </c>
      <c r="S622" s="6">
        <v>25338.747786279964</v>
      </c>
      <c r="T622" s="6">
        <v>142105.9000000002</v>
      </c>
      <c r="U622" s="6">
        <v>9989.9700000001467</v>
      </c>
      <c r="V622" s="30">
        <v>153474.3720000007</v>
      </c>
      <c r="W622" s="30">
        <v>28277.653041000125</v>
      </c>
      <c r="X622" s="30">
        <v>153474.37200000073</v>
      </c>
      <c r="Y622" s="30">
        <v>30891.357286565246</v>
      </c>
      <c r="Z622" s="30">
        <v>0</v>
      </c>
      <c r="AA622" s="30">
        <v>0</v>
      </c>
      <c r="AB622" s="34">
        <v>1.351538406286177E-2</v>
      </c>
      <c r="AC622" s="34">
        <v>2.028581661538786E-2</v>
      </c>
      <c r="AD622" s="34">
        <v>8.1460868267960354E-2</v>
      </c>
      <c r="AE622" s="34">
        <v>7.0000000000000007E-2</v>
      </c>
      <c r="AF622" s="34">
        <v>7.0000000000000007E-2</v>
      </c>
      <c r="AG622" s="34">
        <v>8.9999999999999983E-2</v>
      </c>
      <c r="AH622" s="34">
        <v>0</v>
      </c>
      <c r="AI622" s="37">
        <f t="shared" si="85"/>
        <v>1290.799999999995</v>
      </c>
      <c r="AJ622" s="37">
        <f t="shared" si="86"/>
        <v>2254.3810577030067</v>
      </c>
      <c r="AK622" s="37">
        <f t="shared" si="87"/>
        <v>11576.069999999963</v>
      </c>
      <c r="AL622" s="37">
        <f t="shared" si="88"/>
        <v>9626.6613027929325</v>
      </c>
      <c r="AM622" s="37">
        <f t="shared" si="89"/>
        <v>10743.20604000005</v>
      </c>
      <c r="AN622" s="37">
        <f t="shared" si="90"/>
        <v>13812.693480000064</v>
      </c>
      <c r="AO622" s="37">
        <f t="shared" si="91"/>
        <v>0</v>
      </c>
    </row>
    <row r="623" spans="1:41" hidden="1" x14ac:dyDescent="0.3">
      <c r="A623" t="str">
        <f t="shared" si="83"/>
        <v>306sep</v>
      </c>
      <c r="B623" t="str">
        <f t="shared" si="84"/>
        <v>PADILLAsep</v>
      </c>
      <c r="C623" s="1" t="s">
        <v>92</v>
      </c>
      <c r="D623" s="1" t="s">
        <v>51</v>
      </c>
      <c r="E623" s="1">
        <v>306</v>
      </c>
      <c r="F623" s="1" t="s">
        <v>119</v>
      </c>
      <c r="G623" s="1" t="s">
        <v>119</v>
      </c>
      <c r="H623" s="1" t="s">
        <v>119</v>
      </c>
      <c r="I623" s="1" t="s">
        <v>124</v>
      </c>
      <c r="J623" s="1" t="s">
        <v>136</v>
      </c>
      <c r="K623" t="s">
        <v>88</v>
      </c>
      <c r="L623" s="6">
        <v>41091.350000000006</v>
      </c>
      <c r="M623" s="6">
        <v>7519.0200000000095</v>
      </c>
      <c r="N623" s="6">
        <v>74490.69</v>
      </c>
      <c r="O623" s="6">
        <v>14975.710000000003</v>
      </c>
      <c r="P623" s="6">
        <v>66486.496565000009</v>
      </c>
      <c r="Q623" s="6">
        <v>16904</v>
      </c>
      <c r="R623" s="6">
        <v>73530.740876061755</v>
      </c>
      <c r="S623" s="6">
        <v>14030.598602712711</v>
      </c>
      <c r="T623" s="6">
        <v>79510.450000000201</v>
      </c>
      <c r="U623" s="6">
        <v>17912.510000000169</v>
      </c>
      <c r="V623" s="30">
        <v>85871.286000000226</v>
      </c>
      <c r="W623" s="30">
        <v>19345.510800000186</v>
      </c>
      <c r="X623" s="30">
        <v>85871.286000000226</v>
      </c>
      <c r="Y623" s="30">
        <v>18831.764386645562</v>
      </c>
      <c r="Z623" s="30">
        <v>0</v>
      </c>
      <c r="AA623" s="30">
        <v>0</v>
      </c>
      <c r="AB623" s="34">
        <v>4.1084559159044569E-2</v>
      </c>
      <c r="AC623" s="34">
        <v>3.519160354639933E-2</v>
      </c>
      <c r="AD623" s="34">
        <v>0.10256676952526335</v>
      </c>
      <c r="AE623" s="34">
        <v>9.717307591190559E-2</v>
      </c>
      <c r="AF623" s="34">
        <v>9.717307591190559E-2</v>
      </c>
      <c r="AG623" s="34">
        <v>0.14000000000000001</v>
      </c>
      <c r="AH623" s="34">
        <v>0</v>
      </c>
      <c r="AI623" s="37">
        <f t="shared" si="85"/>
        <v>1688.2200000000064</v>
      </c>
      <c r="AJ623" s="37">
        <f t="shared" si="86"/>
        <v>2621.446830377733</v>
      </c>
      <c r="AK623" s="37">
        <f t="shared" si="87"/>
        <v>8155.1299999999956</v>
      </c>
      <c r="AL623" s="37">
        <f t="shared" si="88"/>
        <v>7145.2082650082084</v>
      </c>
      <c r="AM623" s="37">
        <f t="shared" si="89"/>
        <v>8344.376993130978</v>
      </c>
      <c r="AN623" s="37">
        <f t="shared" si="90"/>
        <v>12021.980040000033</v>
      </c>
      <c r="AO623" s="37">
        <f t="shared" si="91"/>
        <v>0</v>
      </c>
    </row>
    <row r="624" spans="1:41" hidden="1" x14ac:dyDescent="0.3">
      <c r="A624" t="str">
        <f t="shared" si="83"/>
        <v>306oct</v>
      </c>
      <c r="B624" t="str">
        <f t="shared" si="84"/>
        <v>PADILLAoct</v>
      </c>
      <c r="C624" s="1" t="s">
        <v>92</v>
      </c>
      <c r="D624" s="1" t="s">
        <v>51</v>
      </c>
      <c r="E624" s="1">
        <v>306</v>
      </c>
      <c r="F624" s="1" t="s">
        <v>119</v>
      </c>
      <c r="G624" s="1" t="s">
        <v>119</v>
      </c>
      <c r="H624" s="1" t="s">
        <v>119</v>
      </c>
      <c r="I624" s="1" t="s">
        <v>124</v>
      </c>
      <c r="J624" s="1" t="s">
        <v>136</v>
      </c>
      <c r="K624" t="s">
        <v>89</v>
      </c>
      <c r="L624" s="6">
        <v>46903.080000000016</v>
      </c>
      <c r="M624" s="6">
        <v>4375.1900000000078</v>
      </c>
      <c r="N624" s="6">
        <v>85805.900000000009</v>
      </c>
      <c r="O624" s="6">
        <v>14676.070000000012</v>
      </c>
      <c r="P624" s="6">
        <v>77913.631075000012</v>
      </c>
      <c r="Q624" s="6">
        <v>18041</v>
      </c>
      <c r="R624" s="6">
        <v>86168.580287396253</v>
      </c>
      <c r="S624" s="6">
        <v>19784.30603398618</v>
      </c>
      <c r="T624" s="6">
        <v>82560.349999999948</v>
      </c>
      <c r="U624" s="6">
        <v>19972.049999999901</v>
      </c>
      <c r="V624" s="30">
        <v>89165.177999999985</v>
      </c>
      <c r="W624" s="30">
        <v>20472.324868799995</v>
      </c>
      <c r="X624" s="30">
        <v>89165.177999999985</v>
      </c>
      <c r="Y624" s="30">
        <v>20196.896034634639</v>
      </c>
      <c r="Z624" s="30">
        <v>0</v>
      </c>
      <c r="AA624" s="30">
        <v>0</v>
      </c>
      <c r="AB624" s="34">
        <v>1.6940252111375204E-2</v>
      </c>
      <c r="AC624" s="34">
        <v>4.5189972242995077E-2</v>
      </c>
      <c r="AD624" s="34">
        <v>0.26074574538504236</v>
      </c>
      <c r="AE624" s="34">
        <v>0.08</v>
      </c>
      <c r="AF624" s="34">
        <v>0.08</v>
      </c>
      <c r="AG624" s="34">
        <v>0.16</v>
      </c>
      <c r="AH624" s="34">
        <v>0</v>
      </c>
      <c r="AI624" s="37">
        <f t="shared" si="85"/>
        <v>794.55000000000041</v>
      </c>
      <c r="AJ624" s="37">
        <f t="shared" si="86"/>
        <v>3877.5662392852119</v>
      </c>
      <c r="AK624" s="37">
        <f t="shared" si="87"/>
        <v>21527.259999999969</v>
      </c>
      <c r="AL624" s="37">
        <f t="shared" si="88"/>
        <v>6893.4864229917002</v>
      </c>
      <c r="AM624" s="37">
        <f t="shared" si="89"/>
        <v>7133.2142399999993</v>
      </c>
      <c r="AN624" s="37">
        <f t="shared" si="90"/>
        <v>14266.428479999999</v>
      </c>
      <c r="AO624" s="37">
        <f t="shared" si="91"/>
        <v>0</v>
      </c>
    </row>
    <row r="625" spans="1:41" hidden="1" x14ac:dyDescent="0.3">
      <c r="A625" t="str">
        <f t="shared" ref="A625:A626" si="92">CONCATENATE(E625,K625)</f>
        <v>306nov</v>
      </c>
      <c r="B625" t="str">
        <f t="shared" ref="B625:B626" si="93">CONCATENATE(D625,K625)</f>
        <v>PADILLAnov</v>
      </c>
      <c r="C625" s="1" t="s">
        <v>92</v>
      </c>
      <c r="D625" s="1" t="s">
        <v>51</v>
      </c>
      <c r="E625" s="1">
        <v>306</v>
      </c>
      <c r="F625" s="1" t="s">
        <v>119</v>
      </c>
      <c r="G625" s="1" t="s">
        <v>119</v>
      </c>
      <c r="H625" s="1" t="s">
        <v>119</v>
      </c>
      <c r="I625" s="1" t="s">
        <v>124</v>
      </c>
      <c r="J625" s="1" t="s">
        <v>136</v>
      </c>
      <c r="K625" t="s">
        <v>90</v>
      </c>
      <c r="L625" s="6">
        <v>39637.919999999998</v>
      </c>
      <c r="M625" s="6">
        <v>4818.7000000000016</v>
      </c>
      <c r="N625" s="6">
        <v>90620.619999999981</v>
      </c>
      <c r="O625" s="6">
        <v>15387.989999999989</v>
      </c>
      <c r="P625" s="6">
        <v>96986.238749999975</v>
      </c>
      <c r="Q625" s="6">
        <v>19599</v>
      </c>
      <c r="R625" s="6">
        <v>102853.90619437497</v>
      </c>
      <c r="S625" s="6">
        <v>21496.466394624371</v>
      </c>
      <c r="T625" s="6">
        <v>54577.011494252874</v>
      </c>
      <c r="U625" s="6">
        <v>17630.036527837288</v>
      </c>
      <c r="V625" s="30">
        <v>106968.06244214997</v>
      </c>
      <c r="W625" s="30">
        <v>22356.325050409345</v>
      </c>
      <c r="X625" s="30">
        <v>104828.70119330697</v>
      </c>
      <c r="Y625" s="30">
        <v>24122.701244730924</v>
      </c>
      <c r="Z625" s="30">
        <v>0</v>
      </c>
      <c r="AA625" s="30">
        <v>0</v>
      </c>
      <c r="AB625" s="34">
        <v>1.8793619846853772E-2</v>
      </c>
      <c r="AC625" s="34">
        <v>3.2929211181521957E-2</v>
      </c>
      <c r="AD625" s="34">
        <v>0.26074574538504236</v>
      </c>
      <c r="AE625" s="34">
        <v>0.05</v>
      </c>
      <c r="AF625" s="34">
        <v>0.05</v>
      </c>
      <c r="AG625" s="34">
        <v>0.17</v>
      </c>
      <c r="AH625" s="34">
        <v>0</v>
      </c>
      <c r="AI625" s="37">
        <f t="shared" si="85"/>
        <v>744.94000000000199</v>
      </c>
      <c r="AJ625" s="37">
        <f t="shared" si="86"/>
        <v>2984.0655333804516</v>
      </c>
      <c r="AK625" s="37">
        <f t="shared" si="87"/>
        <v>14230.72354295699</v>
      </c>
      <c r="AL625" s="37">
        <f t="shared" si="88"/>
        <v>5142.6953097187488</v>
      </c>
      <c r="AM625" s="37">
        <f t="shared" si="89"/>
        <v>5348.4031221074983</v>
      </c>
      <c r="AN625" s="37">
        <f t="shared" si="90"/>
        <v>17820.879202862187</v>
      </c>
      <c r="AO625" s="37">
        <f t="shared" si="91"/>
        <v>0</v>
      </c>
    </row>
    <row r="626" spans="1:41" hidden="1" x14ac:dyDescent="0.3">
      <c r="A626" t="str">
        <f t="shared" si="92"/>
        <v>306dic</v>
      </c>
      <c r="B626" t="str">
        <f t="shared" si="93"/>
        <v>PADILLAdic</v>
      </c>
      <c r="C626" s="2" t="s">
        <v>92</v>
      </c>
      <c r="D626" s="1" t="s">
        <v>51</v>
      </c>
      <c r="E626" s="1">
        <v>306</v>
      </c>
      <c r="F626" s="1" t="s">
        <v>119</v>
      </c>
      <c r="G626" s="1" t="s">
        <v>119</v>
      </c>
      <c r="H626" s="1" t="s">
        <v>119</v>
      </c>
      <c r="I626" s="1" t="s">
        <v>124</v>
      </c>
      <c r="J626" s="1" t="s">
        <v>136</v>
      </c>
      <c r="K626" t="s">
        <v>91</v>
      </c>
      <c r="L626" s="6">
        <v>100814.57999999999</v>
      </c>
      <c r="M626" s="6">
        <v>13672.590000000022</v>
      </c>
      <c r="N626" s="6">
        <v>157404.21000000002</v>
      </c>
      <c r="O626" s="6">
        <v>39256.070000000036</v>
      </c>
      <c r="P626" s="6">
        <v>155462.68385000018</v>
      </c>
      <c r="Q626" s="6">
        <v>41003</v>
      </c>
      <c r="R626" s="6">
        <v>164868.17622292519</v>
      </c>
      <c r="S626" s="6">
        <v>36023.696504709158</v>
      </c>
      <c r="T626" s="6">
        <v>129824.56896551723</v>
      </c>
      <c r="U626" s="6">
        <v>40017.503272224596</v>
      </c>
      <c r="V626" s="30">
        <v>171462.90327184219</v>
      </c>
      <c r="W626" s="30">
        <v>37464.644364897526</v>
      </c>
      <c r="X626" s="30">
        <v>168033.64520640537</v>
      </c>
      <c r="Y626" s="30">
        <v>38667.133869212048</v>
      </c>
      <c r="Z626" s="30">
        <v>0</v>
      </c>
      <c r="AA626" s="30">
        <v>0</v>
      </c>
      <c r="AB626" s="34">
        <v>5.2201179630962054E-2</v>
      </c>
      <c r="AC626" s="34">
        <v>6.9352476075998426E-2</v>
      </c>
      <c r="AD626" s="34">
        <v>0.26074574538504236</v>
      </c>
      <c r="AE626" s="34">
        <v>5.0000000000000017E-2</v>
      </c>
      <c r="AF626" s="34">
        <v>5.0000000000000017E-2</v>
      </c>
      <c r="AG626" s="34">
        <v>0.17</v>
      </c>
      <c r="AH626" s="34">
        <v>0</v>
      </c>
      <c r="AI626" s="37">
        <f t="shared" si="85"/>
        <v>5262.639999999994</v>
      </c>
      <c r="AJ626" s="37">
        <f t="shared" si="86"/>
        <v>10916.371708286433</v>
      </c>
      <c r="AK626" s="37">
        <f t="shared" si="87"/>
        <v>33851.204004205625</v>
      </c>
      <c r="AL626" s="37">
        <f t="shared" si="88"/>
        <v>8243.4088111462625</v>
      </c>
      <c r="AM626" s="37">
        <f t="shared" si="89"/>
        <v>8573.145163592113</v>
      </c>
      <c r="AN626" s="37">
        <f t="shared" si="90"/>
        <v>28565.719685088916</v>
      </c>
      <c r="AO626" s="37">
        <f t="shared" si="91"/>
        <v>0</v>
      </c>
    </row>
    <row r="627" spans="1:41" hidden="1" x14ac:dyDescent="0.3">
      <c r="A627" t="str">
        <f t="shared" ref="A627:A649" si="94">CONCATENATE(E627,K627)</f>
        <v>903ene</v>
      </c>
      <c r="B627" t="str">
        <f t="shared" ref="B627:B649" si="95">CONCATENATE(D627,K627)</f>
        <v>MODULO 2118ene</v>
      </c>
      <c r="C627" s="1" t="s">
        <v>93</v>
      </c>
      <c r="D627" s="1" t="s">
        <v>37</v>
      </c>
      <c r="E627" s="1">
        <v>903</v>
      </c>
      <c r="F627" s="1" t="s">
        <v>119</v>
      </c>
      <c r="G627" s="1" t="s">
        <v>119</v>
      </c>
      <c r="H627" s="1" t="s">
        <v>119</v>
      </c>
      <c r="I627" s="1" t="s">
        <v>93</v>
      </c>
      <c r="J627" s="1" t="s">
        <v>93</v>
      </c>
      <c r="K627" t="s">
        <v>80</v>
      </c>
      <c r="L627" s="6">
        <v>0</v>
      </c>
      <c r="M627" s="6">
        <v>0</v>
      </c>
      <c r="N627" s="6">
        <v>6405.2300000000005</v>
      </c>
      <c r="O627" s="6">
        <v>3607.3800000000006</v>
      </c>
      <c r="P627" s="6">
        <v>68493.502296666658</v>
      </c>
      <c r="Q627" s="6">
        <v>35543.281497333315</v>
      </c>
      <c r="R627" s="6">
        <v>35255.659999999982</v>
      </c>
      <c r="S627" s="6">
        <v>19402.238755959275</v>
      </c>
      <c r="T627" s="6">
        <v>35255.659999999989</v>
      </c>
      <c r="U627" s="6">
        <v>19418.349999999988</v>
      </c>
      <c r="V627" s="30">
        <v>68493.502296666658</v>
      </c>
      <c r="W627" s="30">
        <v>37725.312767438663</v>
      </c>
      <c r="X627" s="30">
        <v>82192.202755999984</v>
      </c>
      <c r="Y627" s="30">
        <v>42883.913142782076</v>
      </c>
      <c r="Z627" s="30">
        <v>87421.51</v>
      </c>
      <c r="AA627" s="30">
        <v>50966.740329999993</v>
      </c>
      <c r="AB627" s="34">
        <v>1</v>
      </c>
      <c r="AC627" s="34">
        <v>1</v>
      </c>
      <c r="AD627" s="34">
        <v>0.91319351275795158</v>
      </c>
      <c r="AE627" s="34">
        <v>0.91357445950502469</v>
      </c>
      <c r="AF627" s="34">
        <v>0.91357445950502469</v>
      </c>
      <c r="AG627" s="34">
        <v>0.89999999999999991</v>
      </c>
      <c r="AH627" s="34">
        <v>0.95</v>
      </c>
      <c r="AI627" s="37">
        <f t="shared" si="85"/>
        <v>0</v>
      </c>
      <c r="AJ627" s="37">
        <f t="shared" si="86"/>
        <v>6405.2300000000005</v>
      </c>
      <c r="AK627" s="37">
        <f t="shared" si="87"/>
        <v>32195.239999999994</v>
      </c>
      <c r="AL627" s="37">
        <f t="shared" si="88"/>
        <v>32208.670528992901</v>
      </c>
      <c r="AM627" s="37">
        <f t="shared" si="89"/>
        <v>62573.914340283409</v>
      </c>
      <c r="AN627" s="37">
        <f t="shared" si="90"/>
        <v>73972.98248039998</v>
      </c>
      <c r="AO627" s="37">
        <f t="shared" si="91"/>
        <v>83050.434499999988</v>
      </c>
    </row>
    <row r="628" spans="1:41" hidden="1" x14ac:dyDescent="0.3">
      <c r="A628" t="str">
        <f t="shared" si="94"/>
        <v>903feb</v>
      </c>
      <c r="B628" t="str">
        <f t="shared" si="95"/>
        <v>MODULO 2118feb</v>
      </c>
      <c r="C628" s="1" t="s">
        <v>93</v>
      </c>
      <c r="D628" s="1" t="s">
        <v>37</v>
      </c>
      <c r="E628" s="1">
        <v>903</v>
      </c>
      <c r="F628" s="1" t="s">
        <v>119</v>
      </c>
      <c r="G628" s="1" t="s">
        <v>119</v>
      </c>
      <c r="H628" s="1" t="s">
        <v>119</v>
      </c>
      <c r="I628" s="1" t="s">
        <v>93</v>
      </c>
      <c r="J628" s="1" t="s">
        <v>93</v>
      </c>
      <c r="K628" t="s">
        <v>81</v>
      </c>
      <c r="L628" s="6">
        <v>0</v>
      </c>
      <c r="M628" s="6">
        <v>0</v>
      </c>
      <c r="N628" s="6">
        <v>33712.869999999995</v>
      </c>
      <c r="O628" s="6">
        <v>18359.759999999998</v>
      </c>
      <c r="P628" s="6">
        <v>69435.064770000085</v>
      </c>
      <c r="Q628" s="6">
        <v>30518.474572500032</v>
      </c>
      <c r="R628" s="6">
        <v>49757.070000000022</v>
      </c>
      <c r="S628" s="6">
        <v>29837.477329441994</v>
      </c>
      <c r="T628" s="6">
        <v>49757.070000000029</v>
      </c>
      <c r="U628" s="6">
        <v>29865.490000000034</v>
      </c>
      <c r="V628" s="30">
        <v>69435.064770000085</v>
      </c>
      <c r="W628" s="30">
        <v>41676.735236576249</v>
      </c>
      <c r="X628" s="30">
        <v>83322.077724000104</v>
      </c>
      <c r="Y628" s="30">
        <v>42289.771402646969</v>
      </c>
      <c r="Z628" s="30">
        <v>75835.39</v>
      </c>
      <c r="AA628" s="30">
        <v>46107.917119999998</v>
      </c>
      <c r="AB628" s="34">
        <v>1</v>
      </c>
      <c r="AC628" s="34">
        <v>1</v>
      </c>
      <c r="AD628" s="34">
        <v>0.94467138036865939</v>
      </c>
      <c r="AE628" s="34">
        <v>0.94487960063293575</v>
      </c>
      <c r="AF628" s="34">
        <v>0.94487960063293575</v>
      </c>
      <c r="AG628" s="34">
        <v>0.60000000000000009</v>
      </c>
      <c r="AH628" s="34">
        <v>0.95</v>
      </c>
      <c r="AI628" s="37">
        <f t="shared" si="85"/>
        <v>0</v>
      </c>
      <c r="AJ628" s="37">
        <f t="shared" si="86"/>
        <v>33712.869999999995</v>
      </c>
      <c r="AK628" s="37">
        <f t="shared" si="87"/>
        <v>47004.080000000038</v>
      </c>
      <c r="AL628" s="37">
        <f t="shared" si="88"/>
        <v>47014.440430265051</v>
      </c>
      <c r="AM628" s="37">
        <f t="shared" si="89"/>
        <v>65607.77626979971</v>
      </c>
      <c r="AN628" s="37">
        <f t="shared" si="90"/>
        <v>49993.246634400071</v>
      </c>
      <c r="AO628" s="37">
        <f t="shared" si="91"/>
        <v>72043.62049999999</v>
      </c>
    </row>
    <row r="629" spans="1:41" hidden="1" x14ac:dyDescent="0.3">
      <c r="A629" t="str">
        <f t="shared" si="94"/>
        <v>903mar</v>
      </c>
      <c r="B629" t="str">
        <f t="shared" si="95"/>
        <v>MODULO 2118mar</v>
      </c>
      <c r="C629" s="1" t="s">
        <v>93</v>
      </c>
      <c r="D629" s="1" t="s">
        <v>37</v>
      </c>
      <c r="E629" s="1">
        <v>903</v>
      </c>
      <c r="F629" s="1" t="s">
        <v>119</v>
      </c>
      <c r="G629" s="1" t="s">
        <v>119</v>
      </c>
      <c r="H629" s="1" t="s">
        <v>119</v>
      </c>
      <c r="I629" s="1" t="s">
        <v>93</v>
      </c>
      <c r="J629" s="1" t="s">
        <v>93</v>
      </c>
      <c r="K629" t="s">
        <v>82</v>
      </c>
      <c r="L629" s="6">
        <v>0</v>
      </c>
      <c r="M629" s="6">
        <v>0</v>
      </c>
      <c r="N629" s="6">
        <v>67526.439999999988</v>
      </c>
      <c r="O629" s="6">
        <v>37744.939999999995</v>
      </c>
      <c r="P629" s="6">
        <v>94479</v>
      </c>
      <c r="Q629" s="6">
        <v>47624</v>
      </c>
      <c r="R629" s="6">
        <v>63680.95</v>
      </c>
      <c r="S629" s="6">
        <v>39193.572963818398</v>
      </c>
      <c r="T629" s="6">
        <v>63680.949999999983</v>
      </c>
      <c r="U629" s="6">
        <v>39193.579999999987</v>
      </c>
      <c r="V629" s="30">
        <v>63680.949999999961</v>
      </c>
      <c r="W629" s="30">
        <v>39193.579999999973</v>
      </c>
      <c r="X629" s="30">
        <v>76417.139999999956</v>
      </c>
      <c r="Y629" s="30">
        <v>39870.764920466776</v>
      </c>
      <c r="Z629" s="30">
        <v>90000</v>
      </c>
      <c r="AA629" s="30">
        <f>Z629*0.52</f>
        <v>46800</v>
      </c>
      <c r="AB629" s="34">
        <v>1</v>
      </c>
      <c r="AC629" s="34">
        <v>1</v>
      </c>
      <c r="AD629" s="34">
        <v>0.96476560101568831</v>
      </c>
      <c r="AE629" s="34">
        <v>0.96476635348183826</v>
      </c>
      <c r="AF629" s="34">
        <v>0.96476635348183826</v>
      </c>
      <c r="AG629" s="34">
        <v>0.9</v>
      </c>
      <c r="AH629" s="34">
        <v>0.6</v>
      </c>
      <c r="AI629" s="37">
        <f t="shared" si="85"/>
        <v>0</v>
      </c>
      <c r="AJ629" s="37">
        <f t="shared" si="86"/>
        <v>67526.439999999988</v>
      </c>
      <c r="AK629" s="37">
        <f t="shared" si="87"/>
        <v>61437.189999999981</v>
      </c>
      <c r="AL629" s="37">
        <f t="shared" si="88"/>
        <v>61437.237917759267</v>
      </c>
      <c r="AM629" s="37">
        <f t="shared" si="89"/>
        <v>61437.23791775923</v>
      </c>
      <c r="AN629" s="37">
        <f t="shared" si="90"/>
        <v>68775.425999999963</v>
      </c>
      <c r="AO629" s="37">
        <f t="shared" si="91"/>
        <v>54000</v>
      </c>
    </row>
    <row r="630" spans="1:41" hidden="1" x14ac:dyDescent="0.3">
      <c r="A630" t="str">
        <f t="shared" si="94"/>
        <v>903abr</v>
      </c>
      <c r="B630" t="str">
        <f t="shared" si="95"/>
        <v>MODULO 2118abr</v>
      </c>
      <c r="C630" s="1" t="s">
        <v>93</v>
      </c>
      <c r="D630" s="1" t="s">
        <v>37</v>
      </c>
      <c r="E630" s="1">
        <v>903</v>
      </c>
      <c r="F630" s="1" t="s">
        <v>119</v>
      </c>
      <c r="G630" s="1" t="s">
        <v>119</v>
      </c>
      <c r="H630" s="1" t="s">
        <v>119</v>
      </c>
      <c r="I630" s="1" t="s">
        <v>93</v>
      </c>
      <c r="J630" s="1" t="s">
        <v>93</v>
      </c>
      <c r="K630" t="s">
        <v>83</v>
      </c>
      <c r="L630" s="6">
        <v>0</v>
      </c>
      <c r="M630" s="6">
        <v>0</v>
      </c>
      <c r="N630" s="6">
        <v>0</v>
      </c>
      <c r="O630" s="6">
        <v>0</v>
      </c>
      <c r="P630" s="6">
        <v>107879</v>
      </c>
      <c r="Q630" s="6">
        <v>58606</v>
      </c>
      <c r="R630" s="6">
        <v>91793.290000000183</v>
      </c>
      <c r="S630" s="6">
        <v>55449.260000000155</v>
      </c>
      <c r="T630" s="6">
        <v>91793.29000000027</v>
      </c>
      <c r="U630" s="6">
        <v>55449.260000000257</v>
      </c>
      <c r="V630" s="30">
        <v>91793.290000000197</v>
      </c>
      <c r="W630" s="30">
        <v>55449.260000000213</v>
      </c>
      <c r="X630" s="30">
        <v>110151.94800000024</v>
      </c>
      <c r="Y630" s="30">
        <v>57471.954907491847</v>
      </c>
      <c r="Z630" s="30">
        <v>0</v>
      </c>
      <c r="AA630" s="30">
        <v>0</v>
      </c>
      <c r="AB630" s="34">
        <v>1</v>
      </c>
      <c r="AC630" s="34">
        <v>0</v>
      </c>
      <c r="AD630" s="34">
        <v>0.97339903602975797</v>
      </c>
      <c r="AE630" s="34">
        <v>0.97339903602975775</v>
      </c>
      <c r="AF630" s="34">
        <v>0.97339903602975775</v>
      </c>
      <c r="AG630" s="34">
        <v>0.9</v>
      </c>
      <c r="AH630" s="34">
        <v>0</v>
      </c>
      <c r="AI630" s="37">
        <f t="shared" si="85"/>
        <v>0</v>
      </c>
      <c r="AJ630" s="37">
        <f t="shared" si="86"/>
        <v>0</v>
      </c>
      <c r="AK630" s="37">
        <f t="shared" si="87"/>
        <v>89351.500000000291</v>
      </c>
      <c r="AL630" s="37">
        <f t="shared" si="88"/>
        <v>89351.500000000175</v>
      </c>
      <c r="AM630" s="37">
        <f t="shared" si="89"/>
        <v>89351.500000000189</v>
      </c>
      <c r="AN630" s="37">
        <f t="shared" si="90"/>
        <v>99136.75320000021</v>
      </c>
      <c r="AO630" s="37">
        <f t="shared" si="91"/>
        <v>0</v>
      </c>
    </row>
    <row r="631" spans="1:41" hidden="1" x14ac:dyDescent="0.3">
      <c r="A631" t="str">
        <f t="shared" si="94"/>
        <v>903may</v>
      </c>
      <c r="B631" t="str">
        <f t="shared" si="95"/>
        <v>MODULO 2118may</v>
      </c>
      <c r="C631" s="1" t="s">
        <v>93</v>
      </c>
      <c r="D631" s="1" t="s">
        <v>37</v>
      </c>
      <c r="E631" s="1">
        <v>903</v>
      </c>
      <c r="F631" s="1" t="s">
        <v>119</v>
      </c>
      <c r="G631" s="1" t="s">
        <v>119</v>
      </c>
      <c r="H631" s="1" t="s">
        <v>119</v>
      </c>
      <c r="I631" s="1" t="s">
        <v>93</v>
      </c>
      <c r="J631" s="1" t="s">
        <v>93</v>
      </c>
      <c r="K631" t="s">
        <v>84</v>
      </c>
      <c r="L631" s="6">
        <v>0</v>
      </c>
      <c r="M631" s="6">
        <v>0</v>
      </c>
      <c r="N631" s="6">
        <v>64247.59</v>
      </c>
      <c r="O631" s="6">
        <v>35833.64</v>
      </c>
      <c r="P631" s="6">
        <v>123253</v>
      </c>
      <c r="Q631" s="6">
        <v>64727</v>
      </c>
      <c r="R631" s="6">
        <v>78710.440000000119</v>
      </c>
      <c r="S631" s="6">
        <v>46216.23000000004</v>
      </c>
      <c r="T631" s="6">
        <v>78710.440000000061</v>
      </c>
      <c r="U631" s="6">
        <v>46217.570000000094</v>
      </c>
      <c r="V631" s="30">
        <v>78710.440000000061</v>
      </c>
      <c r="W631" s="30">
        <v>46217.570000000094</v>
      </c>
      <c r="X631" s="30">
        <v>94452.528000000093</v>
      </c>
      <c r="Y631" s="30">
        <v>49280.757432583989</v>
      </c>
      <c r="Z631" s="30">
        <v>0</v>
      </c>
      <c r="AA631" s="30">
        <v>0</v>
      </c>
      <c r="AB631" s="34">
        <v>1</v>
      </c>
      <c r="AC631" s="34">
        <v>1</v>
      </c>
      <c r="AD631" s="34">
        <v>0.97452218536702384</v>
      </c>
      <c r="AE631" s="34">
        <v>0.97452218536702384</v>
      </c>
      <c r="AF631" s="34">
        <v>0.97452218536702384</v>
      </c>
      <c r="AG631" s="34">
        <v>0.9</v>
      </c>
      <c r="AH631" s="34">
        <v>0</v>
      </c>
      <c r="AI631" s="37">
        <f t="shared" si="85"/>
        <v>0</v>
      </c>
      <c r="AJ631" s="37">
        <f t="shared" si="86"/>
        <v>64247.59</v>
      </c>
      <c r="AK631" s="37">
        <f t="shared" si="87"/>
        <v>76705.070000000065</v>
      </c>
      <c r="AL631" s="37">
        <f t="shared" si="88"/>
        <v>76705.070000000123</v>
      </c>
      <c r="AM631" s="37">
        <f t="shared" si="89"/>
        <v>76705.070000000065</v>
      </c>
      <c r="AN631" s="37">
        <f t="shared" si="90"/>
        <v>85007.275200000091</v>
      </c>
      <c r="AO631" s="37">
        <f t="shared" si="91"/>
        <v>0</v>
      </c>
    </row>
    <row r="632" spans="1:41" hidden="1" x14ac:dyDescent="0.3">
      <c r="A632" t="str">
        <f t="shared" si="94"/>
        <v>903jun</v>
      </c>
      <c r="B632" t="str">
        <f t="shared" si="95"/>
        <v>MODULO 2118jun</v>
      </c>
      <c r="C632" s="1" t="s">
        <v>93</v>
      </c>
      <c r="D632" s="1" t="s">
        <v>37</v>
      </c>
      <c r="E632" s="1">
        <v>903</v>
      </c>
      <c r="F632" s="1" t="s">
        <v>119</v>
      </c>
      <c r="G632" s="1" t="s">
        <v>119</v>
      </c>
      <c r="H632" s="1" t="s">
        <v>119</v>
      </c>
      <c r="I632" s="1" t="s">
        <v>93</v>
      </c>
      <c r="J632" s="1" t="s">
        <v>93</v>
      </c>
      <c r="K632" t="s">
        <v>85</v>
      </c>
      <c r="L632" s="6">
        <v>59284.799999999974</v>
      </c>
      <c r="M632" s="6">
        <v>34572.159999999974</v>
      </c>
      <c r="N632" s="6">
        <v>126116.24999999997</v>
      </c>
      <c r="O632" s="6">
        <v>71025.77999999997</v>
      </c>
      <c r="P632" s="6">
        <v>131297</v>
      </c>
      <c r="Q632" s="6">
        <v>68909</v>
      </c>
      <c r="R632" s="6">
        <v>83714.360000000044</v>
      </c>
      <c r="S632" s="6">
        <v>48947.407429308514</v>
      </c>
      <c r="T632" s="6">
        <v>84084.539999999964</v>
      </c>
      <c r="U632" s="6">
        <v>49163.849999999969</v>
      </c>
      <c r="V632" s="30">
        <v>84084.53999999995</v>
      </c>
      <c r="W632" s="30">
        <v>49163.849999999962</v>
      </c>
      <c r="X632" s="30">
        <v>100901.44799999993</v>
      </c>
      <c r="Y632" s="30">
        <v>52645.491748875989</v>
      </c>
      <c r="Z632" s="30">
        <v>0</v>
      </c>
      <c r="AA632" s="30">
        <v>0</v>
      </c>
      <c r="AB632" s="34">
        <v>1</v>
      </c>
      <c r="AC632" s="34">
        <v>1</v>
      </c>
      <c r="AD632" s="34">
        <v>0.97157777160938263</v>
      </c>
      <c r="AE632" s="34">
        <v>0.97157777160938263</v>
      </c>
      <c r="AF632" s="34">
        <v>0.97157777160938263</v>
      </c>
      <c r="AG632" s="34">
        <v>0.9</v>
      </c>
      <c r="AH632" s="34">
        <v>0</v>
      </c>
      <c r="AI632" s="37">
        <f t="shared" si="85"/>
        <v>59284.799999999974</v>
      </c>
      <c r="AJ632" s="37">
        <f t="shared" si="86"/>
        <v>126116.24999999997</v>
      </c>
      <c r="AK632" s="37">
        <f t="shared" si="87"/>
        <v>81694.669999999969</v>
      </c>
      <c r="AL632" s="37">
        <f t="shared" si="88"/>
        <v>81335.011340505676</v>
      </c>
      <c r="AM632" s="37">
        <f t="shared" si="89"/>
        <v>81694.669999999955</v>
      </c>
      <c r="AN632" s="37">
        <f t="shared" si="90"/>
        <v>90811.303199999937</v>
      </c>
      <c r="AO632" s="37">
        <f t="shared" si="91"/>
        <v>0</v>
      </c>
    </row>
    <row r="633" spans="1:41" hidden="1" x14ac:dyDescent="0.3">
      <c r="A633" t="str">
        <f t="shared" si="94"/>
        <v>903jul</v>
      </c>
      <c r="B633" t="str">
        <f t="shared" si="95"/>
        <v>MODULO 2118jul</v>
      </c>
      <c r="C633" s="1" t="s">
        <v>93</v>
      </c>
      <c r="D633" s="1" t="s">
        <v>37</v>
      </c>
      <c r="E633" s="1">
        <v>903</v>
      </c>
      <c r="F633" s="1" t="s">
        <v>119</v>
      </c>
      <c r="G633" s="1" t="s">
        <v>119</v>
      </c>
      <c r="H633" s="1" t="s">
        <v>119</v>
      </c>
      <c r="I633" s="1" t="s">
        <v>93</v>
      </c>
      <c r="J633" s="1" t="s">
        <v>93</v>
      </c>
      <c r="K633" t="s">
        <v>86</v>
      </c>
      <c r="L633" s="6">
        <v>98155.770000000019</v>
      </c>
      <c r="M633" s="6">
        <v>57673.790000000008</v>
      </c>
      <c r="N633" s="6">
        <v>130076.40000000002</v>
      </c>
      <c r="O633" s="6">
        <v>69826.320000000022</v>
      </c>
      <c r="P633" s="6">
        <v>141784</v>
      </c>
      <c r="Q633" s="6">
        <v>62621</v>
      </c>
      <c r="R633" s="6">
        <v>62201.05999999999</v>
      </c>
      <c r="S633" s="6">
        <v>36498.599999999919</v>
      </c>
      <c r="T633" s="6">
        <v>62355.189999999959</v>
      </c>
      <c r="U633" s="6">
        <v>36590.789999999979</v>
      </c>
      <c r="V633" s="30">
        <v>62355.189999999959</v>
      </c>
      <c r="W633" s="30">
        <v>36590.789999999979</v>
      </c>
      <c r="X633" s="30">
        <v>74826.227999999945</v>
      </c>
      <c r="Y633" s="30">
        <v>39040.704041962948</v>
      </c>
      <c r="Z633" s="30">
        <v>0</v>
      </c>
      <c r="AA633" s="30">
        <v>0</v>
      </c>
      <c r="AB633" s="34">
        <v>1</v>
      </c>
      <c r="AC633" s="34">
        <v>1</v>
      </c>
      <c r="AD633" s="34">
        <v>0.97207073319972348</v>
      </c>
      <c r="AE633" s="34">
        <v>0.97207073319972359</v>
      </c>
      <c r="AF633" s="34">
        <v>0.97207073319972359</v>
      </c>
      <c r="AG633" s="34">
        <v>0.89999999999999991</v>
      </c>
      <c r="AH633" s="34">
        <v>0</v>
      </c>
      <c r="AI633" s="37">
        <f t="shared" si="85"/>
        <v>98155.770000000019</v>
      </c>
      <c r="AJ633" s="37">
        <f t="shared" si="86"/>
        <v>130076.40000000002</v>
      </c>
      <c r="AK633" s="37">
        <f t="shared" si="87"/>
        <v>60613.655262108026</v>
      </c>
      <c r="AL633" s="37">
        <f t="shared" si="88"/>
        <v>60463.829999999987</v>
      </c>
      <c r="AM633" s="37">
        <f t="shared" si="89"/>
        <v>60613.655262108034</v>
      </c>
      <c r="AN633" s="37">
        <f t="shared" si="90"/>
        <v>67343.605199999947</v>
      </c>
      <c r="AO633" s="37">
        <f t="shared" si="91"/>
        <v>0</v>
      </c>
    </row>
    <row r="634" spans="1:41" hidden="1" x14ac:dyDescent="0.3">
      <c r="A634" t="str">
        <f t="shared" si="94"/>
        <v>903ago</v>
      </c>
      <c r="B634" t="str">
        <f t="shared" si="95"/>
        <v>MODULO 2118ago</v>
      </c>
      <c r="C634" s="1" t="s">
        <v>93</v>
      </c>
      <c r="D634" s="1" t="s">
        <v>37</v>
      </c>
      <c r="E634" s="1">
        <v>903</v>
      </c>
      <c r="F634" s="1" t="s">
        <v>119</v>
      </c>
      <c r="G634" s="1" t="s">
        <v>119</v>
      </c>
      <c r="H634" s="1" t="s">
        <v>119</v>
      </c>
      <c r="I634" s="1" t="s">
        <v>93</v>
      </c>
      <c r="J634" s="1" t="s">
        <v>93</v>
      </c>
      <c r="K634" t="s">
        <v>87</v>
      </c>
      <c r="L634" s="6">
        <v>60316.830000000016</v>
      </c>
      <c r="M634" s="6">
        <v>35222.290000000008</v>
      </c>
      <c r="N634" s="6">
        <v>94992.900000000023</v>
      </c>
      <c r="O634" s="6">
        <v>52906.920000000013</v>
      </c>
      <c r="P634" s="6">
        <v>109365</v>
      </c>
      <c r="Q634" s="6">
        <v>63949</v>
      </c>
      <c r="R634" s="6">
        <v>100616.00837999996</v>
      </c>
      <c r="S634" s="6">
        <v>59474.122553417968</v>
      </c>
      <c r="T634" s="6">
        <v>51753.959999999977</v>
      </c>
      <c r="U634" s="6">
        <v>30034.969999999979</v>
      </c>
      <c r="V634" s="30">
        <v>51753.959999999985</v>
      </c>
      <c r="W634" s="30">
        <v>30034.969999999983</v>
      </c>
      <c r="X634" s="30">
        <v>62104.751999999971</v>
      </c>
      <c r="Y634" s="30">
        <v>31521.006638815175</v>
      </c>
      <c r="Z634" s="30">
        <v>0</v>
      </c>
      <c r="AA634" s="30">
        <v>0</v>
      </c>
      <c r="AB634" s="34">
        <v>1</v>
      </c>
      <c r="AC634" s="34">
        <v>1</v>
      </c>
      <c r="AD634" s="34">
        <v>0.97140359276210164</v>
      </c>
      <c r="AE634" s="34">
        <v>0.97</v>
      </c>
      <c r="AF634" s="34">
        <v>0.97</v>
      </c>
      <c r="AG634" s="34">
        <v>0.6</v>
      </c>
      <c r="AH634" s="34">
        <v>0</v>
      </c>
      <c r="AI634" s="37">
        <f t="shared" si="85"/>
        <v>60316.830000000016</v>
      </c>
      <c r="AJ634" s="37">
        <f t="shared" si="86"/>
        <v>94992.900000000023</v>
      </c>
      <c r="AK634" s="37">
        <f t="shared" si="87"/>
        <v>50273.982683666072</v>
      </c>
      <c r="AL634" s="37">
        <f t="shared" si="88"/>
        <v>97597.528128599952</v>
      </c>
      <c r="AM634" s="37">
        <f t="shared" si="89"/>
        <v>50201.341199999981</v>
      </c>
      <c r="AN634" s="37">
        <f t="shared" si="90"/>
        <v>37262.851199999983</v>
      </c>
      <c r="AO634" s="37">
        <f t="shared" si="91"/>
        <v>0</v>
      </c>
    </row>
    <row r="635" spans="1:41" hidden="1" x14ac:dyDescent="0.3">
      <c r="A635" t="str">
        <f t="shared" si="94"/>
        <v>903sep</v>
      </c>
      <c r="B635" t="str">
        <f t="shared" si="95"/>
        <v>MODULO 2118sep</v>
      </c>
      <c r="C635" s="1" t="s">
        <v>93</v>
      </c>
      <c r="D635" s="1" t="s">
        <v>37</v>
      </c>
      <c r="E635" s="1">
        <v>903</v>
      </c>
      <c r="F635" s="1" t="s">
        <v>119</v>
      </c>
      <c r="G635" s="1" t="s">
        <v>119</v>
      </c>
      <c r="H635" s="1" t="s">
        <v>119</v>
      </c>
      <c r="I635" s="1" t="s">
        <v>93</v>
      </c>
      <c r="J635" s="1" t="s">
        <v>93</v>
      </c>
      <c r="K635" t="s">
        <v>88</v>
      </c>
      <c r="L635" s="6">
        <v>70204.36</v>
      </c>
      <c r="M635" s="6">
        <v>41529.590000000011</v>
      </c>
      <c r="N635" s="6">
        <v>108010.31000000004</v>
      </c>
      <c r="O635" s="6">
        <v>64156.180000000044</v>
      </c>
      <c r="P635" s="6">
        <v>106635</v>
      </c>
      <c r="Q635" s="6">
        <v>61302</v>
      </c>
      <c r="R635" s="6">
        <v>123610.92099803992</v>
      </c>
      <c r="S635" s="6">
        <v>63684.346498190163</v>
      </c>
      <c r="T635" s="6">
        <v>80118.01999999999</v>
      </c>
      <c r="U635" s="6">
        <v>42854.390000000014</v>
      </c>
      <c r="V635" s="30">
        <v>80118.01999999999</v>
      </c>
      <c r="W635" s="30">
        <v>42854.390000000014</v>
      </c>
      <c r="X635" s="30">
        <v>96141.623999999953</v>
      </c>
      <c r="Y635" s="30">
        <v>50162.045969999752</v>
      </c>
      <c r="Z635" s="30">
        <v>0</v>
      </c>
      <c r="AA635" s="30">
        <v>0</v>
      </c>
      <c r="AB635" s="34">
        <v>1</v>
      </c>
      <c r="AC635" s="34">
        <v>1</v>
      </c>
      <c r="AD635" s="34">
        <v>0.79363684340313789</v>
      </c>
      <c r="AE635" s="34">
        <v>0.97</v>
      </c>
      <c r="AF635" s="34">
        <v>0.97</v>
      </c>
      <c r="AG635" s="34">
        <v>0.89999999999999991</v>
      </c>
      <c r="AH635" s="34">
        <v>0</v>
      </c>
      <c r="AI635" s="37">
        <f t="shared" si="85"/>
        <v>70204.36</v>
      </c>
      <c r="AJ635" s="37">
        <f t="shared" si="86"/>
        <v>108010.31000000004</v>
      </c>
      <c r="AK635" s="37">
        <f t="shared" si="87"/>
        <v>63584.612492509463</v>
      </c>
      <c r="AL635" s="37">
        <f t="shared" si="88"/>
        <v>119902.59336809872</v>
      </c>
      <c r="AM635" s="37">
        <f t="shared" si="89"/>
        <v>77714.479399999982</v>
      </c>
      <c r="AN635" s="37">
        <f t="shared" si="90"/>
        <v>86527.461599999951</v>
      </c>
      <c r="AO635" s="37">
        <f t="shared" si="91"/>
        <v>0</v>
      </c>
    </row>
    <row r="636" spans="1:41" hidden="1" x14ac:dyDescent="0.3">
      <c r="A636" t="str">
        <f t="shared" si="94"/>
        <v>903oct</v>
      </c>
      <c r="B636" t="str">
        <f t="shared" si="95"/>
        <v>MODULO 2118oct</v>
      </c>
      <c r="C636" s="1" t="s">
        <v>93</v>
      </c>
      <c r="D636" s="1" t="s">
        <v>37</v>
      </c>
      <c r="E636" s="1">
        <v>903</v>
      </c>
      <c r="F636" s="1" t="s">
        <v>119</v>
      </c>
      <c r="G636" s="1" t="s">
        <v>119</v>
      </c>
      <c r="H636" s="1" t="s">
        <v>119</v>
      </c>
      <c r="I636" s="1" t="s">
        <v>93</v>
      </c>
      <c r="J636" s="1" t="s">
        <v>93</v>
      </c>
      <c r="K636" t="s">
        <v>89</v>
      </c>
      <c r="L636" s="6">
        <v>50446.27</v>
      </c>
      <c r="M636" s="6">
        <v>28379.360000000001</v>
      </c>
      <c r="N636" s="6">
        <v>97760.489999999991</v>
      </c>
      <c r="O636" s="6">
        <v>57965.960000000006</v>
      </c>
      <c r="P636" s="6">
        <v>118808</v>
      </c>
      <c r="Q636" s="6">
        <v>62207</v>
      </c>
      <c r="R636" s="6">
        <v>137722.33404468017</v>
      </c>
      <c r="S636" s="6">
        <v>70954.546499819233</v>
      </c>
      <c r="T636" s="6">
        <v>91318.749999999985</v>
      </c>
      <c r="U636" s="6">
        <v>54850.859999999942</v>
      </c>
      <c r="V636" s="30">
        <v>92201.699999999968</v>
      </c>
      <c r="W636" s="30">
        <v>55381.206361913552</v>
      </c>
      <c r="X636" s="30">
        <v>110642.03999999995</v>
      </c>
      <c r="Y636" s="30">
        <v>57727.661191728483</v>
      </c>
      <c r="Z636" s="30">
        <v>0</v>
      </c>
      <c r="AA636" s="30">
        <v>0</v>
      </c>
      <c r="AB636" s="34">
        <v>1</v>
      </c>
      <c r="AC636" s="34">
        <v>1</v>
      </c>
      <c r="AD636" s="34">
        <v>0.98363227705153655</v>
      </c>
      <c r="AE636" s="34">
        <v>0.97000000000000008</v>
      </c>
      <c r="AF636" s="34">
        <v>0.97000000000000008</v>
      </c>
      <c r="AG636" s="34">
        <v>0.9</v>
      </c>
      <c r="AH636" s="34">
        <v>0</v>
      </c>
      <c r="AI636" s="37">
        <f t="shared" si="85"/>
        <v>50446.27</v>
      </c>
      <c r="AJ636" s="37">
        <f t="shared" si="86"/>
        <v>97760.489999999991</v>
      </c>
      <c r="AK636" s="37">
        <f t="shared" si="87"/>
        <v>89824.069999999992</v>
      </c>
      <c r="AL636" s="37">
        <f t="shared" si="88"/>
        <v>133590.66402333978</v>
      </c>
      <c r="AM636" s="37">
        <f t="shared" si="89"/>
        <v>89435.648999999976</v>
      </c>
      <c r="AN636" s="37">
        <f t="shared" si="90"/>
        <v>99577.835999999952</v>
      </c>
      <c r="AO636" s="37">
        <f t="shared" si="91"/>
        <v>0</v>
      </c>
    </row>
    <row r="637" spans="1:41" hidden="1" x14ac:dyDescent="0.3">
      <c r="A637" t="str">
        <f t="shared" si="94"/>
        <v>903nov</v>
      </c>
      <c r="B637" t="str">
        <f t="shared" si="95"/>
        <v>MODULO 2118nov</v>
      </c>
      <c r="C637" s="1" t="s">
        <v>93</v>
      </c>
      <c r="D637" s="1" t="s">
        <v>37</v>
      </c>
      <c r="E637" s="1">
        <v>903</v>
      </c>
      <c r="F637" s="1" t="s">
        <v>119</v>
      </c>
      <c r="G637" s="1" t="s">
        <v>119</v>
      </c>
      <c r="H637" s="1" t="s">
        <v>119</v>
      </c>
      <c r="I637" s="1" t="s">
        <v>93</v>
      </c>
      <c r="J637" s="1" t="s">
        <v>93</v>
      </c>
      <c r="K637" t="s">
        <v>90</v>
      </c>
      <c r="L637" s="6">
        <v>63460.84</v>
      </c>
      <c r="M637" s="6">
        <v>34348.369999999995</v>
      </c>
      <c r="N637" s="6">
        <v>81165.51999999999</v>
      </c>
      <c r="O637" s="6">
        <v>47961.229999999989</v>
      </c>
      <c r="P637" s="6">
        <v>112387</v>
      </c>
      <c r="Q637" s="6">
        <v>59823</v>
      </c>
      <c r="R637" s="6">
        <v>140000</v>
      </c>
      <c r="S637" s="6">
        <v>69412</v>
      </c>
      <c r="T637" s="6">
        <v>68422</v>
      </c>
      <c r="U637" s="6">
        <v>34888.377800000002</v>
      </c>
      <c r="V637" s="30">
        <v>70274.508702975858</v>
      </c>
      <c r="W637" s="30">
        <v>42164.705221785516</v>
      </c>
      <c r="X637" s="30">
        <v>84329.410443571018</v>
      </c>
      <c r="Y637" s="30">
        <v>43200.360825390613</v>
      </c>
      <c r="Z637" s="30">
        <v>0</v>
      </c>
      <c r="AA637" s="30">
        <v>0</v>
      </c>
      <c r="AB637" s="34">
        <v>1</v>
      </c>
      <c r="AC637" s="34">
        <v>1</v>
      </c>
      <c r="AD637" s="34">
        <v>0.98363227705153655</v>
      </c>
      <c r="AE637" s="34">
        <v>0.97</v>
      </c>
      <c r="AF637" s="34">
        <v>0.97</v>
      </c>
      <c r="AG637" s="34">
        <v>0.70000000000000007</v>
      </c>
      <c r="AH637" s="34">
        <v>0</v>
      </c>
      <c r="AI637" s="37">
        <f t="shared" si="85"/>
        <v>63460.84</v>
      </c>
      <c r="AJ637" s="37">
        <f t="shared" si="86"/>
        <v>81165.51999999999</v>
      </c>
      <c r="AK637" s="37">
        <f t="shared" si="87"/>
        <v>67302.087660420235</v>
      </c>
      <c r="AL637" s="37">
        <f t="shared" si="88"/>
        <v>135800</v>
      </c>
      <c r="AM637" s="37">
        <f t="shared" si="89"/>
        <v>68166.273441886588</v>
      </c>
      <c r="AN637" s="37">
        <f t="shared" si="90"/>
        <v>59030.587310499715</v>
      </c>
      <c r="AO637" s="37">
        <f t="shared" si="91"/>
        <v>0</v>
      </c>
    </row>
    <row r="638" spans="1:41" hidden="1" x14ac:dyDescent="0.3">
      <c r="A638" t="str">
        <f t="shared" si="94"/>
        <v>903dic</v>
      </c>
      <c r="B638" t="str">
        <f t="shared" si="95"/>
        <v>MODULO 2118dic</v>
      </c>
      <c r="C638" s="1" t="s">
        <v>93</v>
      </c>
      <c r="D638" s="1" t="s">
        <v>37</v>
      </c>
      <c r="E638" s="1">
        <v>903</v>
      </c>
      <c r="F638" s="1" t="s">
        <v>119</v>
      </c>
      <c r="G638" s="1" t="s">
        <v>119</v>
      </c>
      <c r="H638" s="1" t="s">
        <v>119</v>
      </c>
      <c r="I638" s="1" t="s">
        <v>93</v>
      </c>
      <c r="J638" s="1" t="s">
        <v>93</v>
      </c>
      <c r="K638" t="s">
        <v>91</v>
      </c>
      <c r="L638" s="6">
        <v>102289.91</v>
      </c>
      <c r="M638" s="6">
        <v>56479</v>
      </c>
      <c r="N638" s="6">
        <v>101278.61000000002</v>
      </c>
      <c r="O638" s="6">
        <v>58705.14</v>
      </c>
      <c r="P638" s="6">
        <v>103193</v>
      </c>
      <c r="Q638" s="6">
        <v>69119</v>
      </c>
      <c r="R638" s="6">
        <v>155000</v>
      </c>
      <c r="S638" s="6">
        <v>79856</v>
      </c>
      <c r="T638" s="6">
        <v>160526.32</v>
      </c>
      <c r="U638" s="6">
        <v>81852.370568000013</v>
      </c>
      <c r="V638" s="30">
        <v>155000</v>
      </c>
      <c r="W638" s="30">
        <v>84634.443970634311</v>
      </c>
      <c r="X638" s="30">
        <v>185999.99999999997</v>
      </c>
      <c r="Y638" s="30">
        <v>97045.797254474921</v>
      </c>
      <c r="Z638" s="30">
        <v>0</v>
      </c>
      <c r="AA638" s="30">
        <v>0</v>
      </c>
      <c r="AB638" s="34">
        <v>1</v>
      </c>
      <c r="AC638" s="34">
        <v>1</v>
      </c>
      <c r="AD638" s="34">
        <v>0.98363227705153655</v>
      </c>
      <c r="AE638" s="34">
        <v>0.97</v>
      </c>
      <c r="AF638" s="34">
        <v>0.97</v>
      </c>
      <c r="AG638" s="34">
        <v>0.9</v>
      </c>
      <c r="AH638" s="34">
        <v>0</v>
      </c>
      <c r="AI638" s="37">
        <f t="shared" si="85"/>
        <v>102289.91</v>
      </c>
      <c r="AJ638" s="37">
        <f t="shared" si="86"/>
        <v>101278.61000000002</v>
      </c>
      <c r="AK638" s="37">
        <f t="shared" si="87"/>
        <v>157898.86966830361</v>
      </c>
      <c r="AL638" s="37">
        <f t="shared" si="88"/>
        <v>150350</v>
      </c>
      <c r="AM638" s="37">
        <f t="shared" si="89"/>
        <v>150350</v>
      </c>
      <c r="AN638" s="37">
        <f t="shared" si="90"/>
        <v>167399.99999999997</v>
      </c>
      <c r="AO638" s="37">
        <f t="shared" si="91"/>
        <v>0</v>
      </c>
    </row>
    <row r="639" spans="1:41" hidden="1" x14ac:dyDescent="0.3">
      <c r="A639" t="str">
        <f t="shared" si="94"/>
        <v>901ene</v>
      </c>
      <c r="B639" t="str">
        <f t="shared" si="95"/>
        <v>MODULO 5007ene</v>
      </c>
      <c r="C639" s="1" t="s">
        <v>93</v>
      </c>
      <c r="D639" s="1" t="s">
        <v>38</v>
      </c>
      <c r="E639" s="1">
        <v>901</v>
      </c>
      <c r="F639" s="1" t="s">
        <v>122</v>
      </c>
      <c r="G639" s="1" t="s">
        <v>122</v>
      </c>
      <c r="H639" s="1" t="s">
        <v>122</v>
      </c>
      <c r="I639" s="1" t="s">
        <v>93</v>
      </c>
      <c r="J639" s="1" t="s">
        <v>93</v>
      </c>
      <c r="K639" t="s">
        <v>80</v>
      </c>
      <c r="L639" s="6">
        <v>45357.140000000014</v>
      </c>
      <c r="M639" s="6">
        <v>27637.020000000015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30">
        <v>0</v>
      </c>
      <c r="W639" s="30">
        <v>0</v>
      </c>
      <c r="X639" s="30">
        <v>0</v>
      </c>
      <c r="Y639" s="30">
        <v>0</v>
      </c>
      <c r="Z639" s="30">
        <v>0</v>
      </c>
      <c r="AA639" s="30">
        <v>0</v>
      </c>
      <c r="AB639" s="34">
        <v>1</v>
      </c>
      <c r="AC639" s="34">
        <v>0</v>
      </c>
      <c r="AD639" s="34">
        <v>0</v>
      </c>
      <c r="AE639" s="34">
        <v>0</v>
      </c>
      <c r="AF639" s="34">
        <v>0</v>
      </c>
      <c r="AG639" s="34">
        <v>0</v>
      </c>
      <c r="AH639" s="34">
        <v>0</v>
      </c>
      <c r="AI639" s="37">
        <f t="shared" si="85"/>
        <v>45357.140000000014</v>
      </c>
      <c r="AJ639" s="37">
        <f t="shared" si="86"/>
        <v>0</v>
      </c>
      <c r="AK639" s="37">
        <f t="shared" si="87"/>
        <v>0</v>
      </c>
      <c r="AL639" s="37">
        <f t="shared" si="88"/>
        <v>0</v>
      </c>
      <c r="AM639" s="37">
        <f t="shared" si="89"/>
        <v>0</v>
      </c>
      <c r="AN639" s="37">
        <f t="shared" si="90"/>
        <v>0</v>
      </c>
      <c r="AO639" s="37">
        <f t="shared" si="91"/>
        <v>0</v>
      </c>
    </row>
    <row r="640" spans="1:41" hidden="1" x14ac:dyDescent="0.3">
      <c r="A640" t="str">
        <f t="shared" si="94"/>
        <v>901feb</v>
      </c>
      <c r="B640" t="str">
        <f t="shared" si="95"/>
        <v>MODULO 5007feb</v>
      </c>
      <c r="C640" s="1" t="s">
        <v>93</v>
      </c>
      <c r="D640" s="1" t="s">
        <v>38</v>
      </c>
      <c r="E640" s="1">
        <v>901</v>
      </c>
      <c r="F640" s="1" t="s">
        <v>122</v>
      </c>
      <c r="G640" s="1" t="s">
        <v>122</v>
      </c>
      <c r="H640" s="1" t="s">
        <v>122</v>
      </c>
      <c r="I640" s="1" t="s">
        <v>93</v>
      </c>
      <c r="J640" s="1" t="s">
        <v>93</v>
      </c>
      <c r="K640" t="s">
        <v>81</v>
      </c>
      <c r="L640" s="6">
        <v>32569.829999999994</v>
      </c>
      <c r="M640" s="6">
        <v>19483.969999999994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30">
        <v>0</v>
      </c>
      <c r="W640" s="30">
        <v>0</v>
      </c>
      <c r="X640" s="30">
        <v>0</v>
      </c>
      <c r="Y640" s="30">
        <v>0</v>
      </c>
      <c r="Z640" s="30">
        <v>0</v>
      </c>
      <c r="AA640" s="30">
        <v>0</v>
      </c>
      <c r="AB640" s="34">
        <v>1</v>
      </c>
      <c r="AC640" s="34">
        <v>0</v>
      </c>
      <c r="AD640" s="34">
        <v>0</v>
      </c>
      <c r="AE640" s="34">
        <v>0</v>
      </c>
      <c r="AF640" s="34">
        <v>0</v>
      </c>
      <c r="AG640" s="34">
        <v>0</v>
      </c>
      <c r="AH640" s="34">
        <v>0</v>
      </c>
      <c r="AI640" s="37">
        <f t="shared" si="85"/>
        <v>32569.829999999994</v>
      </c>
      <c r="AJ640" s="37">
        <f t="shared" si="86"/>
        <v>0</v>
      </c>
      <c r="AK640" s="37">
        <f t="shared" si="87"/>
        <v>0</v>
      </c>
      <c r="AL640" s="37">
        <f t="shared" si="88"/>
        <v>0</v>
      </c>
      <c r="AM640" s="37">
        <f t="shared" si="89"/>
        <v>0</v>
      </c>
      <c r="AN640" s="37">
        <f t="shared" si="90"/>
        <v>0</v>
      </c>
      <c r="AO640" s="37">
        <f t="shared" si="91"/>
        <v>0</v>
      </c>
    </row>
    <row r="641" spans="1:41" hidden="1" x14ac:dyDescent="0.3">
      <c r="A641" t="str">
        <f t="shared" si="94"/>
        <v>901mar</v>
      </c>
      <c r="B641" t="str">
        <f t="shared" si="95"/>
        <v>MODULO 5007mar</v>
      </c>
      <c r="C641" s="1" t="s">
        <v>93</v>
      </c>
      <c r="D641" s="1" t="s">
        <v>38</v>
      </c>
      <c r="E641" s="1">
        <v>901</v>
      </c>
      <c r="F641" s="1" t="s">
        <v>122</v>
      </c>
      <c r="G641" s="1" t="s">
        <v>122</v>
      </c>
      <c r="H641" s="1" t="s">
        <v>122</v>
      </c>
      <c r="I641" s="1" t="s">
        <v>93</v>
      </c>
      <c r="J641" s="1" t="s">
        <v>93</v>
      </c>
      <c r="K641" t="s">
        <v>82</v>
      </c>
      <c r="L641" s="6">
        <v>27554.539999999994</v>
      </c>
      <c r="M641" s="6">
        <v>16436.939999999995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30">
        <v>0</v>
      </c>
      <c r="W641" s="30">
        <v>0</v>
      </c>
      <c r="X641" s="30">
        <v>0</v>
      </c>
      <c r="Y641" s="30">
        <v>0</v>
      </c>
      <c r="Z641" s="30"/>
      <c r="AA641" s="30"/>
      <c r="AB641" s="34">
        <v>1</v>
      </c>
      <c r="AC641" s="34">
        <v>0</v>
      </c>
      <c r="AD641" s="34">
        <v>0</v>
      </c>
      <c r="AE641" s="34">
        <v>0</v>
      </c>
      <c r="AF641" s="34">
        <v>0</v>
      </c>
      <c r="AG641" s="34">
        <v>0</v>
      </c>
      <c r="AH641" s="34">
        <v>0</v>
      </c>
      <c r="AI641" s="37">
        <f t="shared" si="85"/>
        <v>27554.539999999994</v>
      </c>
      <c r="AJ641" s="37">
        <f t="shared" si="86"/>
        <v>0</v>
      </c>
      <c r="AK641" s="37">
        <f t="shared" si="87"/>
        <v>0</v>
      </c>
      <c r="AL641" s="37">
        <f t="shared" si="88"/>
        <v>0</v>
      </c>
      <c r="AM641" s="37">
        <f t="shared" si="89"/>
        <v>0</v>
      </c>
      <c r="AN641" s="37">
        <f t="shared" si="90"/>
        <v>0</v>
      </c>
      <c r="AO641" s="37">
        <f t="shared" si="91"/>
        <v>0</v>
      </c>
    </row>
    <row r="642" spans="1:41" hidden="1" x14ac:dyDescent="0.3">
      <c r="A642" t="str">
        <f t="shared" si="94"/>
        <v>901abr</v>
      </c>
      <c r="B642" t="str">
        <f t="shared" si="95"/>
        <v>MODULO 5007abr</v>
      </c>
      <c r="C642" s="1" t="s">
        <v>93</v>
      </c>
      <c r="D642" s="1" t="s">
        <v>38</v>
      </c>
      <c r="E642" s="1">
        <v>901</v>
      </c>
      <c r="F642" s="1" t="s">
        <v>122</v>
      </c>
      <c r="G642" s="1" t="s">
        <v>122</v>
      </c>
      <c r="H642" s="1" t="s">
        <v>122</v>
      </c>
      <c r="I642" s="1" t="s">
        <v>93</v>
      </c>
      <c r="J642" s="1" t="s">
        <v>93</v>
      </c>
      <c r="K642" t="s">
        <v>83</v>
      </c>
      <c r="L642" s="6">
        <v>29315.329999999998</v>
      </c>
      <c r="M642" s="6">
        <v>17314.21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4">
        <v>1</v>
      </c>
      <c r="AC642" s="34">
        <v>0</v>
      </c>
      <c r="AD642" s="34">
        <v>0</v>
      </c>
      <c r="AE642" s="34">
        <v>0</v>
      </c>
      <c r="AF642" s="34">
        <v>0</v>
      </c>
      <c r="AG642" s="34">
        <v>0</v>
      </c>
      <c r="AH642" s="34">
        <v>0</v>
      </c>
      <c r="AI642" s="37">
        <f t="shared" si="85"/>
        <v>29315.329999999998</v>
      </c>
      <c r="AJ642" s="37">
        <f t="shared" si="86"/>
        <v>0</v>
      </c>
      <c r="AK642" s="37">
        <f t="shared" si="87"/>
        <v>0</v>
      </c>
      <c r="AL642" s="37">
        <f t="shared" si="88"/>
        <v>0</v>
      </c>
      <c r="AM642" s="37">
        <f t="shared" si="89"/>
        <v>0</v>
      </c>
      <c r="AN642" s="37">
        <f t="shared" si="90"/>
        <v>0</v>
      </c>
      <c r="AO642" s="37">
        <f t="shared" si="91"/>
        <v>0</v>
      </c>
    </row>
    <row r="643" spans="1:41" hidden="1" x14ac:dyDescent="0.3">
      <c r="A643" t="str">
        <f t="shared" si="94"/>
        <v>901may</v>
      </c>
      <c r="B643" t="str">
        <f t="shared" si="95"/>
        <v>MODULO 5007may</v>
      </c>
      <c r="C643" s="1" t="s">
        <v>93</v>
      </c>
      <c r="D643" s="1" t="s">
        <v>38</v>
      </c>
      <c r="E643" s="1">
        <v>901</v>
      </c>
      <c r="F643" s="1" t="s">
        <v>122</v>
      </c>
      <c r="G643" s="1" t="s">
        <v>122</v>
      </c>
      <c r="H643" s="1" t="s">
        <v>122</v>
      </c>
      <c r="I643" s="1" t="s">
        <v>93</v>
      </c>
      <c r="J643" s="1" t="s">
        <v>93</v>
      </c>
      <c r="K643" t="s">
        <v>84</v>
      </c>
      <c r="L643" s="6">
        <v>9259.5800000000036</v>
      </c>
      <c r="M643" s="6">
        <v>5592.0100000000029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30">
        <v>0</v>
      </c>
      <c r="W643" s="30">
        <v>0</v>
      </c>
      <c r="X643" s="30">
        <v>0</v>
      </c>
      <c r="Y643" s="30">
        <v>0</v>
      </c>
      <c r="Z643" s="30">
        <v>0</v>
      </c>
      <c r="AA643" s="30">
        <v>0</v>
      </c>
      <c r="AB643" s="34">
        <v>1</v>
      </c>
      <c r="AC643" s="34">
        <v>0</v>
      </c>
      <c r="AD643" s="34">
        <v>0</v>
      </c>
      <c r="AE643" s="34">
        <v>0</v>
      </c>
      <c r="AF643" s="34">
        <v>0</v>
      </c>
      <c r="AG643" s="34">
        <v>0</v>
      </c>
      <c r="AH643" s="34">
        <v>0</v>
      </c>
      <c r="AI643" s="37">
        <f t="shared" si="85"/>
        <v>9259.5800000000036</v>
      </c>
      <c r="AJ643" s="37">
        <f t="shared" si="86"/>
        <v>0</v>
      </c>
      <c r="AK643" s="37">
        <f t="shared" si="87"/>
        <v>0</v>
      </c>
      <c r="AL643" s="37">
        <f t="shared" si="88"/>
        <v>0</v>
      </c>
      <c r="AM643" s="37">
        <f t="shared" si="89"/>
        <v>0</v>
      </c>
      <c r="AN643" s="37">
        <f t="shared" si="90"/>
        <v>0</v>
      </c>
      <c r="AO643" s="37">
        <f t="shared" si="91"/>
        <v>0</v>
      </c>
    </row>
    <row r="644" spans="1:41" hidden="1" x14ac:dyDescent="0.3">
      <c r="A644" t="str">
        <f t="shared" si="94"/>
        <v>902ene</v>
      </c>
      <c r="B644" t="str">
        <f t="shared" si="95"/>
        <v>MODULO 7126ene</v>
      </c>
      <c r="C644" s="1" t="s">
        <v>93</v>
      </c>
      <c r="D644" s="1" t="s">
        <v>39</v>
      </c>
      <c r="E644" s="1">
        <v>902</v>
      </c>
      <c r="F644" s="1" t="s">
        <v>122</v>
      </c>
      <c r="G644" s="1" t="s">
        <v>122</v>
      </c>
      <c r="H644" s="1" t="s">
        <v>122</v>
      </c>
      <c r="I644" s="1" t="s">
        <v>93</v>
      </c>
      <c r="J644" s="1" t="s">
        <v>93</v>
      </c>
      <c r="K644" t="s">
        <v>80</v>
      </c>
      <c r="L644" s="6">
        <v>30825.049999999988</v>
      </c>
      <c r="M644" s="6">
        <v>16953.499999999985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30">
        <v>0</v>
      </c>
      <c r="W644" s="30">
        <v>0</v>
      </c>
      <c r="X644" s="30">
        <v>0</v>
      </c>
      <c r="Y644" s="30">
        <v>0</v>
      </c>
      <c r="Z644" s="30">
        <v>0</v>
      </c>
      <c r="AA644" s="30">
        <v>0</v>
      </c>
      <c r="AB644" s="34">
        <v>1</v>
      </c>
      <c r="AC644" s="34">
        <v>0</v>
      </c>
      <c r="AD644" s="34">
        <v>0</v>
      </c>
      <c r="AE644" s="34">
        <v>0</v>
      </c>
      <c r="AF644" s="34">
        <v>0</v>
      </c>
      <c r="AG644" s="34">
        <v>0</v>
      </c>
      <c r="AH644" s="34">
        <v>0</v>
      </c>
      <c r="AI644" s="37">
        <f t="shared" si="85"/>
        <v>30825.049999999988</v>
      </c>
      <c r="AJ644" s="37">
        <f t="shared" si="86"/>
        <v>0</v>
      </c>
      <c r="AK644" s="37">
        <f t="shared" si="87"/>
        <v>0</v>
      </c>
      <c r="AL644" s="37">
        <f t="shared" si="88"/>
        <v>0</v>
      </c>
      <c r="AM644" s="37">
        <f t="shared" si="89"/>
        <v>0</v>
      </c>
      <c r="AN644" s="37">
        <f t="shared" si="90"/>
        <v>0</v>
      </c>
      <c r="AO644" s="37">
        <f t="shared" si="91"/>
        <v>0</v>
      </c>
    </row>
    <row r="645" spans="1:41" hidden="1" x14ac:dyDescent="0.3">
      <c r="A645" t="str">
        <f t="shared" si="94"/>
        <v>902feb</v>
      </c>
      <c r="B645" t="str">
        <f t="shared" si="95"/>
        <v>MODULO 7126feb</v>
      </c>
      <c r="C645" s="1" t="s">
        <v>93</v>
      </c>
      <c r="D645" s="1" t="s">
        <v>39</v>
      </c>
      <c r="E645" s="1">
        <v>902</v>
      </c>
      <c r="F645" s="1" t="s">
        <v>122</v>
      </c>
      <c r="G645" s="1" t="s">
        <v>122</v>
      </c>
      <c r="H645" s="1" t="s">
        <v>122</v>
      </c>
      <c r="I645" s="1" t="s">
        <v>93</v>
      </c>
      <c r="J645" s="1" t="s">
        <v>93</v>
      </c>
      <c r="K645" t="s">
        <v>81</v>
      </c>
      <c r="L645" s="6">
        <v>24511.15</v>
      </c>
      <c r="M645" s="6">
        <v>13595.120000000003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30">
        <v>0</v>
      </c>
      <c r="W645" s="30">
        <v>0</v>
      </c>
      <c r="X645" s="30">
        <v>0</v>
      </c>
      <c r="Y645" s="30">
        <v>0</v>
      </c>
      <c r="Z645" s="30">
        <v>0</v>
      </c>
      <c r="AA645" s="30">
        <v>0</v>
      </c>
      <c r="AB645" s="34">
        <v>1</v>
      </c>
      <c r="AC645" s="34">
        <v>0</v>
      </c>
      <c r="AD645" s="34">
        <v>0</v>
      </c>
      <c r="AE645" s="34">
        <v>0</v>
      </c>
      <c r="AF645" s="34">
        <v>0</v>
      </c>
      <c r="AG645" s="34">
        <v>0</v>
      </c>
      <c r="AH645" s="34">
        <v>0</v>
      </c>
      <c r="AI645" s="37">
        <f t="shared" ref="AI645:AI708" si="96">L645*AB645</f>
        <v>24511.15</v>
      </c>
      <c r="AJ645" s="37">
        <f t="shared" ref="AJ645:AJ708" si="97">N645*AC645</f>
        <v>0</v>
      </c>
      <c r="AK645" s="37">
        <f t="shared" ref="AK645:AK708" si="98">T645*AD645</f>
        <v>0</v>
      </c>
      <c r="AL645" s="37">
        <f t="shared" ref="AL645:AL708" si="99">R645*AE645</f>
        <v>0</v>
      </c>
      <c r="AM645" s="37">
        <f t="shared" ref="AM645:AM708" si="100">V645*AF645</f>
        <v>0</v>
      </c>
      <c r="AN645" s="37">
        <f t="shared" ref="AN645:AN708" si="101">X645*AG645</f>
        <v>0</v>
      </c>
      <c r="AO645" s="37">
        <f t="shared" ref="AO645:AO708" si="102">Z645*AH645</f>
        <v>0</v>
      </c>
    </row>
    <row r="646" spans="1:41" hidden="1" x14ac:dyDescent="0.3">
      <c r="A646" t="str">
        <f t="shared" si="94"/>
        <v>902mar</v>
      </c>
      <c r="B646" t="str">
        <f t="shared" si="95"/>
        <v>MODULO 7126mar</v>
      </c>
      <c r="C646" s="1" t="s">
        <v>93</v>
      </c>
      <c r="D646" s="1" t="s">
        <v>39</v>
      </c>
      <c r="E646" s="1">
        <v>902</v>
      </c>
      <c r="F646" s="1" t="s">
        <v>122</v>
      </c>
      <c r="G646" s="1" t="s">
        <v>122</v>
      </c>
      <c r="H646" s="1" t="s">
        <v>122</v>
      </c>
      <c r="I646" s="1" t="s">
        <v>93</v>
      </c>
      <c r="J646" s="1" t="s">
        <v>93</v>
      </c>
      <c r="K646" t="s">
        <v>82</v>
      </c>
      <c r="L646" s="6">
        <v>17978.5</v>
      </c>
      <c r="M646" s="6">
        <v>9529.25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30">
        <v>0</v>
      </c>
      <c r="W646" s="30">
        <v>0</v>
      </c>
      <c r="X646" s="30">
        <v>0</v>
      </c>
      <c r="Y646" s="30">
        <v>0</v>
      </c>
      <c r="Z646" s="30"/>
      <c r="AA646" s="30"/>
      <c r="AB646" s="34">
        <v>1</v>
      </c>
      <c r="AC646" s="34">
        <v>0</v>
      </c>
      <c r="AD646" s="34">
        <v>0</v>
      </c>
      <c r="AE646" s="34">
        <v>0</v>
      </c>
      <c r="AF646" s="34">
        <v>0</v>
      </c>
      <c r="AG646" s="34">
        <v>0</v>
      </c>
      <c r="AH646" s="34">
        <v>0</v>
      </c>
      <c r="AI646" s="37">
        <f t="shared" si="96"/>
        <v>17978.5</v>
      </c>
      <c r="AJ646" s="37">
        <f t="shared" si="97"/>
        <v>0</v>
      </c>
      <c r="AK646" s="37">
        <f t="shared" si="98"/>
        <v>0</v>
      </c>
      <c r="AL646" s="37">
        <f t="shared" si="99"/>
        <v>0</v>
      </c>
      <c r="AM646" s="37">
        <f t="shared" si="100"/>
        <v>0</v>
      </c>
      <c r="AN646" s="37">
        <f t="shared" si="101"/>
        <v>0</v>
      </c>
      <c r="AO646" s="37">
        <f t="shared" si="102"/>
        <v>0</v>
      </c>
    </row>
    <row r="647" spans="1:41" hidden="1" x14ac:dyDescent="0.3">
      <c r="A647" t="str">
        <f t="shared" si="94"/>
        <v>902abr</v>
      </c>
      <c r="B647" t="str">
        <f t="shared" si="95"/>
        <v>MODULO 7126abr</v>
      </c>
      <c r="C647" s="1" t="s">
        <v>93</v>
      </c>
      <c r="D647" s="1" t="s">
        <v>39</v>
      </c>
      <c r="E647" s="1">
        <v>902</v>
      </c>
      <c r="F647" s="1" t="s">
        <v>122</v>
      </c>
      <c r="G647" s="1" t="s">
        <v>122</v>
      </c>
      <c r="H647" s="1" t="s">
        <v>122</v>
      </c>
      <c r="I647" s="1" t="s">
        <v>93</v>
      </c>
      <c r="J647" s="1" t="s">
        <v>93</v>
      </c>
      <c r="K647" t="s">
        <v>83</v>
      </c>
      <c r="L647" s="6">
        <v>18304.62</v>
      </c>
      <c r="M647" s="6">
        <v>9673.9599999999991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30">
        <v>0</v>
      </c>
      <c r="W647" s="30">
        <v>0</v>
      </c>
      <c r="X647" s="30">
        <v>0</v>
      </c>
      <c r="Y647" s="30">
        <v>0</v>
      </c>
      <c r="Z647" s="30">
        <v>0</v>
      </c>
      <c r="AA647" s="30">
        <v>0</v>
      </c>
      <c r="AB647" s="34">
        <v>1</v>
      </c>
      <c r="AC647" s="34">
        <v>0</v>
      </c>
      <c r="AD647" s="34">
        <v>0</v>
      </c>
      <c r="AE647" s="34">
        <v>0</v>
      </c>
      <c r="AF647" s="34">
        <v>0</v>
      </c>
      <c r="AG647" s="34">
        <v>0</v>
      </c>
      <c r="AH647" s="34">
        <v>0</v>
      </c>
      <c r="AI647" s="37">
        <f t="shared" si="96"/>
        <v>18304.62</v>
      </c>
      <c r="AJ647" s="37">
        <f t="shared" si="97"/>
        <v>0</v>
      </c>
      <c r="AK647" s="37">
        <f t="shared" si="98"/>
        <v>0</v>
      </c>
      <c r="AL647" s="37">
        <f t="shared" si="99"/>
        <v>0</v>
      </c>
      <c r="AM647" s="37">
        <f t="shared" si="100"/>
        <v>0</v>
      </c>
      <c r="AN647" s="37">
        <f t="shared" si="101"/>
        <v>0</v>
      </c>
      <c r="AO647" s="37">
        <f t="shared" si="102"/>
        <v>0</v>
      </c>
    </row>
    <row r="648" spans="1:41" hidden="1" x14ac:dyDescent="0.3">
      <c r="A648" t="str">
        <f t="shared" si="94"/>
        <v>902may</v>
      </c>
      <c r="B648" t="str">
        <f t="shared" si="95"/>
        <v>MODULO 7126may</v>
      </c>
      <c r="C648" s="2" t="s">
        <v>93</v>
      </c>
      <c r="D648" s="1" t="s">
        <v>39</v>
      </c>
      <c r="E648" s="1">
        <v>902</v>
      </c>
      <c r="F648" s="1" t="s">
        <v>122</v>
      </c>
      <c r="G648" s="1" t="s">
        <v>122</v>
      </c>
      <c r="H648" s="1" t="s">
        <v>122</v>
      </c>
      <c r="I648" s="1" t="s">
        <v>93</v>
      </c>
      <c r="J648" s="1" t="s">
        <v>93</v>
      </c>
      <c r="K648" t="s">
        <v>84</v>
      </c>
      <c r="L648" s="6">
        <v>3260.7799999999997</v>
      </c>
      <c r="M648" s="6">
        <v>1833.2299999999998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30">
        <v>0</v>
      </c>
      <c r="W648" s="30">
        <v>0</v>
      </c>
      <c r="X648" s="30">
        <v>0</v>
      </c>
      <c r="Y648" s="30">
        <v>0</v>
      </c>
      <c r="Z648" s="30">
        <v>0</v>
      </c>
      <c r="AA648" s="30">
        <v>0</v>
      </c>
      <c r="AB648" s="34">
        <v>1</v>
      </c>
      <c r="AC648" s="34">
        <v>0</v>
      </c>
      <c r="AD648" s="34">
        <v>0</v>
      </c>
      <c r="AE648" s="34">
        <v>0</v>
      </c>
      <c r="AF648" s="34">
        <v>0</v>
      </c>
      <c r="AG648" s="34">
        <v>0</v>
      </c>
      <c r="AH648" s="34">
        <v>0</v>
      </c>
      <c r="AI648" s="37">
        <f t="shared" si="96"/>
        <v>3260.7799999999997</v>
      </c>
      <c r="AJ648" s="37">
        <f t="shared" si="97"/>
        <v>0</v>
      </c>
      <c r="AK648" s="37">
        <f t="shared" si="98"/>
        <v>0</v>
      </c>
      <c r="AL648" s="37">
        <f t="shared" si="99"/>
        <v>0</v>
      </c>
      <c r="AM648" s="37">
        <f t="shared" si="100"/>
        <v>0</v>
      </c>
      <c r="AN648" s="37">
        <f t="shared" si="101"/>
        <v>0</v>
      </c>
      <c r="AO648" s="37">
        <f t="shared" si="102"/>
        <v>0</v>
      </c>
    </row>
    <row r="649" spans="1:41" hidden="1" x14ac:dyDescent="0.3">
      <c r="A649" t="str">
        <f t="shared" si="94"/>
        <v>K-BALLIVIANene</v>
      </c>
      <c r="B649" t="str">
        <f t="shared" si="95"/>
        <v>KIDS BALLIVIANene</v>
      </c>
      <c r="C649" s="1" t="s">
        <v>94</v>
      </c>
      <c r="D649" s="1" t="s">
        <v>21</v>
      </c>
      <c r="E649" s="1" t="s">
        <v>112</v>
      </c>
      <c r="F649" s="1" t="s">
        <v>121</v>
      </c>
      <c r="G649" s="1" t="s">
        <v>121</v>
      </c>
      <c r="H649" s="1" t="s">
        <v>303</v>
      </c>
      <c r="I649" s="1" t="s">
        <v>124</v>
      </c>
      <c r="J649" s="1" t="s">
        <v>137</v>
      </c>
      <c r="K649" t="s">
        <v>80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30">
        <v>0</v>
      </c>
      <c r="W649" s="30">
        <v>0</v>
      </c>
      <c r="X649" s="30">
        <v>0</v>
      </c>
      <c r="Y649" s="30">
        <v>0</v>
      </c>
      <c r="Z649" s="30">
        <v>0</v>
      </c>
      <c r="AA649" s="30">
        <v>0</v>
      </c>
      <c r="AB649" s="34">
        <v>0</v>
      </c>
      <c r="AC649" s="34">
        <v>0</v>
      </c>
      <c r="AD649" s="34">
        <v>0</v>
      </c>
      <c r="AE649" s="34">
        <v>0</v>
      </c>
      <c r="AF649" s="34">
        <v>0</v>
      </c>
      <c r="AG649" s="34">
        <v>0</v>
      </c>
      <c r="AH649" s="34">
        <v>0</v>
      </c>
      <c r="AI649" s="37">
        <f t="shared" si="96"/>
        <v>0</v>
      </c>
      <c r="AJ649" s="37">
        <f t="shared" si="97"/>
        <v>0</v>
      </c>
      <c r="AK649" s="37">
        <f t="shared" si="98"/>
        <v>0</v>
      </c>
      <c r="AL649" s="37">
        <f t="shared" si="99"/>
        <v>0</v>
      </c>
      <c r="AM649" s="37">
        <f t="shared" si="100"/>
        <v>0</v>
      </c>
      <c r="AN649" s="37">
        <f t="shared" si="101"/>
        <v>0</v>
      </c>
      <c r="AO649" s="37">
        <f t="shared" si="102"/>
        <v>0</v>
      </c>
    </row>
    <row r="650" spans="1:41" hidden="1" x14ac:dyDescent="0.3">
      <c r="A650" t="str">
        <f t="shared" ref="A650:A713" si="103">CONCATENATE(E650,K650)</f>
        <v>K-BALLIVIANfeb</v>
      </c>
      <c r="B650" t="str">
        <f t="shared" ref="B650:B713" si="104">CONCATENATE(D650,K650)</f>
        <v>KIDS BALLIVIANfeb</v>
      </c>
      <c r="C650" s="1" t="s">
        <v>94</v>
      </c>
      <c r="D650" s="1" t="s">
        <v>21</v>
      </c>
      <c r="E650" s="1" t="s">
        <v>112</v>
      </c>
      <c r="F650" s="1" t="s">
        <v>121</v>
      </c>
      <c r="G650" s="1" t="s">
        <v>121</v>
      </c>
      <c r="H650" s="1" t="s">
        <v>303</v>
      </c>
      <c r="I650" s="1" t="s">
        <v>124</v>
      </c>
      <c r="J650" s="1" t="s">
        <v>137</v>
      </c>
      <c r="K650" t="s">
        <v>81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30">
        <v>0</v>
      </c>
      <c r="W650" s="30">
        <v>0</v>
      </c>
      <c r="X650" s="30">
        <v>0</v>
      </c>
      <c r="Y650" s="30">
        <v>0</v>
      </c>
      <c r="Z650" s="30">
        <v>0</v>
      </c>
      <c r="AA650" s="30">
        <v>0</v>
      </c>
      <c r="AB650" s="34">
        <v>0</v>
      </c>
      <c r="AC650" s="34">
        <v>0</v>
      </c>
      <c r="AD650" s="34">
        <v>0</v>
      </c>
      <c r="AE650" s="34">
        <v>0</v>
      </c>
      <c r="AF650" s="34">
        <v>0</v>
      </c>
      <c r="AG650" s="34">
        <v>0</v>
      </c>
      <c r="AH650" s="34">
        <v>0</v>
      </c>
      <c r="AI650" s="37">
        <f t="shared" si="96"/>
        <v>0</v>
      </c>
      <c r="AJ650" s="37">
        <f t="shared" si="97"/>
        <v>0</v>
      </c>
      <c r="AK650" s="37">
        <f t="shared" si="98"/>
        <v>0</v>
      </c>
      <c r="AL650" s="37">
        <f t="shared" si="99"/>
        <v>0</v>
      </c>
      <c r="AM650" s="37">
        <f t="shared" si="100"/>
        <v>0</v>
      </c>
      <c r="AN650" s="37">
        <f t="shared" si="101"/>
        <v>0</v>
      </c>
      <c r="AO650" s="37">
        <f t="shared" si="102"/>
        <v>0</v>
      </c>
    </row>
    <row r="651" spans="1:41" hidden="1" x14ac:dyDescent="0.3">
      <c r="A651" t="str">
        <f t="shared" si="103"/>
        <v>K-BALLIVIANmar</v>
      </c>
      <c r="B651" t="str">
        <f t="shared" si="104"/>
        <v>KIDS BALLIVIANmar</v>
      </c>
      <c r="C651" s="1" t="s">
        <v>94</v>
      </c>
      <c r="D651" s="1" t="s">
        <v>21</v>
      </c>
      <c r="E651" s="1" t="s">
        <v>112</v>
      </c>
      <c r="F651" s="1" t="s">
        <v>121</v>
      </c>
      <c r="G651" s="1" t="s">
        <v>121</v>
      </c>
      <c r="H651" s="1" t="s">
        <v>303</v>
      </c>
      <c r="I651" s="1" t="s">
        <v>124</v>
      </c>
      <c r="J651" s="1" t="s">
        <v>137</v>
      </c>
      <c r="K651" t="s">
        <v>82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30">
        <v>0</v>
      </c>
      <c r="W651" s="30">
        <v>0</v>
      </c>
      <c r="X651" s="30">
        <v>0</v>
      </c>
      <c r="Y651" s="30">
        <v>0</v>
      </c>
      <c r="Z651" s="30">
        <v>0</v>
      </c>
      <c r="AA651" s="30">
        <v>0</v>
      </c>
      <c r="AB651" s="34">
        <v>0</v>
      </c>
      <c r="AC651" s="34">
        <v>0</v>
      </c>
      <c r="AD651" s="34">
        <v>0</v>
      </c>
      <c r="AE651" s="34">
        <v>0</v>
      </c>
      <c r="AF651" s="34">
        <v>0</v>
      </c>
      <c r="AG651" s="34">
        <v>0</v>
      </c>
      <c r="AH651" s="34">
        <v>0</v>
      </c>
      <c r="AI651" s="37">
        <f t="shared" si="96"/>
        <v>0</v>
      </c>
      <c r="AJ651" s="37">
        <f t="shared" si="97"/>
        <v>0</v>
      </c>
      <c r="AK651" s="37">
        <f t="shared" si="98"/>
        <v>0</v>
      </c>
      <c r="AL651" s="37">
        <f t="shared" si="99"/>
        <v>0</v>
      </c>
      <c r="AM651" s="37">
        <f t="shared" si="100"/>
        <v>0</v>
      </c>
      <c r="AN651" s="37">
        <f t="shared" si="101"/>
        <v>0</v>
      </c>
      <c r="AO651" s="37">
        <f t="shared" si="102"/>
        <v>0</v>
      </c>
    </row>
    <row r="652" spans="1:41" hidden="1" x14ac:dyDescent="0.3">
      <c r="A652" t="str">
        <f t="shared" si="103"/>
        <v>K-BALLIVIANabr</v>
      </c>
      <c r="B652" t="str">
        <f t="shared" si="104"/>
        <v>KIDS BALLIVIANabr</v>
      </c>
      <c r="C652" s="1" t="s">
        <v>94</v>
      </c>
      <c r="D652" s="1" t="s">
        <v>21</v>
      </c>
      <c r="E652" s="1" t="s">
        <v>112</v>
      </c>
      <c r="F652" s="1" t="s">
        <v>121</v>
      </c>
      <c r="G652" s="1" t="s">
        <v>121</v>
      </c>
      <c r="H652" s="1" t="s">
        <v>303</v>
      </c>
      <c r="I652" s="1" t="s">
        <v>124</v>
      </c>
      <c r="J652" s="1" t="s">
        <v>137</v>
      </c>
      <c r="K652" t="s">
        <v>83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30">
        <v>0</v>
      </c>
      <c r="W652" s="30">
        <v>0</v>
      </c>
      <c r="X652" s="30">
        <v>0</v>
      </c>
      <c r="Y652" s="30">
        <v>0</v>
      </c>
      <c r="Z652" s="30">
        <v>0</v>
      </c>
      <c r="AA652" s="30">
        <v>0</v>
      </c>
      <c r="AB652" s="34">
        <v>0</v>
      </c>
      <c r="AC652" s="34">
        <v>0</v>
      </c>
      <c r="AD652" s="34">
        <v>0</v>
      </c>
      <c r="AE652" s="34">
        <v>0</v>
      </c>
      <c r="AF652" s="34">
        <v>0</v>
      </c>
      <c r="AG652" s="34">
        <v>0</v>
      </c>
      <c r="AH652" s="34">
        <v>0</v>
      </c>
      <c r="AI652" s="37">
        <f t="shared" si="96"/>
        <v>0</v>
      </c>
      <c r="AJ652" s="37">
        <f t="shared" si="97"/>
        <v>0</v>
      </c>
      <c r="AK652" s="37">
        <f t="shared" si="98"/>
        <v>0</v>
      </c>
      <c r="AL652" s="37">
        <f t="shared" si="99"/>
        <v>0</v>
      </c>
      <c r="AM652" s="37">
        <f t="shared" si="100"/>
        <v>0</v>
      </c>
      <c r="AN652" s="37">
        <f t="shared" si="101"/>
        <v>0</v>
      </c>
      <c r="AO652" s="37">
        <f t="shared" si="102"/>
        <v>0</v>
      </c>
    </row>
    <row r="653" spans="1:41" hidden="1" x14ac:dyDescent="0.3">
      <c r="A653" t="str">
        <f t="shared" si="103"/>
        <v>K-BALLIVIANmay</v>
      </c>
      <c r="B653" t="str">
        <f t="shared" si="104"/>
        <v>KIDS BALLIVIANmay</v>
      </c>
      <c r="C653" s="1" t="s">
        <v>94</v>
      </c>
      <c r="D653" s="1" t="s">
        <v>21</v>
      </c>
      <c r="E653" s="1" t="s">
        <v>112</v>
      </c>
      <c r="F653" s="1" t="s">
        <v>121</v>
      </c>
      <c r="G653" s="1" t="s">
        <v>121</v>
      </c>
      <c r="H653" s="1" t="s">
        <v>303</v>
      </c>
      <c r="I653" s="1" t="s">
        <v>124</v>
      </c>
      <c r="J653" s="1" t="s">
        <v>137</v>
      </c>
      <c r="K653" t="s">
        <v>84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30">
        <v>0</v>
      </c>
      <c r="W653" s="30">
        <v>0</v>
      </c>
      <c r="X653" s="30">
        <v>0</v>
      </c>
      <c r="Y653" s="30">
        <v>0</v>
      </c>
      <c r="Z653" s="30">
        <v>0</v>
      </c>
      <c r="AA653" s="30">
        <v>0</v>
      </c>
      <c r="AB653" s="34">
        <v>0</v>
      </c>
      <c r="AC653" s="34">
        <v>0</v>
      </c>
      <c r="AD653" s="34">
        <v>0</v>
      </c>
      <c r="AE653" s="34">
        <v>0</v>
      </c>
      <c r="AF653" s="34">
        <v>0</v>
      </c>
      <c r="AG653" s="34">
        <v>0</v>
      </c>
      <c r="AH653" s="34">
        <v>0</v>
      </c>
      <c r="AI653" s="37">
        <f t="shared" si="96"/>
        <v>0</v>
      </c>
      <c r="AJ653" s="37">
        <f t="shared" si="97"/>
        <v>0</v>
      </c>
      <c r="AK653" s="37">
        <f t="shared" si="98"/>
        <v>0</v>
      </c>
      <c r="AL653" s="37">
        <f t="shared" si="99"/>
        <v>0</v>
      </c>
      <c r="AM653" s="37">
        <f t="shared" si="100"/>
        <v>0</v>
      </c>
      <c r="AN653" s="37">
        <f t="shared" si="101"/>
        <v>0</v>
      </c>
      <c r="AO653" s="37">
        <f t="shared" si="102"/>
        <v>0</v>
      </c>
    </row>
    <row r="654" spans="1:41" hidden="1" x14ac:dyDescent="0.3">
      <c r="A654" t="str">
        <f t="shared" si="103"/>
        <v>K-BALLIVIANjun</v>
      </c>
      <c r="B654" t="str">
        <f t="shared" si="104"/>
        <v>KIDS BALLIVIANjun</v>
      </c>
      <c r="C654" s="1" t="s">
        <v>94</v>
      </c>
      <c r="D654" s="1" t="s">
        <v>21</v>
      </c>
      <c r="E654" s="1" t="s">
        <v>112</v>
      </c>
      <c r="F654" s="1" t="s">
        <v>121</v>
      </c>
      <c r="G654" s="1" t="s">
        <v>121</v>
      </c>
      <c r="H654" s="1" t="s">
        <v>303</v>
      </c>
      <c r="I654" s="1" t="s">
        <v>124</v>
      </c>
      <c r="J654" s="1" t="s">
        <v>137</v>
      </c>
      <c r="K654" t="s">
        <v>85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30">
        <v>0</v>
      </c>
      <c r="W654" s="30">
        <v>0</v>
      </c>
      <c r="X654" s="30">
        <v>0</v>
      </c>
      <c r="Y654" s="30">
        <v>0</v>
      </c>
      <c r="Z654" s="30">
        <v>0</v>
      </c>
      <c r="AA654" s="30">
        <v>0</v>
      </c>
      <c r="AB654" s="34">
        <v>0</v>
      </c>
      <c r="AC654" s="34">
        <v>0</v>
      </c>
      <c r="AD654" s="34">
        <v>0</v>
      </c>
      <c r="AE654" s="34">
        <v>0</v>
      </c>
      <c r="AF654" s="34">
        <v>0</v>
      </c>
      <c r="AG654" s="34">
        <v>0</v>
      </c>
      <c r="AH654" s="34">
        <v>0</v>
      </c>
      <c r="AI654" s="37">
        <f t="shared" si="96"/>
        <v>0</v>
      </c>
      <c r="AJ654" s="37">
        <f t="shared" si="97"/>
        <v>0</v>
      </c>
      <c r="AK654" s="37">
        <f t="shared" si="98"/>
        <v>0</v>
      </c>
      <c r="AL654" s="37">
        <f t="shared" si="99"/>
        <v>0</v>
      </c>
      <c r="AM654" s="37">
        <f t="shared" si="100"/>
        <v>0</v>
      </c>
      <c r="AN654" s="37">
        <f t="shared" si="101"/>
        <v>0</v>
      </c>
      <c r="AO654" s="37">
        <f t="shared" si="102"/>
        <v>0</v>
      </c>
    </row>
    <row r="655" spans="1:41" hidden="1" x14ac:dyDescent="0.3">
      <c r="A655" t="str">
        <f t="shared" si="103"/>
        <v>K-BALLIVIANjul</v>
      </c>
      <c r="B655" t="str">
        <f t="shared" si="104"/>
        <v>KIDS BALLIVIANjul</v>
      </c>
      <c r="C655" s="1" t="s">
        <v>94</v>
      </c>
      <c r="D655" s="1" t="s">
        <v>21</v>
      </c>
      <c r="E655" s="1" t="s">
        <v>112</v>
      </c>
      <c r="F655" s="1" t="s">
        <v>121</v>
      </c>
      <c r="G655" s="1" t="s">
        <v>121</v>
      </c>
      <c r="H655" s="1" t="s">
        <v>303</v>
      </c>
      <c r="I655" s="1" t="s">
        <v>124</v>
      </c>
      <c r="J655" s="1" t="s">
        <v>137</v>
      </c>
      <c r="K655" t="s">
        <v>86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30">
        <v>0</v>
      </c>
      <c r="W655" s="30">
        <v>0</v>
      </c>
      <c r="X655" s="30">
        <v>27636.839999999986</v>
      </c>
      <c r="Y655" s="30">
        <v>14328.834114841478</v>
      </c>
      <c r="Z655" s="30">
        <v>0</v>
      </c>
      <c r="AA655" s="30">
        <v>0</v>
      </c>
      <c r="AB655" s="34">
        <v>0</v>
      </c>
      <c r="AC655" s="34">
        <v>0</v>
      </c>
      <c r="AD655" s="34">
        <v>0</v>
      </c>
      <c r="AE655" s="34">
        <v>0</v>
      </c>
      <c r="AF655" s="34">
        <v>0</v>
      </c>
      <c r="AG655" s="34">
        <v>0.87999999999999989</v>
      </c>
      <c r="AH655" s="34">
        <v>0</v>
      </c>
      <c r="AI655" s="37">
        <f t="shared" si="96"/>
        <v>0</v>
      </c>
      <c r="AJ655" s="37">
        <f t="shared" si="97"/>
        <v>0</v>
      </c>
      <c r="AK655" s="37">
        <f t="shared" si="98"/>
        <v>0</v>
      </c>
      <c r="AL655" s="37">
        <f t="shared" si="99"/>
        <v>0</v>
      </c>
      <c r="AM655" s="37">
        <f t="shared" si="100"/>
        <v>0</v>
      </c>
      <c r="AN655" s="37">
        <f t="shared" si="101"/>
        <v>24320.419199999986</v>
      </c>
      <c r="AO655" s="37">
        <f t="shared" si="102"/>
        <v>0</v>
      </c>
    </row>
    <row r="656" spans="1:41" hidden="1" x14ac:dyDescent="0.3">
      <c r="A656" t="str">
        <f t="shared" si="103"/>
        <v>K-BALLIVIANago</v>
      </c>
      <c r="B656" t="str">
        <f t="shared" si="104"/>
        <v>KIDS BALLIVIANago</v>
      </c>
      <c r="C656" s="1" t="s">
        <v>94</v>
      </c>
      <c r="D656" s="1" t="s">
        <v>21</v>
      </c>
      <c r="E656" s="1" t="s">
        <v>112</v>
      </c>
      <c r="F656" s="1" t="s">
        <v>121</v>
      </c>
      <c r="G656" s="1" t="s">
        <v>121</v>
      </c>
      <c r="H656" s="1" t="s">
        <v>303</v>
      </c>
      <c r="I656" s="1" t="s">
        <v>124</v>
      </c>
      <c r="J656" s="1" t="s">
        <v>137</v>
      </c>
      <c r="K656" t="s">
        <v>87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30">
        <v>0</v>
      </c>
      <c r="W656" s="30">
        <v>0</v>
      </c>
      <c r="X656" s="30">
        <v>42637.848000000005</v>
      </c>
      <c r="Y656" s="30">
        <v>19647.308903880174</v>
      </c>
      <c r="Z656" s="30">
        <v>0</v>
      </c>
      <c r="AA656" s="30">
        <v>0</v>
      </c>
      <c r="AB656" s="34">
        <v>0</v>
      </c>
      <c r="AC656" s="34">
        <v>0</v>
      </c>
      <c r="AD656" s="34">
        <v>0</v>
      </c>
      <c r="AE656" s="34">
        <v>0</v>
      </c>
      <c r="AF656" s="34">
        <v>0</v>
      </c>
      <c r="AG656" s="34">
        <v>0.49</v>
      </c>
      <c r="AH656" s="34">
        <v>0</v>
      </c>
      <c r="AI656" s="37">
        <f t="shared" si="96"/>
        <v>0</v>
      </c>
      <c r="AJ656" s="37">
        <f t="shared" si="97"/>
        <v>0</v>
      </c>
      <c r="AK656" s="37">
        <f t="shared" si="98"/>
        <v>0</v>
      </c>
      <c r="AL656" s="37">
        <f t="shared" si="99"/>
        <v>0</v>
      </c>
      <c r="AM656" s="37">
        <f t="shared" si="100"/>
        <v>0</v>
      </c>
      <c r="AN656" s="37">
        <f t="shared" si="101"/>
        <v>20892.545520000003</v>
      </c>
      <c r="AO656" s="37">
        <f t="shared" si="102"/>
        <v>0</v>
      </c>
    </row>
    <row r="657" spans="1:41" hidden="1" x14ac:dyDescent="0.3">
      <c r="A657" t="str">
        <f t="shared" si="103"/>
        <v>K-BALLIVIANsep</v>
      </c>
      <c r="B657" t="str">
        <f t="shared" si="104"/>
        <v>KIDS BALLIVIANsep</v>
      </c>
      <c r="C657" s="1" t="s">
        <v>94</v>
      </c>
      <c r="D657" s="1" t="s">
        <v>21</v>
      </c>
      <c r="E657" s="1" t="s">
        <v>112</v>
      </c>
      <c r="F657" s="1" t="s">
        <v>121</v>
      </c>
      <c r="G657" s="1" t="s">
        <v>121</v>
      </c>
      <c r="H657" s="1" t="s">
        <v>303</v>
      </c>
      <c r="I657" s="1" t="s">
        <v>124</v>
      </c>
      <c r="J657" s="1" t="s">
        <v>137</v>
      </c>
      <c r="K657" t="s">
        <v>88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30">
        <v>0</v>
      </c>
      <c r="W657" s="30">
        <v>0</v>
      </c>
      <c r="X657" s="30">
        <v>25617.918484344002</v>
      </c>
      <c r="Y657" s="30">
        <v>12979.01449427919</v>
      </c>
      <c r="Z657" s="30">
        <v>0</v>
      </c>
      <c r="AA657" s="30">
        <v>0</v>
      </c>
      <c r="AB657" s="34">
        <v>0</v>
      </c>
      <c r="AC657" s="34">
        <v>0</v>
      </c>
      <c r="AD657" s="34">
        <v>0</v>
      </c>
      <c r="AE657" s="34">
        <v>0</v>
      </c>
      <c r="AF657" s="34">
        <v>0</v>
      </c>
      <c r="AG657" s="34">
        <v>0.79999999999999993</v>
      </c>
      <c r="AH657" s="34">
        <v>0</v>
      </c>
      <c r="AI657" s="37">
        <f t="shared" si="96"/>
        <v>0</v>
      </c>
      <c r="AJ657" s="37">
        <f t="shared" si="97"/>
        <v>0</v>
      </c>
      <c r="AK657" s="37">
        <f t="shared" si="98"/>
        <v>0</v>
      </c>
      <c r="AL657" s="37">
        <f t="shared" si="99"/>
        <v>0</v>
      </c>
      <c r="AM657" s="37">
        <f t="shared" si="100"/>
        <v>0</v>
      </c>
      <c r="AN657" s="37">
        <f t="shared" si="101"/>
        <v>20494.3347874752</v>
      </c>
      <c r="AO657" s="37">
        <f t="shared" si="102"/>
        <v>0</v>
      </c>
    </row>
    <row r="658" spans="1:41" hidden="1" x14ac:dyDescent="0.3">
      <c r="A658" t="str">
        <f t="shared" si="103"/>
        <v>K-BALLIVIANoct</v>
      </c>
      <c r="B658" t="str">
        <f t="shared" si="104"/>
        <v>KIDS BALLIVIANoct</v>
      </c>
      <c r="C658" s="1" t="s">
        <v>94</v>
      </c>
      <c r="D658" s="1" t="s">
        <v>21</v>
      </c>
      <c r="E658" s="1" t="s">
        <v>112</v>
      </c>
      <c r="F658" s="1" t="s">
        <v>121</v>
      </c>
      <c r="G658" s="1" t="s">
        <v>121</v>
      </c>
      <c r="H658" s="1" t="s">
        <v>303</v>
      </c>
      <c r="I658" s="1" t="s">
        <v>124</v>
      </c>
      <c r="J658" s="1" t="s">
        <v>137</v>
      </c>
      <c r="K658" t="s">
        <v>89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30">
        <v>0</v>
      </c>
      <c r="W658" s="30">
        <v>0</v>
      </c>
      <c r="X658" s="30">
        <v>27623.853229368007</v>
      </c>
      <c r="Y658" s="30">
        <v>14240.400045510765</v>
      </c>
      <c r="Z658" s="30">
        <v>0</v>
      </c>
      <c r="AA658" s="30">
        <v>0</v>
      </c>
      <c r="AB658" s="34">
        <v>0</v>
      </c>
      <c r="AC658" s="34">
        <v>0</v>
      </c>
      <c r="AD658" s="34">
        <v>0</v>
      </c>
      <c r="AE658" s="34">
        <v>0</v>
      </c>
      <c r="AF658" s="34">
        <v>0</v>
      </c>
      <c r="AG658" s="34">
        <v>0.86</v>
      </c>
      <c r="AH658" s="34">
        <v>0</v>
      </c>
      <c r="AI658" s="37">
        <f t="shared" si="96"/>
        <v>0</v>
      </c>
      <c r="AJ658" s="37">
        <f t="shared" si="97"/>
        <v>0</v>
      </c>
      <c r="AK658" s="37">
        <f t="shared" si="98"/>
        <v>0</v>
      </c>
      <c r="AL658" s="37">
        <f t="shared" si="99"/>
        <v>0</v>
      </c>
      <c r="AM658" s="37">
        <f t="shared" si="100"/>
        <v>0</v>
      </c>
      <c r="AN658" s="37">
        <f t="shared" si="101"/>
        <v>23756.513777256485</v>
      </c>
      <c r="AO658" s="37">
        <f t="shared" si="102"/>
        <v>0</v>
      </c>
    </row>
    <row r="659" spans="1:41" hidden="1" x14ac:dyDescent="0.3">
      <c r="A659" t="str">
        <f t="shared" si="103"/>
        <v>K-BALLIVIANnov</v>
      </c>
      <c r="B659" t="str">
        <f t="shared" si="104"/>
        <v>KIDS BALLIVIANnov</v>
      </c>
      <c r="C659" s="1" t="s">
        <v>94</v>
      </c>
      <c r="D659" s="1" t="s">
        <v>21</v>
      </c>
      <c r="E659" s="1" t="s">
        <v>112</v>
      </c>
      <c r="F659" s="1" t="s">
        <v>121</v>
      </c>
      <c r="G659" s="1" t="s">
        <v>121</v>
      </c>
      <c r="H659" s="1" t="s">
        <v>303</v>
      </c>
      <c r="I659" s="1" t="s">
        <v>124</v>
      </c>
      <c r="J659" s="1" t="s">
        <v>137</v>
      </c>
      <c r="K659" t="s">
        <v>90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30">
        <v>0</v>
      </c>
      <c r="W659" s="30">
        <v>0</v>
      </c>
      <c r="X659" s="30">
        <v>34084.353033107982</v>
      </c>
      <c r="Y659" s="30">
        <v>16260.347780086926</v>
      </c>
      <c r="Z659" s="30">
        <v>0</v>
      </c>
      <c r="AA659" s="30">
        <v>0</v>
      </c>
      <c r="AB659" s="34">
        <v>0</v>
      </c>
      <c r="AC659" s="34">
        <v>0</v>
      </c>
      <c r="AD659" s="34">
        <v>0</v>
      </c>
      <c r="AE659" s="34">
        <v>0</v>
      </c>
      <c r="AF659" s="34">
        <v>0</v>
      </c>
      <c r="AG659" s="34">
        <v>0.6</v>
      </c>
      <c r="AH659" s="34">
        <v>0</v>
      </c>
      <c r="AI659" s="37">
        <f t="shared" si="96"/>
        <v>0</v>
      </c>
      <c r="AJ659" s="37">
        <f t="shared" si="97"/>
        <v>0</v>
      </c>
      <c r="AK659" s="37">
        <f t="shared" si="98"/>
        <v>0</v>
      </c>
      <c r="AL659" s="37">
        <f t="shared" si="99"/>
        <v>0</v>
      </c>
      <c r="AM659" s="37">
        <f t="shared" si="100"/>
        <v>0</v>
      </c>
      <c r="AN659" s="37">
        <f t="shared" si="101"/>
        <v>20450.611819864789</v>
      </c>
      <c r="AO659" s="37">
        <f t="shared" si="102"/>
        <v>0</v>
      </c>
    </row>
    <row r="660" spans="1:41" hidden="1" x14ac:dyDescent="0.3">
      <c r="A660" t="str">
        <f t="shared" si="103"/>
        <v>K-BALLIVIANdic</v>
      </c>
      <c r="B660" t="str">
        <f t="shared" si="104"/>
        <v>KIDS BALLIVIANdic</v>
      </c>
      <c r="C660" s="1" t="s">
        <v>94</v>
      </c>
      <c r="D660" s="1" t="s">
        <v>21</v>
      </c>
      <c r="E660" s="1" t="s">
        <v>112</v>
      </c>
      <c r="F660" s="1" t="s">
        <v>121</v>
      </c>
      <c r="G660" s="1" t="s">
        <v>121</v>
      </c>
      <c r="H660" s="1" t="s">
        <v>303</v>
      </c>
      <c r="I660" s="1" t="s">
        <v>124</v>
      </c>
      <c r="J660" s="1" t="s">
        <v>137</v>
      </c>
      <c r="K660" t="s">
        <v>91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30">
        <v>0</v>
      </c>
      <c r="W660" s="30">
        <v>0</v>
      </c>
      <c r="X660" s="30">
        <v>66594.936034296028</v>
      </c>
      <c r="Y660" s="30">
        <v>34231.940464493702</v>
      </c>
      <c r="Z660" s="30">
        <v>0</v>
      </c>
      <c r="AA660" s="30">
        <v>0</v>
      </c>
      <c r="AB660" s="34">
        <v>0</v>
      </c>
      <c r="AC660" s="34">
        <v>0</v>
      </c>
      <c r="AD660" s="34">
        <v>0</v>
      </c>
      <c r="AE660" s="34">
        <v>0</v>
      </c>
      <c r="AF660" s="34">
        <v>0</v>
      </c>
      <c r="AG660" s="34">
        <v>0.85</v>
      </c>
      <c r="AH660" s="34">
        <v>0</v>
      </c>
      <c r="AI660" s="37">
        <f t="shared" si="96"/>
        <v>0</v>
      </c>
      <c r="AJ660" s="37">
        <f t="shared" si="97"/>
        <v>0</v>
      </c>
      <c r="AK660" s="37">
        <f t="shared" si="98"/>
        <v>0</v>
      </c>
      <c r="AL660" s="37">
        <f t="shared" si="99"/>
        <v>0</v>
      </c>
      <c r="AM660" s="37">
        <f t="shared" si="100"/>
        <v>0</v>
      </c>
      <c r="AN660" s="37">
        <f t="shared" si="101"/>
        <v>56605.695629151625</v>
      </c>
      <c r="AO660" s="37">
        <f t="shared" si="102"/>
        <v>0</v>
      </c>
    </row>
    <row r="661" spans="1:41" hidden="1" x14ac:dyDescent="0.3">
      <c r="A661" t="str">
        <f t="shared" si="103"/>
        <v>K-LPCENTROene</v>
      </c>
      <c r="B661" t="str">
        <f t="shared" si="104"/>
        <v>KIDS FAIR PLAY LPB CENTROene</v>
      </c>
      <c r="C661" s="1" t="s">
        <v>94</v>
      </c>
      <c r="D661" s="1" t="s">
        <v>22</v>
      </c>
      <c r="E661" s="1" t="s">
        <v>113</v>
      </c>
      <c r="F661" s="1" t="s">
        <v>121</v>
      </c>
      <c r="G661" s="1" t="s">
        <v>121</v>
      </c>
      <c r="H661" s="1" t="s">
        <v>303</v>
      </c>
      <c r="I661" s="1" t="s">
        <v>125</v>
      </c>
      <c r="J661" s="1" t="s">
        <v>137</v>
      </c>
      <c r="K661" t="s">
        <v>80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30">
        <v>0</v>
      </c>
      <c r="W661" s="30">
        <v>0</v>
      </c>
      <c r="X661" s="30">
        <v>0</v>
      </c>
      <c r="Y661" s="30">
        <v>0</v>
      </c>
      <c r="Z661" s="30">
        <v>0</v>
      </c>
      <c r="AA661" s="30">
        <v>0</v>
      </c>
      <c r="AB661" s="34">
        <v>0</v>
      </c>
      <c r="AC661" s="34">
        <v>0</v>
      </c>
      <c r="AD661" s="34">
        <v>0</v>
      </c>
      <c r="AE661" s="34">
        <v>0</v>
      </c>
      <c r="AF661" s="34">
        <v>0</v>
      </c>
      <c r="AG661" s="34">
        <v>0</v>
      </c>
      <c r="AH661" s="34">
        <v>0</v>
      </c>
      <c r="AI661" s="37">
        <f t="shared" si="96"/>
        <v>0</v>
      </c>
      <c r="AJ661" s="37">
        <f t="shared" si="97"/>
        <v>0</v>
      </c>
      <c r="AK661" s="37">
        <f t="shared" si="98"/>
        <v>0</v>
      </c>
      <c r="AL661" s="37">
        <f t="shared" si="99"/>
        <v>0</v>
      </c>
      <c r="AM661" s="37">
        <f t="shared" si="100"/>
        <v>0</v>
      </c>
      <c r="AN661" s="37">
        <f t="shared" si="101"/>
        <v>0</v>
      </c>
      <c r="AO661" s="37">
        <f t="shared" si="102"/>
        <v>0</v>
      </c>
    </row>
    <row r="662" spans="1:41" hidden="1" x14ac:dyDescent="0.3">
      <c r="A662" t="str">
        <f t="shared" si="103"/>
        <v>K-LPCENTROfeb</v>
      </c>
      <c r="B662" t="str">
        <f t="shared" si="104"/>
        <v>KIDS FAIR PLAY LPB CENTROfeb</v>
      </c>
      <c r="C662" s="1" t="s">
        <v>94</v>
      </c>
      <c r="D662" s="1" t="s">
        <v>22</v>
      </c>
      <c r="E662" s="1" t="s">
        <v>113</v>
      </c>
      <c r="F662" s="1" t="s">
        <v>121</v>
      </c>
      <c r="G662" s="1" t="s">
        <v>121</v>
      </c>
      <c r="H662" s="1" t="s">
        <v>303</v>
      </c>
      <c r="I662" s="1" t="s">
        <v>125</v>
      </c>
      <c r="J662" s="1" t="s">
        <v>137</v>
      </c>
      <c r="K662" t="s">
        <v>81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30">
        <v>0</v>
      </c>
      <c r="W662" s="30">
        <v>0</v>
      </c>
      <c r="X662" s="30">
        <v>0</v>
      </c>
      <c r="Y662" s="30">
        <v>0</v>
      </c>
      <c r="Z662" s="30">
        <v>0</v>
      </c>
      <c r="AA662" s="30">
        <v>0</v>
      </c>
      <c r="AB662" s="34">
        <v>0</v>
      </c>
      <c r="AC662" s="34">
        <v>0</v>
      </c>
      <c r="AD662" s="34">
        <v>0</v>
      </c>
      <c r="AE662" s="34">
        <v>0</v>
      </c>
      <c r="AF662" s="34">
        <v>0</v>
      </c>
      <c r="AG662" s="34">
        <v>0</v>
      </c>
      <c r="AH662" s="34">
        <v>0</v>
      </c>
      <c r="AI662" s="37">
        <f t="shared" si="96"/>
        <v>0</v>
      </c>
      <c r="AJ662" s="37">
        <f t="shared" si="97"/>
        <v>0</v>
      </c>
      <c r="AK662" s="37">
        <f t="shared" si="98"/>
        <v>0</v>
      </c>
      <c r="AL662" s="37">
        <f t="shared" si="99"/>
        <v>0</v>
      </c>
      <c r="AM662" s="37">
        <f t="shared" si="100"/>
        <v>0</v>
      </c>
      <c r="AN662" s="37">
        <f t="shared" si="101"/>
        <v>0</v>
      </c>
      <c r="AO662" s="37">
        <f t="shared" si="102"/>
        <v>0</v>
      </c>
    </row>
    <row r="663" spans="1:41" hidden="1" x14ac:dyDescent="0.3">
      <c r="A663" t="str">
        <f t="shared" si="103"/>
        <v>K-LPCENTROmar</v>
      </c>
      <c r="B663" t="str">
        <f t="shared" si="104"/>
        <v>KIDS FAIR PLAY LPB CENTROmar</v>
      </c>
      <c r="C663" s="1" t="s">
        <v>94</v>
      </c>
      <c r="D663" s="1" t="s">
        <v>22</v>
      </c>
      <c r="E663" s="1" t="s">
        <v>113</v>
      </c>
      <c r="F663" s="1" t="s">
        <v>121</v>
      </c>
      <c r="G663" s="1" t="s">
        <v>121</v>
      </c>
      <c r="H663" s="1" t="s">
        <v>303</v>
      </c>
      <c r="I663" s="1" t="s">
        <v>125</v>
      </c>
      <c r="J663" s="1" t="s">
        <v>137</v>
      </c>
      <c r="K663" t="s">
        <v>82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30">
        <v>0</v>
      </c>
      <c r="W663" s="30">
        <v>0</v>
      </c>
      <c r="X663" s="30">
        <v>0</v>
      </c>
      <c r="Y663" s="30">
        <v>0</v>
      </c>
      <c r="Z663" s="30">
        <v>0</v>
      </c>
      <c r="AA663" s="30">
        <v>0</v>
      </c>
      <c r="AB663" s="34">
        <v>0</v>
      </c>
      <c r="AC663" s="34">
        <v>0</v>
      </c>
      <c r="AD663" s="34">
        <v>0</v>
      </c>
      <c r="AE663" s="34">
        <v>0</v>
      </c>
      <c r="AF663" s="34">
        <v>0</v>
      </c>
      <c r="AG663" s="34">
        <v>0</v>
      </c>
      <c r="AH663" s="34">
        <v>0</v>
      </c>
      <c r="AI663" s="37">
        <f t="shared" si="96"/>
        <v>0</v>
      </c>
      <c r="AJ663" s="37">
        <f t="shared" si="97"/>
        <v>0</v>
      </c>
      <c r="AK663" s="37">
        <f t="shared" si="98"/>
        <v>0</v>
      </c>
      <c r="AL663" s="37">
        <f t="shared" si="99"/>
        <v>0</v>
      </c>
      <c r="AM663" s="37">
        <f t="shared" si="100"/>
        <v>0</v>
      </c>
      <c r="AN663" s="37">
        <f t="shared" si="101"/>
        <v>0</v>
      </c>
      <c r="AO663" s="37">
        <f t="shared" si="102"/>
        <v>0</v>
      </c>
    </row>
    <row r="664" spans="1:41" hidden="1" x14ac:dyDescent="0.3">
      <c r="A664" t="str">
        <f t="shared" si="103"/>
        <v>K-LPCENTROabr</v>
      </c>
      <c r="B664" t="str">
        <f t="shared" si="104"/>
        <v>KIDS FAIR PLAY LPB CENTROabr</v>
      </c>
      <c r="C664" s="1" t="s">
        <v>94</v>
      </c>
      <c r="D664" s="1" t="s">
        <v>22</v>
      </c>
      <c r="E664" s="1" t="s">
        <v>113</v>
      </c>
      <c r="F664" s="1" t="s">
        <v>121</v>
      </c>
      <c r="G664" s="1" t="s">
        <v>121</v>
      </c>
      <c r="H664" s="1" t="s">
        <v>303</v>
      </c>
      <c r="I664" s="1" t="s">
        <v>125</v>
      </c>
      <c r="J664" s="1" t="s">
        <v>137</v>
      </c>
      <c r="K664" t="s">
        <v>83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30">
        <v>0</v>
      </c>
      <c r="W664" s="30">
        <v>0</v>
      </c>
      <c r="X664" s="30">
        <v>0</v>
      </c>
      <c r="Y664" s="30">
        <v>0</v>
      </c>
      <c r="Z664" s="30">
        <v>0</v>
      </c>
      <c r="AA664" s="30">
        <v>0</v>
      </c>
      <c r="AB664" s="34">
        <v>0</v>
      </c>
      <c r="AC664" s="34">
        <v>0</v>
      </c>
      <c r="AD664" s="34">
        <v>0</v>
      </c>
      <c r="AE664" s="34">
        <v>0</v>
      </c>
      <c r="AF664" s="34">
        <v>0</v>
      </c>
      <c r="AG664" s="34">
        <v>0</v>
      </c>
      <c r="AH664" s="34">
        <v>0</v>
      </c>
      <c r="AI664" s="37">
        <f t="shared" si="96"/>
        <v>0</v>
      </c>
      <c r="AJ664" s="37">
        <f t="shared" si="97"/>
        <v>0</v>
      </c>
      <c r="AK664" s="37">
        <f t="shared" si="98"/>
        <v>0</v>
      </c>
      <c r="AL664" s="37">
        <f t="shared" si="99"/>
        <v>0</v>
      </c>
      <c r="AM664" s="37">
        <f t="shared" si="100"/>
        <v>0</v>
      </c>
      <c r="AN664" s="37">
        <f t="shared" si="101"/>
        <v>0</v>
      </c>
      <c r="AO664" s="37">
        <f t="shared" si="102"/>
        <v>0</v>
      </c>
    </row>
    <row r="665" spans="1:41" hidden="1" x14ac:dyDescent="0.3">
      <c r="A665" t="str">
        <f t="shared" si="103"/>
        <v>K-LPCENTROmay</v>
      </c>
      <c r="B665" t="str">
        <f t="shared" si="104"/>
        <v>KIDS FAIR PLAY LPB CENTROmay</v>
      </c>
      <c r="C665" s="1" t="s">
        <v>94</v>
      </c>
      <c r="D665" s="1" t="s">
        <v>22</v>
      </c>
      <c r="E665" s="1" t="s">
        <v>113</v>
      </c>
      <c r="F665" s="1" t="s">
        <v>121</v>
      </c>
      <c r="G665" s="1" t="s">
        <v>121</v>
      </c>
      <c r="H665" s="1" t="s">
        <v>303</v>
      </c>
      <c r="I665" s="1" t="s">
        <v>125</v>
      </c>
      <c r="J665" s="1" t="s">
        <v>137</v>
      </c>
      <c r="K665" t="s">
        <v>84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30">
        <v>0</v>
      </c>
      <c r="W665" s="30">
        <v>0</v>
      </c>
      <c r="X665" s="30">
        <v>0</v>
      </c>
      <c r="Y665" s="30">
        <v>0</v>
      </c>
      <c r="Z665" s="30">
        <v>0</v>
      </c>
      <c r="AA665" s="30">
        <v>0</v>
      </c>
      <c r="AB665" s="34">
        <v>0</v>
      </c>
      <c r="AC665" s="34">
        <v>0</v>
      </c>
      <c r="AD665" s="34">
        <v>0</v>
      </c>
      <c r="AE665" s="34">
        <v>0</v>
      </c>
      <c r="AF665" s="34">
        <v>0</v>
      </c>
      <c r="AG665" s="34">
        <v>0</v>
      </c>
      <c r="AH665" s="34">
        <v>0</v>
      </c>
      <c r="AI665" s="37">
        <f t="shared" si="96"/>
        <v>0</v>
      </c>
      <c r="AJ665" s="37">
        <f t="shared" si="97"/>
        <v>0</v>
      </c>
      <c r="AK665" s="37">
        <f t="shared" si="98"/>
        <v>0</v>
      </c>
      <c r="AL665" s="37">
        <f t="shared" si="99"/>
        <v>0</v>
      </c>
      <c r="AM665" s="37">
        <f t="shared" si="100"/>
        <v>0</v>
      </c>
      <c r="AN665" s="37">
        <f t="shared" si="101"/>
        <v>0</v>
      </c>
      <c r="AO665" s="37">
        <f t="shared" si="102"/>
        <v>0</v>
      </c>
    </row>
    <row r="666" spans="1:41" hidden="1" x14ac:dyDescent="0.3">
      <c r="A666" t="str">
        <f t="shared" si="103"/>
        <v>K-LPCENTROjun</v>
      </c>
      <c r="B666" t="str">
        <f t="shared" si="104"/>
        <v>KIDS FAIR PLAY LPB CENTROjun</v>
      </c>
      <c r="C666" s="1" t="s">
        <v>94</v>
      </c>
      <c r="D666" s="1" t="s">
        <v>22</v>
      </c>
      <c r="E666" s="1" t="s">
        <v>113</v>
      </c>
      <c r="F666" s="1" t="s">
        <v>121</v>
      </c>
      <c r="G666" s="1" t="s">
        <v>121</v>
      </c>
      <c r="H666" s="1" t="s">
        <v>303</v>
      </c>
      <c r="I666" s="1" t="s">
        <v>125</v>
      </c>
      <c r="J666" s="1" t="s">
        <v>137</v>
      </c>
      <c r="K666" t="s">
        <v>85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30">
        <v>0</v>
      </c>
      <c r="W666" s="30">
        <v>0</v>
      </c>
      <c r="X666" s="30">
        <v>0</v>
      </c>
      <c r="Y666" s="30">
        <v>0</v>
      </c>
      <c r="Z666" s="30">
        <v>0</v>
      </c>
      <c r="AA666" s="30">
        <v>0</v>
      </c>
      <c r="AB666" s="34">
        <v>0</v>
      </c>
      <c r="AC666" s="34">
        <v>0</v>
      </c>
      <c r="AD666" s="34">
        <v>0</v>
      </c>
      <c r="AE666" s="34">
        <v>0</v>
      </c>
      <c r="AF666" s="34">
        <v>0</v>
      </c>
      <c r="AG666" s="34">
        <v>0</v>
      </c>
      <c r="AH666" s="34">
        <v>0</v>
      </c>
      <c r="AI666" s="37">
        <f t="shared" si="96"/>
        <v>0</v>
      </c>
      <c r="AJ666" s="37">
        <f t="shared" si="97"/>
        <v>0</v>
      </c>
      <c r="AK666" s="37">
        <f t="shared" si="98"/>
        <v>0</v>
      </c>
      <c r="AL666" s="37">
        <f t="shared" si="99"/>
        <v>0</v>
      </c>
      <c r="AM666" s="37">
        <f t="shared" si="100"/>
        <v>0</v>
      </c>
      <c r="AN666" s="37">
        <f t="shared" si="101"/>
        <v>0</v>
      </c>
      <c r="AO666" s="37">
        <f t="shared" si="102"/>
        <v>0</v>
      </c>
    </row>
    <row r="667" spans="1:41" hidden="1" x14ac:dyDescent="0.3">
      <c r="A667" t="str">
        <f t="shared" si="103"/>
        <v>K-LPCENTROjul</v>
      </c>
      <c r="B667" t="str">
        <f t="shared" si="104"/>
        <v>KIDS FAIR PLAY LPB CENTROjul</v>
      </c>
      <c r="C667" s="1" t="s">
        <v>94</v>
      </c>
      <c r="D667" s="1" t="s">
        <v>22</v>
      </c>
      <c r="E667" s="1" t="s">
        <v>113</v>
      </c>
      <c r="F667" s="1" t="s">
        <v>121</v>
      </c>
      <c r="G667" s="1" t="s">
        <v>121</v>
      </c>
      <c r="H667" s="1" t="s">
        <v>303</v>
      </c>
      <c r="I667" s="1" t="s">
        <v>125</v>
      </c>
      <c r="J667" s="1" t="s">
        <v>137</v>
      </c>
      <c r="K667" t="s">
        <v>86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30">
        <v>0</v>
      </c>
      <c r="W667" s="30">
        <v>0</v>
      </c>
      <c r="X667" s="30">
        <v>0</v>
      </c>
      <c r="Y667" s="30">
        <v>0</v>
      </c>
      <c r="Z667" s="30">
        <v>0</v>
      </c>
      <c r="AA667" s="30">
        <v>0</v>
      </c>
      <c r="AB667" s="34">
        <v>0</v>
      </c>
      <c r="AC667" s="34">
        <v>0</v>
      </c>
      <c r="AD667" s="34">
        <v>0</v>
      </c>
      <c r="AE667" s="34">
        <v>0</v>
      </c>
      <c r="AF667" s="34">
        <v>0</v>
      </c>
      <c r="AG667" s="34">
        <v>0</v>
      </c>
      <c r="AH667" s="34">
        <v>0</v>
      </c>
      <c r="AI667" s="37">
        <f t="shared" si="96"/>
        <v>0</v>
      </c>
      <c r="AJ667" s="37">
        <f t="shared" si="97"/>
        <v>0</v>
      </c>
      <c r="AK667" s="37">
        <f t="shared" si="98"/>
        <v>0</v>
      </c>
      <c r="AL667" s="37">
        <f t="shared" si="99"/>
        <v>0</v>
      </c>
      <c r="AM667" s="37">
        <f t="shared" si="100"/>
        <v>0</v>
      </c>
      <c r="AN667" s="37">
        <f t="shared" si="101"/>
        <v>0</v>
      </c>
      <c r="AO667" s="37">
        <f t="shared" si="102"/>
        <v>0</v>
      </c>
    </row>
    <row r="668" spans="1:41" hidden="1" x14ac:dyDescent="0.3">
      <c r="A668" t="str">
        <f t="shared" si="103"/>
        <v>K-LPCENTROago</v>
      </c>
      <c r="B668" t="str">
        <f t="shared" si="104"/>
        <v>KIDS FAIR PLAY LPB CENTROago</v>
      </c>
      <c r="C668" s="1" t="s">
        <v>94</v>
      </c>
      <c r="D668" s="1" t="s">
        <v>22</v>
      </c>
      <c r="E668" s="1" t="s">
        <v>113</v>
      </c>
      <c r="F668" s="1" t="s">
        <v>121</v>
      </c>
      <c r="G668" s="1" t="s">
        <v>121</v>
      </c>
      <c r="H668" s="1" t="s">
        <v>303</v>
      </c>
      <c r="I668" s="1" t="s">
        <v>125</v>
      </c>
      <c r="J668" s="1" t="s">
        <v>137</v>
      </c>
      <c r="K668" t="s">
        <v>87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30">
        <v>0</v>
      </c>
      <c r="W668" s="30">
        <v>0</v>
      </c>
      <c r="X668" s="30">
        <v>0</v>
      </c>
      <c r="Y668" s="30">
        <v>0</v>
      </c>
      <c r="Z668" s="30">
        <v>0</v>
      </c>
      <c r="AA668" s="30">
        <v>0</v>
      </c>
      <c r="AB668" s="34">
        <v>0</v>
      </c>
      <c r="AC668" s="34">
        <v>0</v>
      </c>
      <c r="AD668" s="34">
        <v>0</v>
      </c>
      <c r="AE668" s="34">
        <v>0</v>
      </c>
      <c r="AF668" s="34">
        <v>0</v>
      </c>
      <c r="AG668" s="34">
        <v>0</v>
      </c>
      <c r="AH668" s="34">
        <v>0</v>
      </c>
      <c r="AI668" s="37">
        <f t="shared" si="96"/>
        <v>0</v>
      </c>
      <c r="AJ668" s="37">
        <f t="shared" si="97"/>
        <v>0</v>
      </c>
      <c r="AK668" s="37">
        <f t="shared" si="98"/>
        <v>0</v>
      </c>
      <c r="AL668" s="37">
        <f t="shared" si="99"/>
        <v>0</v>
      </c>
      <c r="AM668" s="37">
        <f t="shared" si="100"/>
        <v>0</v>
      </c>
      <c r="AN668" s="37">
        <f t="shared" si="101"/>
        <v>0</v>
      </c>
      <c r="AO668" s="37">
        <f t="shared" si="102"/>
        <v>0</v>
      </c>
    </row>
    <row r="669" spans="1:41" hidden="1" x14ac:dyDescent="0.3">
      <c r="A669" t="str">
        <f t="shared" si="103"/>
        <v>K-LPCENTROsep</v>
      </c>
      <c r="B669" t="str">
        <f t="shared" si="104"/>
        <v>KIDS FAIR PLAY LPB CENTROsep</v>
      </c>
      <c r="C669" s="1" t="s">
        <v>94</v>
      </c>
      <c r="D669" s="1" t="s">
        <v>22</v>
      </c>
      <c r="E669" s="1" t="s">
        <v>113</v>
      </c>
      <c r="F669" s="1" t="s">
        <v>121</v>
      </c>
      <c r="G669" s="1" t="s">
        <v>121</v>
      </c>
      <c r="H669" s="1" t="s">
        <v>303</v>
      </c>
      <c r="I669" s="1" t="s">
        <v>125</v>
      </c>
      <c r="J669" s="1" t="s">
        <v>137</v>
      </c>
      <c r="K669" t="s">
        <v>88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30">
        <v>0</v>
      </c>
      <c r="W669" s="30">
        <v>0</v>
      </c>
      <c r="X669" s="30">
        <v>0</v>
      </c>
      <c r="Y669" s="30">
        <v>0</v>
      </c>
      <c r="Z669" s="30">
        <v>0</v>
      </c>
      <c r="AA669" s="30">
        <v>0</v>
      </c>
      <c r="AB669" s="34">
        <v>0</v>
      </c>
      <c r="AC669" s="34">
        <v>0</v>
      </c>
      <c r="AD669" s="34">
        <v>0</v>
      </c>
      <c r="AE669" s="34">
        <v>0</v>
      </c>
      <c r="AF669" s="34">
        <v>0</v>
      </c>
      <c r="AG669" s="34">
        <v>0</v>
      </c>
      <c r="AH669" s="34">
        <v>0</v>
      </c>
      <c r="AI669" s="37">
        <f t="shared" si="96"/>
        <v>0</v>
      </c>
      <c r="AJ669" s="37">
        <f t="shared" si="97"/>
        <v>0</v>
      </c>
      <c r="AK669" s="37">
        <f t="shared" si="98"/>
        <v>0</v>
      </c>
      <c r="AL669" s="37">
        <f t="shared" si="99"/>
        <v>0</v>
      </c>
      <c r="AM669" s="37">
        <f t="shared" si="100"/>
        <v>0</v>
      </c>
      <c r="AN669" s="37">
        <f t="shared" si="101"/>
        <v>0</v>
      </c>
      <c r="AO669" s="37">
        <f t="shared" si="102"/>
        <v>0</v>
      </c>
    </row>
    <row r="670" spans="1:41" hidden="1" x14ac:dyDescent="0.3">
      <c r="A670" t="str">
        <f t="shared" si="103"/>
        <v>K-LPCENTROoct</v>
      </c>
      <c r="B670" t="str">
        <f t="shared" si="104"/>
        <v>KIDS FAIR PLAY LPB CENTROoct</v>
      </c>
      <c r="C670" s="1" t="s">
        <v>94</v>
      </c>
      <c r="D670" s="1" t="s">
        <v>22</v>
      </c>
      <c r="E670" s="1" t="s">
        <v>113</v>
      </c>
      <c r="F670" s="1" t="s">
        <v>121</v>
      </c>
      <c r="G670" s="1" t="s">
        <v>121</v>
      </c>
      <c r="H670" s="1" t="s">
        <v>303</v>
      </c>
      <c r="I670" s="1" t="s">
        <v>125</v>
      </c>
      <c r="J670" s="1" t="s">
        <v>137</v>
      </c>
      <c r="K670" t="s">
        <v>89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30">
        <v>0</v>
      </c>
      <c r="W670" s="30">
        <v>0</v>
      </c>
      <c r="X670" s="30">
        <v>33201.597420799983</v>
      </c>
      <c r="Y670" s="30">
        <v>17115.788499756924</v>
      </c>
      <c r="Z670" s="30">
        <v>0</v>
      </c>
      <c r="AA670" s="30">
        <v>0</v>
      </c>
      <c r="AB670" s="34">
        <v>0</v>
      </c>
      <c r="AC670" s="34">
        <v>0</v>
      </c>
      <c r="AD670" s="34">
        <v>0</v>
      </c>
      <c r="AE670" s="34">
        <v>0</v>
      </c>
      <c r="AF670" s="34">
        <v>0</v>
      </c>
      <c r="AG670" s="34">
        <v>0.86</v>
      </c>
      <c r="AH670" s="34">
        <v>0</v>
      </c>
      <c r="AI670" s="37">
        <f t="shared" si="96"/>
        <v>0</v>
      </c>
      <c r="AJ670" s="37">
        <f t="shared" si="97"/>
        <v>0</v>
      </c>
      <c r="AK670" s="37">
        <f t="shared" si="98"/>
        <v>0</v>
      </c>
      <c r="AL670" s="37">
        <f t="shared" si="99"/>
        <v>0</v>
      </c>
      <c r="AM670" s="37">
        <f t="shared" si="100"/>
        <v>0</v>
      </c>
      <c r="AN670" s="37">
        <f t="shared" si="101"/>
        <v>28553.373781887985</v>
      </c>
      <c r="AO670" s="37">
        <f t="shared" si="102"/>
        <v>0</v>
      </c>
    </row>
    <row r="671" spans="1:41" hidden="1" x14ac:dyDescent="0.3">
      <c r="A671" t="str">
        <f t="shared" si="103"/>
        <v>K-LPCENTROnov</v>
      </c>
      <c r="B671" t="str">
        <f t="shared" si="104"/>
        <v>KIDS FAIR PLAY LPB CENTROnov</v>
      </c>
      <c r="C671" s="1" t="s">
        <v>94</v>
      </c>
      <c r="D671" s="1" t="s">
        <v>22</v>
      </c>
      <c r="E671" s="1" t="s">
        <v>113</v>
      </c>
      <c r="F671" s="1" t="s">
        <v>121</v>
      </c>
      <c r="G671" s="1" t="s">
        <v>121</v>
      </c>
      <c r="H671" s="1" t="s">
        <v>303</v>
      </c>
      <c r="I671" s="1" t="s">
        <v>125</v>
      </c>
      <c r="J671" s="1" t="s">
        <v>137</v>
      </c>
      <c r="K671" t="s">
        <v>90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30">
        <v>0</v>
      </c>
      <c r="W671" s="30">
        <v>0</v>
      </c>
      <c r="X671" s="30">
        <v>43370.756937608116</v>
      </c>
      <c r="Y671" s="30">
        <v>20690.537696464526</v>
      </c>
      <c r="Z671" s="30">
        <v>0</v>
      </c>
      <c r="AA671" s="30">
        <v>0</v>
      </c>
      <c r="AB671" s="34">
        <v>0</v>
      </c>
      <c r="AC671" s="34">
        <v>0</v>
      </c>
      <c r="AD671" s="34">
        <v>0</v>
      </c>
      <c r="AE671" s="34">
        <v>0</v>
      </c>
      <c r="AF671" s="34">
        <v>0</v>
      </c>
      <c r="AG671" s="34">
        <v>0.6</v>
      </c>
      <c r="AH671" s="34">
        <v>0</v>
      </c>
      <c r="AI671" s="37">
        <f t="shared" si="96"/>
        <v>0</v>
      </c>
      <c r="AJ671" s="37">
        <f t="shared" si="97"/>
        <v>0</v>
      </c>
      <c r="AK671" s="37">
        <f t="shared" si="98"/>
        <v>0</v>
      </c>
      <c r="AL671" s="37">
        <f t="shared" si="99"/>
        <v>0</v>
      </c>
      <c r="AM671" s="37">
        <f t="shared" si="100"/>
        <v>0</v>
      </c>
      <c r="AN671" s="37">
        <f t="shared" si="101"/>
        <v>26022.454162564867</v>
      </c>
      <c r="AO671" s="37">
        <f t="shared" si="102"/>
        <v>0</v>
      </c>
    </row>
    <row r="672" spans="1:41" hidden="1" x14ac:dyDescent="0.3">
      <c r="A672" t="str">
        <f t="shared" si="103"/>
        <v>K-LPCENTROdic</v>
      </c>
      <c r="B672" t="str">
        <f t="shared" si="104"/>
        <v>KIDS FAIR PLAY LPB CENTROdic</v>
      </c>
      <c r="C672" s="1" t="s">
        <v>94</v>
      </c>
      <c r="D672" s="1" t="s">
        <v>22</v>
      </c>
      <c r="E672" s="1" t="s">
        <v>113</v>
      </c>
      <c r="F672" s="1" t="s">
        <v>121</v>
      </c>
      <c r="G672" s="1" t="s">
        <v>121</v>
      </c>
      <c r="H672" s="1" t="s">
        <v>303</v>
      </c>
      <c r="I672" s="1" t="s">
        <v>125</v>
      </c>
      <c r="J672" s="1" t="s">
        <v>137</v>
      </c>
      <c r="K672" t="s">
        <v>91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30">
        <v>0</v>
      </c>
      <c r="W672" s="30">
        <v>0</v>
      </c>
      <c r="X672" s="30">
        <v>59450.892251465106</v>
      </c>
      <c r="Y672" s="30">
        <v>30559.672030694761</v>
      </c>
      <c r="Z672" s="30">
        <v>0</v>
      </c>
      <c r="AA672" s="30">
        <v>0</v>
      </c>
      <c r="AB672" s="34">
        <v>0</v>
      </c>
      <c r="AC672" s="34">
        <v>0</v>
      </c>
      <c r="AD672" s="34">
        <v>0</v>
      </c>
      <c r="AE672" s="34">
        <v>0</v>
      </c>
      <c r="AF672" s="34">
        <v>0</v>
      </c>
      <c r="AG672" s="34">
        <v>0.85</v>
      </c>
      <c r="AH672" s="34">
        <v>0</v>
      </c>
      <c r="AI672" s="37">
        <f t="shared" si="96"/>
        <v>0</v>
      </c>
      <c r="AJ672" s="37">
        <f t="shared" si="97"/>
        <v>0</v>
      </c>
      <c r="AK672" s="37">
        <f t="shared" si="98"/>
        <v>0</v>
      </c>
      <c r="AL672" s="37">
        <f t="shared" si="99"/>
        <v>0</v>
      </c>
      <c r="AM672" s="37">
        <f t="shared" si="100"/>
        <v>0</v>
      </c>
      <c r="AN672" s="37">
        <f t="shared" si="101"/>
        <v>50533.258413745338</v>
      </c>
      <c r="AO672" s="37">
        <f t="shared" si="102"/>
        <v>0</v>
      </c>
    </row>
    <row r="673" spans="1:41" hidden="1" x14ac:dyDescent="0.3">
      <c r="A673" t="str">
        <f t="shared" si="103"/>
        <v>K-LPCene</v>
      </c>
      <c r="B673" t="str">
        <f t="shared" si="104"/>
        <v>KIDS FAIR PLAY LPB CIELO MALLene</v>
      </c>
      <c r="C673" s="1" t="s">
        <v>94</v>
      </c>
      <c r="D673" s="1" t="s">
        <v>23</v>
      </c>
      <c r="E673" s="1" t="s">
        <v>114</v>
      </c>
      <c r="F673" s="1" t="s">
        <v>121</v>
      </c>
      <c r="G673" s="1" t="s">
        <v>121</v>
      </c>
      <c r="H673" s="1" t="s">
        <v>303</v>
      </c>
      <c r="I673" s="1" t="s">
        <v>125</v>
      </c>
      <c r="J673" s="1" t="s">
        <v>137</v>
      </c>
      <c r="K673" t="s">
        <v>80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30">
        <v>0</v>
      </c>
      <c r="W673" s="30">
        <v>0</v>
      </c>
      <c r="X673" s="30">
        <v>0</v>
      </c>
      <c r="Y673" s="30">
        <v>0</v>
      </c>
      <c r="Z673" s="30">
        <v>0</v>
      </c>
      <c r="AA673" s="30">
        <v>0</v>
      </c>
      <c r="AB673" s="34">
        <v>0</v>
      </c>
      <c r="AC673" s="34">
        <v>0</v>
      </c>
      <c r="AD673" s="34">
        <v>0</v>
      </c>
      <c r="AE673" s="34">
        <v>0</v>
      </c>
      <c r="AF673" s="34">
        <v>0</v>
      </c>
      <c r="AG673" s="34">
        <v>0</v>
      </c>
      <c r="AH673" s="34">
        <v>0</v>
      </c>
      <c r="AI673" s="37">
        <f t="shared" si="96"/>
        <v>0</v>
      </c>
      <c r="AJ673" s="37">
        <f t="shared" si="97"/>
        <v>0</v>
      </c>
      <c r="AK673" s="37">
        <f t="shared" si="98"/>
        <v>0</v>
      </c>
      <c r="AL673" s="37">
        <f t="shared" si="99"/>
        <v>0</v>
      </c>
      <c r="AM673" s="37">
        <f t="shared" si="100"/>
        <v>0</v>
      </c>
      <c r="AN673" s="37">
        <f t="shared" si="101"/>
        <v>0</v>
      </c>
      <c r="AO673" s="37">
        <f t="shared" si="102"/>
        <v>0</v>
      </c>
    </row>
    <row r="674" spans="1:41" hidden="1" x14ac:dyDescent="0.3">
      <c r="A674" t="str">
        <f t="shared" si="103"/>
        <v>K-LPCfeb</v>
      </c>
      <c r="B674" t="str">
        <f t="shared" si="104"/>
        <v>KIDS FAIR PLAY LPB CIELO MALLfeb</v>
      </c>
      <c r="C674" s="1" t="s">
        <v>94</v>
      </c>
      <c r="D674" s="1" t="s">
        <v>23</v>
      </c>
      <c r="E674" s="1" t="s">
        <v>114</v>
      </c>
      <c r="F674" s="1" t="s">
        <v>121</v>
      </c>
      <c r="G674" s="1" t="s">
        <v>121</v>
      </c>
      <c r="H674" s="1" t="s">
        <v>303</v>
      </c>
      <c r="I674" s="1" t="s">
        <v>125</v>
      </c>
      <c r="J674" s="1" t="s">
        <v>137</v>
      </c>
      <c r="K674" t="s">
        <v>81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30">
        <v>0</v>
      </c>
      <c r="W674" s="30">
        <v>0</v>
      </c>
      <c r="X674" s="30">
        <v>0</v>
      </c>
      <c r="Y674" s="30">
        <v>0</v>
      </c>
      <c r="Z674" s="30">
        <v>0</v>
      </c>
      <c r="AA674" s="30">
        <v>0</v>
      </c>
      <c r="AB674" s="34">
        <v>0</v>
      </c>
      <c r="AC674" s="34">
        <v>0</v>
      </c>
      <c r="AD674" s="34">
        <v>0</v>
      </c>
      <c r="AE674" s="34">
        <v>0</v>
      </c>
      <c r="AF674" s="34">
        <v>0</v>
      </c>
      <c r="AG674" s="34">
        <v>0</v>
      </c>
      <c r="AH674" s="34">
        <v>0</v>
      </c>
      <c r="AI674" s="37">
        <f t="shared" si="96"/>
        <v>0</v>
      </c>
      <c r="AJ674" s="37">
        <f t="shared" si="97"/>
        <v>0</v>
      </c>
      <c r="AK674" s="37">
        <f t="shared" si="98"/>
        <v>0</v>
      </c>
      <c r="AL674" s="37">
        <f t="shared" si="99"/>
        <v>0</v>
      </c>
      <c r="AM674" s="37">
        <f t="shared" si="100"/>
        <v>0</v>
      </c>
      <c r="AN674" s="37">
        <f t="shared" si="101"/>
        <v>0</v>
      </c>
      <c r="AO674" s="37">
        <f t="shared" si="102"/>
        <v>0</v>
      </c>
    </row>
    <row r="675" spans="1:41" hidden="1" x14ac:dyDescent="0.3">
      <c r="A675" t="str">
        <f t="shared" si="103"/>
        <v>K-LPCmar</v>
      </c>
      <c r="B675" t="str">
        <f t="shared" si="104"/>
        <v>KIDS FAIR PLAY LPB CIELO MALLmar</v>
      </c>
      <c r="C675" s="1" t="s">
        <v>94</v>
      </c>
      <c r="D675" s="1" t="s">
        <v>23</v>
      </c>
      <c r="E675" s="1" t="s">
        <v>114</v>
      </c>
      <c r="F675" s="1" t="s">
        <v>121</v>
      </c>
      <c r="G675" s="1" t="s">
        <v>121</v>
      </c>
      <c r="H675" s="1" t="s">
        <v>303</v>
      </c>
      <c r="I675" s="1" t="s">
        <v>125</v>
      </c>
      <c r="J675" s="1" t="s">
        <v>137</v>
      </c>
      <c r="K675" t="s">
        <v>82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30">
        <v>0</v>
      </c>
      <c r="W675" s="30">
        <v>0</v>
      </c>
      <c r="X675" s="30">
        <v>0</v>
      </c>
      <c r="Y675" s="30">
        <v>0</v>
      </c>
      <c r="Z675" s="30">
        <v>0</v>
      </c>
      <c r="AA675" s="30">
        <v>0</v>
      </c>
      <c r="AB675" s="34">
        <v>0</v>
      </c>
      <c r="AC675" s="34">
        <v>0</v>
      </c>
      <c r="AD675" s="34">
        <v>0</v>
      </c>
      <c r="AE675" s="34">
        <v>0</v>
      </c>
      <c r="AF675" s="34">
        <v>0</v>
      </c>
      <c r="AG675" s="34">
        <v>0</v>
      </c>
      <c r="AH675" s="34">
        <v>0</v>
      </c>
      <c r="AI675" s="37">
        <f t="shared" si="96"/>
        <v>0</v>
      </c>
      <c r="AJ675" s="37">
        <f t="shared" si="97"/>
        <v>0</v>
      </c>
      <c r="AK675" s="37">
        <f t="shared" si="98"/>
        <v>0</v>
      </c>
      <c r="AL675" s="37">
        <f t="shared" si="99"/>
        <v>0</v>
      </c>
      <c r="AM675" s="37">
        <f t="shared" si="100"/>
        <v>0</v>
      </c>
      <c r="AN675" s="37">
        <f t="shared" si="101"/>
        <v>0</v>
      </c>
      <c r="AO675" s="37">
        <f t="shared" si="102"/>
        <v>0</v>
      </c>
    </row>
    <row r="676" spans="1:41" hidden="1" x14ac:dyDescent="0.3">
      <c r="A676" t="str">
        <f t="shared" si="103"/>
        <v>K-LPCabr</v>
      </c>
      <c r="B676" t="str">
        <f t="shared" si="104"/>
        <v>KIDS FAIR PLAY LPB CIELO MALLabr</v>
      </c>
      <c r="C676" s="1" t="s">
        <v>94</v>
      </c>
      <c r="D676" s="1" t="s">
        <v>23</v>
      </c>
      <c r="E676" s="1" t="s">
        <v>114</v>
      </c>
      <c r="F676" s="1" t="s">
        <v>121</v>
      </c>
      <c r="G676" s="1" t="s">
        <v>121</v>
      </c>
      <c r="H676" s="1" t="s">
        <v>303</v>
      </c>
      <c r="I676" s="1" t="s">
        <v>125</v>
      </c>
      <c r="J676" s="1" t="s">
        <v>137</v>
      </c>
      <c r="K676" t="s">
        <v>83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30">
        <v>0</v>
      </c>
      <c r="W676" s="30">
        <v>0</v>
      </c>
      <c r="X676" s="30">
        <v>0</v>
      </c>
      <c r="Y676" s="30">
        <v>0</v>
      </c>
      <c r="Z676" s="30">
        <v>0</v>
      </c>
      <c r="AA676" s="30">
        <v>0</v>
      </c>
      <c r="AB676" s="34">
        <v>0</v>
      </c>
      <c r="AC676" s="34">
        <v>0</v>
      </c>
      <c r="AD676" s="34">
        <v>0</v>
      </c>
      <c r="AE676" s="34">
        <v>0</v>
      </c>
      <c r="AF676" s="34">
        <v>0</v>
      </c>
      <c r="AG676" s="34">
        <v>0</v>
      </c>
      <c r="AH676" s="34">
        <v>0</v>
      </c>
      <c r="AI676" s="37">
        <f t="shared" si="96"/>
        <v>0</v>
      </c>
      <c r="AJ676" s="37">
        <f t="shared" si="97"/>
        <v>0</v>
      </c>
      <c r="AK676" s="37">
        <f t="shared" si="98"/>
        <v>0</v>
      </c>
      <c r="AL676" s="37">
        <f t="shared" si="99"/>
        <v>0</v>
      </c>
      <c r="AM676" s="37">
        <f t="shared" si="100"/>
        <v>0</v>
      </c>
      <c r="AN676" s="37">
        <f t="shared" si="101"/>
        <v>0</v>
      </c>
      <c r="AO676" s="37">
        <f t="shared" si="102"/>
        <v>0</v>
      </c>
    </row>
    <row r="677" spans="1:41" hidden="1" x14ac:dyDescent="0.3">
      <c r="A677" t="str">
        <f t="shared" si="103"/>
        <v>K-LPCmay</v>
      </c>
      <c r="B677" t="str">
        <f t="shared" si="104"/>
        <v>KIDS FAIR PLAY LPB CIELO MALLmay</v>
      </c>
      <c r="C677" s="1" t="s">
        <v>94</v>
      </c>
      <c r="D677" s="1" t="s">
        <v>23</v>
      </c>
      <c r="E677" s="1" t="s">
        <v>114</v>
      </c>
      <c r="F677" s="1" t="s">
        <v>121</v>
      </c>
      <c r="G677" s="1" t="s">
        <v>121</v>
      </c>
      <c r="H677" s="1" t="s">
        <v>303</v>
      </c>
      <c r="I677" s="1" t="s">
        <v>125</v>
      </c>
      <c r="J677" s="1" t="s">
        <v>137</v>
      </c>
      <c r="K677" t="s">
        <v>84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30">
        <v>0</v>
      </c>
      <c r="W677" s="30">
        <v>0</v>
      </c>
      <c r="X677" s="30">
        <v>26736.24027200001</v>
      </c>
      <c r="Y677" s="30">
        <v>13821.551509962152</v>
      </c>
      <c r="Z677" s="30">
        <v>0</v>
      </c>
      <c r="AA677" s="30">
        <v>0</v>
      </c>
      <c r="AB677" s="34">
        <v>0</v>
      </c>
      <c r="AC677" s="34">
        <v>0</v>
      </c>
      <c r="AD677" s="34">
        <v>0</v>
      </c>
      <c r="AE677" s="34">
        <v>0</v>
      </c>
      <c r="AF677" s="34">
        <v>0</v>
      </c>
      <c r="AG677" s="34">
        <v>0.88</v>
      </c>
      <c r="AH677" s="34">
        <v>0</v>
      </c>
      <c r="AI677" s="37">
        <f t="shared" si="96"/>
        <v>0</v>
      </c>
      <c r="AJ677" s="37">
        <f t="shared" si="97"/>
        <v>0</v>
      </c>
      <c r="AK677" s="37">
        <f t="shared" si="98"/>
        <v>0</v>
      </c>
      <c r="AL677" s="37">
        <f t="shared" si="99"/>
        <v>0</v>
      </c>
      <c r="AM677" s="37">
        <f t="shared" si="100"/>
        <v>0</v>
      </c>
      <c r="AN677" s="37">
        <f t="shared" si="101"/>
        <v>23527.89143936001</v>
      </c>
      <c r="AO677" s="37">
        <f t="shared" si="102"/>
        <v>0</v>
      </c>
    </row>
    <row r="678" spans="1:41" hidden="1" x14ac:dyDescent="0.3">
      <c r="A678" t="str">
        <f t="shared" si="103"/>
        <v>K-LPCjun</v>
      </c>
      <c r="B678" t="str">
        <f t="shared" si="104"/>
        <v>KIDS FAIR PLAY LPB CIELO MALLjun</v>
      </c>
      <c r="C678" s="1" t="s">
        <v>94</v>
      </c>
      <c r="D678" s="1" t="s">
        <v>23</v>
      </c>
      <c r="E678" s="1" t="s">
        <v>114</v>
      </c>
      <c r="F678" s="1" t="s">
        <v>121</v>
      </c>
      <c r="G678" s="1" t="s">
        <v>121</v>
      </c>
      <c r="H678" s="1" t="s">
        <v>303</v>
      </c>
      <c r="I678" s="1" t="s">
        <v>125</v>
      </c>
      <c r="J678" s="1" t="s">
        <v>137</v>
      </c>
      <c r="K678" t="s">
        <v>85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30">
        <v>0</v>
      </c>
      <c r="W678" s="30">
        <v>0</v>
      </c>
      <c r="X678" s="30">
        <v>25703.927365200052</v>
      </c>
      <c r="Y678" s="30">
        <v>13287.887618907249</v>
      </c>
      <c r="Z678" s="30">
        <v>0</v>
      </c>
      <c r="AA678" s="30">
        <v>0</v>
      </c>
      <c r="AB678" s="34">
        <v>0</v>
      </c>
      <c r="AC678" s="34">
        <v>0</v>
      </c>
      <c r="AD678" s="34">
        <v>0</v>
      </c>
      <c r="AE678" s="34">
        <v>0</v>
      </c>
      <c r="AF678" s="34">
        <v>0</v>
      </c>
      <c r="AG678" s="34">
        <v>0.88</v>
      </c>
      <c r="AH678" s="34">
        <v>0</v>
      </c>
      <c r="AI678" s="37">
        <f t="shared" si="96"/>
        <v>0</v>
      </c>
      <c r="AJ678" s="37">
        <f t="shared" si="97"/>
        <v>0</v>
      </c>
      <c r="AK678" s="37">
        <f t="shared" si="98"/>
        <v>0</v>
      </c>
      <c r="AL678" s="37">
        <f t="shared" si="99"/>
        <v>0</v>
      </c>
      <c r="AM678" s="37">
        <f t="shared" si="100"/>
        <v>0</v>
      </c>
      <c r="AN678" s="37">
        <f t="shared" si="101"/>
        <v>22619.456081376047</v>
      </c>
      <c r="AO678" s="37">
        <f t="shared" si="102"/>
        <v>0</v>
      </c>
    </row>
    <row r="679" spans="1:41" hidden="1" x14ac:dyDescent="0.3">
      <c r="A679" t="str">
        <f t="shared" si="103"/>
        <v>K-LPCjul</v>
      </c>
      <c r="B679" t="str">
        <f t="shared" si="104"/>
        <v>KIDS FAIR PLAY LPB CIELO MALLjul</v>
      </c>
      <c r="C679" s="1" t="s">
        <v>94</v>
      </c>
      <c r="D679" s="1" t="s">
        <v>23</v>
      </c>
      <c r="E679" s="1" t="s">
        <v>114</v>
      </c>
      <c r="F679" s="1" t="s">
        <v>121</v>
      </c>
      <c r="G679" s="1" t="s">
        <v>121</v>
      </c>
      <c r="H679" s="1" t="s">
        <v>303</v>
      </c>
      <c r="I679" s="1" t="s">
        <v>125</v>
      </c>
      <c r="J679" s="1" t="s">
        <v>137</v>
      </c>
      <c r="K679" t="s">
        <v>86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30">
        <v>0</v>
      </c>
      <c r="W679" s="30">
        <v>0</v>
      </c>
      <c r="X679" s="30">
        <v>26859.57381800007</v>
      </c>
      <c r="Y679" s="30">
        <v>13885.309949503533</v>
      </c>
      <c r="Z679" s="30">
        <v>0</v>
      </c>
      <c r="AA679" s="30">
        <v>0</v>
      </c>
      <c r="AB679" s="34">
        <v>0</v>
      </c>
      <c r="AC679" s="34">
        <v>0</v>
      </c>
      <c r="AD679" s="34">
        <v>0</v>
      </c>
      <c r="AE679" s="34">
        <v>0</v>
      </c>
      <c r="AF679" s="34">
        <v>0</v>
      </c>
      <c r="AG679" s="34">
        <v>0.88</v>
      </c>
      <c r="AH679" s="34">
        <v>0</v>
      </c>
      <c r="AI679" s="37">
        <f t="shared" si="96"/>
        <v>0</v>
      </c>
      <c r="AJ679" s="37">
        <f t="shared" si="97"/>
        <v>0</v>
      </c>
      <c r="AK679" s="37">
        <f t="shared" si="98"/>
        <v>0</v>
      </c>
      <c r="AL679" s="37">
        <f t="shared" si="99"/>
        <v>0</v>
      </c>
      <c r="AM679" s="37">
        <f t="shared" si="100"/>
        <v>0</v>
      </c>
      <c r="AN679" s="37">
        <f t="shared" si="101"/>
        <v>23636.42495984006</v>
      </c>
      <c r="AO679" s="37">
        <f t="shared" si="102"/>
        <v>0</v>
      </c>
    </row>
    <row r="680" spans="1:41" hidden="1" x14ac:dyDescent="0.3">
      <c r="A680" t="str">
        <f t="shared" si="103"/>
        <v>K-LPCago</v>
      </c>
      <c r="B680" t="str">
        <f t="shared" si="104"/>
        <v>KIDS FAIR PLAY LPB CIELO MALLago</v>
      </c>
      <c r="C680" s="1" t="s">
        <v>94</v>
      </c>
      <c r="D680" s="1" t="s">
        <v>23</v>
      </c>
      <c r="E680" s="1" t="s">
        <v>114</v>
      </c>
      <c r="F680" s="1" t="s">
        <v>121</v>
      </c>
      <c r="G680" s="1" t="s">
        <v>121</v>
      </c>
      <c r="H680" s="1" t="s">
        <v>303</v>
      </c>
      <c r="I680" s="1" t="s">
        <v>125</v>
      </c>
      <c r="J680" s="1" t="s">
        <v>137</v>
      </c>
      <c r="K680" t="s">
        <v>87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30">
        <v>0</v>
      </c>
      <c r="W680" s="30">
        <v>0</v>
      </c>
      <c r="X680" s="30">
        <v>33547.808061327087</v>
      </c>
      <c r="Y680" s="30">
        <v>15248.51076902213</v>
      </c>
      <c r="Z680" s="30">
        <v>0</v>
      </c>
      <c r="AA680" s="30">
        <v>0</v>
      </c>
      <c r="AB680" s="34">
        <v>0</v>
      </c>
      <c r="AC680" s="34">
        <v>0</v>
      </c>
      <c r="AD680" s="34">
        <v>0</v>
      </c>
      <c r="AE680" s="34">
        <v>0</v>
      </c>
      <c r="AF680" s="34">
        <v>0</v>
      </c>
      <c r="AG680" s="34">
        <v>0.49000000000000005</v>
      </c>
      <c r="AH680" s="34">
        <v>0</v>
      </c>
      <c r="AI680" s="37">
        <f t="shared" si="96"/>
        <v>0</v>
      </c>
      <c r="AJ680" s="37">
        <f t="shared" si="97"/>
        <v>0</v>
      </c>
      <c r="AK680" s="37">
        <f t="shared" si="98"/>
        <v>0</v>
      </c>
      <c r="AL680" s="37">
        <f t="shared" si="99"/>
        <v>0</v>
      </c>
      <c r="AM680" s="37">
        <f t="shared" si="100"/>
        <v>0</v>
      </c>
      <c r="AN680" s="37">
        <f t="shared" si="101"/>
        <v>16438.425950050274</v>
      </c>
      <c r="AO680" s="37">
        <f t="shared" si="102"/>
        <v>0</v>
      </c>
    </row>
    <row r="681" spans="1:41" hidden="1" x14ac:dyDescent="0.3">
      <c r="A681" t="str">
        <f t="shared" si="103"/>
        <v>K-LPCsep</v>
      </c>
      <c r="B681" t="str">
        <f t="shared" si="104"/>
        <v>KIDS FAIR PLAY LPB CIELO MALLsep</v>
      </c>
      <c r="C681" s="1" t="s">
        <v>94</v>
      </c>
      <c r="D681" s="1" t="s">
        <v>23</v>
      </c>
      <c r="E681" s="1" t="s">
        <v>114</v>
      </c>
      <c r="F681" s="1" t="s">
        <v>121</v>
      </c>
      <c r="G681" s="1" t="s">
        <v>121</v>
      </c>
      <c r="H681" s="1" t="s">
        <v>303</v>
      </c>
      <c r="I681" s="1" t="s">
        <v>125</v>
      </c>
      <c r="J681" s="1" t="s">
        <v>137</v>
      </c>
      <c r="K681" t="s">
        <v>88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30">
        <v>0</v>
      </c>
      <c r="W681" s="30">
        <v>0</v>
      </c>
      <c r="X681" s="30">
        <v>27188.149835700071</v>
      </c>
      <c r="Y681" s="30">
        <v>13707.002224819058</v>
      </c>
      <c r="Z681" s="30">
        <v>0</v>
      </c>
      <c r="AA681" s="30">
        <v>0</v>
      </c>
      <c r="AB681" s="34">
        <v>0</v>
      </c>
      <c r="AC681" s="34">
        <v>0</v>
      </c>
      <c r="AD681" s="34">
        <v>0</v>
      </c>
      <c r="AE681" s="34">
        <v>0</v>
      </c>
      <c r="AF681" s="34">
        <v>0</v>
      </c>
      <c r="AG681" s="34">
        <v>0.8</v>
      </c>
      <c r="AH681" s="34">
        <v>0</v>
      </c>
      <c r="AI681" s="37">
        <f t="shared" si="96"/>
        <v>0</v>
      </c>
      <c r="AJ681" s="37">
        <f t="shared" si="97"/>
        <v>0</v>
      </c>
      <c r="AK681" s="37">
        <f t="shared" si="98"/>
        <v>0</v>
      </c>
      <c r="AL681" s="37">
        <f t="shared" si="99"/>
        <v>0</v>
      </c>
      <c r="AM681" s="37">
        <f t="shared" si="100"/>
        <v>0</v>
      </c>
      <c r="AN681" s="37">
        <f t="shared" si="101"/>
        <v>21750.519868560059</v>
      </c>
      <c r="AO681" s="37">
        <f t="shared" si="102"/>
        <v>0</v>
      </c>
    </row>
    <row r="682" spans="1:41" hidden="1" x14ac:dyDescent="0.3">
      <c r="A682" t="str">
        <f t="shared" si="103"/>
        <v>K-LPCoct</v>
      </c>
      <c r="B682" t="str">
        <f t="shared" si="104"/>
        <v>KIDS FAIR PLAY LPB CIELO MALLoct</v>
      </c>
      <c r="C682" s="1" t="s">
        <v>94</v>
      </c>
      <c r="D682" s="1" t="s">
        <v>23</v>
      </c>
      <c r="E682" s="1" t="s">
        <v>114</v>
      </c>
      <c r="F682" s="1" t="s">
        <v>121</v>
      </c>
      <c r="G682" s="1" t="s">
        <v>121</v>
      </c>
      <c r="H682" s="1" t="s">
        <v>303</v>
      </c>
      <c r="I682" s="1" t="s">
        <v>125</v>
      </c>
      <c r="J682" s="1" t="s">
        <v>137</v>
      </c>
      <c r="K682" t="s">
        <v>89</v>
      </c>
      <c r="L682" s="6">
        <v>0</v>
      </c>
      <c r="M682" s="6">
        <v>0</v>
      </c>
      <c r="N682" s="6">
        <v>0</v>
      </c>
      <c r="O682" s="6">
        <v>0</v>
      </c>
      <c r="P682" s="6">
        <v>38389.033005749981</v>
      </c>
      <c r="Q682" s="6">
        <v>15434.313449152494</v>
      </c>
      <c r="R682" s="6">
        <v>0</v>
      </c>
      <c r="S682" s="6">
        <v>0</v>
      </c>
      <c r="T682" s="6">
        <v>0</v>
      </c>
      <c r="U682" s="6">
        <v>0</v>
      </c>
      <c r="V682" s="30">
        <v>0</v>
      </c>
      <c r="W682" s="30">
        <v>0</v>
      </c>
      <c r="X682" s="30">
        <v>29051.397743199985</v>
      </c>
      <c r="Y682" s="30">
        <v>14925.386813503201</v>
      </c>
      <c r="Z682" s="30">
        <v>0</v>
      </c>
      <c r="AA682" s="30">
        <v>0</v>
      </c>
      <c r="AB682" s="34">
        <v>0</v>
      </c>
      <c r="AC682" s="34">
        <v>0</v>
      </c>
      <c r="AD682" s="34">
        <v>0</v>
      </c>
      <c r="AE682" s="34">
        <v>0</v>
      </c>
      <c r="AF682" s="34">
        <v>0</v>
      </c>
      <c r="AG682" s="34">
        <v>0.86</v>
      </c>
      <c r="AH682" s="34">
        <v>0</v>
      </c>
      <c r="AI682" s="37">
        <f t="shared" si="96"/>
        <v>0</v>
      </c>
      <c r="AJ682" s="37">
        <f t="shared" si="97"/>
        <v>0</v>
      </c>
      <c r="AK682" s="37">
        <f t="shared" si="98"/>
        <v>0</v>
      </c>
      <c r="AL682" s="37">
        <f t="shared" si="99"/>
        <v>0</v>
      </c>
      <c r="AM682" s="37">
        <f t="shared" si="100"/>
        <v>0</v>
      </c>
      <c r="AN682" s="37">
        <f t="shared" si="101"/>
        <v>24984.202059151987</v>
      </c>
      <c r="AO682" s="37">
        <f t="shared" si="102"/>
        <v>0</v>
      </c>
    </row>
    <row r="683" spans="1:41" hidden="1" x14ac:dyDescent="0.3">
      <c r="A683" t="str">
        <f t="shared" si="103"/>
        <v>K-LPCnov</v>
      </c>
      <c r="B683" t="str">
        <f t="shared" si="104"/>
        <v>KIDS FAIR PLAY LPB CIELO MALLnov</v>
      </c>
      <c r="C683" s="1" t="s">
        <v>94</v>
      </c>
      <c r="D683" s="1" t="s">
        <v>23</v>
      </c>
      <c r="E683" s="1" t="s">
        <v>114</v>
      </c>
      <c r="F683" s="1" t="s">
        <v>121</v>
      </c>
      <c r="G683" s="1" t="s">
        <v>121</v>
      </c>
      <c r="H683" s="1" t="s">
        <v>303</v>
      </c>
      <c r="I683" s="1" t="s">
        <v>125</v>
      </c>
      <c r="J683" s="1" t="s">
        <v>137</v>
      </c>
      <c r="K683" t="s">
        <v>90</v>
      </c>
      <c r="L683" s="6">
        <v>0</v>
      </c>
      <c r="M683" s="6">
        <v>0</v>
      </c>
      <c r="N683" s="6">
        <v>0</v>
      </c>
      <c r="O683" s="6">
        <v>0</v>
      </c>
      <c r="P683" s="6">
        <v>48397.660620750008</v>
      </c>
      <c r="Q683" s="6">
        <v>23502.296984827499</v>
      </c>
      <c r="R683" s="6">
        <v>0</v>
      </c>
      <c r="S683" s="6">
        <v>0</v>
      </c>
      <c r="T683" s="6">
        <v>0</v>
      </c>
      <c r="U683" s="6">
        <v>0</v>
      </c>
      <c r="V683" s="30">
        <v>0</v>
      </c>
      <c r="W683" s="30">
        <v>0</v>
      </c>
      <c r="X683" s="30">
        <v>37949.4123204071</v>
      </c>
      <c r="Y683" s="30">
        <v>17917.391806903419</v>
      </c>
      <c r="Z683" s="30">
        <v>0</v>
      </c>
      <c r="AA683" s="30">
        <v>0</v>
      </c>
      <c r="AB683" s="34">
        <v>0</v>
      </c>
      <c r="AC683" s="34">
        <v>0</v>
      </c>
      <c r="AD683" s="34">
        <v>0</v>
      </c>
      <c r="AE683" s="34">
        <v>0</v>
      </c>
      <c r="AF683" s="34">
        <v>0</v>
      </c>
      <c r="AG683" s="34">
        <v>0.6</v>
      </c>
      <c r="AH683" s="34">
        <v>0</v>
      </c>
      <c r="AI683" s="37">
        <f t="shared" si="96"/>
        <v>0</v>
      </c>
      <c r="AJ683" s="37">
        <f t="shared" si="97"/>
        <v>0</v>
      </c>
      <c r="AK683" s="37">
        <f t="shared" si="98"/>
        <v>0</v>
      </c>
      <c r="AL683" s="37">
        <f t="shared" si="99"/>
        <v>0</v>
      </c>
      <c r="AM683" s="37">
        <f t="shared" si="100"/>
        <v>0</v>
      </c>
      <c r="AN683" s="37">
        <f t="shared" si="101"/>
        <v>22769.64739224426</v>
      </c>
      <c r="AO683" s="37">
        <f t="shared" si="102"/>
        <v>0</v>
      </c>
    </row>
    <row r="684" spans="1:41" hidden="1" x14ac:dyDescent="0.3">
      <c r="A684" t="str">
        <f t="shared" si="103"/>
        <v>K-LPCdic</v>
      </c>
      <c r="B684" t="str">
        <f t="shared" si="104"/>
        <v>KIDS FAIR PLAY LPB CIELO MALLdic</v>
      </c>
      <c r="C684" s="1" t="s">
        <v>94</v>
      </c>
      <c r="D684" s="1" t="s">
        <v>23</v>
      </c>
      <c r="E684" s="1" t="s">
        <v>114</v>
      </c>
      <c r="F684" s="1" t="s">
        <v>121</v>
      </c>
      <c r="G684" s="1" t="s">
        <v>121</v>
      </c>
      <c r="H684" s="1" t="s">
        <v>303</v>
      </c>
      <c r="I684" s="1" t="s">
        <v>125</v>
      </c>
      <c r="J684" s="1" t="s">
        <v>137</v>
      </c>
      <c r="K684" t="s">
        <v>91</v>
      </c>
      <c r="L684" s="6">
        <v>0</v>
      </c>
      <c r="M684" s="6">
        <v>0</v>
      </c>
      <c r="N684" s="6">
        <v>0</v>
      </c>
      <c r="O684" s="6">
        <v>0</v>
      </c>
      <c r="P684" s="6">
        <v>67629.755812500123</v>
      </c>
      <c r="Q684" s="6">
        <v>36674.784157725073</v>
      </c>
      <c r="R684" s="6">
        <v>0</v>
      </c>
      <c r="S684" s="6">
        <v>0</v>
      </c>
      <c r="T684" s="6">
        <v>0</v>
      </c>
      <c r="U684" s="6">
        <v>0</v>
      </c>
      <c r="V684" s="30">
        <v>0</v>
      </c>
      <c r="W684" s="30">
        <v>0</v>
      </c>
      <c r="X684" s="30">
        <v>52019.530720031958</v>
      </c>
      <c r="Y684" s="30">
        <v>26642.178449837753</v>
      </c>
      <c r="Z684" s="30">
        <v>0</v>
      </c>
      <c r="AA684" s="30">
        <v>0</v>
      </c>
      <c r="AB684" s="34">
        <v>0</v>
      </c>
      <c r="AC684" s="34">
        <v>0</v>
      </c>
      <c r="AD684" s="34">
        <v>0</v>
      </c>
      <c r="AE684" s="34">
        <v>0</v>
      </c>
      <c r="AF684" s="34">
        <v>0</v>
      </c>
      <c r="AG684" s="34">
        <v>0.85</v>
      </c>
      <c r="AH684" s="34">
        <v>0</v>
      </c>
      <c r="AI684" s="37">
        <f t="shared" si="96"/>
        <v>0</v>
      </c>
      <c r="AJ684" s="37">
        <f t="shared" si="97"/>
        <v>0</v>
      </c>
      <c r="AK684" s="37">
        <f t="shared" si="98"/>
        <v>0</v>
      </c>
      <c r="AL684" s="37">
        <f t="shared" si="99"/>
        <v>0</v>
      </c>
      <c r="AM684" s="37">
        <f t="shared" si="100"/>
        <v>0</v>
      </c>
      <c r="AN684" s="37">
        <f t="shared" si="101"/>
        <v>44216.601112027165</v>
      </c>
      <c r="AO684" s="37">
        <f t="shared" si="102"/>
        <v>0</v>
      </c>
    </row>
    <row r="685" spans="1:41" hidden="1" x14ac:dyDescent="0.3">
      <c r="A685" t="str">
        <f t="shared" si="103"/>
        <v>493ene</v>
      </c>
      <c r="B685" t="str">
        <f t="shared" si="104"/>
        <v>KIDS FAIR PLAY PATIO DESIGNene</v>
      </c>
      <c r="C685" s="1" t="s">
        <v>94</v>
      </c>
      <c r="D685" s="1" t="s">
        <v>24</v>
      </c>
      <c r="E685" s="1">
        <v>493</v>
      </c>
      <c r="F685" s="1" t="s">
        <v>121</v>
      </c>
      <c r="G685" s="1" t="s">
        <v>119</v>
      </c>
      <c r="H685" s="1" t="s">
        <v>119</v>
      </c>
      <c r="I685" s="1" t="s">
        <v>127</v>
      </c>
      <c r="J685" s="1" t="s">
        <v>138</v>
      </c>
      <c r="K685" t="s">
        <v>80</v>
      </c>
      <c r="L685" s="6">
        <v>0</v>
      </c>
      <c r="M685" s="6">
        <v>0</v>
      </c>
      <c r="N685" s="6">
        <v>0</v>
      </c>
      <c r="O685" s="6">
        <v>0</v>
      </c>
      <c r="P685" s="6">
        <v>36432.577999999994</v>
      </c>
      <c r="Q685" s="6">
        <v>19268.55056</v>
      </c>
      <c r="R685" s="6">
        <v>22034.3</v>
      </c>
      <c r="S685" s="6">
        <v>11680.990000000003</v>
      </c>
      <c r="T685" s="6">
        <v>22034.300000000003</v>
      </c>
      <c r="U685" s="6">
        <v>11680.990000000002</v>
      </c>
      <c r="V685" s="30">
        <v>24237.730000000047</v>
      </c>
      <c r="W685" s="30">
        <v>12849.089000000025</v>
      </c>
      <c r="X685" s="30">
        <v>25328.427850000051</v>
      </c>
      <c r="Y685" s="30">
        <v>13062.498396991345</v>
      </c>
      <c r="Z685" s="30">
        <v>33303.160919540242</v>
      </c>
      <c r="AA685" s="30">
        <v>17907.210938949174</v>
      </c>
      <c r="AB685" s="34">
        <v>0</v>
      </c>
      <c r="AC685" s="34">
        <v>0</v>
      </c>
      <c r="AD685" s="34">
        <v>0.87670767848309261</v>
      </c>
      <c r="AE685" s="34">
        <v>0.87670767848309228</v>
      </c>
      <c r="AF685" s="34">
        <v>0.87670767848309228</v>
      </c>
      <c r="AG685" s="34">
        <v>0.85999999999999988</v>
      </c>
      <c r="AH685" s="34">
        <v>0.95904913930713143</v>
      </c>
      <c r="AI685" s="37">
        <f t="shared" si="96"/>
        <v>0</v>
      </c>
      <c r="AJ685" s="37">
        <f t="shared" si="97"/>
        <v>0</v>
      </c>
      <c r="AK685" s="37">
        <f t="shared" si="98"/>
        <v>19317.64000000001</v>
      </c>
      <c r="AL685" s="37">
        <f t="shared" si="99"/>
        <v>19317.64</v>
      </c>
      <c r="AM685" s="37">
        <f t="shared" si="100"/>
        <v>21249.404000000042</v>
      </c>
      <c r="AN685" s="37">
        <f t="shared" si="101"/>
        <v>21782.447951000042</v>
      </c>
      <c r="AO685" s="37">
        <f t="shared" si="102"/>
        <v>31939.367816091963</v>
      </c>
    </row>
    <row r="686" spans="1:41" hidden="1" x14ac:dyDescent="0.3">
      <c r="A686" t="str">
        <f t="shared" si="103"/>
        <v>493feb</v>
      </c>
      <c r="B686" t="str">
        <f t="shared" si="104"/>
        <v>KIDS FAIR PLAY PATIO DESIGNfeb</v>
      </c>
      <c r="C686" s="1" t="s">
        <v>94</v>
      </c>
      <c r="D686" s="1" t="s">
        <v>24</v>
      </c>
      <c r="E686" s="1">
        <v>493</v>
      </c>
      <c r="F686" s="1" t="s">
        <v>121</v>
      </c>
      <c r="G686" s="1" t="s">
        <v>119</v>
      </c>
      <c r="H686" s="1" t="s">
        <v>119</v>
      </c>
      <c r="I686" s="1" t="s">
        <v>127</v>
      </c>
      <c r="J686" s="1" t="s">
        <v>138</v>
      </c>
      <c r="K686" t="s">
        <v>81</v>
      </c>
      <c r="L686" s="6">
        <v>0</v>
      </c>
      <c r="M686" s="6">
        <v>0</v>
      </c>
      <c r="N686" s="6">
        <v>0</v>
      </c>
      <c r="O686" s="6">
        <v>0</v>
      </c>
      <c r="P686" s="6">
        <v>45533.25</v>
      </c>
      <c r="Q686" s="6">
        <v>19268.9175</v>
      </c>
      <c r="R686" s="6">
        <v>34237.629999999968</v>
      </c>
      <c r="S686" s="6">
        <v>16777.479999999996</v>
      </c>
      <c r="T686" s="6">
        <v>34237.629999999954</v>
      </c>
      <c r="U686" s="6">
        <v>16777.479999999945</v>
      </c>
      <c r="V686" s="30">
        <v>37661.393000000011</v>
      </c>
      <c r="W686" s="30">
        <v>18455.22799999997</v>
      </c>
      <c r="X686" s="30">
        <v>38791.234790000017</v>
      </c>
      <c r="Y686" s="30">
        <v>17928.163340848052</v>
      </c>
      <c r="Z686" s="30">
        <v>37852.729885057437</v>
      </c>
      <c r="AA686" s="30">
        <v>17476.89282221649</v>
      </c>
      <c r="AB686" s="34">
        <v>0</v>
      </c>
      <c r="AC686" s="34">
        <v>0</v>
      </c>
      <c r="AD686" s="34">
        <v>0.51226939481500422</v>
      </c>
      <c r="AE686" s="34">
        <v>0.51226939481500333</v>
      </c>
      <c r="AF686" s="34">
        <v>0.51226939481500333</v>
      </c>
      <c r="AG686" s="34">
        <v>0.49</v>
      </c>
      <c r="AH686" s="34">
        <v>0.53094456358770947</v>
      </c>
      <c r="AI686" s="37">
        <f t="shared" si="96"/>
        <v>0</v>
      </c>
      <c r="AJ686" s="37">
        <f t="shared" si="97"/>
        <v>0</v>
      </c>
      <c r="AK686" s="37">
        <f t="shared" si="98"/>
        <v>17538.89000000001</v>
      </c>
      <c r="AL686" s="37">
        <f t="shared" si="99"/>
        <v>17538.889999999985</v>
      </c>
      <c r="AM686" s="37">
        <f t="shared" si="100"/>
        <v>19292.77900000001</v>
      </c>
      <c r="AN686" s="37">
        <f t="shared" si="101"/>
        <v>19007.705047100008</v>
      </c>
      <c r="AO686" s="37">
        <f t="shared" si="102"/>
        <v>20097.701149425269</v>
      </c>
    </row>
    <row r="687" spans="1:41" hidden="1" x14ac:dyDescent="0.3">
      <c r="A687" t="str">
        <f t="shared" si="103"/>
        <v>493mar</v>
      </c>
      <c r="B687" t="str">
        <f t="shared" si="104"/>
        <v>KIDS FAIR PLAY PATIO DESIGNmar</v>
      </c>
      <c r="C687" s="1" t="s">
        <v>94</v>
      </c>
      <c r="D687" s="1" t="s">
        <v>24</v>
      </c>
      <c r="E687" s="1">
        <v>493</v>
      </c>
      <c r="F687" s="1" t="s">
        <v>121</v>
      </c>
      <c r="G687" s="1" t="s">
        <v>119</v>
      </c>
      <c r="H687" s="1" t="s">
        <v>119</v>
      </c>
      <c r="I687" s="1" t="s">
        <v>127</v>
      </c>
      <c r="J687" s="1" t="s">
        <v>138</v>
      </c>
      <c r="K687" t="s">
        <v>82</v>
      </c>
      <c r="L687" s="6">
        <v>0</v>
      </c>
      <c r="M687" s="6">
        <v>0</v>
      </c>
      <c r="N687" s="6">
        <v>0</v>
      </c>
      <c r="O687" s="6">
        <v>0</v>
      </c>
      <c r="P687" s="6">
        <v>36904.875</v>
      </c>
      <c r="Q687" s="6">
        <v>18449.97</v>
      </c>
      <c r="R687" s="6">
        <v>33652.250000000015</v>
      </c>
      <c r="S687" s="6">
        <v>16922.939999999991</v>
      </c>
      <c r="T687" s="6">
        <v>33652.250000000015</v>
      </c>
      <c r="U687" s="6">
        <v>16939.520000000004</v>
      </c>
      <c r="V687" s="30">
        <v>33652.250000000044</v>
      </c>
      <c r="W687" s="30">
        <v>16939.520000000019</v>
      </c>
      <c r="X687" s="30">
        <v>35334.862500000047</v>
      </c>
      <c r="Y687" s="30">
        <v>17916.199809058951</v>
      </c>
      <c r="Z687" s="30">
        <v>28962.903948689556</v>
      </c>
      <c r="AA687" s="30">
        <v>14452.489070396088</v>
      </c>
      <c r="AB687" s="34">
        <v>0</v>
      </c>
      <c r="AC687" s="34">
        <v>0</v>
      </c>
      <c r="AD687" s="34">
        <v>0.67778855797160664</v>
      </c>
      <c r="AE687" s="34">
        <v>0.67778855797160664</v>
      </c>
      <c r="AF687" s="34">
        <v>0.67778855797160664</v>
      </c>
      <c r="AG687" s="34">
        <v>0.79999999999999993</v>
      </c>
      <c r="AH687" s="34">
        <v>0.84816017316017334</v>
      </c>
      <c r="AI687" s="37">
        <f t="shared" si="96"/>
        <v>0</v>
      </c>
      <c r="AJ687" s="37">
        <f t="shared" si="97"/>
        <v>0</v>
      </c>
      <c r="AK687" s="37">
        <f t="shared" si="98"/>
        <v>22809.110000000008</v>
      </c>
      <c r="AL687" s="37">
        <f t="shared" si="99"/>
        <v>22809.110000000008</v>
      </c>
      <c r="AM687" s="37">
        <f t="shared" si="100"/>
        <v>22809.11000000003</v>
      </c>
      <c r="AN687" s="37">
        <f t="shared" si="101"/>
        <v>28267.890000000036</v>
      </c>
      <c r="AO687" s="37">
        <f t="shared" si="102"/>
        <v>24565.181628342001</v>
      </c>
    </row>
    <row r="688" spans="1:41" hidden="1" x14ac:dyDescent="0.3">
      <c r="A688" t="str">
        <f t="shared" si="103"/>
        <v>493abr</v>
      </c>
      <c r="B688" t="str">
        <f t="shared" si="104"/>
        <v>KIDS FAIR PLAY PATIO DESIGNabr</v>
      </c>
      <c r="C688" s="1" t="s">
        <v>94</v>
      </c>
      <c r="D688" s="1" t="s">
        <v>24</v>
      </c>
      <c r="E688" s="1">
        <v>493</v>
      </c>
      <c r="F688" s="1" t="s">
        <v>121</v>
      </c>
      <c r="G688" s="1" t="s">
        <v>119</v>
      </c>
      <c r="H688" s="1" t="s">
        <v>119</v>
      </c>
      <c r="I688" s="1" t="s">
        <v>127</v>
      </c>
      <c r="J688" s="1" t="s">
        <v>138</v>
      </c>
      <c r="K688" t="s">
        <v>83</v>
      </c>
      <c r="L688" s="6">
        <v>0</v>
      </c>
      <c r="M688" s="6">
        <v>0</v>
      </c>
      <c r="N688" s="6">
        <v>0</v>
      </c>
      <c r="O688" s="6">
        <v>0</v>
      </c>
      <c r="P688" s="6">
        <v>39810.224999999999</v>
      </c>
      <c r="Q688" s="6">
        <v>19948.593000000001</v>
      </c>
      <c r="R688" s="6">
        <v>32907.570000000051</v>
      </c>
      <c r="S688" s="6">
        <v>17461.820000000036</v>
      </c>
      <c r="T688" s="6">
        <v>32907.570000000051</v>
      </c>
      <c r="U688" s="6">
        <v>17461.820000000043</v>
      </c>
      <c r="V688" s="30">
        <v>32907.570000000051</v>
      </c>
      <c r="W688" s="30">
        <v>17461.820000000043</v>
      </c>
      <c r="X688" s="30">
        <v>35540.175600000046</v>
      </c>
      <c r="Y688" s="30">
        <v>17505.888262938359</v>
      </c>
      <c r="Z688" s="30">
        <v>0</v>
      </c>
      <c r="AA688" s="30">
        <v>0</v>
      </c>
      <c r="AB688" s="34">
        <v>0</v>
      </c>
      <c r="AC688" s="34">
        <v>0</v>
      </c>
      <c r="AD688" s="34">
        <v>0.88475630379271397</v>
      </c>
      <c r="AE688" s="34">
        <v>0.88475630379271408</v>
      </c>
      <c r="AF688" s="34">
        <v>0.88475630379271408</v>
      </c>
      <c r="AG688" s="34">
        <v>0.7</v>
      </c>
      <c r="AH688" s="34">
        <v>0</v>
      </c>
      <c r="AI688" s="37">
        <f t="shared" si="96"/>
        <v>0</v>
      </c>
      <c r="AJ688" s="37">
        <f t="shared" si="97"/>
        <v>0</v>
      </c>
      <c r="AK688" s="37">
        <f t="shared" si="98"/>
        <v>29115.180000000044</v>
      </c>
      <c r="AL688" s="37">
        <f t="shared" si="99"/>
        <v>29115.180000000048</v>
      </c>
      <c r="AM688" s="37">
        <f t="shared" si="100"/>
        <v>29115.180000000048</v>
      </c>
      <c r="AN688" s="37">
        <f t="shared" si="101"/>
        <v>24878.122920000031</v>
      </c>
      <c r="AO688" s="37">
        <f t="shared" si="102"/>
        <v>0</v>
      </c>
    </row>
    <row r="689" spans="1:41" hidden="1" x14ac:dyDescent="0.3">
      <c r="A689" t="str">
        <f t="shared" si="103"/>
        <v>493may</v>
      </c>
      <c r="B689" t="str">
        <f t="shared" si="104"/>
        <v>KIDS FAIR PLAY PATIO DESIGNmay</v>
      </c>
      <c r="C689" s="1" t="s">
        <v>94</v>
      </c>
      <c r="D689" s="1" t="s">
        <v>24</v>
      </c>
      <c r="E689" s="1">
        <v>493</v>
      </c>
      <c r="F689" s="1" t="s">
        <v>121</v>
      </c>
      <c r="G689" s="1" t="s">
        <v>119</v>
      </c>
      <c r="H689" s="1" t="s">
        <v>119</v>
      </c>
      <c r="I689" s="1" t="s">
        <v>127</v>
      </c>
      <c r="J689" s="1" t="s">
        <v>138</v>
      </c>
      <c r="K689" t="s">
        <v>84</v>
      </c>
      <c r="L689" s="6">
        <v>0</v>
      </c>
      <c r="M689" s="6">
        <v>0</v>
      </c>
      <c r="N689" s="6">
        <v>0</v>
      </c>
      <c r="O689" s="6">
        <v>0</v>
      </c>
      <c r="P689" s="6">
        <v>34430.025000000001</v>
      </c>
      <c r="Q689" s="6">
        <v>18455.773875000003</v>
      </c>
      <c r="R689" s="6">
        <v>32906.979999999996</v>
      </c>
      <c r="S689" s="6">
        <v>17490.470000000008</v>
      </c>
      <c r="T689" s="6">
        <v>32906.979999999989</v>
      </c>
      <c r="U689" s="6">
        <v>17490.469999999987</v>
      </c>
      <c r="V689" s="30">
        <v>32906.979999999989</v>
      </c>
      <c r="W689" s="30">
        <v>17490.469999999987</v>
      </c>
      <c r="X689" s="30">
        <v>34552.328999999998</v>
      </c>
      <c r="Y689" s="30">
        <v>17919.516042854819</v>
      </c>
      <c r="Z689" s="30">
        <v>0</v>
      </c>
      <c r="AA689" s="30">
        <v>0</v>
      </c>
      <c r="AB689" s="34">
        <v>0</v>
      </c>
      <c r="AC689" s="34">
        <v>0</v>
      </c>
      <c r="AD689" s="34">
        <v>0.9073877335446765</v>
      </c>
      <c r="AE689" s="34">
        <v>0.9073877335446765</v>
      </c>
      <c r="AF689" s="34">
        <v>0.9073877335446765</v>
      </c>
      <c r="AG689" s="34">
        <v>0.88</v>
      </c>
      <c r="AH689" s="34">
        <v>0</v>
      </c>
      <c r="AI689" s="37">
        <f t="shared" si="96"/>
        <v>0</v>
      </c>
      <c r="AJ689" s="37">
        <f t="shared" si="97"/>
        <v>0</v>
      </c>
      <c r="AK689" s="37">
        <f t="shared" si="98"/>
        <v>29859.389999999989</v>
      </c>
      <c r="AL689" s="37">
        <f t="shared" si="99"/>
        <v>29859.389999999996</v>
      </c>
      <c r="AM689" s="37">
        <f t="shared" si="100"/>
        <v>29859.389999999989</v>
      </c>
      <c r="AN689" s="37">
        <f t="shared" si="101"/>
        <v>30406.049519999997</v>
      </c>
      <c r="AO689" s="37">
        <f t="shared" si="102"/>
        <v>0</v>
      </c>
    </row>
    <row r="690" spans="1:41" hidden="1" x14ac:dyDescent="0.3">
      <c r="A690" t="str">
        <f t="shared" si="103"/>
        <v>493jun</v>
      </c>
      <c r="B690" t="str">
        <f t="shared" si="104"/>
        <v>KIDS FAIR PLAY PATIO DESIGNjun</v>
      </c>
      <c r="C690" s="1" t="s">
        <v>94</v>
      </c>
      <c r="D690" s="1" t="s">
        <v>24</v>
      </c>
      <c r="E690" s="1">
        <v>493</v>
      </c>
      <c r="F690" s="1" t="s">
        <v>121</v>
      </c>
      <c r="G690" s="1" t="s">
        <v>119</v>
      </c>
      <c r="H690" s="1" t="s">
        <v>119</v>
      </c>
      <c r="I690" s="1" t="s">
        <v>127</v>
      </c>
      <c r="J690" s="1" t="s">
        <v>138</v>
      </c>
      <c r="K690" t="s">
        <v>85</v>
      </c>
      <c r="L690" s="6">
        <v>0</v>
      </c>
      <c r="M690" s="6">
        <v>0</v>
      </c>
      <c r="N690" s="6">
        <v>0</v>
      </c>
      <c r="O690" s="6">
        <v>0</v>
      </c>
      <c r="P690" s="6">
        <v>34432.125</v>
      </c>
      <c r="Q690" s="6">
        <v>18349.078125</v>
      </c>
      <c r="R690" s="6">
        <v>28508.999999999982</v>
      </c>
      <c r="S690" s="6">
        <v>15379.036910812356</v>
      </c>
      <c r="T690" s="6">
        <v>28508.999999999993</v>
      </c>
      <c r="U690" s="6">
        <v>15379.539999999999</v>
      </c>
      <c r="V690" s="30">
        <v>28508.999999999996</v>
      </c>
      <c r="W690" s="30">
        <v>15379.54</v>
      </c>
      <c r="X690" s="30">
        <v>30219.539999999994</v>
      </c>
      <c r="Y690" s="30">
        <v>15672.446619667604</v>
      </c>
      <c r="Z690" s="30">
        <v>0</v>
      </c>
      <c r="AA690" s="30">
        <v>0</v>
      </c>
      <c r="AB690" s="34">
        <v>0</v>
      </c>
      <c r="AC690" s="34">
        <v>0</v>
      </c>
      <c r="AD690" s="34">
        <v>0.956243175958846</v>
      </c>
      <c r="AE690" s="34">
        <v>0.956243175958846</v>
      </c>
      <c r="AF690" s="34">
        <v>0.956243175958846</v>
      </c>
      <c r="AG690" s="34">
        <v>0.88</v>
      </c>
      <c r="AH690" s="34">
        <v>0</v>
      </c>
      <c r="AI690" s="37">
        <f t="shared" si="96"/>
        <v>0</v>
      </c>
      <c r="AJ690" s="37">
        <f t="shared" si="97"/>
        <v>0</v>
      </c>
      <c r="AK690" s="37">
        <f t="shared" si="98"/>
        <v>27261.536703410733</v>
      </c>
      <c r="AL690" s="37">
        <f t="shared" si="99"/>
        <v>27261.536703410722</v>
      </c>
      <c r="AM690" s="37">
        <f t="shared" si="100"/>
        <v>27261.536703410737</v>
      </c>
      <c r="AN690" s="37">
        <f t="shared" si="101"/>
        <v>26593.195199999995</v>
      </c>
      <c r="AO690" s="37">
        <f t="shared" si="102"/>
        <v>0</v>
      </c>
    </row>
    <row r="691" spans="1:41" hidden="1" x14ac:dyDescent="0.3">
      <c r="A691" t="str">
        <f t="shared" si="103"/>
        <v>493jul</v>
      </c>
      <c r="B691" t="str">
        <f t="shared" si="104"/>
        <v>KIDS FAIR PLAY PATIO DESIGNjul</v>
      </c>
      <c r="C691" s="1" t="s">
        <v>94</v>
      </c>
      <c r="D691" s="1" t="s">
        <v>24</v>
      </c>
      <c r="E691" s="1">
        <v>493</v>
      </c>
      <c r="F691" s="1" t="s">
        <v>121</v>
      </c>
      <c r="G691" s="1" t="s">
        <v>119</v>
      </c>
      <c r="H691" s="1" t="s">
        <v>119</v>
      </c>
      <c r="I691" s="1" t="s">
        <v>127</v>
      </c>
      <c r="J691" s="1" t="s">
        <v>138</v>
      </c>
      <c r="K691" t="s">
        <v>86</v>
      </c>
      <c r="L691" s="6">
        <v>0</v>
      </c>
      <c r="M691" s="6">
        <v>0</v>
      </c>
      <c r="N691" s="6">
        <v>0</v>
      </c>
      <c r="O691" s="6">
        <v>0</v>
      </c>
      <c r="P691" s="6">
        <v>41031.236609999993</v>
      </c>
      <c r="Q691" s="6">
        <v>21103.321229549998</v>
      </c>
      <c r="R691" s="6">
        <v>27587.93</v>
      </c>
      <c r="S691" s="6">
        <v>14982.06999999998</v>
      </c>
      <c r="T691" s="6">
        <v>27587.929999999997</v>
      </c>
      <c r="U691" s="6">
        <v>14982.069999999992</v>
      </c>
      <c r="V691" s="30">
        <v>27587.929999999971</v>
      </c>
      <c r="W691" s="30">
        <v>14982.06999999998</v>
      </c>
      <c r="X691" s="30">
        <v>30622.602299999966</v>
      </c>
      <c r="Y691" s="30">
        <v>15881.482640108352</v>
      </c>
      <c r="Z691" s="30">
        <v>0</v>
      </c>
      <c r="AA691" s="30">
        <v>0</v>
      </c>
      <c r="AB691" s="34">
        <v>0</v>
      </c>
      <c r="AC691" s="34">
        <v>0</v>
      </c>
      <c r="AD691" s="34">
        <v>0.98041643573838266</v>
      </c>
      <c r="AE691" s="34">
        <v>0.98041643573838266</v>
      </c>
      <c r="AF691" s="34">
        <v>0.98041643573838266</v>
      </c>
      <c r="AG691" s="34">
        <v>0.88</v>
      </c>
      <c r="AH691" s="34">
        <v>0</v>
      </c>
      <c r="AI691" s="37">
        <f t="shared" si="96"/>
        <v>0</v>
      </c>
      <c r="AJ691" s="37">
        <f t="shared" si="97"/>
        <v>0</v>
      </c>
      <c r="AK691" s="37">
        <f t="shared" si="98"/>
        <v>27047.659999999996</v>
      </c>
      <c r="AL691" s="37">
        <f t="shared" si="99"/>
        <v>27047.66</v>
      </c>
      <c r="AM691" s="37">
        <f t="shared" si="100"/>
        <v>27047.659999999971</v>
      </c>
      <c r="AN691" s="37">
        <f t="shared" si="101"/>
        <v>26947.890023999971</v>
      </c>
      <c r="AO691" s="37">
        <f t="shared" si="102"/>
        <v>0</v>
      </c>
    </row>
    <row r="692" spans="1:41" hidden="1" x14ac:dyDescent="0.3">
      <c r="A692" t="str">
        <f t="shared" si="103"/>
        <v>493ago</v>
      </c>
      <c r="B692" t="str">
        <f t="shared" si="104"/>
        <v>KIDS FAIR PLAY PATIO DESIGNago</v>
      </c>
      <c r="C692" s="1" t="s">
        <v>94</v>
      </c>
      <c r="D692" s="1" t="s">
        <v>24</v>
      </c>
      <c r="E692" s="1">
        <v>493</v>
      </c>
      <c r="F692" s="1" t="s">
        <v>121</v>
      </c>
      <c r="G692" s="1" t="s">
        <v>119</v>
      </c>
      <c r="H692" s="1" t="s">
        <v>119</v>
      </c>
      <c r="I692" s="1" t="s">
        <v>127</v>
      </c>
      <c r="J692" s="1" t="s">
        <v>138</v>
      </c>
      <c r="K692" t="s">
        <v>87</v>
      </c>
      <c r="L692" s="6">
        <v>0</v>
      </c>
      <c r="M692" s="6">
        <v>0</v>
      </c>
      <c r="N692" s="6">
        <v>0</v>
      </c>
      <c r="O692" s="6">
        <v>0</v>
      </c>
      <c r="P692" s="6">
        <v>53190.665262000002</v>
      </c>
      <c r="Q692" s="6">
        <v>21726.35912202</v>
      </c>
      <c r="R692" s="6">
        <v>45212.065472699993</v>
      </c>
      <c r="S692" s="6">
        <v>19191.617551851694</v>
      </c>
      <c r="T692" s="6">
        <v>46968.04</v>
      </c>
      <c r="U692" s="6">
        <v>19743.039999999997</v>
      </c>
      <c r="V692" s="30">
        <v>43680.277200000011</v>
      </c>
      <c r="W692" s="30">
        <v>18541.404065856004</v>
      </c>
      <c r="X692" s="30">
        <v>45645.889674000013</v>
      </c>
      <c r="Y692" s="30">
        <v>21096.182432552087</v>
      </c>
      <c r="Z692" s="30">
        <v>0</v>
      </c>
      <c r="AA692" s="30">
        <v>0</v>
      </c>
      <c r="AB692" s="34">
        <v>0</v>
      </c>
      <c r="AC692" s="34">
        <v>0</v>
      </c>
      <c r="AD692" s="34">
        <v>0.36127992566860362</v>
      </c>
      <c r="AE692" s="34">
        <v>0.37999999999999995</v>
      </c>
      <c r="AF692" s="34">
        <v>0.37999999999999995</v>
      </c>
      <c r="AG692" s="34">
        <v>0.49</v>
      </c>
      <c r="AH692" s="34">
        <v>0</v>
      </c>
      <c r="AI692" s="37">
        <f t="shared" si="96"/>
        <v>0</v>
      </c>
      <c r="AJ692" s="37">
        <f t="shared" si="97"/>
        <v>0</v>
      </c>
      <c r="AK692" s="37">
        <f t="shared" si="98"/>
        <v>16968.61</v>
      </c>
      <c r="AL692" s="37">
        <f t="shared" si="99"/>
        <v>17180.584879625996</v>
      </c>
      <c r="AM692" s="37">
        <f t="shared" si="100"/>
        <v>16598.505336000002</v>
      </c>
      <c r="AN692" s="37">
        <f t="shared" si="101"/>
        <v>22366.485940260005</v>
      </c>
      <c r="AO692" s="37">
        <f t="shared" si="102"/>
        <v>0</v>
      </c>
    </row>
    <row r="693" spans="1:41" hidden="1" x14ac:dyDescent="0.3">
      <c r="A693" t="str">
        <f t="shared" si="103"/>
        <v>493sep</v>
      </c>
      <c r="B693" t="str">
        <f t="shared" si="104"/>
        <v>KIDS FAIR PLAY PATIO DESIGNsep</v>
      </c>
      <c r="C693" s="1" t="s">
        <v>94</v>
      </c>
      <c r="D693" s="1" t="s">
        <v>24</v>
      </c>
      <c r="E693" s="1">
        <v>493</v>
      </c>
      <c r="F693" s="1" t="s">
        <v>121</v>
      </c>
      <c r="G693" s="1" t="s">
        <v>119</v>
      </c>
      <c r="H693" s="1" t="s">
        <v>119</v>
      </c>
      <c r="I693" s="1" t="s">
        <v>127</v>
      </c>
      <c r="J693" s="1" t="s">
        <v>138</v>
      </c>
      <c r="K693" t="s">
        <v>88</v>
      </c>
      <c r="L693" s="6">
        <v>0</v>
      </c>
      <c r="M693" s="6">
        <v>0</v>
      </c>
      <c r="N693" s="6">
        <v>21718.23</v>
      </c>
      <c r="O693" s="6">
        <v>11751.189999999999</v>
      </c>
      <c r="P693" s="6">
        <v>33860.914327999992</v>
      </c>
      <c r="Q693" s="6">
        <v>18087.420048404994</v>
      </c>
      <c r="R693" s="6">
        <v>32811.225983831995</v>
      </c>
      <c r="S693" s="6">
        <v>16707.476270967254</v>
      </c>
      <c r="T693" s="6">
        <v>24290.630000000005</v>
      </c>
      <c r="U693" s="6">
        <v>12467.869999999999</v>
      </c>
      <c r="V693" s="30">
        <v>24290.630000000005</v>
      </c>
      <c r="W693" s="30">
        <v>12467.869999999999</v>
      </c>
      <c r="X693" s="30">
        <v>25505.161500000002</v>
      </c>
      <c r="Y693" s="30">
        <v>12932.145118615286</v>
      </c>
      <c r="Z693" s="30">
        <v>0</v>
      </c>
      <c r="AA693" s="30">
        <v>0</v>
      </c>
      <c r="AB693" s="34">
        <v>0</v>
      </c>
      <c r="AC693" s="34">
        <v>0.85331953847067676</v>
      </c>
      <c r="AD693" s="34">
        <v>0.81360261137730883</v>
      </c>
      <c r="AE693" s="34">
        <v>0.91</v>
      </c>
      <c r="AF693" s="34">
        <v>0.91</v>
      </c>
      <c r="AG693" s="34">
        <v>0.8</v>
      </c>
      <c r="AH693" s="34">
        <v>0</v>
      </c>
      <c r="AI693" s="37">
        <f t="shared" si="96"/>
        <v>0</v>
      </c>
      <c r="AJ693" s="37">
        <f t="shared" si="97"/>
        <v>18532.590000000007</v>
      </c>
      <c r="AK693" s="37">
        <f t="shared" si="98"/>
        <v>19762.920000000002</v>
      </c>
      <c r="AL693" s="37">
        <f t="shared" si="99"/>
        <v>29858.215645287117</v>
      </c>
      <c r="AM693" s="37">
        <f t="shared" si="100"/>
        <v>22104.473300000005</v>
      </c>
      <c r="AN693" s="37">
        <f t="shared" si="101"/>
        <v>20404.129200000003</v>
      </c>
      <c r="AO693" s="37">
        <f t="shared" si="102"/>
        <v>0</v>
      </c>
    </row>
    <row r="694" spans="1:41" hidden="1" x14ac:dyDescent="0.3">
      <c r="A694" t="str">
        <f t="shared" si="103"/>
        <v>493oct</v>
      </c>
      <c r="B694" t="str">
        <f t="shared" si="104"/>
        <v>KIDS FAIR PLAY PATIO DESIGNoct</v>
      </c>
      <c r="C694" s="1" t="s">
        <v>94</v>
      </c>
      <c r="D694" s="1" t="s">
        <v>24</v>
      </c>
      <c r="E694" s="1">
        <v>493</v>
      </c>
      <c r="F694" s="1" t="s">
        <v>121</v>
      </c>
      <c r="G694" s="1" t="s">
        <v>119</v>
      </c>
      <c r="H694" s="1" t="s">
        <v>119</v>
      </c>
      <c r="I694" s="1" t="s">
        <v>127</v>
      </c>
      <c r="J694" s="1" t="s">
        <v>138</v>
      </c>
      <c r="K694" t="s">
        <v>89</v>
      </c>
      <c r="L694" s="6">
        <v>0</v>
      </c>
      <c r="M694" s="6">
        <v>0</v>
      </c>
      <c r="N694" s="6">
        <v>30167.03</v>
      </c>
      <c r="O694" s="6">
        <v>16498.349999999999</v>
      </c>
      <c r="P694" s="6">
        <v>36003.734064999975</v>
      </c>
      <c r="Q694" s="6">
        <v>19051.978844724985</v>
      </c>
      <c r="R694" s="6">
        <v>34887.618308984973</v>
      </c>
      <c r="S694" s="6">
        <v>17764.775242935149</v>
      </c>
      <c r="T694" s="6">
        <v>20284.129999999997</v>
      </c>
      <c r="U694" s="6">
        <v>10679.239999999991</v>
      </c>
      <c r="V694" s="30">
        <v>30116.22</v>
      </c>
      <c r="W694" s="30">
        <v>15335.179224</v>
      </c>
      <c r="X694" s="30">
        <v>31772.612100000002</v>
      </c>
      <c r="Y694" s="30">
        <v>16385.92403296271</v>
      </c>
      <c r="Z694" s="30">
        <v>0</v>
      </c>
      <c r="AA694" s="30">
        <v>0</v>
      </c>
      <c r="AB694" s="34">
        <v>0</v>
      </c>
      <c r="AC694" s="34">
        <v>0.89619610513775194</v>
      </c>
      <c r="AD694" s="34">
        <v>0.82350635694013041</v>
      </c>
      <c r="AE694" s="34">
        <v>0.91</v>
      </c>
      <c r="AF694" s="34">
        <v>0.91</v>
      </c>
      <c r="AG694" s="34">
        <v>0.86</v>
      </c>
      <c r="AH694" s="34">
        <v>0</v>
      </c>
      <c r="AI694" s="37">
        <f t="shared" si="96"/>
        <v>0</v>
      </c>
      <c r="AJ694" s="37">
        <f t="shared" si="97"/>
        <v>27035.574789573715</v>
      </c>
      <c r="AK694" s="37">
        <f t="shared" si="98"/>
        <v>16704.110000000004</v>
      </c>
      <c r="AL694" s="37">
        <f t="shared" si="99"/>
        <v>31747.732661176327</v>
      </c>
      <c r="AM694" s="37">
        <f t="shared" si="100"/>
        <v>27405.760200000001</v>
      </c>
      <c r="AN694" s="37">
        <f t="shared" si="101"/>
        <v>27324.446406000003</v>
      </c>
      <c r="AO694" s="37">
        <f t="shared" si="102"/>
        <v>0</v>
      </c>
    </row>
    <row r="695" spans="1:41" hidden="1" x14ac:dyDescent="0.3">
      <c r="A695" t="str">
        <f t="shared" si="103"/>
        <v>493nov</v>
      </c>
      <c r="B695" t="str">
        <f t="shared" si="104"/>
        <v>KIDS FAIR PLAY PATIO DESIGNnov</v>
      </c>
      <c r="C695" s="1" t="s">
        <v>94</v>
      </c>
      <c r="D695" s="1" t="s">
        <v>24</v>
      </c>
      <c r="E695" s="1">
        <v>493</v>
      </c>
      <c r="F695" s="1" t="s">
        <v>121</v>
      </c>
      <c r="G695" s="1" t="s">
        <v>119</v>
      </c>
      <c r="H695" s="1" t="s">
        <v>119</v>
      </c>
      <c r="I695" s="1" t="s">
        <v>127</v>
      </c>
      <c r="J695" s="1" t="s">
        <v>138</v>
      </c>
      <c r="K695" t="s">
        <v>90</v>
      </c>
      <c r="L695" s="6">
        <v>0</v>
      </c>
      <c r="M695" s="6">
        <v>0</v>
      </c>
      <c r="N695" s="6">
        <v>24558.6</v>
      </c>
      <c r="O695" s="6">
        <v>12986.139999999998</v>
      </c>
      <c r="P695" s="6">
        <v>43077.199534999963</v>
      </c>
      <c r="Q695" s="6">
        <v>20894.814149774986</v>
      </c>
      <c r="R695" s="6">
        <v>42969.506536162466</v>
      </c>
      <c r="S695" s="6">
        <v>20539.424124285659</v>
      </c>
      <c r="T695" s="6">
        <v>8912.3563218390809</v>
      </c>
      <c r="U695" s="6">
        <v>3675.9885268399189</v>
      </c>
      <c r="V695" s="30">
        <v>42969.506536162466</v>
      </c>
      <c r="W695" s="30">
        <v>20539.424124285659</v>
      </c>
      <c r="X695" s="30">
        <v>45977.371993693843</v>
      </c>
      <c r="Y695" s="30">
        <v>21981.41510895134</v>
      </c>
      <c r="Z695" s="30">
        <v>0</v>
      </c>
      <c r="AA695" s="30">
        <v>0</v>
      </c>
      <c r="AB695" s="34">
        <v>0</v>
      </c>
      <c r="AC695" s="34">
        <v>0.76841457845047267</v>
      </c>
      <c r="AD695" s="34">
        <v>0.36127992566860362</v>
      </c>
      <c r="AE695" s="34">
        <v>0.65</v>
      </c>
      <c r="AF695" s="34">
        <v>0.65</v>
      </c>
      <c r="AG695" s="34">
        <v>0.6</v>
      </c>
      <c r="AH695" s="34">
        <v>0</v>
      </c>
      <c r="AI695" s="37">
        <f t="shared" si="96"/>
        <v>0</v>
      </c>
      <c r="AJ695" s="37">
        <f t="shared" si="97"/>
        <v>18871.186266333778</v>
      </c>
      <c r="AK695" s="37">
        <f t="shared" si="98"/>
        <v>3219.8554294861328</v>
      </c>
      <c r="AL695" s="37">
        <f t="shared" si="99"/>
        <v>27930.179248505603</v>
      </c>
      <c r="AM695" s="37">
        <f t="shared" si="100"/>
        <v>27930.179248505603</v>
      </c>
      <c r="AN695" s="37">
        <f t="shared" si="101"/>
        <v>27586.423196216307</v>
      </c>
      <c r="AO695" s="37">
        <f t="shared" si="102"/>
        <v>0</v>
      </c>
    </row>
    <row r="696" spans="1:41" hidden="1" x14ac:dyDescent="0.3">
      <c r="A696" t="str">
        <f t="shared" si="103"/>
        <v>493dic</v>
      </c>
      <c r="B696" t="str">
        <f t="shared" si="104"/>
        <v>KIDS FAIR PLAY PATIO DESIGNdic</v>
      </c>
      <c r="C696" s="1" t="s">
        <v>94</v>
      </c>
      <c r="D696" s="1" t="s">
        <v>24</v>
      </c>
      <c r="E696" s="1">
        <v>493</v>
      </c>
      <c r="F696" s="1" t="s">
        <v>121</v>
      </c>
      <c r="G696" s="1" t="s">
        <v>119</v>
      </c>
      <c r="H696" s="1" t="s">
        <v>119</v>
      </c>
      <c r="I696" s="1" t="s">
        <v>127</v>
      </c>
      <c r="J696" s="1" t="s">
        <v>138</v>
      </c>
      <c r="K696" t="s">
        <v>91</v>
      </c>
      <c r="L696" s="6">
        <v>0</v>
      </c>
      <c r="M696" s="6">
        <v>0</v>
      </c>
      <c r="N696" s="6">
        <v>62069.249999999993</v>
      </c>
      <c r="O696" s="6">
        <v>33442.859999999986</v>
      </c>
      <c r="P696" s="6">
        <v>61247.428300000014</v>
      </c>
      <c r="Q696" s="6">
        <v>32909.529274500012</v>
      </c>
      <c r="R696" s="6">
        <v>59930.608591550015</v>
      </c>
      <c r="S696" s="6">
        <v>29725.581861408809</v>
      </c>
      <c r="T696" s="6">
        <v>75777.155172413812</v>
      </c>
      <c r="U696" s="6">
        <v>36170.316503259099</v>
      </c>
      <c r="V696" s="30">
        <v>59930.608591550015</v>
      </c>
      <c r="W696" s="30">
        <v>29725.581861408809</v>
      </c>
      <c r="X696" s="30">
        <v>64725.057278874017</v>
      </c>
      <c r="Y696" s="30">
        <v>33286.633274979446</v>
      </c>
      <c r="Z696" s="30">
        <v>0</v>
      </c>
      <c r="AA696" s="30">
        <v>0</v>
      </c>
      <c r="AB696" s="34">
        <v>0</v>
      </c>
      <c r="AC696" s="34">
        <v>0.92412378109933679</v>
      </c>
      <c r="AD696" s="34">
        <v>0.67778855797160664</v>
      </c>
      <c r="AE696" s="34">
        <v>0.8</v>
      </c>
      <c r="AF696" s="34">
        <v>0.8</v>
      </c>
      <c r="AG696" s="34">
        <v>0.85000000000000009</v>
      </c>
      <c r="AH696" s="34">
        <v>0</v>
      </c>
      <c r="AI696" s="37">
        <f t="shared" si="96"/>
        <v>0</v>
      </c>
      <c r="AJ696" s="37">
        <f t="shared" si="97"/>
        <v>57359.670000000006</v>
      </c>
      <c r="AK696" s="37">
        <f t="shared" si="98"/>
        <v>51360.888731501029</v>
      </c>
      <c r="AL696" s="37">
        <f t="shared" si="99"/>
        <v>47944.486873240014</v>
      </c>
      <c r="AM696" s="37">
        <f t="shared" si="100"/>
        <v>47944.486873240014</v>
      </c>
      <c r="AN696" s="37">
        <f t="shared" si="101"/>
        <v>55016.298687042923</v>
      </c>
      <c r="AO696" s="37">
        <f t="shared" si="102"/>
        <v>0</v>
      </c>
    </row>
    <row r="697" spans="1:41" hidden="1" x14ac:dyDescent="0.3">
      <c r="A697" t="str">
        <f t="shared" si="103"/>
        <v>494ene</v>
      </c>
      <c r="B697" t="str">
        <f t="shared" si="104"/>
        <v>KIDS FLORIDAene</v>
      </c>
      <c r="C697" s="1" t="s">
        <v>94</v>
      </c>
      <c r="D697" s="1" t="s">
        <v>25</v>
      </c>
      <c r="E697" s="1">
        <v>494</v>
      </c>
      <c r="F697" s="1" t="s">
        <v>121</v>
      </c>
      <c r="G697" s="1" t="s">
        <v>121</v>
      </c>
      <c r="H697" s="1" t="s">
        <v>121</v>
      </c>
      <c r="I697" s="1" t="s">
        <v>127</v>
      </c>
      <c r="J697" s="1" t="s">
        <v>137</v>
      </c>
      <c r="K697" t="s">
        <v>80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30">
        <v>0</v>
      </c>
      <c r="W697" s="30">
        <v>0</v>
      </c>
      <c r="X697" s="30">
        <v>13418.362584000053</v>
      </c>
      <c r="Y697" s="30">
        <v>6917.3134379647863</v>
      </c>
      <c r="Z697" s="30">
        <v>14481.321839080483</v>
      </c>
      <c r="AA697" s="30">
        <v>7679.273531546185</v>
      </c>
      <c r="AB697" s="34">
        <v>0</v>
      </c>
      <c r="AC697" s="34">
        <v>0</v>
      </c>
      <c r="AD697" s="34">
        <v>0</v>
      </c>
      <c r="AE697" s="34">
        <v>0</v>
      </c>
      <c r="AF697" s="34">
        <v>0</v>
      </c>
      <c r="AG697" s="34">
        <v>0.86</v>
      </c>
      <c r="AH697" s="34">
        <v>0.983024109534676</v>
      </c>
      <c r="AI697" s="37">
        <f t="shared" si="96"/>
        <v>0</v>
      </c>
      <c r="AJ697" s="37">
        <f t="shared" si="97"/>
        <v>0</v>
      </c>
      <c r="AK697" s="37">
        <f t="shared" si="98"/>
        <v>0</v>
      </c>
      <c r="AL697" s="37">
        <f t="shared" si="99"/>
        <v>0</v>
      </c>
      <c r="AM697" s="37">
        <f t="shared" si="100"/>
        <v>0</v>
      </c>
      <c r="AN697" s="37">
        <f t="shared" si="101"/>
        <v>11539.791822240046</v>
      </c>
      <c r="AO697" s="37">
        <f t="shared" si="102"/>
        <v>14235.488505747149</v>
      </c>
    </row>
    <row r="698" spans="1:41" hidden="1" x14ac:dyDescent="0.3">
      <c r="A698" t="str">
        <f t="shared" si="103"/>
        <v>494feb</v>
      </c>
      <c r="B698" t="str">
        <f t="shared" si="104"/>
        <v>KIDS FLORIDAfeb</v>
      </c>
      <c r="C698" s="1" t="s">
        <v>94</v>
      </c>
      <c r="D698" s="1" t="s">
        <v>25</v>
      </c>
      <c r="E698" s="1">
        <v>494</v>
      </c>
      <c r="F698" s="1" t="s">
        <v>121</v>
      </c>
      <c r="G698" s="1" t="s">
        <v>121</v>
      </c>
      <c r="H698" s="1" t="s">
        <v>121</v>
      </c>
      <c r="I698" s="1" t="s">
        <v>127</v>
      </c>
      <c r="J698" s="1" t="s">
        <v>137</v>
      </c>
      <c r="K698" t="s">
        <v>81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30">
        <v>0</v>
      </c>
      <c r="W698" s="30">
        <v>0</v>
      </c>
      <c r="X698" s="30">
        <v>18115.275266000026</v>
      </c>
      <c r="Y698" s="30">
        <v>8347.4290032161698</v>
      </c>
      <c r="Z698" s="30">
        <v>27054.022988505683</v>
      </c>
      <c r="AA698" s="30">
        <v>11898.383694870026</v>
      </c>
      <c r="AB698" s="34">
        <v>0</v>
      </c>
      <c r="AC698" s="34">
        <v>0</v>
      </c>
      <c r="AD698" s="34">
        <v>0</v>
      </c>
      <c r="AE698" s="34">
        <v>0</v>
      </c>
      <c r="AF698" s="34">
        <v>0</v>
      </c>
      <c r="AG698" s="34">
        <v>0.49</v>
      </c>
      <c r="AH698" s="34">
        <v>0.49597442324850233</v>
      </c>
      <c r="AI698" s="37">
        <f t="shared" si="96"/>
        <v>0</v>
      </c>
      <c r="AJ698" s="37">
        <f t="shared" si="97"/>
        <v>0</v>
      </c>
      <c r="AK698" s="37">
        <f t="shared" si="98"/>
        <v>0</v>
      </c>
      <c r="AL698" s="37">
        <f t="shared" si="99"/>
        <v>0</v>
      </c>
      <c r="AM698" s="37">
        <f t="shared" si="100"/>
        <v>0</v>
      </c>
      <c r="AN698" s="37">
        <f t="shared" si="101"/>
        <v>8876.4848803400128</v>
      </c>
      <c r="AO698" s="37">
        <f t="shared" si="102"/>
        <v>13418.10344827583</v>
      </c>
    </row>
    <row r="699" spans="1:41" hidden="1" x14ac:dyDescent="0.3">
      <c r="A699" t="str">
        <f t="shared" si="103"/>
        <v>494mar</v>
      </c>
      <c r="B699" t="str">
        <f t="shared" si="104"/>
        <v>KIDS FLORIDAmar</v>
      </c>
      <c r="C699" s="1" t="s">
        <v>94</v>
      </c>
      <c r="D699" s="1" t="s">
        <v>25</v>
      </c>
      <c r="E699" s="1">
        <v>494</v>
      </c>
      <c r="F699" s="1" t="s">
        <v>121</v>
      </c>
      <c r="G699" s="1" t="s">
        <v>121</v>
      </c>
      <c r="H699" s="1" t="s">
        <v>121</v>
      </c>
      <c r="I699" s="1" t="s">
        <v>127</v>
      </c>
      <c r="J699" s="1" t="s">
        <v>137</v>
      </c>
      <c r="K699" t="s">
        <v>82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30">
        <v>0</v>
      </c>
      <c r="W699" s="30">
        <v>0</v>
      </c>
      <c r="X699" s="30">
        <v>15151.356000000053</v>
      </c>
      <c r="Y699" s="30">
        <v>7676.254776599596</v>
      </c>
      <c r="Z699" s="30">
        <v>16359.977215192974</v>
      </c>
      <c r="AA699" s="30">
        <v>7967.3089037989785</v>
      </c>
      <c r="AB699" s="34">
        <v>0</v>
      </c>
      <c r="AC699" s="34">
        <v>0</v>
      </c>
      <c r="AD699" s="34">
        <v>0</v>
      </c>
      <c r="AE699" s="34">
        <v>0</v>
      </c>
      <c r="AF699" s="34">
        <v>0</v>
      </c>
      <c r="AG699" s="34">
        <v>0.8</v>
      </c>
      <c r="AH699" s="34">
        <v>0.77569629708675736</v>
      </c>
      <c r="AI699" s="37">
        <f t="shared" si="96"/>
        <v>0</v>
      </c>
      <c r="AJ699" s="37">
        <f t="shared" si="97"/>
        <v>0</v>
      </c>
      <c r="AK699" s="37">
        <f t="shared" si="98"/>
        <v>0</v>
      </c>
      <c r="AL699" s="37">
        <f t="shared" si="99"/>
        <v>0</v>
      </c>
      <c r="AM699" s="37">
        <f t="shared" si="100"/>
        <v>0</v>
      </c>
      <c r="AN699" s="37">
        <f t="shared" si="101"/>
        <v>12121.084800000042</v>
      </c>
      <c r="AO699" s="37">
        <f t="shared" si="102"/>
        <v>12690.37374624891</v>
      </c>
    </row>
    <row r="700" spans="1:41" hidden="1" x14ac:dyDescent="0.3">
      <c r="A700" t="str">
        <f t="shared" si="103"/>
        <v>494abr</v>
      </c>
      <c r="B700" t="str">
        <f t="shared" si="104"/>
        <v>KIDS FLORIDAabr</v>
      </c>
      <c r="C700" s="1" t="s">
        <v>94</v>
      </c>
      <c r="D700" s="1" t="s">
        <v>25</v>
      </c>
      <c r="E700" s="1">
        <v>494</v>
      </c>
      <c r="F700" s="1" t="s">
        <v>121</v>
      </c>
      <c r="G700" s="1" t="s">
        <v>121</v>
      </c>
      <c r="H700" s="1" t="s">
        <v>121</v>
      </c>
      <c r="I700" s="1" t="s">
        <v>127</v>
      </c>
      <c r="J700" s="1" t="s">
        <v>137</v>
      </c>
      <c r="K700" t="s">
        <v>83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30">
        <v>0</v>
      </c>
      <c r="W700" s="30">
        <v>0</v>
      </c>
      <c r="X700" s="30">
        <v>17106.529000000068</v>
      </c>
      <c r="Y700" s="30">
        <v>8413.8469969064954</v>
      </c>
      <c r="Z700" s="30">
        <v>0</v>
      </c>
      <c r="AA700" s="30">
        <v>0</v>
      </c>
      <c r="AB700" s="34">
        <v>0</v>
      </c>
      <c r="AC700" s="34">
        <v>0</v>
      </c>
      <c r="AD700" s="34">
        <v>0</v>
      </c>
      <c r="AE700" s="34">
        <v>0</v>
      </c>
      <c r="AF700" s="34">
        <v>0</v>
      </c>
      <c r="AG700" s="34">
        <v>0.7</v>
      </c>
      <c r="AH700" s="34">
        <v>0</v>
      </c>
      <c r="AI700" s="37">
        <f t="shared" si="96"/>
        <v>0</v>
      </c>
      <c r="AJ700" s="37">
        <f t="shared" si="97"/>
        <v>0</v>
      </c>
      <c r="AK700" s="37">
        <f t="shared" si="98"/>
        <v>0</v>
      </c>
      <c r="AL700" s="37">
        <f t="shared" si="99"/>
        <v>0</v>
      </c>
      <c r="AM700" s="37">
        <f t="shared" si="100"/>
        <v>0</v>
      </c>
      <c r="AN700" s="37">
        <f t="shared" si="101"/>
        <v>11974.570300000047</v>
      </c>
      <c r="AO700" s="37">
        <f t="shared" si="102"/>
        <v>0</v>
      </c>
    </row>
    <row r="701" spans="1:41" hidden="1" x14ac:dyDescent="0.3">
      <c r="A701" t="str">
        <f t="shared" si="103"/>
        <v>494may</v>
      </c>
      <c r="B701" t="str">
        <f t="shared" si="104"/>
        <v>KIDS FLORIDAmay</v>
      </c>
      <c r="C701" s="1" t="s">
        <v>94</v>
      </c>
      <c r="D701" s="1" t="s">
        <v>25</v>
      </c>
      <c r="E701" s="1">
        <v>494</v>
      </c>
      <c r="F701" s="1" t="s">
        <v>121</v>
      </c>
      <c r="G701" s="1" t="s">
        <v>121</v>
      </c>
      <c r="H701" s="1" t="s">
        <v>121</v>
      </c>
      <c r="I701" s="1" t="s">
        <v>127</v>
      </c>
      <c r="J701" s="1" t="s">
        <v>137</v>
      </c>
      <c r="K701" t="s">
        <v>84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30">
        <v>0</v>
      </c>
      <c r="W701" s="30">
        <v>0</v>
      </c>
      <c r="X701" s="30">
        <v>16253.033600000002</v>
      </c>
      <c r="Y701" s="30">
        <v>8426.6877948906222</v>
      </c>
      <c r="Z701" s="30">
        <v>0</v>
      </c>
      <c r="AA701" s="30">
        <v>0</v>
      </c>
      <c r="AB701" s="34">
        <v>0</v>
      </c>
      <c r="AC701" s="34">
        <v>0</v>
      </c>
      <c r="AD701" s="34">
        <v>0</v>
      </c>
      <c r="AE701" s="34">
        <v>0</v>
      </c>
      <c r="AF701" s="34">
        <v>0</v>
      </c>
      <c r="AG701" s="34">
        <v>0.88</v>
      </c>
      <c r="AH701" s="34">
        <v>0</v>
      </c>
      <c r="AI701" s="37">
        <f t="shared" si="96"/>
        <v>0</v>
      </c>
      <c r="AJ701" s="37">
        <f t="shared" si="97"/>
        <v>0</v>
      </c>
      <c r="AK701" s="37">
        <f t="shared" si="98"/>
        <v>0</v>
      </c>
      <c r="AL701" s="37">
        <f t="shared" si="99"/>
        <v>0</v>
      </c>
      <c r="AM701" s="37">
        <f t="shared" si="100"/>
        <v>0</v>
      </c>
      <c r="AN701" s="37">
        <f t="shared" si="101"/>
        <v>14302.669568000003</v>
      </c>
      <c r="AO701" s="37">
        <f t="shared" si="102"/>
        <v>0</v>
      </c>
    </row>
    <row r="702" spans="1:41" hidden="1" x14ac:dyDescent="0.3">
      <c r="A702" t="str">
        <f t="shared" si="103"/>
        <v>494jun</v>
      </c>
      <c r="B702" t="str">
        <f t="shared" si="104"/>
        <v>KIDS FLORIDAjun</v>
      </c>
      <c r="C702" s="1" t="s">
        <v>94</v>
      </c>
      <c r="D702" s="1" t="s">
        <v>25</v>
      </c>
      <c r="E702" s="1">
        <v>494</v>
      </c>
      <c r="F702" s="1" t="s">
        <v>121</v>
      </c>
      <c r="G702" s="1" t="s">
        <v>121</v>
      </c>
      <c r="H702" s="1" t="s">
        <v>121</v>
      </c>
      <c r="I702" s="1" t="s">
        <v>127</v>
      </c>
      <c r="J702" s="1" t="s">
        <v>137</v>
      </c>
      <c r="K702" t="s">
        <v>85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30">
        <v>0</v>
      </c>
      <c r="W702" s="30">
        <v>0</v>
      </c>
      <c r="X702" s="30">
        <v>15625.487760000025</v>
      </c>
      <c r="Y702" s="30">
        <v>8101.3249733517441</v>
      </c>
      <c r="Z702" s="30">
        <v>0</v>
      </c>
      <c r="AA702" s="30">
        <v>0</v>
      </c>
      <c r="AB702" s="34">
        <v>0</v>
      </c>
      <c r="AC702" s="34">
        <v>0</v>
      </c>
      <c r="AD702" s="34">
        <v>0</v>
      </c>
      <c r="AE702" s="34">
        <v>0</v>
      </c>
      <c r="AF702" s="34">
        <v>0</v>
      </c>
      <c r="AG702" s="34">
        <v>0.87999999999999989</v>
      </c>
      <c r="AH702" s="34">
        <v>0</v>
      </c>
      <c r="AI702" s="37">
        <f t="shared" si="96"/>
        <v>0</v>
      </c>
      <c r="AJ702" s="37">
        <f t="shared" si="97"/>
        <v>0</v>
      </c>
      <c r="AK702" s="37">
        <f t="shared" si="98"/>
        <v>0</v>
      </c>
      <c r="AL702" s="37">
        <f t="shared" si="99"/>
        <v>0</v>
      </c>
      <c r="AM702" s="37">
        <f t="shared" si="100"/>
        <v>0</v>
      </c>
      <c r="AN702" s="37">
        <f t="shared" si="101"/>
        <v>13750.429228800022</v>
      </c>
      <c r="AO702" s="37">
        <f t="shared" si="102"/>
        <v>0</v>
      </c>
    </row>
    <row r="703" spans="1:41" hidden="1" x14ac:dyDescent="0.3">
      <c r="A703" t="str">
        <f t="shared" si="103"/>
        <v>494jul</v>
      </c>
      <c r="B703" t="str">
        <f t="shared" si="104"/>
        <v>KIDS FLORIDAjul</v>
      </c>
      <c r="C703" s="1" t="s">
        <v>94</v>
      </c>
      <c r="D703" s="1" t="s">
        <v>25</v>
      </c>
      <c r="E703" s="1">
        <v>494</v>
      </c>
      <c r="F703" s="1" t="s">
        <v>121</v>
      </c>
      <c r="G703" s="1" t="s">
        <v>121</v>
      </c>
      <c r="H703" s="1" t="s">
        <v>121</v>
      </c>
      <c r="I703" s="1" t="s">
        <v>127</v>
      </c>
      <c r="J703" s="1" t="s">
        <v>137</v>
      </c>
      <c r="K703" t="s">
        <v>86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30">
        <v>0</v>
      </c>
      <c r="W703" s="30">
        <v>0</v>
      </c>
      <c r="X703" s="30">
        <v>16328.008400000044</v>
      </c>
      <c r="Y703" s="30">
        <v>8465.5598754900693</v>
      </c>
      <c r="Z703" s="30">
        <v>0</v>
      </c>
      <c r="AA703" s="30">
        <v>0</v>
      </c>
      <c r="AB703" s="34">
        <v>0</v>
      </c>
      <c r="AC703" s="34">
        <v>0</v>
      </c>
      <c r="AD703" s="34">
        <v>0</v>
      </c>
      <c r="AE703" s="34">
        <v>0</v>
      </c>
      <c r="AF703" s="34">
        <v>0</v>
      </c>
      <c r="AG703" s="34">
        <v>0.88</v>
      </c>
      <c r="AH703" s="34">
        <v>0</v>
      </c>
      <c r="AI703" s="37">
        <f t="shared" si="96"/>
        <v>0</v>
      </c>
      <c r="AJ703" s="37">
        <f t="shared" si="97"/>
        <v>0</v>
      </c>
      <c r="AK703" s="37">
        <f t="shared" si="98"/>
        <v>0</v>
      </c>
      <c r="AL703" s="37">
        <f t="shared" si="99"/>
        <v>0</v>
      </c>
      <c r="AM703" s="37">
        <f t="shared" si="100"/>
        <v>0</v>
      </c>
      <c r="AN703" s="37">
        <f t="shared" si="101"/>
        <v>14368.647392000039</v>
      </c>
      <c r="AO703" s="37">
        <f t="shared" si="102"/>
        <v>0</v>
      </c>
    </row>
    <row r="704" spans="1:41" hidden="1" x14ac:dyDescent="0.3">
      <c r="A704" t="str">
        <f t="shared" si="103"/>
        <v>494ago</v>
      </c>
      <c r="B704" t="str">
        <f t="shared" si="104"/>
        <v>KIDS FLORIDAago</v>
      </c>
      <c r="C704" s="1" t="s">
        <v>94</v>
      </c>
      <c r="D704" s="1" t="s">
        <v>25</v>
      </c>
      <c r="E704" s="1">
        <v>494</v>
      </c>
      <c r="F704" s="1" t="s">
        <v>121</v>
      </c>
      <c r="G704" s="1" t="s">
        <v>121</v>
      </c>
      <c r="H704" s="1" t="s">
        <v>121</v>
      </c>
      <c r="I704" s="1" t="s">
        <v>127</v>
      </c>
      <c r="J704" s="1" t="s">
        <v>137</v>
      </c>
      <c r="K704" t="s">
        <v>87</v>
      </c>
      <c r="L704" s="6">
        <v>0</v>
      </c>
      <c r="M704" s="6">
        <v>0</v>
      </c>
      <c r="N704" s="6">
        <v>0</v>
      </c>
      <c r="O704" s="6">
        <v>0</v>
      </c>
      <c r="P704" s="6">
        <v>47871.598735800006</v>
      </c>
      <c r="Q704" s="6">
        <v>19509.558311817003</v>
      </c>
      <c r="R704" s="6">
        <v>0</v>
      </c>
      <c r="S704" s="6">
        <v>0</v>
      </c>
      <c r="T704" s="6">
        <v>12563.959999999988</v>
      </c>
      <c r="U704" s="6">
        <v>5065.4999999999827</v>
      </c>
      <c r="V704" s="30">
        <v>11684.482799999989</v>
      </c>
      <c r="W704" s="30">
        <v>4710.9149999999836</v>
      </c>
      <c r="X704" s="30">
        <v>20393.804292600049</v>
      </c>
      <c r="Y704" s="30">
        <v>9397.3638787302461</v>
      </c>
      <c r="Z704" s="30">
        <v>0</v>
      </c>
      <c r="AA704" s="30">
        <v>0</v>
      </c>
      <c r="AB704" s="34">
        <v>0</v>
      </c>
      <c r="AC704" s="34">
        <v>0</v>
      </c>
      <c r="AD704" s="34">
        <v>0.37989773924781667</v>
      </c>
      <c r="AE704" s="34">
        <v>0</v>
      </c>
      <c r="AF704" s="34">
        <v>0</v>
      </c>
      <c r="AG704" s="34">
        <v>0.49000000000000005</v>
      </c>
      <c r="AH704" s="34">
        <v>0</v>
      </c>
      <c r="AI704" s="37">
        <f t="shared" si="96"/>
        <v>0</v>
      </c>
      <c r="AJ704" s="37">
        <f t="shared" si="97"/>
        <v>0</v>
      </c>
      <c r="AK704" s="37">
        <f t="shared" si="98"/>
        <v>4773.0199999999941</v>
      </c>
      <c r="AL704" s="37">
        <f t="shared" si="99"/>
        <v>0</v>
      </c>
      <c r="AM704" s="37">
        <f t="shared" si="100"/>
        <v>0</v>
      </c>
      <c r="AN704" s="37">
        <f t="shared" si="101"/>
        <v>9992.9641033740245</v>
      </c>
      <c r="AO704" s="37">
        <f t="shared" si="102"/>
        <v>0</v>
      </c>
    </row>
    <row r="705" spans="1:41" hidden="1" x14ac:dyDescent="0.3">
      <c r="A705" t="str">
        <f t="shared" si="103"/>
        <v>494sep</v>
      </c>
      <c r="B705" t="str">
        <f t="shared" si="104"/>
        <v>KIDS FLORIDAsep</v>
      </c>
      <c r="C705" s="1" t="s">
        <v>94</v>
      </c>
      <c r="D705" s="1" t="s">
        <v>25</v>
      </c>
      <c r="E705" s="1">
        <v>494</v>
      </c>
      <c r="F705" s="1" t="s">
        <v>121</v>
      </c>
      <c r="G705" s="1" t="s">
        <v>121</v>
      </c>
      <c r="H705" s="1" t="s">
        <v>121</v>
      </c>
      <c r="I705" s="1" t="s">
        <v>127</v>
      </c>
      <c r="J705" s="1" t="s">
        <v>137</v>
      </c>
      <c r="K705" t="s">
        <v>88</v>
      </c>
      <c r="L705" s="6">
        <v>0</v>
      </c>
      <c r="M705" s="6">
        <v>0</v>
      </c>
      <c r="N705" s="6">
        <v>0</v>
      </c>
      <c r="O705" s="6">
        <v>0</v>
      </c>
      <c r="P705" s="6">
        <v>30474.822895199992</v>
      </c>
      <c r="Q705" s="6">
        <v>16058.828043152998</v>
      </c>
      <c r="R705" s="6">
        <v>27975.887417793594</v>
      </c>
      <c r="S705" s="6">
        <v>13918.003990352314</v>
      </c>
      <c r="T705" s="6">
        <v>11701.019999999993</v>
      </c>
      <c r="U705" s="6">
        <v>6295.3499999999931</v>
      </c>
      <c r="V705" s="30">
        <v>11701.019999999993</v>
      </c>
      <c r="W705" s="30">
        <v>6295.3499999999931</v>
      </c>
      <c r="X705" s="30">
        <v>16527.750660000034</v>
      </c>
      <c r="Y705" s="30">
        <v>8373.5888028947338</v>
      </c>
      <c r="Z705" s="30">
        <v>0</v>
      </c>
      <c r="AA705" s="30">
        <v>0</v>
      </c>
      <c r="AB705" s="34">
        <v>0</v>
      </c>
      <c r="AC705" s="34">
        <v>0</v>
      </c>
      <c r="AD705" s="34">
        <v>0.93064963567278747</v>
      </c>
      <c r="AE705" s="34">
        <v>0.85</v>
      </c>
      <c r="AF705" s="34">
        <v>0.85</v>
      </c>
      <c r="AG705" s="34">
        <v>0.8</v>
      </c>
      <c r="AH705" s="34">
        <v>0</v>
      </c>
      <c r="AI705" s="37">
        <f t="shared" si="96"/>
        <v>0</v>
      </c>
      <c r="AJ705" s="37">
        <f t="shared" si="97"/>
        <v>0</v>
      </c>
      <c r="AK705" s="37">
        <f t="shared" si="98"/>
        <v>10889.549999999994</v>
      </c>
      <c r="AL705" s="37">
        <f t="shared" si="99"/>
        <v>23779.504305124556</v>
      </c>
      <c r="AM705" s="37">
        <f t="shared" si="100"/>
        <v>9945.8669999999947</v>
      </c>
      <c r="AN705" s="37">
        <f t="shared" si="101"/>
        <v>13222.200528000028</v>
      </c>
      <c r="AO705" s="37">
        <f t="shared" si="102"/>
        <v>0</v>
      </c>
    </row>
    <row r="706" spans="1:41" hidden="1" x14ac:dyDescent="0.3">
      <c r="A706" t="str">
        <f t="shared" si="103"/>
        <v>494oct</v>
      </c>
      <c r="B706" t="str">
        <f t="shared" si="104"/>
        <v>KIDS FLORIDAoct</v>
      </c>
      <c r="C706" s="1" t="s">
        <v>94</v>
      </c>
      <c r="D706" s="1" t="s">
        <v>25</v>
      </c>
      <c r="E706" s="1">
        <v>494</v>
      </c>
      <c r="F706" s="1" t="s">
        <v>121</v>
      </c>
      <c r="G706" s="1" t="s">
        <v>121</v>
      </c>
      <c r="H706" s="1" t="s">
        <v>121</v>
      </c>
      <c r="I706" s="1" t="s">
        <v>127</v>
      </c>
      <c r="J706" s="1" t="s">
        <v>137</v>
      </c>
      <c r="K706" t="s">
        <v>89</v>
      </c>
      <c r="L706" s="6">
        <v>0</v>
      </c>
      <c r="M706" s="6">
        <v>0</v>
      </c>
      <c r="N706" s="6">
        <v>0</v>
      </c>
      <c r="O706" s="6">
        <v>0</v>
      </c>
      <c r="P706" s="6">
        <v>32403.360658499976</v>
      </c>
      <c r="Q706" s="6">
        <v>17013.997745144989</v>
      </c>
      <c r="R706" s="6">
        <v>29746.285084502975</v>
      </c>
      <c r="S706" s="6">
        <v>15111.112822927511</v>
      </c>
      <c r="T706" s="6">
        <v>9828.5400000000009</v>
      </c>
      <c r="U706" s="6">
        <v>5134.5600000000022</v>
      </c>
      <c r="V706" s="30">
        <v>15411.819999999996</v>
      </c>
      <c r="W706" s="30">
        <v>7829.2045599999983</v>
      </c>
      <c r="X706" s="30">
        <v>17660.424159999995</v>
      </c>
      <c r="Y706" s="30">
        <v>9104.142819019642</v>
      </c>
      <c r="Z706" s="30">
        <v>0</v>
      </c>
      <c r="AA706" s="30">
        <v>0</v>
      </c>
      <c r="AB706" s="34">
        <v>0</v>
      </c>
      <c r="AC706" s="34">
        <v>0</v>
      </c>
      <c r="AD706" s="34">
        <v>0.83772767878036813</v>
      </c>
      <c r="AE706" s="34">
        <v>0.9</v>
      </c>
      <c r="AF706" s="34">
        <v>0.9</v>
      </c>
      <c r="AG706" s="34">
        <v>0.86</v>
      </c>
      <c r="AH706" s="34">
        <v>0</v>
      </c>
      <c r="AI706" s="37">
        <f t="shared" si="96"/>
        <v>0</v>
      </c>
      <c r="AJ706" s="37">
        <f t="shared" si="97"/>
        <v>0</v>
      </c>
      <c r="AK706" s="37">
        <f t="shared" si="98"/>
        <v>8233.64</v>
      </c>
      <c r="AL706" s="37">
        <f t="shared" si="99"/>
        <v>26771.656576052679</v>
      </c>
      <c r="AM706" s="37">
        <f t="shared" si="100"/>
        <v>13870.637999999997</v>
      </c>
      <c r="AN706" s="37">
        <f t="shared" si="101"/>
        <v>15187.964777599995</v>
      </c>
      <c r="AO706" s="37">
        <f t="shared" si="102"/>
        <v>0</v>
      </c>
    </row>
    <row r="707" spans="1:41" hidden="1" x14ac:dyDescent="0.3">
      <c r="A707" t="str">
        <f t="shared" si="103"/>
        <v>494nov</v>
      </c>
      <c r="B707" t="str">
        <f t="shared" si="104"/>
        <v>KIDS FLORIDAnov</v>
      </c>
      <c r="C707" s="1" t="s">
        <v>94</v>
      </c>
      <c r="D707" s="1" t="s">
        <v>25</v>
      </c>
      <c r="E707" s="1">
        <v>494</v>
      </c>
      <c r="F707" s="1" t="s">
        <v>121</v>
      </c>
      <c r="G707" s="1" t="s">
        <v>121</v>
      </c>
      <c r="H707" s="1" t="s">
        <v>121</v>
      </c>
      <c r="I707" s="1" t="s">
        <v>127</v>
      </c>
      <c r="J707" s="1" t="s">
        <v>137</v>
      </c>
      <c r="K707" t="s">
        <v>90</v>
      </c>
      <c r="L707" s="6">
        <v>0</v>
      </c>
      <c r="M707" s="6">
        <v>0</v>
      </c>
      <c r="N707" s="6">
        <v>0</v>
      </c>
      <c r="O707" s="6">
        <v>0</v>
      </c>
      <c r="P707" s="6">
        <v>38769.479581499967</v>
      </c>
      <c r="Q707" s="6">
        <v>18838.545954704983</v>
      </c>
      <c r="R707" s="6">
        <v>36637.158204517465</v>
      </c>
      <c r="S707" s="6">
        <v>17640.79167547516</v>
      </c>
      <c r="T707" s="6">
        <v>11544.540229885059</v>
      </c>
      <c r="U707" s="6">
        <v>4709.1119292509784</v>
      </c>
      <c r="V707" s="30">
        <v>36637.158204517465</v>
      </c>
      <c r="W707" s="30">
        <v>17640.79167547516</v>
      </c>
      <c r="X707" s="30">
        <v>23069.551562557503</v>
      </c>
      <c r="Y707" s="30">
        <v>11005.605157693895</v>
      </c>
      <c r="Z707" s="30">
        <v>0</v>
      </c>
      <c r="AA707" s="30">
        <v>0</v>
      </c>
      <c r="AB707" s="34">
        <v>0</v>
      </c>
      <c r="AC707" s="34">
        <v>0</v>
      </c>
      <c r="AD707" s="34">
        <v>0.37989773924781667</v>
      </c>
      <c r="AE707" s="34">
        <v>0.65</v>
      </c>
      <c r="AF707" s="34">
        <v>0.65</v>
      </c>
      <c r="AG707" s="34">
        <v>0.6</v>
      </c>
      <c r="AH707" s="34">
        <v>0</v>
      </c>
      <c r="AI707" s="37">
        <f t="shared" si="96"/>
        <v>0</v>
      </c>
      <c r="AJ707" s="37">
        <f t="shared" si="97"/>
        <v>0</v>
      </c>
      <c r="AK707" s="37">
        <f t="shared" si="98"/>
        <v>4385.7447339888031</v>
      </c>
      <c r="AL707" s="37">
        <f t="shared" si="99"/>
        <v>23814.152832936354</v>
      </c>
      <c r="AM707" s="37">
        <f t="shared" si="100"/>
        <v>23814.152832936354</v>
      </c>
      <c r="AN707" s="37">
        <f t="shared" si="101"/>
        <v>13841.730937534501</v>
      </c>
      <c r="AO707" s="37">
        <f t="shared" si="102"/>
        <v>0</v>
      </c>
    </row>
    <row r="708" spans="1:41" hidden="1" x14ac:dyDescent="0.3">
      <c r="A708" t="str">
        <f t="shared" si="103"/>
        <v>494dic</v>
      </c>
      <c r="B708" t="str">
        <f t="shared" si="104"/>
        <v>KIDS FLORIDAdic</v>
      </c>
      <c r="C708" s="1" t="s">
        <v>94</v>
      </c>
      <c r="D708" s="1" t="s">
        <v>25</v>
      </c>
      <c r="E708" s="1">
        <v>494</v>
      </c>
      <c r="F708" s="1" t="s">
        <v>121</v>
      </c>
      <c r="G708" s="1" t="s">
        <v>121</v>
      </c>
      <c r="H708" s="1" t="s">
        <v>121</v>
      </c>
      <c r="I708" s="1" t="s">
        <v>127</v>
      </c>
      <c r="J708" s="1" t="s">
        <v>137</v>
      </c>
      <c r="K708" t="s">
        <v>91</v>
      </c>
      <c r="L708" s="6">
        <v>0</v>
      </c>
      <c r="M708" s="6">
        <v>0</v>
      </c>
      <c r="N708" s="6">
        <v>0</v>
      </c>
      <c r="O708" s="6">
        <v>0</v>
      </c>
      <c r="P708" s="6">
        <v>55122.685470000011</v>
      </c>
      <c r="Q708" s="6">
        <v>29887.620330150006</v>
      </c>
      <c r="R708" s="6">
        <v>51098.729430690015</v>
      </c>
      <c r="S708" s="6">
        <v>25447.16725648363</v>
      </c>
      <c r="T708" s="6">
        <v>54975.287356321838</v>
      </c>
      <c r="U708" s="6">
        <v>25793.507751027184</v>
      </c>
      <c r="V708" s="30">
        <v>51098.729430690015</v>
      </c>
      <c r="W708" s="30">
        <v>25447.16725648363</v>
      </c>
      <c r="X708" s="30">
        <v>31622.815027375047</v>
      </c>
      <c r="Y708" s="30">
        <v>16255.144697178059</v>
      </c>
      <c r="Z708" s="30">
        <v>0</v>
      </c>
      <c r="AA708" s="30">
        <v>0</v>
      </c>
      <c r="AB708" s="34">
        <v>0</v>
      </c>
      <c r="AC708" s="34">
        <v>0</v>
      </c>
      <c r="AD708" s="34">
        <v>0.37989773924781667</v>
      </c>
      <c r="AE708" s="34">
        <v>0.8</v>
      </c>
      <c r="AF708" s="34">
        <v>0.8</v>
      </c>
      <c r="AG708" s="34">
        <v>0.85</v>
      </c>
      <c r="AH708" s="34">
        <v>0</v>
      </c>
      <c r="AI708" s="37">
        <f t="shared" si="96"/>
        <v>0</v>
      </c>
      <c r="AJ708" s="37">
        <f t="shared" si="97"/>
        <v>0</v>
      </c>
      <c r="AK708" s="37">
        <f t="shared" si="98"/>
        <v>20884.987381165745</v>
      </c>
      <c r="AL708" s="37">
        <f t="shared" si="99"/>
        <v>40878.983544552015</v>
      </c>
      <c r="AM708" s="37">
        <f t="shared" si="100"/>
        <v>40878.983544552015</v>
      </c>
      <c r="AN708" s="37">
        <f t="shared" si="101"/>
        <v>26879.392773268788</v>
      </c>
      <c r="AO708" s="37">
        <f t="shared" si="102"/>
        <v>0</v>
      </c>
    </row>
    <row r="709" spans="1:41" hidden="1" x14ac:dyDescent="0.3">
      <c r="A709" t="str">
        <f t="shared" si="103"/>
        <v>470ene</v>
      </c>
      <c r="B709" t="str">
        <f t="shared" si="104"/>
        <v>KIDS LA PAZ ZONA SURene</v>
      </c>
      <c r="C709" s="1" t="s">
        <v>94</v>
      </c>
      <c r="D709" s="1" t="s">
        <v>26</v>
      </c>
      <c r="E709" s="1">
        <v>470</v>
      </c>
      <c r="F709" s="1" t="s">
        <v>121</v>
      </c>
      <c r="G709" s="1" t="s">
        <v>121</v>
      </c>
      <c r="H709" s="1" t="s">
        <v>121</v>
      </c>
      <c r="I709" s="1" t="s">
        <v>125</v>
      </c>
      <c r="J709" s="1" t="s">
        <v>138</v>
      </c>
      <c r="K709" t="s">
        <v>80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30">
        <v>0</v>
      </c>
      <c r="W709" s="30">
        <v>0</v>
      </c>
      <c r="X709" s="30">
        <v>31533.152072400128</v>
      </c>
      <c r="Y709" s="30">
        <v>16255.68657921725</v>
      </c>
      <c r="Z709" s="30">
        <v>30441.810344827602</v>
      </c>
      <c r="AA709" s="30">
        <v>15791.608164404732</v>
      </c>
      <c r="AB709" s="34">
        <v>0</v>
      </c>
      <c r="AC709" s="34">
        <v>0</v>
      </c>
      <c r="AD709" s="34">
        <v>0</v>
      </c>
      <c r="AE709" s="34">
        <v>0</v>
      </c>
      <c r="AF709" s="34">
        <v>0</v>
      </c>
      <c r="AG709" s="34">
        <v>0.86</v>
      </c>
      <c r="AH709" s="34">
        <v>0.90482595870206484</v>
      </c>
      <c r="AI709" s="37">
        <f t="shared" ref="AI709:AI772" si="105">L709*AB709</f>
        <v>0</v>
      </c>
      <c r="AJ709" s="37">
        <f t="shared" ref="AJ709:AJ772" si="106">N709*AC709</f>
        <v>0</v>
      </c>
      <c r="AK709" s="37">
        <f t="shared" ref="AK709:AK772" si="107">T709*AD709</f>
        <v>0</v>
      </c>
      <c r="AL709" s="37">
        <f t="shared" ref="AL709:AL772" si="108">R709*AE709</f>
        <v>0</v>
      </c>
      <c r="AM709" s="37">
        <f t="shared" ref="AM709:AM772" si="109">V709*AF709</f>
        <v>0</v>
      </c>
      <c r="AN709" s="37">
        <f t="shared" ref="AN709:AN772" si="110">X709*AG709</f>
        <v>27118.510782264108</v>
      </c>
      <c r="AO709" s="37">
        <f t="shared" ref="AO709:AO772" si="111">Z709*AH709</f>
        <v>27544.540229885068</v>
      </c>
    </row>
    <row r="710" spans="1:41" hidden="1" x14ac:dyDescent="0.3">
      <c r="A710" t="str">
        <f t="shared" si="103"/>
        <v>470feb</v>
      </c>
      <c r="B710" t="str">
        <f t="shared" si="104"/>
        <v>KIDS LA PAZ ZONA SURfeb</v>
      </c>
      <c r="C710" s="1" t="s">
        <v>94</v>
      </c>
      <c r="D710" s="1" t="s">
        <v>26</v>
      </c>
      <c r="E710" s="1">
        <v>470</v>
      </c>
      <c r="F710" s="1" t="s">
        <v>121</v>
      </c>
      <c r="G710" s="1" t="s">
        <v>121</v>
      </c>
      <c r="H710" s="1" t="s">
        <v>121</v>
      </c>
      <c r="I710" s="1" t="s">
        <v>125</v>
      </c>
      <c r="J710" s="1" t="s">
        <v>138</v>
      </c>
      <c r="K710" t="s">
        <v>81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30">
        <v>0</v>
      </c>
      <c r="W710" s="30">
        <v>0</v>
      </c>
      <c r="X710" s="30">
        <v>42570.896875100079</v>
      </c>
      <c r="Y710" s="30">
        <v>19616.458157558005</v>
      </c>
      <c r="Z710" s="30">
        <v>32512.93103448275</v>
      </c>
      <c r="AA710" s="30">
        <v>14017.595325863167</v>
      </c>
      <c r="AB710" s="34">
        <v>0</v>
      </c>
      <c r="AC710" s="34">
        <v>0</v>
      </c>
      <c r="AD710" s="34">
        <v>0</v>
      </c>
      <c r="AE710" s="34">
        <v>0</v>
      </c>
      <c r="AF710" s="34">
        <v>0</v>
      </c>
      <c r="AG710" s="34">
        <v>0.49</v>
      </c>
      <c r="AH710" s="34">
        <v>0.50947898714039486</v>
      </c>
      <c r="AI710" s="37">
        <f t="shared" si="105"/>
        <v>0</v>
      </c>
      <c r="AJ710" s="37">
        <f t="shared" si="106"/>
        <v>0</v>
      </c>
      <c r="AK710" s="37">
        <f t="shared" si="107"/>
        <v>0</v>
      </c>
      <c r="AL710" s="37">
        <f t="shared" si="108"/>
        <v>0</v>
      </c>
      <c r="AM710" s="37">
        <f t="shared" si="109"/>
        <v>0</v>
      </c>
      <c r="AN710" s="37">
        <f t="shared" si="110"/>
        <v>20859.739468799038</v>
      </c>
      <c r="AO710" s="37">
        <f t="shared" si="111"/>
        <v>16564.655172413783</v>
      </c>
    </row>
    <row r="711" spans="1:41" hidden="1" x14ac:dyDescent="0.3">
      <c r="A711" t="str">
        <f t="shared" si="103"/>
        <v>470mar</v>
      </c>
      <c r="B711" t="str">
        <f t="shared" si="104"/>
        <v>KIDS LA PAZ ZONA SURmar</v>
      </c>
      <c r="C711" s="1" t="s">
        <v>94</v>
      </c>
      <c r="D711" s="1" t="s">
        <v>26</v>
      </c>
      <c r="E711" s="1">
        <v>470</v>
      </c>
      <c r="F711" s="1" t="s">
        <v>121</v>
      </c>
      <c r="G711" s="1" t="s">
        <v>121</v>
      </c>
      <c r="H711" s="1" t="s">
        <v>121</v>
      </c>
      <c r="I711" s="1" t="s">
        <v>125</v>
      </c>
      <c r="J711" s="1" t="s">
        <v>138</v>
      </c>
      <c r="K711" t="s">
        <v>82</v>
      </c>
      <c r="L711" s="6">
        <v>0</v>
      </c>
      <c r="M711" s="6">
        <v>0</v>
      </c>
      <c r="N711" s="6">
        <v>0</v>
      </c>
      <c r="O711" s="6">
        <v>0</v>
      </c>
      <c r="P711" s="6">
        <v>50313.375</v>
      </c>
      <c r="Q711" s="6">
        <v>26428.250625000001</v>
      </c>
      <c r="R711" s="6">
        <v>0</v>
      </c>
      <c r="S711" s="6">
        <v>0</v>
      </c>
      <c r="T711" s="6">
        <v>0</v>
      </c>
      <c r="U711" s="6">
        <v>0</v>
      </c>
      <c r="V711" s="30">
        <v>0</v>
      </c>
      <c r="W711" s="30">
        <v>0</v>
      </c>
      <c r="X711" s="30">
        <v>35605.686600000125</v>
      </c>
      <c r="Y711" s="30">
        <v>18039.19872500905</v>
      </c>
      <c r="Z711" s="30">
        <v>22100.216316111706</v>
      </c>
      <c r="AA711" s="30">
        <v>10143.999289095273</v>
      </c>
      <c r="AB711" s="34">
        <v>0</v>
      </c>
      <c r="AC711" s="34">
        <v>0</v>
      </c>
      <c r="AD711" s="34">
        <v>0</v>
      </c>
      <c r="AE711" s="34">
        <v>0</v>
      </c>
      <c r="AF711" s="34">
        <v>0</v>
      </c>
      <c r="AG711" s="34">
        <v>0.8</v>
      </c>
      <c r="AH711" s="34">
        <v>0.65687269548029059</v>
      </c>
      <c r="AI711" s="37">
        <f t="shared" si="105"/>
        <v>0</v>
      </c>
      <c r="AJ711" s="37">
        <f t="shared" si="106"/>
        <v>0</v>
      </c>
      <c r="AK711" s="37">
        <f t="shared" si="107"/>
        <v>0</v>
      </c>
      <c r="AL711" s="37">
        <f t="shared" si="108"/>
        <v>0</v>
      </c>
      <c r="AM711" s="37">
        <f t="shared" si="109"/>
        <v>0</v>
      </c>
      <c r="AN711" s="37">
        <f t="shared" si="110"/>
        <v>28484.549280000101</v>
      </c>
      <c r="AO711" s="37">
        <f t="shared" si="111"/>
        <v>14517.028662261795</v>
      </c>
    </row>
    <row r="712" spans="1:41" hidden="1" x14ac:dyDescent="0.3">
      <c r="A712" t="str">
        <f t="shared" si="103"/>
        <v>470abr</v>
      </c>
      <c r="B712" t="str">
        <f t="shared" si="104"/>
        <v>KIDS LA PAZ ZONA SURabr</v>
      </c>
      <c r="C712" s="1" t="s">
        <v>94</v>
      </c>
      <c r="D712" s="1" t="s">
        <v>26</v>
      </c>
      <c r="E712" s="1">
        <v>470</v>
      </c>
      <c r="F712" s="1" t="s">
        <v>121</v>
      </c>
      <c r="G712" s="1" t="s">
        <v>121</v>
      </c>
      <c r="H712" s="1" t="s">
        <v>121</v>
      </c>
      <c r="I712" s="1" t="s">
        <v>125</v>
      </c>
      <c r="J712" s="1" t="s">
        <v>138</v>
      </c>
      <c r="K712" t="s">
        <v>83</v>
      </c>
      <c r="L712" s="6">
        <v>0</v>
      </c>
      <c r="M712" s="6">
        <v>0</v>
      </c>
      <c r="N712" s="6">
        <v>0</v>
      </c>
      <c r="O712" s="6">
        <v>0</v>
      </c>
      <c r="P712" s="6">
        <v>70992.074999999997</v>
      </c>
      <c r="Q712" s="6">
        <v>35573.372625000004</v>
      </c>
      <c r="R712" s="6">
        <v>0</v>
      </c>
      <c r="S712" s="6">
        <v>0</v>
      </c>
      <c r="T712" s="6">
        <v>0</v>
      </c>
      <c r="U712" s="6">
        <v>0</v>
      </c>
      <c r="V712" s="30">
        <v>0</v>
      </c>
      <c r="W712" s="30">
        <v>0</v>
      </c>
      <c r="X712" s="30">
        <v>40200.343150000161</v>
      </c>
      <c r="Y712" s="30">
        <v>19772.540442730264</v>
      </c>
      <c r="Z712" s="30">
        <v>0</v>
      </c>
      <c r="AA712" s="30">
        <v>0</v>
      </c>
      <c r="AB712" s="34">
        <v>0</v>
      </c>
      <c r="AC712" s="34">
        <v>0</v>
      </c>
      <c r="AD712" s="34">
        <v>0</v>
      </c>
      <c r="AE712" s="34">
        <v>0</v>
      </c>
      <c r="AF712" s="34">
        <v>0</v>
      </c>
      <c r="AG712" s="34">
        <v>0.7</v>
      </c>
      <c r="AH712" s="34">
        <v>0</v>
      </c>
      <c r="AI712" s="37">
        <f t="shared" si="105"/>
        <v>0</v>
      </c>
      <c r="AJ712" s="37">
        <f t="shared" si="106"/>
        <v>0</v>
      </c>
      <c r="AK712" s="37">
        <f t="shared" si="107"/>
        <v>0</v>
      </c>
      <c r="AL712" s="37">
        <f t="shared" si="108"/>
        <v>0</v>
      </c>
      <c r="AM712" s="37">
        <f t="shared" si="109"/>
        <v>0</v>
      </c>
      <c r="AN712" s="37">
        <f t="shared" si="110"/>
        <v>28140.240205000111</v>
      </c>
      <c r="AO712" s="37">
        <f t="shared" si="111"/>
        <v>0</v>
      </c>
    </row>
    <row r="713" spans="1:41" hidden="1" x14ac:dyDescent="0.3">
      <c r="A713" t="str">
        <f t="shared" si="103"/>
        <v>470may</v>
      </c>
      <c r="B713" t="str">
        <f t="shared" si="104"/>
        <v>KIDS LA PAZ ZONA SURmay</v>
      </c>
      <c r="C713" s="1" t="s">
        <v>94</v>
      </c>
      <c r="D713" s="1" t="s">
        <v>26</v>
      </c>
      <c r="E713" s="1">
        <v>470</v>
      </c>
      <c r="F713" s="1" t="s">
        <v>121</v>
      </c>
      <c r="G713" s="1" t="s">
        <v>121</v>
      </c>
      <c r="H713" s="1" t="s">
        <v>121</v>
      </c>
      <c r="I713" s="1" t="s">
        <v>125</v>
      </c>
      <c r="J713" s="1" t="s">
        <v>138</v>
      </c>
      <c r="K713" t="s">
        <v>84</v>
      </c>
      <c r="L713" s="6">
        <v>0</v>
      </c>
      <c r="M713" s="6">
        <v>0</v>
      </c>
      <c r="N713" s="6">
        <v>0</v>
      </c>
      <c r="O713" s="6">
        <v>0</v>
      </c>
      <c r="P713" s="6">
        <v>60851.175000000003</v>
      </c>
      <c r="Q713" s="6">
        <v>31758.717375</v>
      </c>
      <c r="R713" s="6">
        <v>0</v>
      </c>
      <c r="S713" s="6">
        <v>0</v>
      </c>
      <c r="T713" s="6">
        <v>0</v>
      </c>
      <c r="U713" s="6">
        <v>0</v>
      </c>
      <c r="V713" s="30">
        <v>0</v>
      </c>
      <c r="W713" s="30">
        <v>0</v>
      </c>
      <c r="X713" s="30">
        <v>38194.628960000024</v>
      </c>
      <c r="Y713" s="30">
        <v>19802.716317992967</v>
      </c>
      <c r="Z713" s="30">
        <v>0</v>
      </c>
      <c r="AA713" s="30">
        <v>0</v>
      </c>
      <c r="AB713" s="34">
        <v>0</v>
      </c>
      <c r="AC713" s="34">
        <v>0</v>
      </c>
      <c r="AD713" s="34">
        <v>0</v>
      </c>
      <c r="AE713" s="34">
        <v>0</v>
      </c>
      <c r="AF713" s="34">
        <v>0</v>
      </c>
      <c r="AG713" s="34">
        <v>0.88000000000000012</v>
      </c>
      <c r="AH713" s="34">
        <v>0</v>
      </c>
      <c r="AI713" s="37">
        <f t="shared" si="105"/>
        <v>0</v>
      </c>
      <c r="AJ713" s="37">
        <f t="shared" si="106"/>
        <v>0</v>
      </c>
      <c r="AK713" s="37">
        <f t="shared" si="107"/>
        <v>0</v>
      </c>
      <c r="AL713" s="37">
        <f t="shared" si="108"/>
        <v>0</v>
      </c>
      <c r="AM713" s="37">
        <f t="shared" si="109"/>
        <v>0</v>
      </c>
      <c r="AN713" s="37">
        <f t="shared" si="110"/>
        <v>33611.273484800025</v>
      </c>
      <c r="AO713" s="37">
        <f t="shared" si="111"/>
        <v>0</v>
      </c>
    </row>
    <row r="714" spans="1:41" hidden="1" x14ac:dyDescent="0.3">
      <c r="A714" t="str">
        <f t="shared" ref="A714:A777" si="112">CONCATENATE(E714,K714)</f>
        <v>470jun</v>
      </c>
      <c r="B714" t="str">
        <f t="shared" ref="B714:B777" si="113">CONCATENATE(D714,K714)</f>
        <v>KIDS LA PAZ ZONA SURjun</v>
      </c>
      <c r="C714" s="1" t="s">
        <v>94</v>
      </c>
      <c r="D714" s="1" t="s">
        <v>26</v>
      </c>
      <c r="E714" s="1">
        <v>470</v>
      </c>
      <c r="F714" s="1" t="s">
        <v>121</v>
      </c>
      <c r="G714" s="1" t="s">
        <v>121</v>
      </c>
      <c r="H714" s="1" t="s">
        <v>121</v>
      </c>
      <c r="I714" s="1" t="s">
        <v>125</v>
      </c>
      <c r="J714" s="1" t="s">
        <v>138</v>
      </c>
      <c r="K714" t="s">
        <v>85</v>
      </c>
      <c r="L714" s="6">
        <v>0</v>
      </c>
      <c r="M714" s="6">
        <v>0</v>
      </c>
      <c r="N714" s="6">
        <v>0</v>
      </c>
      <c r="O714" s="6">
        <v>0</v>
      </c>
      <c r="P714" s="6">
        <v>62175.144045000008</v>
      </c>
      <c r="Q714" s="6">
        <v>32233.009192125006</v>
      </c>
      <c r="R714" s="6">
        <v>0</v>
      </c>
      <c r="S714" s="6">
        <v>0</v>
      </c>
      <c r="T714" s="6">
        <v>0</v>
      </c>
      <c r="U714" s="6">
        <v>0</v>
      </c>
      <c r="V714" s="30">
        <v>0</v>
      </c>
      <c r="W714" s="30">
        <v>0</v>
      </c>
      <c r="X714" s="30">
        <v>36719.896236000073</v>
      </c>
      <c r="Y714" s="30">
        <v>19038.113687376601</v>
      </c>
      <c r="Z714" s="30">
        <v>0</v>
      </c>
      <c r="AA714" s="30">
        <v>0</v>
      </c>
      <c r="AB714" s="34">
        <v>0</v>
      </c>
      <c r="AC714" s="34">
        <v>0</v>
      </c>
      <c r="AD714" s="34">
        <v>0</v>
      </c>
      <c r="AE714" s="34">
        <v>0</v>
      </c>
      <c r="AF714" s="34">
        <v>0</v>
      </c>
      <c r="AG714" s="34">
        <v>0.88</v>
      </c>
      <c r="AH714" s="34">
        <v>0</v>
      </c>
      <c r="AI714" s="37">
        <f t="shared" si="105"/>
        <v>0</v>
      </c>
      <c r="AJ714" s="37">
        <f t="shared" si="106"/>
        <v>0</v>
      </c>
      <c r="AK714" s="37">
        <f t="shared" si="107"/>
        <v>0</v>
      </c>
      <c r="AL714" s="37">
        <f t="shared" si="108"/>
        <v>0</v>
      </c>
      <c r="AM714" s="37">
        <f t="shared" si="109"/>
        <v>0</v>
      </c>
      <c r="AN714" s="37">
        <f t="shared" si="110"/>
        <v>32313.508687680063</v>
      </c>
      <c r="AO714" s="37">
        <f t="shared" si="111"/>
        <v>0</v>
      </c>
    </row>
    <row r="715" spans="1:41" hidden="1" x14ac:dyDescent="0.3">
      <c r="A715" t="str">
        <f t="shared" si="112"/>
        <v>470jul</v>
      </c>
      <c r="B715" t="str">
        <f t="shared" si="113"/>
        <v>KIDS LA PAZ ZONA SURjul</v>
      </c>
      <c r="C715" s="1" t="s">
        <v>94</v>
      </c>
      <c r="D715" s="1" t="s">
        <v>26</v>
      </c>
      <c r="E715" s="1">
        <v>470</v>
      </c>
      <c r="F715" s="1" t="s">
        <v>121</v>
      </c>
      <c r="G715" s="1" t="s">
        <v>121</v>
      </c>
      <c r="H715" s="1" t="s">
        <v>121</v>
      </c>
      <c r="I715" s="1" t="s">
        <v>125</v>
      </c>
      <c r="J715" s="1" t="s">
        <v>138</v>
      </c>
      <c r="K715" t="s">
        <v>86</v>
      </c>
      <c r="L715" s="6">
        <v>0</v>
      </c>
      <c r="M715" s="6">
        <v>0</v>
      </c>
      <c r="N715" s="6">
        <v>0</v>
      </c>
      <c r="O715" s="6">
        <v>0</v>
      </c>
      <c r="P715" s="6">
        <v>75978.845355000012</v>
      </c>
      <c r="Q715" s="6">
        <v>38851.62358717501</v>
      </c>
      <c r="R715" s="6">
        <v>0</v>
      </c>
      <c r="S715" s="6">
        <v>0</v>
      </c>
      <c r="T715" s="6">
        <v>0</v>
      </c>
      <c r="U715" s="6">
        <v>0</v>
      </c>
      <c r="V715" s="30">
        <v>0</v>
      </c>
      <c r="W715" s="30">
        <v>0</v>
      </c>
      <c r="X715" s="30">
        <v>38370.819740000101</v>
      </c>
      <c r="Y715" s="30">
        <v>19894.065707401656</v>
      </c>
      <c r="Z715" s="30">
        <v>0</v>
      </c>
      <c r="AA715" s="30">
        <v>0</v>
      </c>
      <c r="AB715" s="34">
        <v>0</v>
      </c>
      <c r="AC715" s="34">
        <v>0</v>
      </c>
      <c r="AD715" s="34">
        <v>0</v>
      </c>
      <c r="AE715" s="34">
        <v>0</v>
      </c>
      <c r="AF715" s="34">
        <v>0</v>
      </c>
      <c r="AG715" s="34">
        <v>0.88</v>
      </c>
      <c r="AH715" s="34">
        <v>0</v>
      </c>
      <c r="AI715" s="37">
        <f t="shared" si="105"/>
        <v>0</v>
      </c>
      <c r="AJ715" s="37">
        <f t="shared" si="106"/>
        <v>0</v>
      </c>
      <c r="AK715" s="37">
        <f t="shared" si="107"/>
        <v>0</v>
      </c>
      <c r="AL715" s="37">
        <f t="shared" si="108"/>
        <v>0</v>
      </c>
      <c r="AM715" s="37">
        <f t="shared" si="109"/>
        <v>0</v>
      </c>
      <c r="AN715" s="37">
        <f t="shared" si="110"/>
        <v>33766.321371200087</v>
      </c>
      <c r="AO715" s="37">
        <f t="shared" si="111"/>
        <v>0</v>
      </c>
    </row>
    <row r="716" spans="1:41" hidden="1" x14ac:dyDescent="0.3">
      <c r="A716" t="str">
        <f t="shared" si="112"/>
        <v>470ago</v>
      </c>
      <c r="B716" t="str">
        <f t="shared" si="113"/>
        <v>KIDS LA PAZ ZONA SURago</v>
      </c>
      <c r="C716" s="1" t="s">
        <v>94</v>
      </c>
      <c r="D716" s="1" t="s">
        <v>26</v>
      </c>
      <c r="E716" s="1">
        <v>470</v>
      </c>
      <c r="F716" s="1" t="s">
        <v>121</v>
      </c>
      <c r="G716" s="1" t="s">
        <v>121</v>
      </c>
      <c r="H716" s="1" t="s">
        <v>121</v>
      </c>
      <c r="I716" s="1" t="s">
        <v>125</v>
      </c>
      <c r="J716" s="1" t="s">
        <v>138</v>
      </c>
      <c r="K716" t="s">
        <v>87</v>
      </c>
      <c r="L716" s="6">
        <v>0</v>
      </c>
      <c r="M716" s="6">
        <v>0</v>
      </c>
      <c r="N716" s="6">
        <v>0</v>
      </c>
      <c r="O716" s="6">
        <v>0</v>
      </c>
      <c r="P716" s="6">
        <v>82161.219272999981</v>
      </c>
      <c r="Q716" s="6">
        <v>33652.936212944995</v>
      </c>
      <c r="R716" s="6">
        <v>0</v>
      </c>
      <c r="S716" s="6">
        <v>0</v>
      </c>
      <c r="T716" s="6">
        <v>0</v>
      </c>
      <c r="U716" s="6">
        <v>0</v>
      </c>
      <c r="V716" s="30">
        <v>0</v>
      </c>
      <c r="W716" s="30">
        <v>0</v>
      </c>
      <c r="X716" s="30">
        <v>47925.440087610128</v>
      </c>
      <c r="Y716" s="30">
        <v>22083.805115016083</v>
      </c>
      <c r="Z716" s="30">
        <v>0</v>
      </c>
      <c r="AA716" s="30">
        <v>0</v>
      </c>
      <c r="AB716" s="34">
        <v>0</v>
      </c>
      <c r="AC716" s="34">
        <v>0</v>
      </c>
      <c r="AD716" s="34">
        <v>0</v>
      </c>
      <c r="AE716" s="34">
        <v>0</v>
      </c>
      <c r="AF716" s="34">
        <v>0</v>
      </c>
      <c r="AG716" s="34">
        <v>0.48999999999999994</v>
      </c>
      <c r="AH716" s="34">
        <v>0</v>
      </c>
      <c r="AI716" s="37">
        <f t="shared" si="105"/>
        <v>0</v>
      </c>
      <c r="AJ716" s="37">
        <f t="shared" si="106"/>
        <v>0</v>
      </c>
      <c r="AK716" s="37">
        <f t="shared" si="107"/>
        <v>0</v>
      </c>
      <c r="AL716" s="37">
        <f t="shared" si="108"/>
        <v>0</v>
      </c>
      <c r="AM716" s="37">
        <f t="shared" si="109"/>
        <v>0</v>
      </c>
      <c r="AN716" s="37">
        <f t="shared" si="110"/>
        <v>23483.465642928961</v>
      </c>
      <c r="AO716" s="37">
        <f t="shared" si="111"/>
        <v>0</v>
      </c>
    </row>
    <row r="717" spans="1:41" hidden="1" x14ac:dyDescent="0.3">
      <c r="A717" t="str">
        <f t="shared" si="112"/>
        <v>470sep</v>
      </c>
      <c r="B717" t="str">
        <f t="shared" si="113"/>
        <v>KIDS LA PAZ ZONA SURsep</v>
      </c>
      <c r="C717" s="1" t="s">
        <v>94</v>
      </c>
      <c r="D717" s="1" t="s">
        <v>26</v>
      </c>
      <c r="E717" s="1">
        <v>470</v>
      </c>
      <c r="F717" s="1" t="s">
        <v>121</v>
      </c>
      <c r="G717" s="1" t="s">
        <v>121</v>
      </c>
      <c r="H717" s="1" t="s">
        <v>121</v>
      </c>
      <c r="I717" s="1" t="s">
        <v>125</v>
      </c>
      <c r="J717" s="1" t="s">
        <v>138</v>
      </c>
      <c r="K717" t="s">
        <v>88</v>
      </c>
      <c r="L717" s="6">
        <v>0</v>
      </c>
      <c r="M717" s="6">
        <v>0</v>
      </c>
      <c r="N717" s="6">
        <v>0</v>
      </c>
      <c r="O717" s="6">
        <v>0</v>
      </c>
      <c r="P717" s="6">
        <v>60298.90942950001</v>
      </c>
      <c r="Q717" s="6">
        <v>32136.203232630003</v>
      </c>
      <c r="R717" s="6">
        <v>36483.722918879997</v>
      </c>
      <c r="S717" s="6">
        <v>18150.652152142797</v>
      </c>
      <c r="T717" s="6">
        <v>0</v>
      </c>
      <c r="U717" s="6">
        <v>0</v>
      </c>
      <c r="V717" s="30">
        <v>0</v>
      </c>
      <c r="W717" s="30">
        <v>0</v>
      </c>
      <c r="X717" s="30">
        <v>38840.214051000097</v>
      </c>
      <c r="Y717" s="30">
        <v>19677.933686802629</v>
      </c>
      <c r="Z717" s="30">
        <v>0</v>
      </c>
      <c r="AA717" s="30">
        <v>0</v>
      </c>
      <c r="AB717" s="34">
        <v>0</v>
      </c>
      <c r="AC717" s="34">
        <v>0</v>
      </c>
      <c r="AD717" s="34">
        <v>0</v>
      </c>
      <c r="AE717" s="34">
        <v>0.85</v>
      </c>
      <c r="AF717" s="34">
        <v>0.85</v>
      </c>
      <c r="AG717" s="34">
        <v>0.8</v>
      </c>
      <c r="AH717" s="34">
        <v>0</v>
      </c>
      <c r="AI717" s="37">
        <f t="shared" si="105"/>
        <v>0</v>
      </c>
      <c r="AJ717" s="37">
        <f t="shared" si="106"/>
        <v>0</v>
      </c>
      <c r="AK717" s="37">
        <f t="shared" si="107"/>
        <v>0</v>
      </c>
      <c r="AL717" s="37">
        <f t="shared" si="108"/>
        <v>31011.164481047996</v>
      </c>
      <c r="AM717" s="37">
        <f t="shared" si="109"/>
        <v>0</v>
      </c>
      <c r="AN717" s="37">
        <f t="shared" si="110"/>
        <v>31072.171240800079</v>
      </c>
      <c r="AO717" s="37">
        <f t="shared" si="111"/>
        <v>0</v>
      </c>
    </row>
    <row r="718" spans="1:41" hidden="1" x14ac:dyDescent="0.3">
      <c r="A718" t="str">
        <f t="shared" si="112"/>
        <v>470oct</v>
      </c>
      <c r="B718" t="str">
        <f t="shared" si="113"/>
        <v>KIDS LA PAZ ZONA SURoct</v>
      </c>
      <c r="C718" s="1" t="s">
        <v>94</v>
      </c>
      <c r="D718" s="1" t="s">
        <v>26</v>
      </c>
      <c r="E718" s="1">
        <v>470</v>
      </c>
      <c r="F718" s="1" t="s">
        <v>121</v>
      </c>
      <c r="G718" s="1" t="s">
        <v>121</v>
      </c>
      <c r="H718" s="1" t="s">
        <v>121</v>
      </c>
      <c r="I718" s="1" t="s">
        <v>125</v>
      </c>
      <c r="J718" s="1" t="s">
        <v>138</v>
      </c>
      <c r="K718" t="s">
        <v>89</v>
      </c>
      <c r="L718" s="6">
        <v>0</v>
      </c>
      <c r="M718" s="6">
        <v>0</v>
      </c>
      <c r="N718" s="6">
        <v>0</v>
      </c>
      <c r="O718" s="6">
        <v>0</v>
      </c>
      <c r="P718" s="6">
        <v>68957.63602874997</v>
      </c>
      <c r="Q718" s="6">
        <v>35918.61230238749</v>
      </c>
      <c r="R718" s="6">
        <v>35406.424882224004</v>
      </c>
      <c r="S718" s="6">
        <v>17986.463840169796</v>
      </c>
      <c r="T718" s="6">
        <v>52417.430000000168</v>
      </c>
      <c r="U718" s="6">
        <v>25118.050000000167</v>
      </c>
      <c r="V718" s="30">
        <v>51346.200000000019</v>
      </c>
      <c r="W718" s="30">
        <v>26083.869600000009</v>
      </c>
      <c r="X718" s="30">
        <v>41501.996775999978</v>
      </c>
      <c r="Y718" s="30">
        <v>21394.735624696154</v>
      </c>
      <c r="Z718" s="30">
        <v>0</v>
      </c>
      <c r="AA718" s="30">
        <v>0</v>
      </c>
      <c r="AB718" s="34">
        <v>0</v>
      </c>
      <c r="AC718" s="34">
        <v>0</v>
      </c>
      <c r="AD718" s="34">
        <v>0.39117217307296454</v>
      </c>
      <c r="AE718" s="34">
        <v>0.9</v>
      </c>
      <c r="AF718" s="34">
        <v>0.9</v>
      </c>
      <c r="AG718" s="34">
        <v>0.86</v>
      </c>
      <c r="AH718" s="34">
        <v>0</v>
      </c>
      <c r="AI718" s="37">
        <f t="shared" si="105"/>
        <v>0</v>
      </c>
      <c r="AJ718" s="37">
        <f t="shared" si="106"/>
        <v>0</v>
      </c>
      <c r="AK718" s="37">
        <f t="shared" si="107"/>
        <v>20504.240000000071</v>
      </c>
      <c r="AL718" s="37">
        <f t="shared" si="108"/>
        <v>31865.782394001606</v>
      </c>
      <c r="AM718" s="37">
        <f t="shared" si="109"/>
        <v>46211.580000000016</v>
      </c>
      <c r="AN718" s="37">
        <f t="shared" si="110"/>
        <v>35691.717227359979</v>
      </c>
      <c r="AO718" s="37">
        <f t="shared" si="111"/>
        <v>0</v>
      </c>
    </row>
    <row r="719" spans="1:41" hidden="1" x14ac:dyDescent="0.3">
      <c r="A719" t="str">
        <f t="shared" si="112"/>
        <v>470nov</v>
      </c>
      <c r="B719" t="str">
        <f t="shared" si="113"/>
        <v>KIDS LA PAZ ZONA SURnov</v>
      </c>
      <c r="C719" s="1" t="s">
        <v>94</v>
      </c>
      <c r="D719" s="1" t="s">
        <v>26</v>
      </c>
      <c r="E719" s="1">
        <v>470</v>
      </c>
      <c r="F719" s="1" t="s">
        <v>121</v>
      </c>
      <c r="G719" s="1" t="s">
        <v>121</v>
      </c>
      <c r="H719" s="1" t="s">
        <v>121</v>
      </c>
      <c r="I719" s="1" t="s">
        <v>125</v>
      </c>
      <c r="J719" s="1" t="s">
        <v>138</v>
      </c>
      <c r="K719" t="s">
        <v>90</v>
      </c>
      <c r="L719" s="6">
        <v>0</v>
      </c>
      <c r="M719" s="6">
        <v>0</v>
      </c>
      <c r="N719" s="6">
        <v>0</v>
      </c>
      <c r="O719" s="6">
        <v>0</v>
      </c>
      <c r="P719" s="6">
        <v>80662.767701250006</v>
      </c>
      <c r="Q719" s="6">
        <v>38955.070305900008</v>
      </c>
      <c r="R719" s="6">
        <v>48541.183886159983</v>
      </c>
      <c r="S719" s="6">
        <v>23372.580041186033</v>
      </c>
      <c r="T719" s="6">
        <v>54802.729885057459</v>
      </c>
      <c r="U719" s="6">
        <v>21837.663491507639</v>
      </c>
      <c r="V719" s="30">
        <v>48465.086206896551</v>
      </c>
      <c r="W719" s="30">
        <v>23335.939008620691</v>
      </c>
      <c r="X719" s="30">
        <v>54213.446172010146</v>
      </c>
      <c r="Y719" s="30">
        <v>25863.172120580661</v>
      </c>
      <c r="Z719" s="30">
        <v>0</v>
      </c>
      <c r="AA719" s="30">
        <v>0</v>
      </c>
      <c r="AB719" s="34">
        <v>0</v>
      </c>
      <c r="AC719" s="34">
        <v>0</v>
      </c>
      <c r="AD719" s="34">
        <v>0.32109976904987159</v>
      </c>
      <c r="AE719" s="34">
        <v>0.65</v>
      </c>
      <c r="AF719" s="34">
        <v>0.65</v>
      </c>
      <c r="AG719" s="34">
        <v>0.6</v>
      </c>
      <c r="AH719" s="34">
        <v>0</v>
      </c>
      <c r="AI719" s="37">
        <f t="shared" si="105"/>
        <v>0</v>
      </c>
      <c r="AJ719" s="37">
        <f t="shared" si="106"/>
        <v>0</v>
      </c>
      <c r="AK719" s="37">
        <f t="shared" si="107"/>
        <v>17597.143909394446</v>
      </c>
      <c r="AL719" s="37">
        <f t="shared" si="108"/>
        <v>31551.769526003991</v>
      </c>
      <c r="AM719" s="37">
        <f t="shared" si="109"/>
        <v>31502.306034482757</v>
      </c>
      <c r="AN719" s="37">
        <f t="shared" si="110"/>
        <v>32528.067703206085</v>
      </c>
      <c r="AO719" s="37">
        <f t="shared" si="111"/>
        <v>0</v>
      </c>
    </row>
    <row r="720" spans="1:41" hidden="1" x14ac:dyDescent="0.3">
      <c r="A720" t="str">
        <f t="shared" si="112"/>
        <v>470dic</v>
      </c>
      <c r="B720" t="str">
        <f t="shared" si="113"/>
        <v>KIDS LA PAZ ZONA SURdic</v>
      </c>
      <c r="C720" s="1" t="s">
        <v>94</v>
      </c>
      <c r="D720" s="1" t="s">
        <v>26</v>
      </c>
      <c r="E720" s="1">
        <v>470</v>
      </c>
      <c r="F720" s="1" t="s">
        <v>121</v>
      </c>
      <c r="G720" s="1" t="s">
        <v>121</v>
      </c>
      <c r="H720" s="1" t="s">
        <v>121</v>
      </c>
      <c r="I720" s="1" t="s">
        <v>125</v>
      </c>
      <c r="J720" s="1" t="s">
        <v>138</v>
      </c>
      <c r="K720" t="s">
        <v>91</v>
      </c>
      <c r="L720" s="6">
        <v>0</v>
      </c>
      <c r="M720" s="6">
        <v>0</v>
      </c>
      <c r="N720" s="6">
        <v>0</v>
      </c>
      <c r="O720" s="6">
        <v>0</v>
      </c>
      <c r="P720" s="6">
        <v>112716.25968750022</v>
      </c>
      <c r="Q720" s="6">
        <v>59834.045931187611</v>
      </c>
      <c r="R720" s="6">
        <v>94841.085373920054</v>
      </c>
      <c r="S720" s="6">
        <v>47230.860516212182</v>
      </c>
      <c r="T720" s="6">
        <v>66363.14655172416</v>
      </c>
      <c r="U720" s="6">
        <v>31577.717081596005</v>
      </c>
      <c r="V720" s="30">
        <v>94841.085373920054</v>
      </c>
      <c r="W720" s="30">
        <v>47230.860516212182</v>
      </c>
      <c r="X720" s="30">
        <v>74313.615314331386</v>
      </c>
      <c r="Y720" s="30">
        <v>38199.590038368449</v>
      </c>
      <c r="Z720" s="30">
        <v>0</v>
      </c>
      <c r="AA720" s="30">
        <v>0</v>
      </c>
      <c r="AB720" s="34">
        <v>0</v>
      </c>
      <c r="AC720" s="34">
        <v>0</v>
      </c>
      <c r="AD720" s="34">
        <v>0.59497069540048797</v>
      </c>
      <c r="AE720" s="34">
        <v>0.79999999999999993</v>
      </c>
      <c r="AF720" s="34">
        <v>0.79999999999999993</v>
      </c>
      <c r="AG720" s="34">
        <v>0.85000000000000009</v>
      </c>
      <c r="AH720" s="34">
        <v>0</v>
      </c>
      <c r="AI720" s="37">
        <f t="shared" si="105"/>
        <v>0</v>
      </c>
      <c r="AJ720" s="37">
        <f t="shared" si="106"/>
        <v>0</v>
      </c>
      <c r="AK720" s="37">
        <f t="shared" si="107"/>
        <v>39484.127452843815</v>
      </c>
      <c r="AL720" s="37">
        <f t="shared" si="108"/>
        <v>75872.86829913604</v>
      </c>
      <c r="AM720" s="37">
        <f t="shared" si="109"/>
        <v>75872.86829913604</v>
      </c>
      <c r="AN720" s="37">
        <f t="shared" si="110"/>
        <v>63166.573017181683</v>
      </c>
      <c r="AO720" s="37">
        <f t="shared" si="111"/>
        <v>0</v>
      </c>
    </row>
    <row r="721" spans="1:41" hidden="1" x14ac:dyDescent="0.3">
      <c r="A721" t="str">
        <f t="shared" si="112"/>
        <v>492ene</v>
      </c>
      <c r="B721" t="str">
        <f t="shared" si="113"/>
        <v>KIDS LAS BRISASene</v>
      </c>
      <c r="C721" s="1" t="s">
        <v>94</v>
      </c>
      <c r="D721" s="1" t="s">
        <v>27</v>
      </c>
      <c r="E721" s="1">
        <v>492</v>
      </c>
      <c r="F721" s="1" t="s">
        <v>121</v>
      </c>
      <c r="G721" s="1" t="s">
        <v>119</v>
      </c>
      <c r="H721" s="1" t="s">
        <v>119</v>
      </c>
      <c r="I721" s="1" t="s">
        <v>127</v>
      </c>
      <c r="J721" s="1" t="s">
        <v>138</v>
      </c>
      <c r="K721" t="s">
        <v>80</v>
      </c>
      <c r="L721" s="6">
        <v>0</v>
      </c>
      <c r="M721" s="6">
        <v>0</v>
      </c>
      <c r="N721" s="6">
        <v>0</v>
      </c>
      <c r="O721" s="6">
        <v>0</v>
      </c>
      <c r="P721" s="6">
        <v>64064.454093749999</v>
      </c>
      <c r="Q721" s="6">
        <v>33578.513399218748</v>
      </c>
      <c r="R721" s="6">
        <v>26373.19</v>
      </c>
      <c r="S721" s="6">
        <v>14148.047875970044</v>
      </c>
      <c r="T721" s="6">
        <v>26373.189999999995</v>
      </c>
      <c r="U721" s="6">
        <v>14174.659999999993</v>
      </c>
      <c r="V721" s="30">
        <v>29010.509000000035</v>
      </c>
      <c r="W721" s="30">
        <v>15592.126000000013</v>
      </c>
      <c r="X721" s="30">
        <v>32781.875170000043</v>
      </c>
      <c r="Y721" s="30">
        <v>16841.949282758767</v>
      </c>
      <c r="Z721" s="30">
        <v>39202.298850574698</v>
      </c>
      <c r="AA721" s="30">
        <v>20995.913133775361</v>
      </c>
      <c r="AB721" s="34">
        <v>0</v>
      </c>
      <c r="AC721" s="34">
        <v>0</v>
      </c>
      <c r="AD721" s="34">
        <v>0.92480219884371151</v>
      </c>
      <c r="AE721" s="34">
        <v>0.92480219884371151</v>
      </c>
      <c r="AF721" s="34">
        <v>0.92480219884371151</v>
      </c>
      <c r="AG721" s="34">
        <v>0.86</v>
      </c>
      <c r="AH721" s="34">
        <v>0.95379478684102514</v>
      </c>
      <c r="AI721" s="37">
        <f t="shared" si="105"/>
        <v>0</v>
      </c>
      <c r="AJ721" s="37">
        <f t="shared" si="106"/>
        <v>0</v>
      </c>
      <c r="AK721" s="37">
        <f t="shared" si="107"/>
        <v>24389.98410252298</v>
      </c>
      <c r="AL721" s="37">
        <f t="shared" si="108"/>
        <v>24389.984102522983</v>
      </c>
      <c r="AM721" s="37">
        <f t="shared" si="109"/>
        <v>26828.982512775314</v>
      </c>
      <c r="AN721" s="37">
        <f t="shared" si="110"/>
        <v>28192.412646200035</v>
      </c>
      <c r="AO721" s="37">
        <f t="shared" si="111"/>
        <v>37390.948275862058</v>
      </c>
    </row>
    <row r="722" spans="1:41" hidden="1" x14ac:dyDescent="0.3">
      <c r="A722" t="str">
        <f t="shared" si="112"/>
        <v>492feb</v>
      </c>
      <c r="B722" t="str">
        <f t="shared" si="113"/>
        <v>KIDS LAS BRISASfeb</v>
      </c>
      <c r="C722" s="1" t="s">
        <v>94</v>
      </c>
      <c r="D722" s="1" t="s">
        <v>27</v>
      </c>
      <c r="E722" s="1">
        <v>492</v>
      </c>
      <c r="F722" s="1" t="s">
        <v>121</v>
      </c>
      <c r="G722" s="1" t="s">
        <v>119</v>
      </c>
      <c r="H722" s="1" t="s">
        <v>119</v>
      </c>
      <c r="I722" s="1" t="s">
        <v>127</v>
      </c>
      <c r="J722" s="1" t="s">
        <v>138</v>
      </c>
      <c r="K722" t="s">
        <v>81</v>
      </c>
      <c r="L722" s="6">
        <v>0</v>
      </c>
      <c r="M722" s="6">
        <v>0</v>
      </c>
      <c r="N722" s="6">
        <v>0</v>
      </c>
      <c r="O722" s="6">
        <v>0</v>
      </c>
      <c r="P722" s="6">
        <v>85885</v>
      </c>
      <c r="Q722" s="6">
        <v>36465.9</v>
      </c>
      <c r="R722" s="6">
        <v>44078.700000000004</v>
      </c>
      <c r="S722" s="6">
        <v>20862.780089195719</v>
      </c>
      <c r="T722" s="6">
        <v>44078.700000000004</v>
      </c>
      <c r="U722" s="6">
        <v>20901.970000000008</v>
      </c>
      <c r="V722" s="30">
        <v>48486.570000000036</v>
      </c>
      <c r="W722" s="30">
        <v>22992.167000000023</v>
      </c>
      <c r="X722" s="30">
        <v>54304.958400000047</v>
      </c>
      <c r="Y722" s="30">
        <v>24683.274134034211</v>
      </c>
      <c r="Z722" s="30">
        <v>45022.270114942476</v>
      </c>
      <c r="AA722" s="30">
        <v>19053.247078144654</v>
      </c>
      <c r="AB722" s="34">
        <v>0</v>
      </c>
      <c r="AC722" s="34">
        <v>0</v>
      </c>
      <c r="AD722" s="34">
        <v>0.50905226264603942</v>
      </c>
      <c r="AE722" s="34">
        <v>0.50905226264603975</v>
      </c>
      <c r="AF722" s="34">
        <v>0.50905226264603975</v>
      </c>
      <c r="AG722" s="34">
        <v>0.49</v>
      </c>
      <c r="AH722" s="34">
        <v>0.45880550812975718</v>
      </c>
      <c r="AI722" s="37">
        <f t="shared" si="105"/>
        <v>0</v>
      </c>
      <c r="AJ722" s="37">
        <f t="shared" si="106"/>
        <v>0</v>
      </c>
      <c r="AK722" s="37">
        <f t="shared" si="107"/>
        <v>22438.361969495982</v>
      </c>
      <c r="AL722" s="37">
        <f t="shared" si="108"/>
        <v>22438.361969495996</v>
      </c>
      <c r="AM722" s="37">
        <f t="shared" si="109"/>
        <v>24682.198166445611</v>
      </c>
      <c r="AN722" s="37">
        <f t="shared" si="110"/>
        <v>26609.429616000023</v>
      </c>
      <c r="AO722" s="37">
        <f t="shared" si="111"/>
        <v>20656.465517241362</v>
      </c>
    </row>
    <row r="723" spans="1:41" hidden="1" x14ac:dyDescent="0.3">
      <c r="A723" t="str">
        <f t="shared" si="112"/>
        <v>492mar</v>
      </c>
      <c r="B723" t="str">
        <f t="shared" si="113"/>
        <v>KIDS LAS BRISASmar</v>
      </c>
      <c r="C723" s="1" t="s">
        <v>94</v>
      </c>
      <c r="D723" s="1" t="s">
        <v>27</v>
      </c>
      <c r="E723" s="1">
        <v>492</v>
      </c>
      <c r="F723" s="1" t="s">
        <v>121</v>
      </c>
      <c r="G723" s="1" t="s">
        <v>119</v>
      </c>
      <c r="H723" s="1" t="s">
        <v>119</v>
      </c>
      <c r="I723" s="1" t="s">
        <v>127</v>
      </c>
      <c r="J723" s="1" t="s">
        <v>138</v>
      </c>
      <c r="K723" t="s">
        <v>82</v>
      </c>
      <c r="L723" s="6">
        <v>0</v>
      </c>
      <c r="M723" s="6">
        <v>0</v>
      </c>
      <c r="N723" s="6">
        <v>0</v>
      </c>
      <c r="O723" s="6">
        <v>0</v>
      </c>
      <c r="P723" s="6">
        <v>63877.5</v>
      </c>
      <c r="Q723" s="6">
        <v>31314.362499999999</v>
      </c>
      <c r="R723" s="6">
        <v>47374.460000000021</v>
      </c>
      <c r="S723" s="6">
        <v>22757.596604218543</v>
      </c>
      <c r="T723" s="6">
        <v>47374.460000000028</v>
      </c>
      <c r="U723" s="6">
        <v>22869.770000000008</v>
      </c>
      <c r="V723" s="30">
        <v>47374.460000000137</v>
      </c>
      <c r="W723" s="30">
        <v>22869.770000000062</v>
      </c>
      <c r="X723" s="30">
        <v>49743.18300000015</v>
      </c>
      <c r="Y723" s="30">
        <v>25078.202237773821</v>
      </c>
      <c r="Z723" s="30">
        <v>37695.963391071462</v>
      </c>
      <c r="AA723" s="30">
        <v>18320.238208060731</v>
      </c>
      <c r="AB723" s="34">
        <v>0</v>
      </c>
      <c r="AC723" s="34">
        <v>0</v>
      </c>
      <c r="AD723" s="34">
        <v>0.59497069540048797</v>
      </c>
      <c r="AE723" s="34">
        <v>0.59497069540048764</v>
      </c>
      <c r="AF723" s="34">
        <v>0.59497069540048764</v>
      </c>
      <c r="AG723" s="34">
        <v>0.8</v>
      </c>
      <c r="AH723" s="34">
        <v>0.83087298285564193</v>
      </c>
      <c r="AI723" s="37">
        <f t="shared" si="105"/>
        <v>0</v>
      </c>
      <c r="AJ723" s="37">
        <f t="shared" si="106"/>
        <v>0</v>
      </c>
      <c r="AK723" s="37">
        <f t="shared" si="107"/>
        <v>28186.415410422618</v>
      </c>
      <c r="AL723" s="37">
        <f t="shared" si="108"/>
        <v>28186.415410422596</v>
      </c>
      <c r="AM723" s="37">
        <f t="shared" si="109"/>
        <v>28186.415410422669</v>
      </c>
      <c r="AN723" s="37">
        <f t="shared" si="110"/>
        <v>39794.546400000123</v>
      </c>
      <c r="AO723" s="37">
        <f t="shared" si="111"/>
        <v>31320.557544356623</v>
      </c>
    </row>
    <row r="724" spans="1:41" hidden="1" x14ac:dyDescent="0.3">
      <c r="A724" t="str">
        <f t="shared" si="112"/>
        <v>492abr</v>
      </c>
      <c r="B724" t="str">
        <f t="shared" si="113"/>
        <v>KIDS LAS BRISASabr</v>
      </c>
      <c r="C724" s="1" t="s">
        <v>94</v>
      </c>
      <c r="D724" s="1" t="s">
        <v>27</v>
      </c>
      <c r="E724" s="1">
        <v>492</v>
      </c>
      <c r="F724" s="1" t="s">
        <v>121</v>
      </c>
      <c r="G724" s="1" t="s">
        <v>119</v>
      </c>
      <c r="H724" s="1" t="s">
        <v>119</v>
      </c>
      <c r="I724" s="1" t="s">
        <v>127</v>
      </c>
      <c r="J724" s="1" t="s">
        <v>138</v>
      </c>
      <c r="K724" t="s">
        <v>83</v>
      </c>
      <c r="L724" s="6">
        <v>0</v>
      </c>
      <c r="M724" s="6">
        <v>0</v>
      </c>
      <c r="N724" s="6">
        <v>0</v>
      </c>
      <c r="O724" s="6">
        <v>0</v>
      </c>
      <c r="P724" s="6">
        <v>67611.5</v>
      </c>
      <c r="Q724" s="6">
        <v>33879.402499999997</v>
      </c>
      <c r="R724" s="6">
        <v>48630.389999999992</v>
      </c>
      <c r="S724" s="6">
        <v>25425.646583221442</v>
      </c>
      <c r="T724" s="6">
        <v>48630.390000000007</v>
      </c>
      <c r="U724" s="6">
        <v>25423.590000000018</v>
      </c>
      <c r="V724" s="30">
        <v>48630.390000000007</v>
      </c>
      <c r="W724" s="30">
        <v>25423.590000000018</v>
      </c>
      <c r="X724" s="30">
        <v>52034.517300000007</v>
      </c>
      <c r="Y724" s="30">
        <v>25400.451799714185</v>
      </c>
      <c r="Z724" s="30">
        <v>0</v>
      </c>
      <c r="AA724" s="30">
        <v>0</v>
      </c>
      <c r="AB724" s="34">
        <v>0</v>
      </c>
      <c r="AC724" s="34">
        <v>0</v>
      </c>
      <c r="AD724" s="34">
        <v>0.87626427221716208</v>
      </c>
      <c r="AE724" s="34">
        <v>0.87626427221716174</v>
      </c>
      <c r="AF724" s="34">
        <v>0.87626427221716174</v>
      </c>
      <c r="AG724" s="34">
        <v>0.7</v>
      </c>
      <c r="AH724" s="34">
        <v>0</v>
      </c>
      <c r="AI724" s="37">
        <f t="shared" si="105"/>
        <v>0</v>
      </c>
      <c r="AJ724" s="37">
        <f t="shared" si="106"/>
        <v>0</v>
      </c>
      <c r="AK724" s="37">
        <f t="shared" si="107"/>
        <v>42613.073300986762</v>
      </c>
      <c r="AL724" s="37">
        <f t="shared" si="108"/>
        <v>42613.073300986733</v>
      </c>
      <c r="AM724" s="37">
        <f t="shared" si="109"/>
        <v>42613.073300986747</v>
      </c>
      <c r="AN724" s="37">
        <f t="shared" si="110"/>
        <v>36424.162110000005</v>
      </c>
      <c r="AO724" s="37">
        <f t="shared" si="111"/>
        <v>0</v>
      </c>
    </row>
    <row r="725" spans="1:41" hidden="1" x14ac:dyDescent="0.3">
      <c r="A725" t="str">
        <f t="shared" si="112"/>
        <v>492may</v>
      </c>
      <c r="B725" t="str">
        <f t="shared" si="113"/>
        <v>KIDS LAS BRISASmay</v>
      </c>
      <c r="C725" s="1" t="s">
        <v>94</v>
      </c>
      <c r="D725" s="1" t="s">
        <v>27</v>
      </c>
      <c r="E725" s="1">
        <v>492</v>
      </c>
      <c r="F725" s="1" t="s">
        <v>121</v>
      </c>
      <c r="G725" s="1" t="s">
        <v>119</v>
      </c>
      <c r="H725" s="1" t="s">
        <v>119</v>
      </c>
      <c r="I725" s="1" t="s">
        <v>127</v>
      </c>
      <c r="J725" s="1" t="s">
        <v>138</v>
      </c>
      <c r="K725" t="s">
        <v>84</v>
      </c>
      <c r="L725" s="6">
        <v>0</v>
      </c>
      <c r="M725" s="6">
        <v>0</v>
      </c>
      <c r="N725" s="6">
        <v>0</v>
      </c>
      <c r="O725" s="6">
        <v>0</v>
      </c>
      <c r="P725" s="6">
        <v>57953.5</v>
      </c>
      <c r="Q725" s="6">
        <v>30246.397499999999</v>
      </c>
      <c r="R725" s="6">
        <v>40655.430000000037</v>
      </c>
      <c r="S725" s="6">
        <v>21543.428356107812</v>
      </c>
      <c r="T725" s="6">
        <v>40655.430000000037</v>
      </c>
      <c r="U725" s="6">
        <v>21597.070000000043</v>
      </c>
      <c r="V725" s="30">
        <v>40655.430000000037</v>
      </c>
      <c r="W725" s="30">
        <v>21597.070000000043</v>
      </c>
      <c r="X725" s="30">
        <v>42688.201500000039</v>
      </c>
      <c r="Y725" s="30">
        <v>22068.068281006585</v>
      </c>
      <c r="Z725" s="30">
        <v>0</v>
      </c>
      <c r="AA725" s="30">
        <v>0</v>
      </c>
      <c r="AB725" s="34">
        <v>0</v>
      </c>
      <c r="AC725" s="34">
        <v>0</v>
      </c>
      <c r="AD725" s="34">
        <v>0.91291288854529673</v>
      </c>
      <c r="AE725" s="34">
        <v>0.91291288854529673</v>
      </c>
      <c r="AF725" s="34">
        <v>0.91291288854529673</v>
      </c>
      <c r="AG725" s="34">
        <v>0.88</v>
      </c>
      <c r="AH725" s="34">
        <v>0</v>
      </c>
      <c r="AI725" s="37">
        <f t="shared" si="105"/>
        <v>0</v>
      </c>
      <c r="AJ725" s="37">
        <f t="shared" si="106"/>
        <v>0</v>
      </c>
      <c r="AK725" s="37">
        <f t="shared" si="107"/>
        <v>37114.866036351144</v>
      </c>
      <c r="AL725" s="37">
        <f t="shared" si="108"/>
        <v>37114.866036351144</v>
      </c>
      <c r="AM725" s="37">
        <f t="shared" si="109"/>
        <v>37114.866036351144</v>
      </c>
      <c r="AN725" s="37">
        <f t="shared" si="110"/>
        <v>37565.617320000034</v>
      </c>
      <c r="AO725" s="37">
        <f t="shared" si="111"/>
        <v>0</v>
      </c>
    </row>
    <row r="726" spans="1:41" hidden="1" x14ac:dyDescent="0.3">
      <c r="A726" t="str">
        <f t="shared" si="112"/>
        <v>492jun</v>
      </c>
      <c r="B726" t="str">
        <f t="shared" si="113"/>
        <v>KIDS LAS BRISASjun</v>
      </c>
      <c r="C726" s="1" t="s">
        <v>94</v>
      </c>
      <c r="D726" s="1" t="s">
        <v>27</v>
      </c>
      <c r="E726" s="1">
        <v>492</v>
      </c>
      <c r="F726" s="1" t="s">
        <v>121</v>
      </c>
      <c r="G726" s="1" t="s">
        <v>119</v>
      </c>
      <c r="H726" s="1" t="s">
        <v>119</v>
      </c>
      <c r="I726" s="1" t="s">
        <v>127</v>
      </c>
      <c r="J726" s="1" t="s">
        <v>138</v>
      </c>
      <c r="K726" t="s">
        <v>85</v>
      </c>
      <c r="L726" s="6">
        <v>0</v>
      </c>
      <c r="M726" s="6">
        <v>0</v>
      </c>
      <c r="N726" s="6">
        <v>45246.619999999995</v>
      </c>
      <c r="O726" s="6">
        <v>23499.399999999983</v>
      </c>
      <c r="P726" s="6">
        <v>59214.422900000005</v>
      </c>
      <c r="Q726" s="6">
        <v>30698.103992500004</v>
      </c>
      <c r="R726" s="6">
        <v>44221.329999999965</v>
      </c>
      <c r="S726" s="6">
        <v>23952.631193687688</v>
      </c>
      <c r="T726" s="6">
        <v>44221.329999999973</v>
      </c>
      <c r="U726" s="6">
        <v>23948.159999999953</v>
      </c>
      <c r="V726" s="30">
        <v>44221.32999999998</v>
      </c>
      <c r="W726" s="30">
        <v>23948.15999999996</v>
      </c>
      <c r="X726" s="30">
        <v>46432.396499999973</v>
      </c>
      <c r="Y726" s="30">
        <v>24003.665191019343</v>
      </c>
      <c r="Z726" s="30">
        <v>0</v>
      </c>
      <c r="AA726" s="30">
        <v>0</v>
      </c>
      <c r="AB726" s="34">
        <v>0</v>
      </c>
      <c r="AC726" s="34">
        <v>0.9674519334261874</v>
      </c>
      <c r="AD726" s="34">
        <v>0.96288897628187597</v>
      </c>
      <c r="AE726" s="34">
        <v>0.96288897628187609</v>
      </c>
      <c r="AF726" s="34">
        <v>0.96288897628187609</v>
      </c>
      <c r="AG726" s="34">
        <v>0.88</v>
      </c>
      <c r="AH726" s="34">
        <v>0</v>
      </c>
      <c r="AI726" s="37">
        <f t="shared" si="105"/>
        <v>0</v>
      </c>
      <c r="AJ726" s="37">
        <f t="shared" si="106"/>
        <v>43773.929999999993</v>
      </c>
      <c r="AK726" s="37">
        <f t="shared" si="107"/>
        <v>42580.231173522981</v>
      </c>
      <c r="AL726" s="37">
        <f t="shared" si="108"/>
        <v>42580.231173522981</v>
      </c>
      <c r="AM726" s="37">
        <f t="shared" si="109"/>
        <v>42580.231173522996</v>
      </c>
      <c r="AN726" s="37">
        <f t="shared" si="110"/>
        <v>40860.508919999978</v>
      </c>
      <c r="AO726" s="37">
        <f t="shared" si="111"/>
        <v>0</v>
      </c>
    </row>
    <row r="727" spans="1:41" hidden="1" x14ac:dyDescent="0.3">
      <c r="A727" t="str">
        <f t="shared" si="112"/>
        <v>492jul</v>
      </c>
      <c r="B727" t="str">
        <f t="shared" si="113"/>
        <v>KIDS LAS BRISASjul</v>
      </c>
      <c r="C727" s="1" t="s">
        <v>94</v>
      </c>
      <c r="D727" s="1" t="s">
        <v>27</v>
      </c>
      <c r="E727" s="1">
        <v>492</v>
      </c>
      <c r="F727" s="1" t="s">
        <v>121</v>
      </c>
      <c r="G727" s="1" t="s">
        <v>119</v>
      </c>
      <c r="H727" s="1" t="s">
        <v>119</v>
      </c>
      <c r="I727" s="1" t="s">
        <v>127</v>
      </c>
      <c r="J727" s="1" t="s">
        <v>138</v>
      </c>
      <c r="K727" t="s">
        <v>86</v>
      </c>
      <c r="L727" s="6">
        <v>0</v>
      </c>
      <c r="M727" s="6">
        <v>0</v>
      </c>
      <c r="N727" s="6">
        <v>77241.439999999973</v>
      </c>
      <c r="O727" s="6">
        <v>41025.14999999998</v>
      </c>
      <c r="P727" s="6">
        <v>72360.805100000012</v>
      </c>
      <c r="Q727" s="6">
        <v>37001.546273500004</v>
      </c>
      <c r="R727" s="6">
        <v>39070.579999999987</v>
      </c>
      <c r="S727" s="6">
        <v>21016.815782626541</v>
      </c>
      <c r="T727" s="6">
        <v>39128.049999999974</v>
      </c>
      <c r="U727" s="6">
        <v>21047.729999999967</v>
      </c>
      <c r="V727" s="30">
        <v>39128.050000000068</v>
      </c>
      <c r="W727" s="30">
        <v>21047.730000000018</v>
      </c>
      <c r="X727" s="30">
        <v>43432.135500000077</v>
      </c>
      <c r="Y727" s="30">
        <v>22452.651977008936</v>
      </c>
      <c r="Z727" s="30">
        <v>0</v>
      </c>
      <c r="AA727" s="30">
        <v>0</v>
      </c>
      <c r="AB727" s="34">
        <v>0</v>
      </c>
      <c r="AC727" s="34">
        <v>0.96998722447432395</v>
      </c>
      <c r="AD727" s="34">
        <v>0.93218624490614799</v>
      </c>
      <c r="AE727" s="34">
        <v>0.93218624490614799</v>
      </c>
      <c r="AF727" s="34">
        <v>0.93218624490614799</v>
      </c>
      <c r="AG727" s="34">
        <v>0.88</v>
      </c>
      <c r="AH727" s="34">
        <v>0</v>
      </c>
      <c r="AI727" s="37">
        <f t="shared" si="105"/>
        <v>0</v>
      </c>
      <c r="AJ727" s="37">
        <f t="shared" si="106"/>
        <v>74923.209999999992</v>
      </c>
      <c r="AK727" s="37">
        <f t="shared" si="107"/>
        <v>36474.629999999983</v>
      </c>
      <c r="AL727" s="37">
        <f t="shared" si="108"/>
        <v>36421.057256505235</v>
      </c>
      <c r="AM727" s="37">
        <f t="shared" si="109"/>
        <v>36474.63000000007</v>
      </c>
      <c r="AN727" s="37">
        <f t="shared" si="110"/>
        <v>38220.279240000069</v>
      </c>
      <c r="AO727" s="37">
        <f t="shared" si="111"/>
        <v>0</v>
      </c>
    </row>
    <row r="728" spans="1:41" hidden="1" x14ac:dyDescent="0.3">
      <c r="A728" t="str">
        <f t="shared" si="112"/>
        <v>492ago</v>
      </c>
      <c r="B728" t="str">
        <f t="shared" si="113"/>
        <v>KIDS LAS BRISASago</v>
      </c>
      <c r="C728" s="1" t="s">
        <v>94</v>
      </c>
      <c r="D728" s="1" t="s">
        <v>27</v>
      </c>
      <c r="E728" s="1">
        <v>492</v>
      </c>
      <c r="F728" s="1" t="s">
        <v>121</v>
      </c>
      <c r="G728" s="1" t="s">
        <v>119</v>
      </c>
      <c r="H728" s="1" t="s">
        <v>119</v>
      </c>
      <c r="I728" s="1" t="s">
        <v>127</v>
      </c>
      <c r="J728" s="1" t="s">
        <v>138</v>
      </c>
      <c r="K728" t="s">
        <v>87</v>
      </c>
      <c r="L728" s="6">
        <v>0</v>
      </c>
      <c r="M728" s="6">
        <v>0</v>
      </c>
      <c r="N728" s="6">
        <v>74040.299999999974</v>
      </c>
      <c r="O728" s="6">
        <v>36538.679999999978</v>
      </c>
      <c r="P728" s="6">
        <v>78248.780259999985</v>
      </c>
      <c r="Q728" s="6">
        <v>32050.415440899989</v>
      </c>
      <c r="R728" s="6">
        <v>62599.024207999995</v>
      </c>
      <c r="S728" s="6">
        <v>26548.2461666128</v>
      </c>
      <c r="T728" s="6">
        <v>61195.029999999962</v>
      </c>
      <c r="U728" s="6">
        <v>23423.169999999947</v>
      </c>
      <c r="V728" s="30">
        <v>56911.377899999905</v>
      </c>
      <c r="W728" s="30">
        <v>24136.115367389961</v>
      </c>
      <c r="X728" s="30">
        <v>59187.833015999902</v>
      </c>
      <c r="Y728" s="30">
        <v>26902.690855083416</v>
      </c>
      <c r="Z728" s="30">
        <v>0</v>
      </c>
      <c r="AA728" s="30">
        <v>0</v>
      </c>
      <c r="AB728" s="34">
        <v>0</v>
      </c>
      <c r="AC728" s="34">
        <v>0.74389366331578921</v>
      </c>
      <c r="AD728" s="34">
        <v>0.32109976904987159</v>
      </c>
      <c r="AE728" s="34">
        <v>0.38</v>
      </c>
      <c r="AF728" s="34">
        <v>0.38</v>
      </c>
      <c r="AG728" s="34">
        <v>0.48999999999999994</v>
      </c>
      <c r="AH728" s="34">
        <v>0</v>
      </c>
      <c r="AI728" s="37">
        <f t="shared" si="105"/>
        <v>0</v>
      </c>
      <c r="AJ728" s="37">
        <f t="shared" si="106"/>
        <v>55078.110000000008</v>
      </c>
      <c r="AK728" s="37">
        <f t="shared" si="107"/>
        <v>19649.709999999952</v>
      </c>
      <c r="AL728" s="37">
        <f t="shared" si="108"/>
        <v>23787.629199039999</v>
      </c>
      <c r="AM728" s="37">
        <f t="shared" si="109"/>
        <v>21626.323601999964</v>
      </c>
      <c r="AN728" s="37">
        <f t="shared" si="110"/>
        <v>29002.03817783995</v>
      </c>
      <c r="AO728" s="37">
        <f t="shared" si="111"/>
        <v>0</v>
      </c>
    </row>
    <row r="729" spans="1:41" hidden="1" x14ac:dyDescent="0.3">
      <c r="A729" t="str">
        <f t="shared" si="112"/>
        <v>492sep</v>
      </c>
      <c r="B729" t="str">
        <f t="shared" si="113"/>
        <v>KIDS LAS BRISASsep</v>
      </c>
      <c r="C729" s="1" t="s">
        <v>94</v>
      </c>
      <c r="D729" s="1" t="s">
        <v>27</v>
      </c>
      <c r="E729" s="1">
        <v>492</v>
      </c>
      <c r="F729" s="1" t="s">
        <v>121</v>
      </c>
      <c r="G729" s="1" t="s">
        <v>119</v>
      </c>
      <c r="H729" s="1" t="s">
        <v>119</v>
      </c>
      <c r="I729" s="1" t="s">
        <v>127</v>
      </c>
      <c r="J729" s="1" t="s">
        <v>138</v>
      </c>
      <c r="K729" t="s">
        <v>88</v>
      </c>
      <c r="L729" s="6">
        <v>0</v>
      </c>
      <c r="M729" s="6">
        <v>0</v>
      </c>
      <c r="N729" s="6">
        <v>46942.679999999993</v>
      </c>
      <c r="O729" s="6">
        <v>24509.629999999994</v>
      </c>
      <c r="P729" s="6">
        <v>57427.532790000005</v>
      </c>
      <c r="Q729" s="6">
        <v>30605.907840600001</v>
      </c>
      <c r="R729" s="6">
        <v>56818.800942426002</v>
      </c>
      <c r="S729" s="6">
        <v>28932.133439883321</v>
      </c>
      <c r="T729" s="6">
        <v>33309.390000000014</v>
      </c>
      <c r="U729" s="6">
        <v>16832.639999999996</v>
      </c>
      <c r="V729" s="30">
        <v>33309.390000000014</v>
      </c>
      <c r="W729" s="30">
        <v>16832.639999999996</v>
      </c>
      <c r="X729" s="30">
        <v>36640.329000000012</v>
      </c>
      <c r="Y729" s="30">
        <v>18472.351894340311</v>
      </c>
      <c r="Z729" s="30">
        <v>0</v>
      </c>
      <c r="AA729" s="30">
        <v>0</v>
      </c>
      <c r="AB729" s="34">
        <v>0</v>
      </c>
      <c r="AC729" s="34">
        <v>0.84433040192710296</v>
      </c>
      <c r="AD729" s="34">
        <v>0.79104871028860002</v>
      </c>
      <c r="AE729" s="34">
        <v>0.90999999999999992</v>
      </c>
      <c r="AF729" s="34">
        <v>0.90999999999999992</v>
      </c>
      <c r="AG729" s="34">
        <v>0.79999999999999993</v>
      </c>
      <c r="AH729" s="34">
        <v>0</v>
      </c>
      <c r="AI729" s="37">
        <f t="shared" si="105"/>
        <v>0</v>
      </c>
      <c r="AJ729" s="37">
        <f t="shared" si="106"/>
        <v>39635.131871935373</v>
      </c>
      <c r="AK729" s="37">
        <f t="shared" si="107"/>
        <v>26349.350000000002</v>
      </c>
      <c r="AL729" s="37">
        <f t="shared" si="108"/>
        <v>51705.108857607658</v>
      </c>
      <c r="AM729" s="37">
        <f t="shared" si="109"/>
        <v>30311.544900000012</v>
      </c>
      <c r="AN729" s="37">
        <f t="shared" si="110"/>
        <v>29312.263200000009</v>
      </c>
      <c r="AO729" s="37">
        <f t="shared" si="111"/>
        <v>0</v>
      </c>
    </row>
    <row r="730" spans="1:41" hidden="1" x14ac:dyDescent="0.3">
      <c r="A730" t="str">
        <f t="shared" si="112"/>
        <v>492oct</v>
      </c>
      <c r="B730" t="str">
        <f t="shared" si="113"/>
        <v>KIDS LAS BRISASoct</v>
      </c>
      <c r="C730" s="1" t="s">
        <v>94</v>
      </c>
      <c r="D730" s="1" t="s">
        <v>27</v>
      </c>
      <c r="E730" s="1">
        <v>492</v>
      </c>
      <c r="F730" s="1" t="s">
        <v>121</v>
      </c>
      <c r="G730" s="1" t="s">
        <v>119</v>
      </c>
      <c r="H730" s="1" t="s">
        <v>119</v>
      </c>
      <c r="I730" s="1" t="s">
        <v>127</v>
      </c>
      <c r="J730" s="1" t="s">
        <v>138</v>
      </c>
      <c r="K730" t="s">
        <v>89</v>
      </c>
      <c r="L730" s="6">
        <v>0</v>
      </c>
      <c r="M730" s="6">
        <v>0</v>
      </c>
      <c r="N730" s="6">
        <v>48339.819999999992</v>
      </c>
      <c r="O730" s="6">
        <v>25766.69999999999</v>
      </c>
      <c r="P730" s="6">
        <v>65673.939074999973</v>
      </c>
      <c r="Q730" s="6">
        <v>34208.202192749988</v>
      </c>
      <c r="R730" s="6">
        <v>64977.795320804973</v>
      </c>
      <c r="S730" s="6">
        <v>33086.693377353891</v>
      </c>
      <c r="T730" s="6">
        <v>25419.900000000005</v>
      </c>
      <c r="U730" s="6">
        <v>13203.939999999982</v>
      </c>
      <c r="V730" s="30">
        <v>39140.81</v>
      </c>
      <c r="W730" s="30">
        <v>19930.500451999997</v>
      </c>
      <c r="X730" s="30">
        <v>41097.8505</v>
      </c>
      <c r="Y730" s="30">
        <v>21114.347796212445</v>
      </c>
      <c r="Z730" s="30">
        <v>0</v>
      </c>
      <c r="AA730" s="30">
        <v>0</v>
      </c>
      <c r="AB730" s="34">
        <v>0</v>
      </c>
      <c r="AC730" s="34">
        <v>0.90946243111624925</v>
      </c>
      <c r="AD730" s="34">
        <v>0.76203997655380262</v>
      </c>
      <c r="AE730" s="34">
        <v>0.91</v>
      </c>
      <c r="AF730" s="34">
        <v>0.91</v>
      </c>
      <c r="AG730" s="34">
        <v>0.86</v>
      </c>
      <c r="AH730" s="34">
        <v>0</v>
      </c>
      <c r="AI730" s="37">
        <f t="shared" si="105"/>
        <v>0</v>
      </c>
      <c r="AJ730" s="37">
        <f t="shared" si="106"/>
        <v>43963.250216921879</v>
      </c>
      <c r="AK730" s="37">
        <f t="shared" si="107"/>
        <v>19370.98000000001</v>
      </c>
      <c r="AL730" s="37">
        <f t="shared" si="108"/>
        <v>59129.793741932524</v>
      </c>
      <c r="AM730" s="37">
        <f t="shared" si="109"/>
        <v>35618.1371</v>
      </c>
      <c r="AN730" s="37">
        <f t="shared" si="110"/>
        <v>35344.151429999998</v>
      </c>
      <c r="AO730" s="37">
        <f t="shared" si="111"/>
        <v>0</v>
      </c>
    </row>
    <row r="731" spans="1:41" hidden="1" x14ac:dyDescent="0.3">
      <c r="A731" t="str">
        <f t="shared" si="112"/>
        <v>492nov</v>
      </c>
      <c r="B731" t="str">
        <f t="shared" si="113"/>
        <v>KIDS LAS BRISASnov</v>
      </c>
      <c r="C731" s="1" t="s">
        <v>94</v>
      </c>
      <c r="D731" s="1" t="s">
        <v>27</v>
      </c>
      <c r="E731" s="1">
        <v>492</v>
      </c>
      <c r="F731" s="1" t="s">
        <v>121</v>
      </c>
      <c r="G731" s="1" t="s">
        <v>119</v>
      </c>
      <c r="H731" s="1" t="s">
        <v>119</v>
      </c>
      <c r="I731" s="1" t="s">
        <v>127</v>
      </c>
      <c r="J731" s="1" t="s">
        <v>138</v>
      </c>
      <c r="K731" t="s">
        <v>90</v>
      </c>
      <c r="L731" s="6">
        <v>0</v>
      </c>
      <c r="M731" s="6">
        <v>0</v>
      </c>
      <c r="N731" s="6">
        <v>47061.999999999985</v>
      </c>
      <c r="O731" s="6">
        <v>24358.799999999999</v>
      </c>
      <c r="P731" s="6">
        <v>76821.683525</v>
      </c>
      <c r="Q731" s="6">
        <v>37100.066958000003</v>
      </c>
      <c r="R731" s="6">
        <v>78242.884670212501</v>
      </c>
      <c r="S731" s="6">
        <v>37400.098872361581</v>
      </c>
      <c r="T731" s="6">
        <v>18589.080459770117</v>
      </c>
      <c r="U731" s="6">
        <v>7245.4550084214789</v>
      </c>
      <c r="V731" s="30">
        <v>78242.884670212501</v>
      </c>
      <c r="W731" s="30">
        <v>37400.098872361581</v>
      </c>
      <c r="X731" s="30">
        <v>82937.457750425252</v>
      </c>
      <c r="Y731" s="30">
        <v>39157.99574012815</v>
      </c>
      <c r="Z731" s="30">
        <v>0</v>
      </c>
      <c r="AA731" s="30">
        <v>0</v>
      </c>
      <c r="AB731" s="34">
        <v>0</v>
      </c>
      <c r="AC731" s="34">
        <v>0.77264268220729426</v>
      </c>
      <c r="AD731" s="34">
        <v>0.32109976904987159</v>
      </c>
      <c r="AE731" s="34">
        <v>0.65</v>
      </c>
      <c r="AF731" s="34">
        <v>0.65</v>
      </c>
      <c r="AG731" s="34">
        <v>0.6</v>
      </c>
      <c r="AH731" s="34">
        <v>0</v>
      </c>
      <c r="AI731" s="37">
        <f t="shared" si="105"/>
        <v>0</v>
      </c>
      <c r="AJ731" s="37">
        <f t="shared" si="106"/>
        <v>36362.109910039668</v>
      </c>
      <c r="AK731" s="37">
        <f t="shared" si="107"/>
        <v>5968.9494424816658</v>
      </c>
      <c r="AL731" s="37">
        <f t="shared" si="108"/>
        <v>50857.875035638128</v>
      </c>
      <c r="AM731" s="37">
        <f t="shared" si="109"/>
        <v>50857.875035638128</v>
      </c>
      <c r="AN731" s="37">
        <f t="shared" si="110"/>
        <v>49762.47465025515</v>
      </c>
      <c r="AO731" s="37">
        <f t="shared" si="111"/>
        <v>0</v>
      </c>
    </row>
    <row r="732" spans="1:41" hidden="1" x14ac:dyDescent="0.3">
      <c r="A732" t="str">
        <f t="shared" si="112"/>
        <v>492dic</v>
      </c>
      <c r="B732" t="str">
        <f t="shared" si="113"/>
        <v>KIDS LAS BRISASdic</v>
      </c>
      <c r="C732" s="1" t="s">
        <v>94</v>
      </c>
      <c r="D732" s="1" t="s">
        <v>27</v>
      </c>
      <c r="E732" s="1">
        <v>492</v>
      </c>
      <c r="F732" s="1" t="s">
        <v>121</v>
      </c>
      <c r="G732" s="1" t="s">
        <v>119</v>
      </c>
      <c r="H732" s="1" t="s">
        <v>119</v>
      </c>
      <c r="I732" s="1" t="s">
        <v>127</v>
      </c>
      <c r="J732" s="1" t="s">
        <v>138</v>
      </c>
      <c r="K732" t="s">
        <v>91</v>
      </c>
      <c r="L732" s="6">
        <v>0</v>
      </c>
      <c r="M732" s="6">
        <v>0</v>
      </c>
      <c r="N732" s="6">
        <v>105611.84999999998</v>
      </c>
      <c r="O732" s="6">
        <v>55807.25999999998</v>
      </c>
      <c r="P732" s="6">
        <v>107348.81875000019</v>
      </c>
      <c r="Q732" s="6">
        <v>56984.805648750109</v>
      </c>
      <c r="R732" s="6">
        <v>107252.20481312519</v>
      </c>
      <c r="S732" s="6">
        <v>53197.093587310104</v>
      </c>
      <c r="T732" s="6">
        <v>104681.6091954023</v>
      </c>
      <c r="U732" s="6">
        <v>48689.503507020403</v>
      </c>
      <c r="V732" s="30">
        <v>107252.20481312519</v>
      </c>
      <c r="W732" s="30">
        <v>53197.093587310104</v>
      </c>
      <c r="X732" s="30">
        <v>111542.29300565022</v>
      </c>
      <c r="Y732" s="30">
        <v>57127.191149693565</v>
      </c>
      <c r="Z732" s="30">
        <v>0</v>
      </c>
      <c r="AA732" s="30">
        <v>0</v>
      </c>
      <c r="AB732" s="34">
        <v>0</v>
      </c>
      <c r="AC732" s="34">
        <v>0.89510078651212099</v>
      </c>
      <c r="AD732" s="34">
        <v>0.59497069540048797</v>
      </c>
      <c r="AE732" s="34">
        <v>0.8</v>
      </c>
      <c r="AF732" s="34">
        <v>0.8</v>
      </c>
      <c r="AG732" s="34">
        <v>0.85</v>
      </c>
      <c r="AH732" s="34">
        <v>0</v>
      </c>
      <c r="AI732" s="37">
        <f t="shared" si="105"/>
        <v>0</v>
      </c>
      <c r="AJ732" s="37">
        <f t="shared" si="106"/>
        <v>94533.250000000131</v>
      </c>
      <c r="AK732" s="37">
        <f t="shared" si="107"/>
        <v>62282.489818630624</v>
      </c>
      <c r="AL732" s="37">
        <f t="shared" si="108"/>
        <v>85801.763850500167</v>
      </c>
      <c r="AM732" s="37">
        <f t="shared" si="109"/>
        <v>85801.763850500167</v>
      </c>
      <c r="AN732" s="37">
        <f t="shared" si="110"/>
        <v>94810.949054802681</v>
      </c>
      <c r="AO732" s="37">
        <f t="shared" si="111"/>
        <v>0</v>
      </c>
    </row>
    <row r="733" spans="1:41" hidden="1" x14ac:dyDescent="0.3">
      <c r="A733" t="str">
        <f t="shared" si="112"/>
        <v>480ene</v>
      </c>
      <c r="B733" t="str">
        <f t="shared" si="113"/>
        <v>KIDS PASEO ARANJUEZene</v>
      </c>
      <c r="C733" s="1" t="s">
        <v>94</v>
      </c>
      <c r="D733" s="1" t="s">
        <v>28</v>
      </c>
      <c r="E733" s="1">
        <v>480</v>
      </c>
      <c r="F733" s="1" t="s">
        <v>121</v>
      </c>
      <c r="G733" s="1" t="s">
        <v>119</v>
      </c>
      <c r="H733" s="1" t="s">
        <v>119</v>
      </c>
      <c r="I733" s="1" t="s">
        <v>124</v>
      </c>
      <c r="J733" s="1" t="s">
        <v>138</v>
      </c>
      <c r="K733" t="s">
        <v>80</v>
      </c>
      <c r="L733" s="6">
        <v>0</v>
      </c>
      <c r="M733" s="6">
        <v>0</v>
      </c>
      <c r="N733" s="6">
        <v>0</v>
      </c>
      <c r="O733" s="6">
        <v>0</v>
      </c>
      <c r="P733" s="6">
        <v>35369.069875000001</v>
      </c>
      <c r="Q733" s="6">
        <v>18434.111684374999</v>
      </c>
      <c r="R733" s="6">
        <v>25308.86</v>
      </c>
      <c r="S733" s="6">
        <v>13629.939999999999</v>
      </c>
      <c r="T733" s="6">
        <v>25308.86</v>
      </c>
      <c r="U733" s="6">
        <v>13629.94000000001</v>
      </c>
      <c r="V733" s="30">
        <v>30370.632000000027</v>
      </c>
      <c r="W733" s="30">
        <v>16355.928000000025</v>
      </c>
      <c r="X733" s="30">
        <v>31889.163600000029</v>
      </c>
      <c r="Y733" s="30">
        <v>16439.214435803387</v>
      </c>
      <c r="Z733" s="30">
        <v>39822.413793103464</v>
      </c>
      <c r="AA733" s="30">
        <v>21179.909866587834</v>
      </c>
      <c r="AB733" s="34">
        <v>0</v>
      </c>
      <c r="AC733" s="34">
        <v>0</v>
      </c>
      <c r="AD733" s="34">
        <v>0.92200399385827714</v>
      </c>
      <c r="AE733" s="34">
        <v>0.92200399385827725</v>
      </c>
      <c r="AF733" s="34">
        <v>0.92200399385827725</v>
      </c>
      <c r="AG733" s="34">
        <v>0.86</v>
      </c>
      <c r="AH733" s="34">
        <v>0.94911316043930671</v>
      </c>
      <c r="AI733" s="37">
        <f t="shared" si="105"/>
        <v>0</v>
      </c>
      <c r="AJ733" s="37">
        <f t="shared" si="106"/>
        <v>0</v>
      </c>
      <c r="AK733" s="37">
        <f t="shared" si="107"/>
        <v>23334.869999999995</v>
      </c>
      <c r="AL733" s="37">
        <f t="shared" si="108"/>
        <v>23334.87</v>
      </c>
      <c r="AM733" s="37">
        <f t="shared" si="109"/>
        <v>28001.844000000023</v>
      </c>
      <c r="AN733" s="37">
        <f t="shared" si="110"/>
        <v>27424.680696000025</v>
      </c>
      <c r="AO733" s="37">
        <f t="shared" si="111"/>
        <v>37795.977011494266</v>
      </c>
    </row>
    <row r="734" spans="1:41" hidden="1" x14ac:dyDescent="0.3">
      <c r="A734" t="str">
        <f t="shared" si="112"/>
        <v>480feb</v>
      </c>
      <c r="B734" t="str">
        <f t="shared" si="113"/>
        <v>KIDS PASEO ARANJUEZfeb</v>
      </c>
      <c r="C734" s="1" t="s">
        <v>94</v>
      </c>
      <c r="D734" s="1" t="s">
        <v>28</v>
      </c>
      <c r="E734" s="1">
        <v>480</v>
      </c>
      <c r="F734" s="1" t="s">
        <v>121</v>
      </c>
      <c r="G734" s="1" t="s">
        <v>119</v>
      </c>
      <c r="H734" s="1" t="s">
        <v>119</v>
      </c>
      <c r="I734" s="1" t="s">
        <v>124</v>
      </c>
      <c r="J734" s="1" t="s">
        <v>138</v>
      </c>
      <c r="K734" t="s">
        <v>81</v>
      </c>
      <c r="L734" s="6">
        <v>0</v>
      </c>
      <c r="M734" s="6">
        <v>0</v>
      </c>
      <c r="N734" s="6">
        <v>0</v>
      </c>
      <c r="O734" s="6">
        <v>0</v>
      </c>
      <c r="P734" s="6">
        <v>43365</v>
      </c>
      <c r="Q734" s="6">
        <v>18636.224999999999</v>
      </c>
      <c r="R734" s="6">
        <v>37929.439999999966</v>
      </c>
      <c r="S734" s="6">
        <v>18009.870504515129</v>
      </c>
      <c r="T734" s="6">
        <v>37929.439999999981</v>
      </c>
      <c r="U734" s="6">
        <v>18169.369999999988</v>
      </c>
      <c r="V734" s="30">
        <v>47701.500000000007</v>
      </c>
      <c r="W734" s="30">
        <v>22850.487722861188</v>
      </c>
      <c r="X734" s="30">
        <v>45316.42500000001</v>
      </c>
      <c r="Y734" s="30">
        <v>20881.583901573038</v>
      </c>
      <c r="Z734" s="30">
        <v>36847.988505747096</v>
      </c>
      <c r="AA734" s="30">
        <v>16278.471773571993</v>
      </c>
      <c r="AB734" s="34">
        <v>0</v>
      </c>
      <c r="AC734" s="34">
        <v>0</v>
      </c>
      <c r="AD734" s="34">
        <v>0.54235858223932787</v>
      </c>
      <c r="AE734" s="34">
        <v>0.54235858223932742</v>
      </c>
      <c r="AF734" s="34">
        <v>0.54235858223932742</v>
      </c>
      <c r="AG734" s="34">
        <v>0.49</v>
      </c>
      <c r="AH734" s="34">
        <v>0.51586589826173124</v>
      </c>
      <c r="AI734" s="37">
        <f t="shared" si="105"/>
        <v>0</v>
      </c>
      <c r="AJ734" s="37">
        <f t="shared" si="106"/>
        <v>0</v>
      </c>
      <c r="AK734" s="37">
        <f t="shared" si="107"/>
        <v>20571.35730353164</v>
      </c>
      <c r="AL734" s="37">
        <f t="shared" si="108"/>
        <v>20571.357303531619</v>
      </c>
      <c r="AM734" s="37">
        <f t="shared" si="109"/>
        <v>25871.317910689282</v>
      </c>
      <c r="AN734" s="37">
        <f t="shared" si="110"/>
        <v>22205.048250000003</v>
      </c>
      <c r="AO734" s="37">
        <f t="shared" si="111"/>
        <v>19008.620689655174</v>
      </c>
    </row>
    <row r="735" spans="1:41" hidden="1" x14ac:dyDescent="0.3">
      <c r="A735" t="str">
        <f t="shared" si="112"/>
        <v>480mar</v>
      </c>
      <c r="B735" t="str">
        <f t="shared" si="113"/>
        <v>KIDS PASEO ARANJUEZmar</v>
      </c>
      <c r="C735" s="1" t="s">
        <v>94</v>
      </c>
      <c r="D735" s="1" t="s">
        <v>28</v>
      </c>
      <c r="E735" s="1">
        <v>480</v>
      </c>
      <c r="F735" s="1" t="s">
        <v>121</v>
      </c>
      <c r="G735" s="1" t="s">
        <v>119</v>
      </c>
      <c r="H735" s="1" t="s">
        <v>119</v>
      </c>
      <c r="I735" s="1" t="s">
        <v>124</v>
      </c>
      <c r="J735" s="1" t="s">
        <v>138</v>
      </c>
      <c r="K735" t="s">
        <v>82</v>
      </c>
      <c r="L735" s="6">
        <v>0</v>
      </c>
      <c r="M735" s="6">
        <v>0</v>
      </c>
      <c r="N735" s="6">
        <v>0</v>
      </c>
      <c r="O735" s="6">
        <v>0</v>
      </c>
      <c r="P735" s="6">
        <v>35147.5</v>
      </c>
      <c r="Q735" s="6">
        <v>17298.375</v>
      </c>
      <c r="R735" s="6">
        <v>30485.879999999997</v>
      </c>
      <c r="S735" s="6">
        <v>14868.803682727292</v>
      </c>
      <c r="T735" s="6">
        <v>30485.880000000008</v>
      </c>
      <c r="U735" s="6">
        <v>14909.580000000002</v>
      </c>
      <c r="V735" s="30">
        <v>35147.5</v>
      </c>
      <c r="W735" s="30">
        <v>17189.415658987044</v>
      </c>
      <c r="X735" s="30">
        <v>39365.200000000004</v>
      </c>
      <c r="Y735" s="30">
        <v>19943.911589945968</v>
      </c>
      <c r="Z735" s="30">
        <v>28302.899180744873</v>
      </c>
      <c r="AA735" s="30">
        <v>14123.146691191692</v>
      </c>
      <c r="AB735" s="34">
        <v>0</v>
      </c>
      <c r="AC735" s="34">
        <v>0</v>
      </c>
      <c r="AD735" s="34">
        <v>0.62849140671390136</v>
      </c>
      <c r="AE735" s="34">
        <v>0.62849140671390125</v>
      </c>
      <c r="AF735" s="34">
        <v>0.62849140671390125</v>
      </c>
      <c r="AG735" s="34">
        <v>0.8</v>
      </c>
      <c r="AH735" s="34">
        <v>0.87214101806670907</v>
      </c>
      <c r="AI735" s="37">
        <f t="shared" si="105"/>
        <v>0</v>
      </c>
      <c r="AJ735" s="37">
        <f t="shared" si="106"/>
        <v>0</v>
      </c>
      <c r="AK735" s="37">
        <f t="shared" si="107"/>
        <v>19160.113606111197</v>
      </c>
      <c r="AL735" s="37">
        <f t="shared" si="108"/>
        <v>19160.113606111187</v>
      </c>
      <c r="AM735" s="37">
        <f t="shared" si="109"/>
        <v>22089.901717476845</v>
      </c>
      <c r="AN735" s="37">
        <f t="shared" si="110"/>
        <v>31492.160000000003</v>
      </c>
      <c r="AO735" s="37">
        <f t="shared" si="111"/>
        <v>24684.119305734261</v>
      </c>
    </row>
    <row r="736" spans="1:41" hidden="1" x14ac:dyDescent="0.3">
      <c r="A736" t="str">
        <f t="shared" si="112"/>
        <v>480abr</v>
      </c>
      <c r="B736" t="str">
        <f t="shared" si="113"/>
        <v>KIDS PASEO ARANJUEZabr</v>
      </c>
      <c r="C736" s="1" t="s">
        <v>94</v>
      </c>
      <c r="D736" s="1" t="s">
        <v>28</v>
      </c>
      <c r="E736" s="1">
        <v>480</v>
      </c>
      <c r="F736" s="1" t="s">
        <v>121</v>
      </c>
      <c r="G736" s="1" t="s">
        <v>119</v>
      </c>
      <c r="H736" s="1" t="s">
        <v>119</v>
      </c>
      <c r="I736" s="1" t="s">
        <v>124</v>
      </c>
      <c r="J736" s="1" t="s">
        <v>138</v>
      </c>
      <c r="K736" t="s">
        <v>83</v>
      </c>
      <c r="L736" s="6">
        <v>0</v>
      </c>
      <c r="M736" s="6">
        <v>0</v>
      </c>
      <c r="N736" s="6">
        <v>0</v>
      </c>
      <c r="O736" s="6">
        <v>0</v>
      </c>
      <c r="P736" s="6">
        <v>37914.5</v>
      </c>
      <c r="Q736" s="6">
        <v>18757.985000000001</v>
      </c>
      <c r="R736" s="6">
        <v>32751.46</v>
      </c>
      <c r="S736" s="6">
        <v>17408.459999999995</v>
      </c>
      <c r="T736" s="6">
        <v>32751.459999999992</v>
      </c>
      <c r="U736" s="6">
        <v>17408.459999999985</v>
      </c>
      <c r="V736" s="30">
        <v>37914.5</v>
      </c>
      <c r="W736" s="30">
        <v>20152.782705564867</v>
      </c>
      <c r="X736" s="30">
        <v>40568.514999999999</v>
      </c>
      <c r="Y736" s="30">
        <v>19953.625782395993</v>
      </c>
      <c r="Z736" s="30">
        <v>0</v>
      </c>
      <c r="AA736" s="30">
        <v>0</v>
      </c>
      <c r="AB736" s="34">
        <v>0</v>
      </c>
      <c r="AC736" s="34">
        <v>0</v>
      </c>
      <c r="AD736" s="34">
        <v>0.89555061056820051</v>
      </c>
      <c r="AE736" s="34">
        <v>0.89555061056820051</v>
      </c>
      <c r="AF736" s="34">
        <v>0.89555061056820051</v>
      </c>
      <c r="AG736" s="34">
        <v>0.70000000000000007</v>
      </c>
      <c r="AH736" s="34">
        <v>0</v>
      </c>
      <c r="AI736" s="37">
        <f t="shared" si="105"/>
        <v>0</v>
      </c>
      <c r="AJ736" s="37">
        <f t="shared" si="106"/>
        <v>0</v>
      </c>
      <c r="AK736" s="37">
        <f t="shared" si="107"/>
        <v>29330.589999999989</v>
      </c>
      <c r="AL736" s="37">
        <f t="shared" si="108"/>
        <v>29330.589999999997</v>
      </c>
      <c r="AM736" s="37">
        <f t="shared" si="109"/>
        <v>33954.353624388037</v>
      </c>
      <c r="AN736" s="37">
        <f t="shared" si="110"/>
        <v>28397.960500000001</v>
      </c>
      <c r="AO736" s="37">
        <f t="shared" si="111"/>
        <v>0</v>
      </c>
    </row>
    <row r="737" spans="1:41" hidden="1" x14ac:dyDescent="0.3">
      <c r="A737" t="str">
        <f t="shared" si="112"/>
        <v>480may</v>
      </c>
      <c r="B737" t="str">
        <f t="shared" si="113"/>
        <v>KIDS PASEO ARANJUEZmay</v>
      </c>
      <c r="C737" s="1" t="s">
        <v>94</v>
      </c>
      <c r="D737" s="1" t="s">
        <v>28</v>
      </c>
      <c r="E737" s="1">
        <v>480</v>
      </c>
      <c r="F737" s="1" t="s">
        <v>121</v>
      </c>
      <c r="G737" s="1" t="s">
        <v>119</v>
      </c>
      <c r="H737" s="1" t="s">
        <v>119</v>
      </c>
      <c r="I737" s="1" t="s">
        <v>124</v>
      </c>
      <c r="J737" s="1" t="s">
        <v>138</v>
      </c>
      <c r="K737" t="s">
        <v>84</v>
      </c>
      <c r="L737" s="6">
        <v>0</v>
      </c>
      <c r="M737" s="6">
        <v>0</v>
      </c>
      <c r="N737" s="6">
        <v>0</v>
      </c>
      <c r="O737" s="6">
        <v>0</v>
      </c>
      <c r="P737" s="6">
        <v>32790.5</v>
      </c>
      <c r="Q737" s="6">
        <v>17418.014999999999</v>
      </c>
      <c r="R737" s="6">
        <v>31428.320000000014</v>
      </c>
      <c r="S737" s="6">
        <v>16583.015847315357</v>
      </c>
      <c r="T737" s="6">
        <v>31428.320000000029</v>
      </c>
      <c r="U737" s="6">
        <v>16611.250000000029</v>
      </c>
      <c r="V737" s="30">
        <v>31428.320000000029</v>
      </c>
      <c r="W737" s="30">
        <v>16611.250000000029</v>
      </c>
      <c r="X737" s="30">
        <v>32999.736000000034</v>
      </c>
      <c r="Y737" s="30">
        <v>17109.327368019032</v>
      </c>
      <c r="Z737" s="30">
        <v>0</v>
      </c>
      <c r="AA737" s="30">
        <v>0</v>
      </c>
      <c r="AB737" s="34">
        <v>0</v>
      </c>
      <c r="AC737" s="34">
        <v>0</v>
      </c>
      <c r="AD737" s="34">
        <v>0.90830770444598485</v>
      </c>
      <c r="AE737" s="34">
        <v>0.90830770444598496</v>
      </c>
      <c r="AF737" s="34">
        <v>0.90830770444598496</v>
      </c>
      <c r="AG737" s="34">
        <v>0.87999999999999989</v>
      </c>
      <c r="AH737" s="34">
        <v>0</v>
      </c>
      <c r="AI737" s="37">
        <f t="shared" si="105"/>
        <v>0</v>
      </c>
      <c r="AJ737" s="37">
        <f t="shared" si="106"/>
        <v>0</v>
      </c>
      <c r="AK737" s="37">
        <f t="shared" si="107"/>
        <v>28546.585193793861</v>
      </c>
      <c r="AL737" s="37">
        <f t="shared" si="108"/>
        <v>28546.58519379385</v>
      </c>
      <c r="AM737" s="37">
        <f t="shared" si="109"/>
        <v>28546.585193793864</v>
      </c>
      <c r="AN737" s="37">
        <f t="shared" si="110"/>
        <v>29039.767680000026</v>
      </c>
      <c r="AO737" s="37">
        <f t="shared" si="111"/>
        <v>0</v>
      </c>
    </row>
    <row r="738" spans="1:41" hidden="1" x14ac:dyDescent="0.3">
      <c r="A738" t="str">
        <f t="shared" si="112"/>
        <v>480jun</v>
      </c>
      <c r="B738" t="str">
        <f t="shared" si="113"/>
        <v>KIDS PASEO ARANJUEZjun</v>
      </c>
      <c r="C738" s="1" t="s">
        <v>94</v>
      </c>
      <c r="D738" s="1" t="s">
        <v>28</v>
      </c>
      <c r="E738" s="1">
        <v>480</v>
      </c>
      <c r="F738" s="1" t="s">
        <v>121</v>
      </c>
      <c r="G738" s="1" t="s">
        <v>119</v>
      </c>
      <c r="H738" s="1" t="s">
        <v>119</v>
      </c>
      <c r="I738" s="1" t="s">
        <v>124</v>
      </c>
      <c r="J738" s="1" t="s">
        <v>138</v>
      </c>
      <c r="K738" t="s">
        <v>85</v>
      </c>
      <c r="L738" s="6">
        <v>0</v>
      </c>
      <c r="M738" s="6">
        <v>0</v>
      </c>
      <c r="N738" s="6">
        <v>0</v>
      </c>
      <c r="O738" s="6">
        <v>0</v>
      </c>
      <c r="P738" s="6">
        <v>32792.5</v>
      </c>
      <c r="Q738" s="6">
        <v>17077.650000000001</v>
      </c>
      <c r="R738" s="6">
        <v>27073.539999999997</v>
      </c>
      <c r="S738" s="6">
        <v>14586.589999999975</v>
      </c>
      <c r="T738" s="6">
        <v>27073.54</v>
      </c>
      <c r="U738" s="6">
        <v>14586.590000000002</v>
      </c>
      <c r="V738" s="30">
        <v>27073.540000000012</v>
      </c>
      <c r="W738" s="30">
        <v>14586.590000000009</v>
      </c>
      <c r="X738" s="30">
        <v>30863.835600000009</v>
      </c>
      <c r="Y738" s="30">
        <v>16001.930049171297</v>
      </c>
      <c r="Z738" s="30">
        <v>0</v>
      </c>
      <c r="AA738" s="30">
        <v>0</v>
      </c>
      <c r="AB738" s="34">
        <v>0</v>
      </c>
      <c r="AC738" s="34">
        <v>0</v>
      </c>
      <c r="AD738" s="34">
        <v>0.96374910706172889</v>
      </c>
      <c r="AE738" s="34">
        <v>0.96374910706172878</v>
      </c>
      <c r="AF738" s="34">
        <v>0.96374910706172878</v>
      </c>
      <c r="AG738" s="34">
        <v>0.88</v>
      </c>
      <c r="AH738" s="34">
        <v>0</v>
      </c>
      <c r="AI738" s="37">
        <f t="shared" si="105"/>
        <v>0</v>
      </c>
      <c r="AJ738" s="37">
        <f t="shared" si="106"/>
        <v>0</v>
      </c>
      <c r="AK738" s="37">
        <f t="shared" si="107"/>
        <v>26092.100000000002</v>
      </c>
      <c r="AL738" s="37">
        <f t="shared" si="108"/>
        <v>26092.099999999995</v>
      </c>
      <c r="AM738" s="37">
        <f t="shared" si="109"/>
        <v>26092.100000000009</v>
      </c>
      <c r="AN738" s="37">
        <f t="shared" si="110"/>
        <v>27160.175328000008</v>
      </c>
      <c r="AO738" s="37">
        <f t="shared" si="111"/>
        <v>0</v>
      </c>
    </row>
    <row r="739" spans="1:41" hidden="1" x14ac:dyDescent="0.3">
      <c r="A739" t="str">
        <f t="shared" si="112"/>
        <v>480jul</v>
      </c>
      <c r="B739" t="str">
        <f t="shared" si="113"/>
        <v>KIDS PASEO ARANJUEZjul</v>
      </c>
      <c r="C739" s="1" t="s">
        <v>94</v>
      </c>
      <c r="D739" s="1" t="s">
        <v>28</v>
      </c>
      <c r="E739" s="1">
        <v>480</v>
      </c>
      <c r="F739" s="1" t="s">
        <v>121</v>
      </c>
      <c r="G739" s="1" t="s">
        <v>119</v>
      </c>
      <c r="H739" s="1" t="s">
        <v>119</v>
      </c>
      <c r="I739" s="1" t="s">
        <v>124</v>
      </c>
      <c r="J739" s="1" t="s">
        <v>138</v>
      </c>
      <c r="K739" t="s">
        <v>86</v>
      </c>
      <c r="L739" s="6">
        <v>0</v>
      </c>
      <c r="M739" s="6">
        <v>0</v>
      </c>
      <c r="N739" s="6">
        <v>20700.329999999991</v>
      </c>
      <c r="O739" s="6">
        <v>11090.779999999995</v>
      </c>
      <c r="P739" s="6">
        <v>39077.368199999997</v>
      </c>
      <c r="Q739" s="6">
        <v>19956.241986999998</v>
      </c>
      <c r="R739" s="6">
        <v>34546.049999999996</v>
      </c>
      <c r="S739" s="6">
        <v>18728.909999999953</v>
      </c>
      <c r="T739" s="6">
        <v>34546.050000000003</v>
      </c>
      <c r="U739" s="6">
        <v>18728.909999999996</v>
      </c>
      <c r="V739" s="30">
        <v>34546.049999999981</v>
      </c>
      <c r="W739" s="30">
        <v>18728.909999999985</v>
      </c>
      <c r="X739" s="30">
        <v>36618.812999999973</v>
      </c>
      <c r="Y739" s="30">
        <v>18985.705202164958</v>
      </c>
      <c r="Z739" s="30">
        <v>0</v>
      </c>
      <c r="AA739" s="30">
        <v>0</v>
      </c>
      <c r="AB739" s="34">
        <v>0</v>
      </c>
      <c r="AC739" s="34">
        <v>0.964646940411095</v>
      </c>
      <c r="AD739" s="34">
        <v>0.9680979446275334</v>
      </c>
      <c r="AE739" s="34">
        <v>0.96809794462753329</v>
      </c>
      <c r="AF739" s="34">
        <v>0.96809794462753329</v>
      </c>
      <c r="AG739" s="34">
        <v>0.88</v>
      </c>
      <c r="AH739" s="34">
        <v>0</v>
      </c>
      <c r="AI739" s="37">
        <f t="shared" si="105"/>
        <v>0</v>
      </c>
      <c r="AJ739" s="37">
        <f t="shared" si="106"/>
        <v>19968.509999999995</v>
      </c>
      <c r="AK739" s="37">
        <f t="shared" si="107"/>
        <v>33443.960000000006</v>
      </c>
      <c r="AL739" s="37">
        <f t="shared" si="108"/>
        <v>33443.959999999992</v>
      </c>
      <c r="AM739" s="37">
        <f t="shared" si="109"/>
        <v>33443.959999999977</v>
      </c>
      <c r="AN739" s="37">
        <f t="shared" si="110"/>
        <v>32224.555439999975</v>
      </c>
      <c r="AO739" s="37">
        <f t="shared" si="111"/>
        <v>0</v>
      </c>
    </row>
    <row r="740" spans="1:41" hidden="1" x14ac:dyDescent="0.3">
      <c r="A740" t="str">
        <f t="shared" si="112"/>
        <v>480ago</v>
      </c>
      <c r="B740" t="str">
        <f t="shared" si="113"/>
        <v>KIDS PASEO ARANJUEZago</v>
      </c>
      <c r="C740" s="1" t="s">
        <v>94</v>
      </c>
      <c r="D740" s="1" t="s">
        <v>28</v>
      </c>
      <c r="E740" s="1">
        <v>480</v>
      </c>
      <c r="F740" s="1" t="s">
        <v>121</v>
      </c>
      <c r="G740" s="1" t="s">
        <v>119</v>
      </c>
      <c r="H740" s="1" t="s">
        <v>119</v>
      </c>
      <c r="I740" s="1" t="s">
        <v>124</v>
      </c>
      <c r="J740" s="1" t="s">
        <v>138</v>
      </c>
      <c r="K740" t="s">
        <v>87</v>
      </c>
      <c r="L740" s="6">
        <v>0</v>
      </c>
      <c r="M740" s="6">
        <v>0</v>
      </c>
      <c r="N740" s="6">
        <v>46098.52</v>
      </c>
      <c r="O740" s="6">
        <v>22230.249999999993</v>
      </c>
      <c r="P740" s="6">
        <v>50657.776440000001</v>
      </c>
      <c r="Q740" s="6">
        <v>20645.035250600002</v>
      </c>
      <c r="R740" s="6">
        <v>43059.109973999999</v>
      </c>
      <c r="S740" s="6">
        <v>18380.211683501639</v>
      </c>
      <c r="T740" s="6">
        <v>53297.31</v>
      </c>
      <c r="U740" s="6">
        <v>23004.619999999988</v>
      </c>
      <c r="V740" s="30">
        <v>53297.31</v>
      </c>
      <c r="W740" s="30">
        <v>22750.4897466</v>
      </c>
      <c r="X740" s="30">
        <v>55962.175499999998</v>
      </c>
      <c r="Y740" s="30">
        <v>25787.092936342724</v>
      </c>
      <c r="Z740" s="30">
        <v>0</v>
      </c>
      <c r="AA740" s="30">
        <v>0</v>
      </c>
      <c r="AB740" s="34">
        <v>0</v>
      </c>
      <c r="AC740" s="34">
        <v>0.68260950575051527</v>
      </c>
      <c r="AD740" s="34">
        <v>0.41910182709033478</v>
      </c>
      <c r="AE740" s="34">
        <v>0.42999999999999994</v>
      </c>
      <c r="AF740" s="34">
        <v>0.42999999999999994</v>
      </c>
      <c r="AG740" s="34">
        <v>0.49</v>
      </c>
      <c r="AH740" s="34">
        <v>0</v>
      </c>
      <c r="AI740" s="37">
        <f t="shared" si="105"/>
        <v>0</v>
      </c>
      <c r="AJ740" s="37">
        <f t="shared" si="106"/>
        <v>31467.287953030242</v>
      </c>
      <c r="AK740" s="37">
        <f t="shared" si="107"/>
        <v>22336.999999999971</v>
      </c>
      <c r="AL740" s="37">
        <f t="shared" si="108"/>
        <v>18515.417288819997</v>
      </c>
      <c r="AM740" s="37">
        <f t="shared" si="109"/>
        <v>22917.843299999997</v>
      </c>
      <c r="AN740" s="37">
        <f t="shared" si="110"/>
        <v>27421.465994999999</v>
      </c>
      <c r="AO740" s="37">
        <f t="shared" si="111"/>
        <v>0</v>
      </c>
    </row>
    <row r="741" spans="1:41" hidden="1" x14ac:dyDescent="0.3">
      <c r="A741" t="str">
        <f t="shared" si="112"/>
        <v>480sep</v>
      </c>
      <c r="B741" t="str">
        <f t="shared" si="113"/>
        <v>KIDS PASEO ARANJUEZsep</v>
      </c>
      <c r="C741" s="1" t="s">
        <v>94</v>
      </c>
      <c r="D741" s="1" t="s">
        <v>28</v>
      </c>
      <c r="E741" s="1">
        <v>480</v>
      </c>
      <c r="F741" s="1" t="s">
        <v>121</v>
      </c>
      <c r="G741" s="1" t="s">
        <v>119</v>
      </c>
      <c r="H741" s="1" t="s">
        <v>119</v>
      </c>
      <c r="I741" s="1" t="s">
        <v>124</v>
      </c>
      <c r="J741" s="1" t="s">
        <v>138</v>
      </c>
      <c r="K741" t="s">
        <v>88</v>
      </c>
      <c r="L741" s="6">
        <v>0</v>
      </c>
      <c r="M741" s="6">
        <v>0</v>
      </c>
      <c r="N741" s="6">
        <v>34782.979999999996</v>
      </c>
      <c r="O741" s="6">
        <v>18274.669999999998</v>
      </c>
      <c r="P741" s="6">
        <v>33046.850469999998</v>
      </c>
      <c r="Q741" s="6">
        <v>17420.544017299999</v>
      </c>
      <c r="R741" s="6">
        <v>32022.398105429995</v>
      </c>
      <c r="S741" s="6">
        <v>15931.143057451423</v>
      </c>
      <c r="T741" s="6">
        <v>23506.760000000013</v>
      </c>
      <c r="U741" s="6">
        <v>11477.990000000023</v>
      </c>
      <c r="V741" s="30">
        <v>32022.398105429995</v>
      </c>
      <c r="W741" s="30">
        <v>15636.045343132995</v>
      </c>
      <c r="X741" s="30">
        <v>36505.533840190197</v>
      </c>
      <c r="Y741" s="30">
        <v>18495.095654347846</v>
      </c>
      <c r="Z741" s="30">
        <v>0</v>
      </c>
      <c r="AA741" s="30">
        <v>0</v>
      </c>
      <c r="AB741" s="34">
        <v>0</v>
      </c>
      <c r="AC741" s="34">
        <v>0.83371407510224849</v>
      </c>
      <c r="AD741" s="34">
        <v>0.7276889590705915</v>
      </c>
      <c r="AE741" s="34">
        <v>0.85</v>
      </c>
      <c r="AF741" s="34">
        <v>0.85</v>
      </c>
      <c r="AG741" s="34">
        <v>0.79999999999999993</v>
      </c>
      <c r="AH741" s="34">
        <v>0</v>
      </c>
      <c r="AI741" s="37">
        <f t="shared" si="105"/>
        <v>0</v>
      </c>
      <c r="AJ741" s="37">
        <f t="shared" si="106"/>
        <v>28999.060000000005</v>
      </c>
      <c r="AK741" s="37">
        <f t="shared" si="107"/>
        <v>17105.609715522227</v>
      </c>
      <c r="AL741" s="37">
        <f t="shared" si="108"/>
        <v>27219.038389615496</v>
      </c>
      <c r="AM741" s="37">
        <f t="shared" si="109"/>
        <v>27219.038389615496</v>
      </c>
      <c r="AN741" s="37">
        <f t="shared" si="110"/>
        <v>29204.427072152157</v>
      </c>
      <c r="AO741" s="37">
        <f t="shared" si="111"/>
        <v>0</v>
      </c>
    </row>
    <row r="742" spans="1:41" hidden="1" x14ac:dyDescent="0.3">
      <c r="A742" t="str">
        <f t="shared" si="112"/>
        <v>480oct</v>
      </c>
      <c r="B742" t="str">
        <f t="shared" si="113"/>
        <v>KIDS PASEO ARANJUEZoct</v>
      </c>
      <c r="C742" s="1" t="s">
        <v>94</v>
      </c>
      <c r="D742" s="1" t="s">
        <v>28</v>
      </c>
      <c r="E742" s="1">
        <v>480</v>
      </c>
      <c r="F742" s="1" t="s">
        <v>121</v>
      </c>
      <c r="G742" s="1" t="s">
        <v>119</v>
      </c>
      <c r="H742" s="1" t="s">
        <v>119</v>
      </c>
      <c r="I742" s="1" t="s">
        <v>124</v>
      </c>
      <c r="J742" s="1" t="s">
        <v>138</v>
      </c>
      <c r="K742" t="s">
        <v>89</v>
      </c>
      <c r="L742" s="6">
        <v>0</v>
      </c>
      <c r="M742" s="6">
        <v>0</v>
      </c>
      <c r="N742" s="6">
        <v>33364.300000000003</v>
      </c>
      <c r="O742" s="6">
        <v>17841.45</v>
      </c>
      <c r="P742" s="6">
        <v>35634.485590000004</v>
      </c>
      <c r="Q742" s="6">
        <v>18719.959751099999</v>
      </c>
      <c r="R742" s="6">
        <v>34529.816536710008</v>
      </c>
      <c r="S742" s="6">
        <v>17541.146800648687</v>
      </c>
      <c r="T742" s="6">
        <v>31593.43</v>
      </c>
      <c r="U742" s="6">
        <v>15941.729999999996</v>
      </c>
      <c r="V742" s="30">
        <v>34529.816536710008</v>
      </c>
      <c r="W742" s="30">
        <v>17541.146800648687</v>
      </c>
      <c r="X742" s="30">
        <v>36601.605528912609</v>
      </c>
      <c r="Y742" s="30">
        <v>18868.530060301764</v>
      </c>
      <c r="Z742" s="30">
        <v>0</v>
      </c>
      <c r="AA742" s="30">
        <v>0</v>
      </c>
      <c r="AB742" s="34">
        <v>0</v>
      </c>
      <c r="AC742" s="34">
        <v>0.9021022470125255</v>
      </c>
      <c r="AD742" s="34">
        <v>0.68794208162899739</v>
      </c>
      <c r="AE742" s="34">
        <v>0.9</v>
      </c>
      <c r="AF742" s="34">
        <v>0.9</v>
      </c>
      <c r="AG742" s="34">
        <v>0.86</v>
      </c>
      <c r="AH742" s="34">
        <v>0</v>
      </c>
      <c r="AI742" s="37">
        <f t="shared" si="105"/>
        <v>0</v>
      </c>
      <c r="AJ742" s="37">
        <f t="shared" si="106"/>
        <v>30098.010000000006</v>
      </c>
      <c r="AK742" s="37">
        <f t="shared" si="107"/>
        <v>21734.450000000015</v>
      </c>
      <c r="AL742" s="37">
        <f t="shared" si="108"/>
        <v>31076.83488303901</v>
      </c>
      <c r="AM742" s="37">
        <f t="shared" si="109"/>
        <v>31076.83488303901</v>
      </c>
      <c r="AN742" s="37">
        <f t="shared" si="110"/>
        <v>31477.380754864844</v>
      </c>
      <c r="AO742" s="37">
        <f t="shared" si="111"/>
        <v>0</v>
      </c>
    </row>
    <row r="743" spans="1:41" hidden="1" x14ac:dyDescent="0.3">
      <c r="A743" t="str">
        <f t="shared" si="112"/>
        <v>480nov</v>
      </c>
      <c r="B743" t="str">
        <f t="shared" si="113"/>
        <v>KIDS PASEO ARANJUEZnov</v>
      </c>
      <c r="C743" s="1" t="s">
        <v>94</v>
      </c>
      <c r="D743" s="1" t="s">
        <v>28</v>
      </c>
      <c r="E743" s="1">
        <v>480</v>
      </c>
      <c r="F743" s="1" t="s">
        <v>121</v>
      </c>
      <c r="G743" s="1" t="s">
        <v>119</v>
      </c>
      <c r="H743" s="1" t="s">
        <v>119</v>
      </c>
      <c r="I743" s="1" t="s">
        <v>124</v>
      </c>
      <c r="J743" s="1" t="s">
        <v>138</v>
      </c>
      <c r="K743" t="s">
        <v>90</v>
      </c>
      <c r="L743" s="6">
        <v>0</v>
      </c>
      <c r="M743" s="6">
        <v>0</v>
      </c>
      <c r="N743" s="6">
        <v>33767.249999999993</v>
      </c>
      <c r="O743" s="6">
        <v>17827.519999999997</v>
      </c>
      <c r="P743" s="6">
        <v>41874.727299999984</v>
      </c>
      <c r="Q743" s="6">
        <v>20379.529981999993</v>
      </c>
      <c r="R743" s="6">
        <v>41770.04048174998</v>
      </c>
      <c r="S743" s="6">
        <v>20112.274491962613</v>
      </c>
      <c r="T743" s="6">
        <v>50601.724137931036</v>
      </c>
      <c r="U743" s="6">
        <v>21140.954411117458</v>
      </c>
      <c r="V743" s="30">
        <v>42605.441291384981</v>
      </c>
      <c r="W743" s="30">
        <v>20514.519981801866</v>
      </c>
      <c r="X743" s="30">
        <v>44735.713355954227</v>
      </c>
      <c r="Y743" s="30">
        <v>21341.706461364091</v>
      </c>
      <c r="Z743" s="30">
        <v>0</v>
      </c>
      <c r="AA743" s="30">
        <v>0</v>
      </c>
      <c r="AB743" s="34">
        <v>0</v>
      </c>
      <c r="AC743" s="34">
        <v>0.83262010993865876</v>
      </c>
      <c r="AD743" s="34">
        <v>0.41910182709033478</v>
      </c>
      <c r="AE743" s="34">
        <v>0.65</v>
      </c>
      <c r="AF743" s="34">
        <v>0.65</v>
      </c>
      <c r="AG743" s="34">
        <v>0.6</v>
      </c>
      <c r="AH743" s="34">
        <v>0</v>
      </c>
      <c r="AI743" s="37">
        <f t="shared" si="105"/>
        <v>0</v>
      </c>
      <c r="AJ743" s="37">
        <f t="shared" si="106"/>
        <v>28115.291407326167</v>
      </c>
      <c r="AK743" s="37">
        <f t="shared" si="107"/>
        <v>21207.275040127992</v>
      </c>
      <c r="AL743" s="37">
        <f t="shared" si="108"/>
        <v>27150.526313137489</v>
      </c>
      <c r="AM743" s="37">
        <f t="shared" si="109"/>
        <v>27693.53683940024</v>
      </c>
      <c r="AN743" s="37">
        <f t="shared" si="110"/>
        <v>26841.428013572535</v>
      </c>
      <c r="AO743" s="37">
        <f t="shared" si="111"/>
        <v>0</v>
      </c>
    </row>
    <row r="744" spans="1:41" hidden="1" x14ac:dyDescent="0.3">
      <c r="A744" t="str">
        <f t="shared" si="112"/>
        <v>480dic</v>
      </c>
      <c r="B744" t="str">
        <f t="shared" si="113"/>
        <v>KIDS PASEO ARANJUEZdic</v>
      </c>
      <c r="C744" s="1" t="s">
        <v>94</v>
      </c>
      <c r="D744" s="1" t="s">
        <v>28</v>
      </c>
      <c r="E744" s="1">
        <v>480</v>
      </c>
      <c r="F744" s="1" t="s">
        <v>121</v>
      </c>
      <c r="G744" s="1" t="s">
        <v>119</v>
      </c>
      <c r="H744" s="1" t="s">
        <v>119</v>
      </c>
      <c r="I744" s="1" t="s">
        <v>124</v>
      </c>
      <c r="J744" s="1" t="s">
        <v>138</v>
      </c>
      <c r="K744" t="s">
        <v>91</v>
      </c>
      <c r="L744" s="6">
        <v>0</v>
      </c>
      <c r="M744" s="6">
        <v>0</v>
      </c>
      <c r="N744" s="6">
        <v>81175.87999999999</v>
      </c>
      <c r="O744" s="6">
        <v>43967.659999999974</v>
      </c>
      <c r="P744" s="6">
        <v>83404.641000000047</v>
      </c>
      <c r="Q744" s="6">
        <v>45220.03864500003</v>
      </c>
      <c r="R744" s="6">
        <v>81611.44121850004</v>
      </c>
      <c r="S744" s="6">
        <v>40642.497726813024</v>
      </c>
      <c r="T744" s="6">
        <v>73996.695402298836</v>
      </c>
      <c r="U744" s="6">
        <v>35208.454006783191</v>
      </c>
      <c r="V744" s="30">
        <v>83243.670042870042</v>
      </c>
      <c r="W744" s="30">
        <v>41455.347681349289</v>
      </c>
      <c r="X744" s="30">
        <v>88238.290245442273</v>
      </c>
      <c r="Y744" s="30">
        <v>45357.321115454157</v>
      </c>
      <c r="Z744" s="30">
        <v>0</v>
      </c>
      <c r="AA744" s="30">
        <v>0</v>
      </c>
      <c r="AB744" s="34">
        <v>0</v>
      </c>
      <c r="AC744" s="34">
        <v>0.94602913874461303</v>
      </c>
      <c r="AD744" s="34">
        <v>0.62849140671390136</v>
      </c>
      <c r="AE744" s="34">
        <v>0.8</v>
      </c>
      <c r="AF744" s="34">
        <v>0.8</v>
      </c>
      <c r="AG744" s="34">
        <v>0.85</v>
      </c>
      <c r="AH744" s="34">
        <v>0</v>
      </c>
      <c r="AI744" s="37">
        <f t="shared" si="105"/>
        <v>0</v>
      </c>
      <c r="AJ744" s="37">
        <f t="shared" si="106"/>
        <v>76794.747843236051</v>
      </c>
      <c r="AK744" s="37">
        <f t="shared" si="107"/>
        <v>46506.287185570873</v>
      </c>
      <c r="AL744" s="37">
        <f t="shared" si="108"/>
        <v>65289.152974800032</v>
      </c>
      <c r="AM744" s="37">
        <f t="shared" si="109"/>
        <v>66594.936034296043</v>
      </c>
      <c r="AN744" s="37">
        <f t="shared" si="110"/>
        <v>75002.54670862593</v>
      </c>
      <c r="AO744" s="37">
        <f t="shared" si="111"/>
        <v>0</v>
      </c>
    </row>
    <row r="745" spans="1:41" hidden="1" x14ac:dyDescent="0.3">
      <c r="A745" t="str">
        <f t="shared" si="112"/>
        <v>461ene</v>
      </c>
      <c r="B745" t="str">
        <f t="shared" si="113"/>
        <v>KIDS SUCREene</v>
      </c>
      <c r="C745" s="1" t="s">
        <v>94</v>
      </c>
      <c r="D745" s="1" t="s">
        <v>29</v>
      </c>
      <c r="E745" s="1">
        <v>461</v>
      </c>
      <c r="F745" s="1" t="s">
        <v>121</v>
      </c>
      <c r="G745" s="1" t="s">
        <v>121</v>
      </c>
      <c r="H745" s="1" t="s">
        <v>121</v>
      </c>
      <c r="I745" s="1" t="s">
        <v>126</v>
      </c>
      <c r="J745" s="1" t="s">
        <v>137</v>
      </c>
      <c r="K745" t="s">
        <v>80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30">
        <v>0</v>
      </c>
      <c r="W745" s="30">
        <v>0</v>
      </c>
      <c r="X745" s="30">
        <v>23853.094372800024</v>
      </c>
      <c r="Y745" s="30">
        <v>12296.532397980936</v>
      </c>
      <c r="Z745" s="30">
        <v>25748.56321839078</v>
      </c>
      <c r="AA745" s="30">
        <v>13823.984499063972</v>
      </c>
      <c r="AB745" s="34">
        <v>0</v>
      </c>
      <c r="AC745" s="34">
        <v>0</v>
      </c>
      <c r="AD745" s="34">
        <v>0</v>
      </c>
      <c r="AE745" s="34">
        <v>0</v>
      </c>
      <c r="AF745" s="34">
        <v>0</v>
      </c>
      <c r="AG745" s="34">
        <v>0.8600000000000001</v>
      </c>
      <c r="AH745" s="34">
        <v>0.97868422521064669</v>
      </c>
      <c r="AI745" s="37">
        <f t="shared" si="105"/>
        <v>0</v>
      </c>
      <c r="AJ745" s="37">
        <f t="shared" si="106"/>
        <v>0</v>
      </c>
      <c r="AK745" s="37">
        <f t="shared" si="107"/>
        <v>0</v>
      </c>
      <c r="AL745" s="37">
        <f t="shared" si="108"/>
        <v>0</v>
      </c>
      <c r="AM745" s="37">
        <f t="shared" si="109"/>
        <v>0</v>
      </c>
      <c r="AN745" s="37">
        <f t="shared" si="110"/>
        <v>20513.661160608022</v>
      </c>
      <c r="AO745" s="37">
        <f t="shared" si="111"/>
        <v>25199.712643678136</v>
      </c>
    </row>
    <row r="746" spans="1:41" hidden="1" x14ac:dyDescent="0.3">
      <c r="A746" t="str">
        <f t="shared" si="112"/>
        <v>461feb</v>
      </c>
      <c r="B746" t="str">
        <f t="shared" si="113"/>
        <v>KIDS SUCREfeb</v>
      </c>
      <c r="C746" s="1" t="s">
        <v>94</v>
      </c>
      <c r="D746" s="1" t="s">
        <v>29</v>
      </c>
      <c r="E746" s="1">
        <v>461</v>
      </c>
      <c r="F746" s="1" t="s">
        <v>121</v>
      </c>
      <c r="G746" s="1" t="s">
        <v>121</v>
      </c>
      <c r="H746" s="1" t="s">
        <v>121</v>
      </c>
      <c r="I746" s="1" t="s">
        <v>126</v>
      </c>
      <c r="J746" s="1" t="s">
        <v>137</v>
      </c>
      <c r="K746" t="s">
        <v>81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30">
        <v>0</v>
      </c>
      <c r="W746" s="30">
        <v>0</v>
      </c>
      <c r="X746" s="30">
        <v>33896.685900000011</v>
      </c>
      <c r="Y746" s="30">
        <v>15619.424758376636</v>
      </c>
      <c r="Z746" s="30">
        <v>22854.741379310315</v>
      </c>
      <c r="AA746" s="30">
        <v>9450.0719962578751</v>
      </c>
      <c r="AB746" s="34">
        <v>0</v>
      </c>
      <c r="AC746" s="34">
        <v>0</v>
      </c>
      <c r="AD746" s="34">
        <v>0</v>
      </c>
      <c r="AE746" s="34">
        <v>0</v>
      </c>
      <c r="AF746" s="34">
        <v>0</v>
      </c>
      <c r="AG746" s="34">
        <v>0.49</v>
      </c>
      <c r="AH746" s="34">
        <v>0.37166261182254257</v>
      </c>
      <c r="AI746" s="37">
        <f t="shared" si="105"/>
        <v>0</v>
      </c>
      <c r="AJ746" s="37">
        <f t="shared" si="106"/>
        <v>0</v>
      </c>
      <c r="AK746" s="37">
        <f t="shared" si="107"/>
        <v>0</v>
      </c>
      <c r="AL746" s="37">
        <f t="shared" si="108"/>
        <v>0</v>
      </c>
      <c r="AM746" s="37">
        <f t="shared" si="109"/>
        <v>0</v>
      </c>
      <c r="AN746" s="37">
        <f t="shared" si="110"/>
        <v>16609.376091000006</v>
      </c>
      <c r="AO746" s="37">
        <f t="shared" si="111"/>
        <v>8494.2528735632113</v>
      </c>
    </row>
    <row r="747" spans="1:41" hidden="1" x14ac:dyDescent="0.3">
      <c r="A747" t="str">
        <f t="shared" si="112"/>
        <v>461mar</v>
      </c>
      <c r="B747" t="str">
        <f t="shared" si="113"/>
        <v>KIDS SUCREmar</v>
      </c>
      <c r="C747" s="1" t="s">
        <v>94</v>
      </c>
      <c r="D747" s="1" t="s">
        <v>29</v>
      </c>
      <c r="E747" s="1">
        <v>461</v>
      </c>
      <c r="F747" s="1" t="s">
        <v>121</v>
      </c>
      <c r="G747" s="1" t="s">
        <v>121</v>
      </c>
      <c r="H747" s="1" t="s">
        <v>121</v>
      </c>
      <c r="I747" s="1" t="s">
        <v>126</v>
      </c>
      <c r="J747" s="1" t="s">
        <v>137</v>
      </c>
      <c r="K747" t="s">
        <v>82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30">
        <v>0</v>
      </c>
      <c r="W747" s="30">
        <v>0</v>
      </c>
      <c r="X747" s="30">
        <v>29445.169599999994</v>
      </c>
      <c r="Y747" s="30">
        <v>14918.04586927958</v>
      </c>
      <c r="Z747" s="30">
        <v>16645.757814669952</v>
      </c>
      <c r="AA747" s="30">
        <v>7856.7976885242178</v>
      </c>
      <c r="AB747" s="34">
        <v>0</v>
      </c>
      <c r="AC747" s="34">
        <v>0</v>
      </c>
      <c r="AD747" s="34">
        <v>0</v>
      </c>
      <c r="AE747" s="34">
        <v>0</v>
      </c>
      <c r="AF747" s="34">
        <v>0</v>
      </c>
      <c r="AG747" s="34">
        <v>0.8</v>
      </c>
      <c r="AH747" s="34">
        <v>0.70730486064631826</v>
      </c>
      <c r="AI747" s="37">
        <f t="shared" si="105"/>
        <v>0</v>
      </c>
      <c r="AJ747" s="37">
        <f t="shared" si="106"/>
        <v>0</v>
      </c>
      <c r="AK747" s="37">
        <f t="shared" si="107"/>
        <v>0</v>
      </c>
      <c r="AL747" s="37">
        <f t="shared" si="108"/>
        <v>0</v>
      </c>
      <c r="AM747" s="37">
        <f t="shared" si="109"/>
        <v>0</v>
      </c>
      <c r="AN747" s="37">
        <f t="shared" si="110"/>
        <v>23556.135679999996</v>
      </c>
      <c r="AO747" s="37">
        <f t="shared" si="111"/>
        <v>11773.625411457493</v>
      </c>
    </row>
    <row r="748" spans="1:41" hidden="1" x14ac:dyDescent="0.3">
      <c r="A748" t="str">
        <f t="shared" si="112"/>
        <v>461abr</v>
      </c>
      <c r="B748" t="str">
        <f t="shared" si="113"/>
        <v>KIDS SUCREabr</v>
      </c>
      <c r="C748" s="1" t="s">
        <v>94</v>
      </c>
      <c r="D748" s="1" t="s">
        <v>29</v>
      </c>
      <c r="E748" s="1">
        <v>461</v>
      </c>
      <c r="F748" s="1" t="s">
        <v>121</v>
      </c>
      <c r="G748" s="1" t="s">
        <v>121</v>
      </c>
      <c r="H748" s="1" t="s">
        <v>121</v>
      </c>
      <c r="I748" s="1" t="s">
        <v>126</v>
      </c>
      <c r="J748" s="1" t="s">
        <v>137</v>
      </c>
      <c r="K748" t="s">
        <v>83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30">
        <v>0</v>
      </c>
      <c r="W748" s="30">
        <v>0</v>
      </c>
      <c r="X748" s="30">
        <v>30345.249219999998</v>
      </c>
      <c r="Y748" s="30">
        <v>14925.312085232197</v>
      </c>
      <c r="Z748" s="30">
        <v>0</v>
      </c>
      <c r="AA748" s="30">
        <v>0</v>
      </c>
      <c r="AB748" s="34">
        <v>0</v>
      </c>
      <c r="AC748" s="34">
        <v>0</v>
      </c>
      <c r="AD748" s="34">
        <v>0</v>
      </c>
      <c r="AE748" s="34">
        <v>0</v>
      </c>
      <c r="AF748" s="34">
        <v>0</v>
      </c>
      <c r="AG748" s="34">
        <v>0.7</v>
      </c>
      <c r="AH748" s="34">
        <v>0</v>
      </c>
      <c r="AI748" s="37">
        <f t="shared" si="105"/>
        <v>0</v>
      </c>
      <c r="AJ748" s="37">
        <f t="shared" si="106"/>
        <v>0</v>
      </c>
      <c r="AK748" s="37">
        <f t="shared" si="107"/>
        <v>0</v>
      </c>
      <c r="AL748" s="37">
        <f t="shared" si="108"/>
        <v>0</v>
      </c>
      <c r="AM748" s="37">
        <f t="shared" si="109"/>
        <v>0</v>
      </c>
      <c r="AN748" s="37">
        <f t="shared" si="110"/>
        <v>21241.674453999996</v>
      </c>
      <c r="AO748" s="37">
        <f t="shared" si="111"/>
        <v>0</v>
      </c>
    </row>
    <row r="749" spans="1:41" hidden="1" x14ac:dyDescent="0.3">
      <c r="A749" t="str">
        <f t="shared" si="112"/>
        <v>461may</v>
      </c>
      <c r="B749" t="str">
        <f t="shared" si="113"/>
        <v>KIDS SUCREmay</v>
      </c>
      <c r="C749" s="1" t="s">
        <v>94</v>
      </c>
      <c r="D749" s="1" t="s">
        <v>29</v>
      </c>
      <c r="E749" s="1">
        <v>461</v>
      </c>
      <c r="F749" s="1" t="s">
        <v>121</v>
      </c>
      <c r="G749" s="1" t="s">
        <v>121</v>
      </c>
      <c r="H749" s="1" t="s">
        <v>121</v>
      </c>
      <c r="I749" s="1" t="s">
        <v>126</v>
      </c>
      <c r="J749" s="1" t="s">
        <v>137</v>
      </c>
      <c r="K749" t="s">
        <v>84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30">
        <v>0</v>
      </c>
      <c r="W749" s="30">
        <v>0</v>
      </c>
      <c r="X749" s="30">
        <v>24683.802528000026</v>
      </c>
      <c r="Y749" s="30">
        <v>12797.776871278236</v>
      </c>
      <c r="Z749" s="30">
        <v>0</v>
      </c>
      <c r="AA749" s="30">
        <v>0</v>
      </c>
      <c r="AB749" s="34">
        <v>0</v>
      </c>
      <c r="AC749" s="34">
        <v>0</v>
      </c>
      <c r="AD749" s="34">
        <v>0</v>
      </c>
      <c r="AE749" s="34">
        <v>0</v>
      </c>
      <c r="AF749" s="34">
        <v>0</v>
      </c>
      <c r="AG749" s="34">
        <v>0.88000000000000012</v>
      </c>
      <c r="AH749" s="34">
        <v>0</v>
      </c>
      <c r="AI749" s="37">
        <f t="shared" si="105"/>
        <v>0</v>
      </c>
      <c r="AJ749" s="37">
        <f t="shared" si="106"/>
        <v>0</v>
      </c>
      <c r="AK749" s="37">
        <f t="shared" si="107"/>
        <v>0</v>
      </c>
      <c r="AL749" s="37">
        <f t="shared" si="108"/>
        <v>0</v>
      </c>
      <c r="AM749" s="37">
        <f t="shared" si="109"/>
        <v>0</v>
      </c>
      <c r="AN749" s="37">
        <f t="shared" si="110"/>
        <v>21721.746224640025</v>
      </c>
      <c r="AO749" s="37">
        <f t="shared" si="111"/>
        <v>0</v>
      </c>
    </row>
    <row r="750" spans="1:41" hidden="1" x14ac:dyDescent="0.3">
      <c r="A750" t="str">
        <f t="shared" si="112"/>
        <v>461jun</v>
      </c>
      <c r="B750" t="str">
        <f t="shared" si="113"/>
        <v>KIDS SUCREjun</v>
      </c>
      <c r="C750" s="1" t="s">
        <v>94</v>
      </c>
      <c r="D750" s="1" t="s">
        <v>29</v>
      </c>
      <c r="E750" s="1">
        <v>461</v>
      </c>
      <c r="F750" s="1" t="s">
        <v>121</v>
      </c>
      <c r="G750" s="1" t="s">
        <v>121</v>
      </c>
      <c r="H750" s="1" t="s">
        <v>121</v>
      </c>
      <c r="I750" s="1" t="s">
        <v>126</v>
      </c>
      <c r="J750" s="1" t="s">
        <v>137</v>
      </c>
      <c r="K750" t="s">
        <v>85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30">
        <v>0</v>
      </c>
      <c r="W750" s="30">
        <v>0</v>
      </c>
      <c r="X750" s="30">
        <v>23086.149028800006</v>
      </c>
      <c r="Y750" s="30">
        <v>11969.443676780131</v>
      </c>
      <c r="Z750" s="30">
        <v>0</v>
      </c>
      <c r="AA750" s="30">
        <v>0</v>
      </c>
      <c r="AB750" s="34">
        <v>0</v>
      </c>
      <c r="AC750" s="34">
        <v>0</v>
      </c>
      <c r="AD750" s="34">
        <v>0</v>
      </c>
      <c r="AE750" s="34">
        <v>0</v>
      </c>
      <c r="AF750" s="34">
        <v>0</v>
      </c>
      <c r="AG750" s="34">
        <v>0.88000000000000012</v>
      </c>
      <c r="AH750" s="34">
        <v>0</v>
      </c>
      <c r="AI750" s="37">
        <f t="shared" si="105"/>
        <v>0</v>
      </c>
      <c r="AJ750" s="37">
        <f t="shared" si="106"/>
        <v>0</v>
      </c>
      <c r="AK750" s="37">
        <f t="shared" si="107"/>
        <v>0</v>
      </c>
      <c r="AL750" s="37">
        <f t="shared" si="108"/>
        <v>0</v>
      </c>
      <c r="AM750" s="37">
        <f t="shared" si="109"/>
        <v>0</v>
      </c>
      <c r="AN750" s="37">
        <f t="shared" si="110"/>
        <v>20315.811145344007</v>
      </c>
      <c r="AO750" s="37">
        <f t="shared" si="111"/>
        <v>0</v>
      </c>
    </row>
    <row r="751" spans="1:41" hidden="1" x14ac:dyDescent="0.3">
      <c r="A751" t="str">
        <f t="shared" si="112"/>
        <v>461jul</v>
      </c>
      <c r="B751" t="str">
        <f t="shared" si="113"/>
        <v>KIDS SUCREjul</v>
      </c>
      <c r="C751" s="1" t="s">
        <v>94</v>
      </c>
      <c r="D751" s="1" t="s">
        <v>29</v>
      </c>
      <c r="E751" s="1">
        <v>461</v>
      </c>
      <c r="F751" s="1" t="s">
        <v>121</v>
      </c>
      <c r="G751" s="1" t="s">
        <v>121</v>
      </c>
      <c r="H751" s="1" t="s">
        <v>121</v>
      </c>
      <c r="I751" s="1" t="s">
        <v>126</v>
      </c>
      <c r="J751" s="1" t="s">
        <v>137</v>
      </c>
      <c r="K751" t="s">
        <v>86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30">
        <v>0</v>
      </c>
      <c r="W751" s="30">
        <v>0</v>
      </c>
      <c r="X751" s="30">
        <v>27390.872123999987</v>
      </c>
      <c r="Y751" s="30">
        <v>14201.307491219388</v>
      </c>
      <c r="Z751" s="30">
        <v>0</v>
      </c>
      <c r="AA751" s="30">
        <v>0</v>
      </c>
      <c r="AB751" s="34">
        <v>0</v>
      </c>
      <c r="AC751" s="34">
        <v>0</v>
      </c>
      <c r="AD751" s="34">
        <v>0</v>
      </c>
      <c r="AE751" s="34">
        <v>0</v>
      </c>
      <c r="AF751" s="34">
        <v>0</v>
      </c>
      <c r="AG751" s="34">
        <v>0.88</v>
      </c>
      <c r="AH751" s="34">
        <v>0</v>
      </c>
      <c r="AI751" s="37">
        <f t="shared" si="105"/>
        <v>0</v>
      </c>
      <c r="AJ751" s="37">
        <f t="shared" si="106"/>
        <v>0</v>
      </c>
      <c r="AK751" s="37">
        <f t="shared" si="107"/>
        <v>0</v>
      </c>
      <c r="AL751" s="37">
        <f t="shared" si="108"/>
        <v>0</v>
      </c>
      <c r="AM751" s="37">
        <f t="shared" si="109"/>
        <v>0</v>
      </c>
      <c r="AN751" s="37">
        <f t="shared" si="110"/>
        <v>24103.967469119987</v>
      </c>
      <c r="AO751" s="37">
        <f t="shared" si="111"/>
        <v>0</v>
      </c>
    </row>
    <row r="752" spans="1:41" hidden="1" x14ac:dyDescent="0.3">
      <c r="A752" t="str">
        <f t="shared" si="112"/>
        <v>461ago</v>
      </c>
      <c r="B752" t="str">
        <f t="shared" si="113"/>
        <v>KIDS SUCREago</v>
      </c>
      <c r="C752" s="1" t="s">
        <v>94</v>
      </c>
      <c r="D752" s="1" t="s">
        <v>29</v>
      </c>
      <c r="E752" s="1">
        <v>461</v>
      </c>
      <c r="F752" s="1" t="s">
        <v>121</v>
      </c>
      <c r="G752" s="1" t="s">
        <v>121</v>
      </c>
      <c r="H752" s="1" t="s">
        <v>121</v>
      </c>
      <c r="I752" s="1" t="s">
        <v>126</v>
      </c>
      <c r="J752" s="1" t="s">
        <v>137</v>
      </c>
      <c r="K752" t="s">
        <v>87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30">
        <v>0</v>
      </c>
      <c r="W752" s="30">
        <v>0</v>
      </c>
      <c r="X752" s="30">
        <v>41859.707273999993</v>
      </c>
      <c r="Y752" s="30">
        <v>19288.745516384355</v>
      </c>
      <c r="Z752" s="30">
        <v>0</v>
      </c>
      <c r="AA752" s="30">
        <v>0</v>
      </c>
      <c r="AB752" s="34">
        <v>0</v>
      </c>
      <c r="AC752" s="34">
        <v>0</v>
      </c>
      <c r="AD752" s="34">
        <v>0</v>
      </c>
      <c r="AE752" s="34">
        <v>0</v>
      </c>
      <c r="AF752" s="34">
        <v>0</v>
      </c>
      <c r="AG752" s="34">
        <v>0.48999999999999994</v>
      </c>
      <c r="AH752" s="34">
        <v>0</v>
      </c>
      <c r="AI752" s="37">
        <f t="shared" si="105"/>
        <v>0</v>
      </c>
      <c r="AJ752" s="37">
        <f t="shared" si="106"/>
        <v>0</v>
      </c>
      <c r="AK752" s="37">
        <f t="shared" si="107"/>
        <v>0</v>
      </c>
      <c r="AL752" s="37">
        <f t="shared" si="108"/>
        <v>0</v>
      </c>
      <c r="AM752" s="37">
        <f t="shared" si="109"/>
        <v>0</v>
      </c>
      <c r="AN752" s="37">
        <f t="shared" si="110"/>
        <v>20511.256564259995</v>
      </c>
      <c r="AO752" s="37">
        <f t="shared" si="111"/>
        <v>0</v>
      </c>
    </row>
    <row r="753" spans="1:41" hidden="1" x14ac:dyDescent="0.3">
      <c r="A753" t="str">
        <f t="shared" si="112"/>
        <v>461sep</v>
      </c>
      <c r="B753" t="str">
        <f t="shared" si="113"/>
        <v>KIDS SUCREsep</v>
      </c>
      <c r="C753" s="1" t="s">
        <v>94</v>
      </c>
      <c r="D753" s="1" t="s">
        <v>29</v>
      </c>
      <c r="E753" s="1">
        <v>461</v>
      </c>
      <c r="F753" s="1" t="s">
        <v>121</v>
      </c>
      <c r="G753" s="1" t="s">
        <v>121</v>
      </c>
      <c r="H753" s="1" t="s">
        <v>121</v>
      </c>
      <c r="I753" s="1" t="s">
        <v>126</v>
      </c>
      <c r="J753" s="1" t="s">
        <v>137</v>
      </c>
      <c r="K753" t="s">
        <v>88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30">
        <v>0</v>
      </c>
      <c r="W753" s="30">
        <v>0</v>
      </c>
      <c r="X753" s="30">
        <v>27306.13931246227</v>
      </c>
      <c r="Y753" s="30">
        <v>13834.331549452192</v>
      </c>
      <c r="Z753" s="30">
        <v>0</v>
      </c>
      <c r="AA753" s="30">
        <v>0</v>
      </c>
      <c r="AB753" s="34">
        <v>0</v>
      </c>
      <c r="AC753" s="34">
        <v>0</v>
      </c>
      <c r="AD753" s="34">
        <v>0</v>
      </c>
      <c r="AE753" s="34">
        <v>0</v>
      </c>
      <c r="AF753" s="34">
        <v>0</v>
      </c>
      <c r="AG753" s="34">
        <v>0.8</v>
      </c>
      <c r="AH753" s="34">
        <v>0</v>
      </c>
      <c r="AI753" s="37">
        <f t="shared" si="105"/>
        <v>0</v>
      </c>
      <c r="AJ753" s="37">
        <f t="shared" si="106"/>
        <v>0</v>
      </c>
      <c r="AK753" s="37">
        <f t="shared" si="107"/>
        <v>0</v>
      </c>
      <c r="AL753" s="37">
        <f t="shared" si="108"/>
        <v>0</v>
      </c>
      <c r="AM753" s="37">
        <f t="shared" si="109"/>
        <v>0</v>
      </c>
      <c r="AN753" s="37">
        <f t="shared" si="110"/>
        <v>21844.911449969819</v>
      </c>
      <c r="AO753" s="37">
        <f t="shared" si="111"/>
        <v>0</v>
      </c>
    </row>
    <row r="754" spans="1:41" hidden="1" x14ac:dyDescent="0.3">
      <c r="A754" t="str">
        <f t="shared" si="112"/>
        <v>461oct</v>
      </c>
      <c r="B754" t="str">
        <f t="shared" si="113"/>
        <v>KIDS SUCREoct</v>
      </c>
      <c r="C754" s="1" t="s">
        <v>94</v>
      </c>
      <c r="D754" s="1" t="s">
        <v>29</v>
      </c>
      <c r="E754" s="1">
        <v>461</v>
      </c>
      <c r="F754" s="1" t="s">
        <v>121</v>
      </c>
      <c r="G754" s="1" t="s">
        <v>121</v>
      </c>
      <c r="H754" s="1" t="s">
        <v>121</v>
      </c>
      <c r="I754" s="1" t="s">
        <v>126</v>
      </c>
      <c r="J754" s="1" t="s">
        <v>137</v>
      </c>
      <c r="K754" t="s">
        <v>89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30">
        <v>0</v>
      </c>
      <c r="W754" s="30">
        <v>0</v>
      </c>
      <c r="X754" s="30">
        <v>27378.000935626624</v>
      </c>
      <c r="Y754" s="30">
        <v>14113.660485105716</v>
      </c>
      <c r="Z754" s="30">
        <v>0</v>
      </c>
      <c r="AA754" s="30">
        <v>0</v>
      </c>
      <c r="AB754" s="34">
        <v>0</v>
      </c>
      <c r="AC754" s="34">
        <v>0</v>
      </c>
      <c r="AD754" s="34">
        <v>0</v>
      </c>
      <c r="AE754" s="34">
        <v>0</v>
      </c>
      <c r="AF754" s="34">
        <v>0</v>
      </c>
      <c r="AG754" s="34">
        <v>0.86</v>
      </c>
      <c r="AH754" s="34">
        <v>0</v>
      </c>
      <c r="AI754" s="37">
        <f t="shared" si="105"/>
        <v>0</v>
      </c>
      <c r="AJ754" s="37">
        <f t="shared" si="106"/>
        <v>0</v>
      </c>
      <c r="AK754" s="37">
        <f t="shared" si="107"/>
        <v>0</v>
      </c>
      <c r="AL754" s="37">
        <f t="shared" si="108"/>
        <v>0</v>
      </c>
      <c r="AM754" s="37">
        <f t="shared" si="109"/>
        <v>0</v>
      </c>
      <c r="AN754" s="37">
        <f t="shared" si="110"/>
        <v>23545.080804638896</v>
      </c>
      <c r="AO754" s="37">
        <f t="shared" si="111"/>
        <v>0</v>
      </c>
    </row>
    <row r="755" spans="1:41" hidden="1" x14ac:dyDescent="0.3">
      <c r="A755" t="str">
        <f t="shared" si="112"/>
        <v>461nov</v>
      </c>
      <c r="B755" t="str">
        <f t="shared" si="113"/>
        <v>KIDS SUCREnov</v>
      </c>
      <c r="C755" s="1" t="s">
        <v>94</v>
      </c>
      <c r="D755" s="1" t="s">
        <v>29</v>
      </c>
      <c r="E755" s="1">
        <v>461</v>
      </c>
      <c r="F755" s="1" t="s">
        <v>121</v>
      </c>
      <c r="G755" s="1" t="s">
        <v>121</v>
      </c>
      <c r="H755" s="1" t="s">
        <v>121</v>
      </c>
      <c r="I755" s="1" t="s">
        <v>126</v>
      </c>
      <c r="J755" s="1" t="s">
        <v>137</v>
      </c>
      <c r="K755" t="s">
        <v>90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41260.006303235983</v>
      </c>
      <c r="S755" s="6">
        <v>19866.693035008124</v>
      </c>
      <c r="T755" s="6">
        <v>0</v>
      </c>
      <c r="U755" s="6">
        <v>0</v>
      </c>
      <c r="V755" s="30">
        <v>0</v>
      </c>
      <c r="W755" s="30">
        <v>0</v>
      </c>
      <c r="X755" s="30">
        <v>33462.313590253762</v>
      </c>
      <c r="Y755" s="30">
        <v>15963.596433100336</v>
      </c>
      <c r="Z755" s="30">
        <v>0</v>
      </c>
      <c r="AA755" s="30">
        <v>0</v>
      </c>
      <c r="AB755" s="34">
        <v>0</v>
      </c>
      <c r="AC755" s="34">
        <v>0</v>
      </c>
      <c r="AD755" s="34">
        <v>0</v>
      </c>
      <c r="AE755" s="34">
        <v>0.65</v>
      </c>
      <c r="AF755" s="34">
        <v>0.65</v>
      </c>
      <c r="AG755" s="34">
        <v>0.6</v>
      </c>
      <c r="AH755" s="34">
        <v>0</v>
      </c>
      <c r="AI755" s="37">
        <f t="shared" si="105"/>
        <v>0</v>
      </c>
      <c r="AJ755" s="37">
        <f t="shared" si="106"/>
        <v>0</v>
      </c>
      <c r="AK755" s="37">
        <f t="shared" si="107"/>
        <v>0</v>
      </c>
      <c r="AL755" s="37">
        <f t="shared" si="108"/>
        <v>26819.004097103389</v>
      </c>
      <c r="AM755" s="37">
        <f t="shared" si="109"/>
        <v>0</v>
      </c>
      <c r="AN755" s="37">
        <f t="shared" si="110"/>
        <v>20077.388154152257</v>
      </c>
      <c r="AO755" s="37">
        <f t="shared" si="111"/>
        <v>0</v>
      </c>
    </row>
    <row r="756" spans="1:41" hidden="1" x14ac:dyDescent="0.3">
      <c r="A756" t="str">
        <f t="shared" si="112"/>
        <v>461dic</v>
      </c>
      <c r="B756" t="str">
        <f t="shared" si="113"/>
        <v>KIDS SUCREdic</v>
      </c>
      <c r="C756" s="1" t="s">
        <v>94</v>
      </c>
      <c r="D756" s="1" t="s">
        <v>29</v>
      </c>
      <c r="E756" s="1">
        <v>461</v>
      </c>
      <c r="F756" s="1" t="s">
        <v>121</v>
      </c>
      <c r="G756" s="1" t="s">
        <v>121</v>
      </c>
      <c r="H756" s="1" t="s">
        <v>121</v>
      </c>
      <c r="I756" s="1" t="s">
        <v>126</v>
      </c>
      <c r="J756" s="1" t="s">
        <v>137</v>
      </c>
      <c r="K756" t="s">
        <v>91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80614.922567832036</v>
      </c>
      <c r="S756" s="6">
        <v>40146.231438780356</v>
      </c>
      <c r="T756" s="6">
        <v>15301</v>
      </c>
      <c r="U756" s="6">
        <v>7226.4578782173157</v>
      </c>
      <c r="V756" s="30">
        <v>80614.922567832036</v>
      </c>
      <c r="W756" s="30">
        <v>40146.231438780356</v>
      </c>
      <c r="X756" s="30">
        <v>66002.241103590786</v>
      </c>
      <c r="Y756" s="30">
        <v>33927.276194359707</v>
      </c>
      <c r="Z756" s="30">
        <v>0</v>
      </c>
      <c r="AA756" s="30">
        <v>0</v>
      </c>
      <c r="AB756" s="34">
        <v>0</v>
      </c>
      <c r="AC756" s="34">
        <v>0</v>
      </c>
      <c r="AD756" s="34">
        <v>0.62849140671390136</v>
      </c>
      <c r="AE756" s="34">
        <v>0.8</v>
      </c>
      <c r="AF756" s="34">
        <v>0.8</v>
      </c>
      <c r="AG756" s="34">
        <v>0.85000000000000009</v>
      </c>
      <c r="AH756" s="34">
        <v>0</v>
      </c>
      <c r="AI756" s="37">
        <f t="shared" si="105"/>
        <v>0</v>
      </c>
      <c r="AJ756" s="37">
        <f t="shared" si="106"/>
        <v>0</v>
      </c>
      <c r="AK756" s="37">
        <f t="shared" si="107"/>
        <v>9616.5470141294045</v>
      </c>
      <c r="AL756" s="37">
        <f t="shared" si="108"/>
        <v>64491.938054265629</v>
      </c>
      <c r="AM756" s="37">
        <f t="shared" si="109"/>
        <v>64491.938054265629</v>
      </c>
      <c r="AN756" s="37">
        <f t="shared" si="110"/>
        <v>56101.904938052176</v>
      </c>
      <c r="AO756" s="37">
        <f t="shared" si="111"/>
        <v>0</v>
      </c>
    </row>
    <row r="757" spans="1:41" hidden="1" x14ac:dyDescent="0.3">
      <c r="A757" t="str">
        <f t="shared" si="112"/>
        <v>460ene</v>
      </c>
      <c r="B757" t="str">
        <f t="shared" si="113"/>
        <v>KIDS TARIJAene</v>
      </c>
      <c r="C757" s="1" t="s">
        <v>94</v>
      </c>
      <c r="D757" s="1" t="s">
        <v>30</v>
      </c>
      <c r="E757" s="1">
        <v>460</v>
      </c>
      <c r="F757" s="1" t="s">
        <v>121</v>
      </c>
      <c r="G757" s="1" t="s">
        <v>121</v>
      </c>
      <c r="H757" s="1" t="s">
        <v>121</v>
      </c>
      <c r="I757" s="1" t="s">
        <v>126</v>
      </c>
      <c r="J757" s="1" t="s">
        <v>137</v>
      </c>
      <c r="K757" t="s">
        <v>80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30">
        <v>0</v>
      </c>
      <c r="W757" s="30">
        <v>0</v>
      </c>
      <c r="X757" s="30">
        <v>21684.631248000016</v>
      </c>
      <c r="Y757" s="30">
        <v>11178.6658163463</v>
      </c>
      <c r="Z757" s="30">
        <v>20753.735632183918</v>
      </c>
      <c r="AA757" s="30">
        <v>11017.324668319754</v>
      </c>
      <c r="AB757" s="34">
        <v>0</v>
      </c>
      <c r="AC757" s="34">
        <v>0</v>
      </c>
      <c r="AD757" s="34">
        <v>0</v>
      </c>
      <c r="AE757" s="34">
        <v>0</v>
      </c>
      <c r="AF757" s="34">
        <v>0</v>
      </c>
      <c r="AG757" s="34">
        <v>0.85999999999999988</v>
      </c>
      <c r="AH757" s="34">
        <v>0.96132810877421326</v>
      </c>
      <c r="AI757" s="37">
        <f t="shared" si="105"/>
        <v>0</v>
      </c>
      <c r="AJ757" s="37">
        <f t="shared" si="106"/>
        <v>0</v>
      </c>
      <c r="AK757" s="37">
        <f t="shared" si="107"/>
        <v>0</v>
      </c>
      <c r="AL757" s="37">
        <f t="shared" si="108"/>
        <v>0</v>
      </c>
      <c r="AM757" s="37">
        <f t="shared" si="109"/>
        <v>0</v>
      </c>
      <c r="AN757" s="37">
        <f t="shared" si="110"/>
        <v>18648.782873280012</v>
      </c>
      <c r="AO757" s="37">
        <f t="shared" si="111"/>
        <v>19951.149425287367</v>
      </c>
    </row>
    <row r="758" spans="1:41" hidden="1" x14ac:dyDescent="0.3">
      <c r="A758" t="str">
        <f t="shared" si="112"/>
        <v>460feb</v>
      </c>
      <c r="B758" t="str">
        <f t="shared" si="113"/>
        <v>KIDS TARIJAfeb</v>
      </c>
      <c r="C758" s="1" t="s">
        <v>94</v>
      </c>
      <c r="D758" s="1" t="s">
        <v>30</v>
      </c>
      <c r="E758" s="1">
        <v>460</v>
      </c>
      <c r="F758" s="1" t="s">
        <v>121</v>
      </c>
      <c r="G758" s="1" t="s">
        <v>121</v>
      </c>
      <c r="H758" s="1" t="s">
        <v>121</v>
      </c>
      <c r="I758" s="1" t="s">
        <v>126</v>
      </c>
      <c r="J758" s="1" t="s">
        <v>137</v>
      </c>
      <c r="K758" t="s">
        <v>81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30">
        <v>0</v>
      </c>
      <c r="W758" s="30">
        <v>0</v>
      </c>
      <c r="X758" s="30">
        <v>30815.169000000009</v>
      </c>
      <c r="Y758" s="30">
        <v>14199.47705306967</v>
      </c>
      <c r="Z758" s="30">
        <v>20482.902298850564</v>
      </c>
      <c r="AA758" s="30">
        <v>9641.3276720978502</v>
      </c>
      <c r="AB758" s="34">
        <v>0</v>
      </c>
      <c r="AC758" s="34">
        <v>0</v>
      </c>
      <c r="AD758" s="34">
        <v>0</v>
      </c>
      <c r="AE758" s="34">
        <v>0</v>
      </c>
      <c r="AF758" s="34">
        <v>0</v>
      </c>
      <c r="AG758" s="34">
        <v>0.49000000000000005</v>
      </c>
      <c r="AH758" s="34">
        <v>0.59062436430720877</v>
      </c>
      <c r="AI758" s="37">
        <f t="shared" si="105"/>
        <v>0</v>
      </c>
      <c r="AJ758" s="37">
        <f t="shared" si="106"/>
        <v>0</v>
      </c>
      <c r="AK758" s="37">
        <f t="shared" si="107"/>
        <v>0</v>
      </c>
      <c r="AL758" s="37">
        <f t="shared" si="108"/>
        <v>0</v>
      </c>
      <c r="AM758" s="37">
        <f t="shared" si="109"/>
        <v>0</v>
      </c>
      <c r="AN758" s="37">
        <f t="shared" si="110"/>
        <v>15099.432810000006</v>
      </c>
      <c r="AO758" s="37">
        <f t="shared" si="111"/>
        <v>12097.70114942528</v>
      </c>
    </row>
    <row r="759" spans="1:41" hidden="1" x14ac:dyDescent="0.3">
      <c r="A759" t="str">
        <f t="shared" si="112"/>
        <v>460mar</v>
      </c>
      <c r="B759" t="str">
        <f t="shared" si="113"/>
        <v>KIDS TARIJAmar</v>
      </c>
      <c r="C759" s="1" t="s">
        <v>94</v>
      </c>
      <c r="D759" s="1" t="s">
        <v>30</v>
      </c>
      <c r="E759" s="1">
        <v>460</v>
      </c>
      <c r="F759" s="1" t="s">
        <v>121</v>
      </c>
      <c r="G759" s="1" t="s">
        <v>121</v>
      </c>
      <c r="H759" s="1" t="s">
        <v>121</v>
      </c>
      <c r="I759" s="1" t="s">
        <v>126</v>
      </c>
      <c r="J759" s="1" t="s">
        <v>137</v>
      </c>
      <c r="K759" t="s">
        <v>82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30">
        <v>0</v>
      </c>
      <c r="W759" s="30">
        <v>0</v>
      </c>
      <c r="X759" s="30">
        <v>26768.335999999996</v>
      </c>
      <c r="Y759" s="30">
        <v>13561.859881163255</v>
      </c>
      <c r="Z759" s="30">
        <v>16204.818976467252</v>
      </c>
      <c r="AA759" s="30">
        <v>8151.0239451630277</v>
      </c>
      <c r="AB759" s="34">
        <v>0</v>
      </c>
      <c r="AC759" s="34">
        <v>0</v>
      </c>
      <c r="AD759" s="34">
        <v>0</v>
      </c>
      <c r="AE759" s="34">
        <v>0</v>
      </c>
      <c r="AF759" s="34">
        <v>0</v>
      </c>
      <c r="AG759" s="34">
        <v>0.8</v>
      </c>
      <c r="AH759" s="34">
        <v>0.85203782683657203</v>
      </c>
      <c r="AI759" s="37">
        <f t="shared" si="105"/>
        <v>0</v>
      </c>
      <c r="AJ759" s="37">
        <f t="shared" si="106"/>
        <v>0</v>
      </c>
      <c r="AK759" s="37">
        <f t="shared" si="107"/>
        <v>0</v>
      </c>
      <c r="AL759" s="37">
        <f t="shared" si="108"/>
        <v>0</v>
      </c>
      <c r="AM759" s="37">
        <f t="shared" si="109"/>
        <v>0</v>
      </c>
      <c r="AN759" s="37">
        <f t="shared" si="110"/>
        <v>21414.668799999999</v>
      </c>
      <c r="AO759" s="37">
        <f t="shared" si="111"/>
        <v>13807.1187449892</v>
      </c>
    </row>
    <row r="760" spans="1:41" hidden="1" x14ac:dyDescent="0.3">
      <c r="A760" t="str">
        <f t="shared" si="112"/>
        <v>460abr</v>
      </c>
      <c r="B760" t="str">
        <f t="shared" si="113"/>
        <v>KIDS TARIJAabr</v>
      </c>
      <c r="C760" s="1" t="s">
        <v>94</v>
      </c>
      <c r="D760" s="1" t="s">
        <v>30</v>
      </c>
      <c r="E760" s="1">
        <v>460</v>
      </c>
      <c r="F760" s="1" t="s">
        <v>121</v>
      </c>
      <c r="G760" s="1" t="s">
        <v>121</v>
      </c>
      <c r="H760" s="1" t="s">
        <v>121</v>
      </c>
      <c r="I760" s="1" t="s">
        <v>126</v>
      </c>
      <c r="J760" s="1" t="s">
        <v>137</v>
      </c>
      <c r="K760" t="s">
        <v>83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30">
        <v>0</v>
      </c>
      <c r="W760" s="30">
        <v>0</v>
      </c>
      <c r="X760" s="30">
        <v>27586.590199999995</v>
      </c>
      <c r="Y760" s="30">
        <v>13568.465532029277</v>
      </c>
      <c r="Z760" s="30">
        <v>0</v>
      </c>
      <c r="AA760" s="30">
        <v>0</v>
      </c>
      <c r="AB760" s="34">
        <v>0</v>
      </c>
      <c r="AC760" s="34">
        <v>0</v>
      </c>
      <c r="AD760" s="34">
        <v>0</v>
      </c>
      <c r="AE760" s="34">
        <v>0</v>
      </c>
      <c r="AF760" s="34">
        <v>0</v>
      </c>
      <c r="AG760" s="34">
        <v>0.7</v>
      </c>
      <c r="AH760" s="34">
        <v>0</v>
      </c>
      <c r="AI760" s="37">
        <f t="shared" si="105"/>
        <v>0</v>
      </c>
      <c r="AJ760" s="37">
        <f t="shared" si="106"/>
        <v>0</v>
      </c>
      <c r="AK760" s="37">
        <f t="shared" si="107"/>
        <v>0</v>
      </c>
      <c r="AL760" s="37">
        <f t="shared" si="108"/>
        <v>0</v>
      </c>
      <c r="AM760" s="37">
        <f t="shared" si="109"/>
        <v>0</v>
      </c>
      <c r="AN760" s="37">
        <f t="shared" si="110"/>
        <v>19310.613139999994</v>
      </c>
      <c r="AO760" s="37">
        <f t="shared" si="111"/>
        <v>0</v>
      </c>
    </row>
    <row r="761" spans="1:41" hidden="1" x14ac:dyDescent="0.3">
      <c r="A761" t="str">
        <f t="shared" si="112"/>
        <v>460may</v>
      </c>
      <c r="B761" t="str">
        <f t="shared" si="113"/>
        <v>KIDS TARIJAmay</v>
      </c>
      <c r="C761" s="1" t="s">
        <v>94</v>
      </c>
      <c r="D761" s="1" t="s">
        <v>30</v>
      </c>
      <c r="E761" s="1">
        <v>460</v>
      </c>
      <c r="F761" s="1" t="s">
        <v>121</v>
      </c>
      <c r="G761" s="1" t="s">
        <v>121</v>
      </c>
      <c r="H761" s="1" t="s">
        <v>121</v>
      </c>
      <c r="I761" s="1" t="s">
        <v>126</v>
      </c>
      <c r="J761" s="1" t="s">
        <v>137</v>
      </c>
      <c r="K761" t="s">
        <v>84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30">
        <v>0</v>
      </c>
      <c r="W761" s="30">
        <v>0</v>
      </c>
      <c r="X761" s="30">
        <v>22439.82048000002</v>
      </c>
      <c r="Y761" s="30">
        <v>11634.342610252945</v>
      </c>
      <c r="Z761" s="30">
        <v>0</v>
      </c>
      <c r="AA761" s="30">
        <v>0</v>
      </c>
      <c r="AB761" s="34">
        <v>0</v>
      </c>
      <c r="AC761" s="34">
        <v>0</v>
      </c>
      <c r="AD761" s="34">
        <v>0</v>
      </c>
      <c r="AE761" s="34">
        <v>0</v>
      </c>
      <c r="AF761" s="34">
        <v>0</v>
      </c>
      <c r="AG761" s="34">
        <v>0.88</v>
      </c>
      <c r="AH761" s="34">
        <v>0</v>
      </c>
      <c r="AI761" s="37">
        <f t="shared" si="105"/>
        <v>0</v>
      </c>
      <c r="AJ761" s="37">
        <f t="shared" si="106"/>
        <v>0</v>
      </c>
      <c r="AK761" s="37">
        <f t="shared" si="107"/>
        <v>0</v>
      </c>
      <c r="AL761" s="37">
        <f t="shared" si="108"/>
        <v>0</v>
      </c>
      <c r="AM761" s="37">
        <f t="shared" si="109"/>
        <v>0</v>
      </c>
      <c r="AN761" s="37">
        <f t="shared" si="110"/>
        <v>19747.042022400019</v>
      </c>
      <c r="AO761" s="37">
        <f t="shared" si="111"/>
        <v>0</v>
      </c>
    </row>
    <row r="762" spans="1:41" hidden="1" x14ac:dyDescent="0.3">
      <c r="A762" t="str">
        <f t="shared" si="112"/>
        <v>460jun</v>
      </c>
      <c r="B762" t="str">
        <f t="shared" si="113"/>
        <v>KIDS TARIJAjun</v>
      </c>
      <c r="C762" s="1" t="s">
        <v>94</v>
      </c>
      <c r="D762" s="1" t="s">
        <v>30</v>
      </c>
      <c r="E762" s="1">
        <v>460</v>
      </c>
      <c r="F762" s="1" t="s">
        <v>121</v>
      </c>
      <c r="G762" s="1" t="s">
        <v>121</v>
      </c>
      <c r="H762" s="1" t="s">
        <v>121</v>
      </c>
      <c r="I762" s="1" t="s">
        <v>126</v>
      </c>
      <c r="J762" s="1" t="s">
        <v>137</v>
      </c>
      <c r="K762" t="s">
        <v>85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30">
        <v>0</v>
      </c>
      <c r="W762" s="30">
        <v>0</v>
      </c>
      <c r="X762" s="30">
        <v>20987.408208000012</v>
      </c>
      <c r="Y762" s="30">
        <v>10881.312433436484</v>
      </c>
      <c r="Z762" s="30">
        <v>0</v>
      </c>
      <c r="AA762" s="30">
        <v>0</v>
      </c>
      <c r="AB762" s="34">
        <v>0</v>
      </c>
      <c r="AC762" s="34">
        <v>0</v>
      </c>
      <c r="AD762" s="34">
        <v>0</v>
      </c>
      <c r="AE762" s="34">
        <v>0</v>
      </c>
      <c r="AF762" s="34">
        <v>0</v>
      </c>
      <c r="AG762" s="34">
        <v>0.88</v>
      </c>
      <c r="AH762" s="34">
        <v>0</v>
      </c>
      <c r="AI762" s="37">
        <f t="shared" si="105"/>
        <v>0</v>
      </c>
      <c r="AJ762" s="37">
        <f t="shared" si="106"/>
        <v>0</v>
      </c>
      <c r="AK762" s="37">
        <f t="shared" si="107"/>
        <v>0</v>
      </c>
      <c r="AL762" s="37">
        <f t="shared" si="108"/>
        <v>0</v>
      </c>
      <c r="AM762" s="37">
        <f t="shared" si="109"/>
        <v>0</v>
      </c>
      <c r="AN762" s="37">
        <f t="shared" si="110"/>
        <v>18468.919223040011</v>
      </c>
      <c r="AO762" s="37">
        <f t="shared" si="111"/>
        <v>0</v>
      </c>
    </row>
    <row r="763" spans="1:41" hidden="1" x14ac:dyDescent="0.3">
      <c r="A763" t="str">
        <f t="shared" si="112"/>
        <v>460jul</v>
      </c>
      <c r="B763" t="str">
        <f t="shared" si="113"/>
        <v>KIDS TARIJAjul</v>
      </c>
      <c r="C763" s="1" t="s">
        <v>94</v>
      </c>
      <c r="D763" s="1" t="s">
        <v>30</v>
      </c>
      <c r="E763" s="1">
        <v>460</v>
      </c>
      <c r="F763" s="1" t="s">
        <v>121</v>
      </c>
      <c r="G763" s="1" t="s">
        <v>121</v>
      </c>
      <c r="H763" s="1" t="s">
        <v>121</v>
      </c>
      <c r="I763" s="1" t="s">
        <v>126</v>
      </c>
      <c r="J763" s="1" t="s">
        <v>137</v>
      </c>
      <c r="K763" t="s">
        <v>86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30">
        <v>0</v>
      </c>
      <c r="W763" s="30">
        <v>0</v>
      </c>
      <c r="X763" s="30">
        <v>24900.792839999987</v>
      </c>
      <c r="Y763" s="30">
        <v>12910.27953747217</v>
      </c>
      <c r="Z763" s="30">
        <v>0</v>
      </c>
      <c r="AA763" s="30">
        <v>0</v>
      </c>
      <c r="AB763" s="34">
        <v>0</v>
      </c>
      <c r="AC763" s="34">
        <v>0</v>
      </c>
      <c r="AD763" s="34">
        <v>0</v>
      </c>
      <c r="AE763" s="34">
        <v>0</v>
      </c>
      <c r="AF763" s="34">
        <v>0</v>
      </c>
      <c r="AG763" s="34">
        <v>0.87999999999999989</v>
      </c>
      <c r="AH763" s="34">
        <v>0</v>
      </c>
      <c r="AI763" s="37">
        <f t="shared" si="105"/>
        <v>0</v>
      </c>
      <c r="AJ763" s="37">
        <f t="shared" si="106"/>
        <v>0</v>
      </c>
      <c r="AK763" s="37">
        <f t="shared" si="107"/>
        <v>0</v>
      </c>
      <c r="AL763" s="37">
        <f t="shared" si="108"/>
        <v>0</v>
      </c>
      <c r="AM763" s="37">
        <f t="shared" si="109"/>
        <v>0</v>
      </c>
      <c r="AN763" s="37">
        <f t="shared" si="110"/>
        <v>21912.697699199987</v>
      </c>
      <c r="AO763" s="37">
        <f t="shared" si="111"/>
        <v>0</v>
      </c>
    </row>
    <row r="764" spans="1:41" hidden="1" x14ac:dyDescent="0.3">
      <c r="A764" t="str">
        <f t="shared" si="112"/>
        <v>460ago</v>
      </c>
      <c r="B764" t="str">
        <f t="shared" si="113"/>
        <v>KIDS TARIJAago</v>
      </c>
      <c r="C764" s="1" t="s">
        <v>94</v>
      </c>
      <c r="D764" s="1" t="s">
        <v>30</v>
      </c>
      <c r="E764" s="1">
        <v>460</v>
      </c>
      <c r="F764" s="1" t="s">
        <v>121</v>
      </c>
      <c r="G764" s="1" t="s">
        <v>121</v>
      </c>
      <c r="H764" s="1" t="s">
        <v>121</v>
      </c>
      <c r="I764" s="1" t="s">
        <v>126</v>
      </c>
      <c r="J764" s="1" t="s">
        <v>137</v>
      </c>
      <c r="K764" t="s">
        <v>87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30">
        <v>0</v>
      </c>
      <c r="W764" s="30">
        <v>0</v>
      </c>
      <c r="X764" s="30">
        <v>38054.279339999994</v>
      </c>
      <c r="Y764" s="30">
        <v>17535.22319671305</v>
      </c>
      <c r="Z764" s="30">
        <v>0</v>
      </c>
      <c r="AA764" s="30">
        <v>0</v>
      </c>
      <c r="AB764" s="34">
        <v>0</v>
      </c>
      <c r="AC764" s="34">
        <v>0</v>
      </c>
      <c r="AD764" s="34">
        <v>0</v>
      </c>
      <c r="AE764" s="34">
        <v>0</v>
      </c>
      <c r="AF764" s="34">
        <v>0</v>
      </c>
      <c r="AG764" s="34">
        <v>0.49</v>
      </c>
      <c r="AH764" s="34">
        <v>0</v>
      </c>
      <c r="AI764" s="37">
        <f t="shared" si="105"/>
        <v>0</v>
      </c>
      <c r="AJ764" s="37">
        <f t="shared" si="106"/>
        <v>0</v>
      </c>
      <c r="AK764" s="37">
        <f t="shared" si="107"/>
        <v>0</v>
      </c>
      <c r="AL764" s="37">
        <f t="shared" si="108"/>
        <v>0</v>
      </c>
      <c r="AM764" s="37">
        <f t="shared" si="109"/>
        <v>0</v>
      </c>
      <c r="AN764" s="37">
        <f t="shared" si="110"/>
        <v>18646.596876599997</v>
      </c>
      <c r="AO764" s="37">
        <f t="shared" si="111"/>
        <v>0</v>
      </c>
    </row>
    <row r="765" spans="1:41" hidden="1" x14ac:dyDescent="0.3">
      <c r="A765" t="str">
        <f t="shared" si="112"/>
        <v>460sep</v>
      </c>
      <c r="B765" t="str">
        <f t="shared" si="113"/>
        <v>KIDS TARIJAsep</v>
      </c>
      <c r="C765" s="1" t="s">
        <v>94</v>
      </c>
      <c r="D765" s="1" t="s">
        <v>30</v>
      </c>
      <c r="E765" s="1">
        <v>460</v>
      </c>
      <c r="F765" s="1" t="s">
        <v>121</v>
      </c>
      <c r="G765" s="1" t="s">
        <v>121</v>
      </c>
      <c r="H765" s="1" t="s">
        <v>121</v>
      </c>
      <c r="I765" s="1" t="s">
        <v>126</v>
      </c>
      <c r="J765" s="1" t="s">
        <v>137</v>
      </c>
      <c r="K765" t="s">
        <v>88</v>
      </c>
      <c r="L765" s="6">
        <v>0</v>
      </c>
      <c r="M765" s="6">
        <v>0</v>
      </c>
      <c r="N765" s="6">
        <v>0</v>
      </c>
      <c r="O765" s="6">
        <v>0</v>
      </c>
      <c r="P765" s="6">
        <v>23580.008718749996</v>
      </c>
      <c r="Q765" s="6">
        <v>12471.56931706875</v>
      </c>
      <c r="R765" s="6">
        <v>0</v>
      </c>
      <c r="S765" s="6">
        <v>0</v>
      </c>
      <c r="T765" s="6">
        <v>0</v>
      </c>
      <c r="U765" s="6">
        <v>0</v>
      </c>
      <c r="V765" s="30">
        <v>0</v>
      </c>
      <c r="W765" s="30">
        <v>0</v>
      </c>
      <c r="X765" s="30">
        <v>24823.763011329334</v>
      </c>
      <c r="Y765" s="30">
        <v>12576.66504495654</v>
      </c>
      <c r="Z765" s="30">
        <v>0</v>
      </c>
      <c r="AA765" s="30">
        <v>0</v>
      </c>
      <c r="AB765" s="34">
        <v>0</v>
      </c>
      <c r="AC765" s="34">
        <v>0</v>
      </c>
      <c r="AD765" s="34">
        <v>0</v>
      </c>
      <c r="AE765" s="34">
        <v>0</v>
      </c>
      <c r="AF765" s="34">
        <v>0</v>
      </c>
      <c r="AG765" s="34">
        <v>0.8</v>
      </c>
      <c r="AH765" s="34">
        <v>0</v>
      </c>
      <c r="AI765" s="37">
        <f t="shared" si="105"/>
        <v>0</v>
      </c>
      <c r="AJ765" s="37">
        <f t="shared" si="106"/>
        <v>0</v>
      </c>
      <c r="AK765" s="37">
        <f t="shared" si="107"/>
        <v>0</v>
      </c>
      <c r="AL765" s="37">
        <f t="shared" si="108"/>
        <v>0</v>
      </c>
      <c r="AM765" s="37">
        <f t="shared" si="109"/>
        <v>0</v>
      </c>
      <c r="AN765" s="37">
        <f t="shared" si="110"/>
        <v>19859.01040906347</v>
      </c>
      <c r="AO765" s="37">
        <f t="shared" si="111"/>
        <v>0</v>
      </c>
    </row>
    <row r="766" spans="1:41" hidden="1" x14ac:dyDescent="0.3">
      <c r="A766" t="str">
        <f t="shared" si="112"/>
        <v>460oct</v>
      </c>
      <c r="B766" t="str">
        <f t="shared" si="113"/>
        <v>KIDS TARIJAoct</v>
      </c>
      <c r="C766" s="1" t="s">
        <v>94</v>
      </c>
      <c r="D766" s="1" t="s">
        <v>30</v>
      </c>
      <c r="E766" s="1">
        <v>460</v>
      </c>
      <c r="F766" s="1" t="s">
        <v>121</v>
      </c>
      <c r="G766" s="1" t="s">
        <v>121</v>
      </c>
      <c r="H766" s="1" t="s">
        <v>121</v>
      </c>
      <c r="I766" s="1" t="s">
        <v>126</v>
      </c>
      <c r="J766" s="1" t="s">
        <v>137</v>
      </c>
      <c r="K766" t="s">
        <v>89</v>
      </c>
      <c r="L766" s="6">
        <v>0</v>
      </c>
      <c r="M766" s="6">
        <v>0</v>
      </c>
      <c r="N766" s="6">
        <v>0</v>
      </c>
      <c r="O766" s="6">
        <v>0</v>
      </c>
      <c r="P766" s="6">
        <v>29163.024592649974</v>
      </c>
      <c r="Q766" s="6">
        <v>15312.59797063049</v>
      </c>
      <c r="R766" s="6">
        <v>26751.521000000001</v>
      </c>
      <c r="S766" s="6">
        <v>13589.772679239399</v>
      </c>
      <c r="T766" s="6">
        <v>0</v>
      </c>
      <c r="U766" s="6">
        <v>0</v>
      </c>
      <c r="V766" s="30">
        <v>0</v>
      </c>
      <c r="W766" s="30">
        <v>0</v>
      </c>
      <c r="X766" s="30">
        <v>24889.091759660572</v>
      </c>
      <c r="Y766" s="30">
        <v>12830.600441005196</v>
      </c>
      <c r="Z766" s="30">
        <v>0</v>
      </c>
      <c r="AA766" s="30">
        <v>0</v>
      </c>
      <c r="AB766" s="34">
        <v>0</v>
      </c>
      <c r="AC766" s="34">
        <v>0</v>
      </c>
      <c r="AD766" s="34">
        <v>0</v>
      </c>
      <c r="AE766" s="34">
        <v>0.9</v>
      </c>
      <c r="AF766" s="34">
        <v>0.9</v>
      </c>
      <c r="AG766" s="34">
        <v>0.86</v>
      </c>
      <c r="AH766" s="34">
        <v>0</v>
      </c>
      <c r="AI766" s="37">
        <f t="shared" si="105"/>
        <v>0</v>
      </c>
      <c r="AJ766" s="37">
        <f t="shared" si="106"/>
        <v>0</v>
      </c>
      <c r="AK766" s="37">
        <f t="shared" si="107"/>
        <v>0</v>
      </c>
      <c r="AL766" s="37">
        <f t="shared" si="108"/>
        <v>24076.368900000001</v>
      </c>
      <c r="AM766" s="37">
        <f t="shared" si="109"/>
        <v>0</v>
      </c>
      <c r="AN766" s="37">
        <f t="shared" si="110"/>
        <v>21404.618913308092</v>
      </c>
      <c r="AO766" s="37">
        <f t="shared" si="111"/>
        <v>0</v>
      </c>
    </row>
    <row r="767" spans="1:41" hidden="1" x14ac:dyDescent="0.3">
      <c r="A767" t="str">
        <f t="shared" si="112"/>
        <v>460nov</v>
      </c>
      <c r="B767" t="str">
        <f t="shared" si="113"/>
        <v>KIDS TARIJAnov</v>
      </c>
      <c r="C767" s="1" t="s">
        <v>94</v>
      </c>
      <c r="D767" s="1" t="s">
        <v>30</v>
      </c>
      <c r="E767" s="1">
        <v>460</v>
      </c>
      <c r="F767" s="1" t="s">
        <v>121</v>
      </c>
      <c r="G767" s="1" t="s">
        <v>121</v>
      </c>
      <c r="H767" s="1" t="s">
        <v>121</v>
      </c>
      <c r="I767" s="1" t="s">
        <v>126</v>
      </c>
      <c r="J767" s="1" t="s">
        <v>137</v>
      </c>
      <c r="K767" t="s">
        <v>90</v>
      </c>
      <c r="L767" s="6">
        <v>0</v>
      </c>
      <c r="M767" s="6">
        <v>0</v>
      </c>
      <c r="N767" s="6">
        <v>0</v>
      </c>
      <c r="O767" s="6">
        <v>0</v>
      </c>
      <c r="P767" s="6">
        <v>34892.531623349976</v>
      </c>
      <c r="Q767" s="6">
        <v>16954.69135923449</v>
      </c>
      <c r="R767" s="6">
        <v>32360.789257439988</v>
      </c>
      <c r="S767" s="6">
        <v>15581.720027457355</v>
      </c>
      <c r="T767" s="6">
        <v>26961.206896551717</v>
      </c>
      <c r="U767" s="6">
        <v>10712.606425645781</v>
      </c>
      <c r="V767" s="30">
        <v>32360.789257439988</v>
      </c>
      <c r="W767" s="30">
        <v>15581.720027457355</v>
      </c>
      <c r="X767" s="30">
        <v>30420.285082048871</v>
      </c>
      <c r="Y767" s="30">
        <v>14512.36039372758</v>
      </c>
      <c r="Z767" s="30">
        <v>0</v>
      </c>
      <c r="AA767" s="30">
        <v>0</v>
      </c>
      <c r="AB767" s="34">
        <v>0</v>
      </c>
      <c r="AC767" s="34">
        <v>0</v>
      </c>
      <c r="AD767" s="34">
        <v>0.41910182709033478</v>
      </c>
      <c r="AE767" s="34">
        <v>0.65</v>
      </c>
      <c r="AF767" s="34">
        <v>0.65</v>
      </c>
      <c r="AG767" s="34">
        <v>0.6</v>
      </c>
      <c r="AH767" s="34">
        <v>0</v>
      </c>
      <c r="AI767" s="37">
        <f t="shared" si="105"/>
        <v>0</v>
      </c>
      <c r="AJ767" s="37">
        <f t="shared" si="106"/>
        <v>0</v>
      </c>
      <c r="AK767" s="37">
        <f t="shared" si="107"/>
        <v>11299.49107090536</v>
      </c>
      <c r="AL767" s="37">
        <f t="shared" si="108"/>
        <v>21034.513017335994</v>
      </c>
      <c r="AM767" s="37">
        <f t="shared" si="109"/>
        <v>21034.513017335994</v>
      </c>
      <c r="AN767" s="37">
        <f t="shared" si="110"/>
        <v>18252.17104922932</v>
      </c>
      <c r="AO767" s="37">
        <f t="shared" si="111"/>
        <v>0</v>
      </c>
    </row>
    <row r="768" spans="1:41" hidden="1" x14ac:dyDescent="0.3">
      <c r="A768" t="str">
        <f t="shared" si="112"/>
        <v>460dic</v>
      </c>
      <c r="B768" t="str">
        <f t="shared" si="113"/>
        <v>KIDS TARIJAdic</v>
      </c>
      <c r="C768" s="1" t="s">
        <v>94</v>
      </c>
      <c r="D768" s="1" t="s">
        <v>30</v>
      </c>
      <c r="E768" s="1">
        <v>460</v>
      </c>
      <c r="F768" s="1" t="s">
        <v>121</v>
      </c>
      <c r="G768" s="1" t="s">
        <v>121</v>
      </c>
      <c r="H768" s="1" t="s">
        <v>121</v>
      </c>
      <c r="I768" s="1" t="s">
        <v>126</v>
      </c>
      <c r="J768" s="1" t="s">
        <v>137</v>
      </c>
      <c r="K768" t="s">
        <v>91</v>
      </c>
      <c r="L768" s="6">
        <v>0</v>
      </c>
      <c r="M768" s="6">
        <v>0</v>
      </c>
      <c r="N768" s="6">
        <v>0</v>
      </c>
      <c r="O768" s="6">
        <v>0</v>
      </c>
      <c r="P768" s="6">
        <v>49610.416923000012</v>
      </c>
      <c r="Q768" s="6">
        <v>26898.858297135012</v>
      </c>
      <c r="R768" s="6">
        <v>63227.390249280033</v>
      </c>
      <c r="S768" s="6">
        <v>31487.240344141457</v>
      </c>
      <c r="T768" s="6">
        <v>56532.183908045976</v>
      </c>
      <c r="U768" s="6">
        <v>26699.395188231425</v>
      </c>
      <c r="V768" s="30">
        <v>63227.390249280033</v>
      </c>
      <c r="W768" s="30">
        <v>31487.240344141457</v>
      </c>
      <c r="X768" s="30">
        <v>60002.037366900731</v>
      </c>
      <c r="Y768" s="30">
        <v>30842.978358508823</v>
      </c>
      <c r="Z768" s="30">
        <v>0</v>
      </c>
      <c r="AA768" s="30">
        <v>0</v>
      </c>
      <c r="AB768" s="34">
        <v>0</v>
      </c>
      <c r="AC768" s="34">
        <v>0</v>
      </c>
      <c r="AD768" s="34">
        <v>0.62849140671390136</v>
      </c>
      <c r="AE768" s="34">
        <v>0.8</v>
      </c>
      <c r="AF768" s="34">
        <v>0.8</v>
      </c>
      <c r="AG768" s="34">
        <v>0.85</v>
      </c>
      <c r="AH768" s="34">
        <v>0</v>
      </c>
      <c r="AI768" s="37">
        <f t="shared" si="105"/>
        <v>0</v>
      </c>
      <c r="AJ768" s="37">
        <f t="shared" si="106"/>
        <v>0</v>
      </c>
      <c r="AK768" s="37">
        <f t="shared" si="107"/>
        <v>35529.991788976789</v>
      </c>
      <c r="AL768" s="37">
        <f t="shared" si="108"/>
        <v>50581.912199424027</v>
      </c>
      <c r="AM768" s="37">
        <f t="shared" si="109"/>
        <v>50581.912199424027</v>
      </c>
      <c r="AN768" s="37">
        <f t="shared" si="110"/>
        <v>51001.731761865623</v>
      </c>
      <c r="AO768" s="37">
        <f t="shared" si="111"/>
        <v>0</v>
      </c>
    </row>
    <row r="769" spans="1:41" hidden="1" x14ac:dyDescent="0.3">
      <c r="A769" t="str">
        <f t="shared" si="112"/>
        <v>491ene</v>
      </c>
      <c r="B769" t="str">
        <f t="shared" si="113"/>
        <v>KIDS VENTURAene</v>
      </c>
      <c r="C769" s="1" t="s">
        <v>94</v>
      </c>
      <c r="D769" s="1" t="s">
        <v>31</v>
      </c>
      <c r="E769" s="1">
        <v>491</v>
      </c>
      <c r="F769" s="1" t="s">
        <v>121</v>
      </c>
      <c r="G769" s="1" t="s">
        <v>119</v>
      </c>
      <c r="H769" s="1" t="s">
        <v>119</v>
      </c>
      <c r="I769" s="1" t="s">
        <v>127</v>
      </c>
      <c r="J769" s="1" t="s">
        <v>138</v>
      </c>
      <c r="K769" t="s">
        <v>80</v>
      </c>
      <c r="L769" s="6">
        <v>0</v>
      </c>
      <c r="M769" s="6">
        <v>0</v>
      </c>
      <c r="N769" s="6">
        <v>0</v>
      </c>
      <c r="O769" s="6">
        <v>0</v>
      </c>
      <c r="P769" s="6">
        <v>83283.790321875</v>
      </c>
      <c r="Q769" s="6">
        <v>43206.781370593751</v>
      </c>
      <c r="R769" s="6">
        <v>56474.590000000106</v>
      </c>
      <c r="S769" s="6">
        <v>30455.281457599594</v>
      </c>
      <c r="T769" s="6">
        <v>56474.590000000069</v>
      </c>
      <c r="U769" s="6">
        <v>30500.280000000064</v>
      </c>
      <c r="V769" s="30">
        <v>62122.049000000268</v>
      </c>
      <c r="W769" s="30">
        <v>33550.308000000179</v>
      </c>
      <c r="X769" s="30">
        <v>67091.812920000288</v>
      </c>
      <c r="Y769" s="30">
        <v>34609.111182400113</v>
      </c>
      <c r="Z769" s="30">
        <v>76672.557471264401</v>
      </c>
      <c r="AA769" s="30">
        <v>40926.050550232088</v>
      </c>
      <c r="AB769" s="34">
        <v>0</v>
      </c>
      <c r="AC769" s="34">
        <v>0</v>
      </c>
      <c r="AD769" s="34">
        <v>0.92770807466501992</v>
      </c>
      <c r="AE769" s="34">
        <v>0.92770807466501992</v>
      </c>
      <c r="AF769" s="34">
        <v>0.92770807466501992</v>
      </c>
      <c r="AG769" s="34">
        <v>0.8600000000000001</v>
      </c>
      <c r="AH769" s="34">
        <v>0.9588412434576804</v>
      </c>
      <c r="AI769" s="37">
        <f t="shared" si="105"/>
        <v>0</v>
      </c>
      <c r="AJ769" s="37">
        <f t="shared" si="106"/>
        <v>0</v>
      </c>
      <c r="AK769" s="37">
        <f t="shared" si="107"/>
        <v>52391.933156396452</v>
      </c>
      <c r="AL769" s="37">
        <f t="shared" si="108"/>
        <v>52391.933156396488</v>
      </c>
      <c r="AM769" s="37">
        <f t="shared" si="109"/>
        <v>57631.126472036274</v>
      </c>
      <c r="AN769" s="37">
        <f t="shared" si="110"/>
        <v>57698.959111200253</v>
      </c>
      <c r="AO769" s="37">
        <f t="shared" si="111"/>
        <v>73516.810344827623</v>
      </c>
    </row>
    <row r="770" spans="1:41" hidden="1" x14ac:dyDescent="0.3">
      <c r="A770" t="str">
        <f t="shared" si="112"/>
        <v>491feb</v>
      </c>
      <c r="B770" t="str">
        <f t="shared" si="113"/>
        <v>KIDS VENTURAfeb</v>
      </c>
      <c r="C770" s="1" t="s">
        <v>94</v>
      </c>
      <c r="D770" s="1" t="s">
        <v>31</v>
      </c>
      <c r="E770" s="1">
        <v>491</v>
      </c>
      <c r="F770" s="1" t="s">
        <v>121</v>
      </c>
      <c r="G770" s="1" t="s">
        <v>119</v>
      </c>
      <c r="H770" s="1" t="s">
        <v>119</v>
      </c>
      <c r="I770" s="1" t="s">
        <v>127</v>
      </c>
      <c r="J770" s="1" t="s">
        <v>138</v>
      </c>
      <c r="K770" t="s">
        <v>81</v>
      </c>
      <c r="L770" s="6">
        <v>0</v>
      </c>
      <c r="M770" s="6">
        <v>0</v>
      </c>
      <c r="N770" s="6">
        <v>0</v>
      </c>
      <c r="O770" s="6">
        <v>0</v>
      </c>
      <c r="P770" s="6">
        <v>111650.5</v>
      </c>
      <c r="Q770" s="6">
        <v>46910.532499999994</v>
      </c>
      <c r="R770" s="6">
        <v>76955.290000000125</v>
      </c>
      <c r="S770" s="6">
        <v>37272.640000000065</v>
      </c>
      <c r="T770" s="6">
        <v>76955.290000000095</v>
      </c>
      <c r="U770" s="6">
        <v>37272.640000000101</v>
      </c>
      <c r="V770" s="30">
        <v>84650.819000000163</v>
      </c>
      <c r="W770" s="30">
        <v>40999.904000000141</v>
      </c>
      <c r="X770" s="30">
        <v>90576.376330000174</v>
      </c>
      <c r="Y770" s="30">
        <v>41894.918432897168</v>
      </c>
      <c r="Z770" s="30">
        <v>93299.568965517523</v>
      </c>
      <c r="AA770" s="30">
        <v>42055.049920811616</v>
      </c>
      <c r="AB770" s="34">
        <v>0</v>
      </c>
      <c r="AC770" s="34">
        <v>0</v>
      </c>
      <c r="AD770" s="34">
        <v>0.54156017084725505</v>
      </c>
      <c r="AE770" s="34">
        <v>0.54156017084725427</v>
      </c>
      <c r="AF770" s="34">
        <v>0.54156017084725427</v>
      </c>
      <c r="AG770" s="34">
        <v>0.48999999999999988</v>
      </c>
      <c r="AH770" s="34">
        <v>0.59427286656964973</v>
      </c>
      <c r="AI770" s="37">
        <f t="shared" si="105"/>
        <v>0</v>
      </c>
      <c r="AJ770" s="37">
        <f t="shared" si="106"/>
        <v>0</v>
      </c>
      <c r="AK770" s="37">
        <f t="shared" si="107"/>
        <v>41675.920000000107</v>
      </c>
      <c r="AL770" s="37">
        <f t="shared" si="108"/>
        <v>41675.920000000064</v>
      </c>
      <c r="AM770" s="37">
        <f t="shared" si="109"/>
        <v>45843.51200000009</v>
      </c>
      <c r="AN770" s="37">
        <f t="shared" si="110"/>
        <v>44382.424401700075</v>
      </c>
      <c r="AO770" s="37">
        <f t="shared" si="111"/>
        <v>55445.40229885083</v>
      </c>
    </row>
    <row r="771" spans="1:41" hidden="1" x14ac:dyDescent="0.3">
      <c r="A771" t="str">
        <f t="shared" si="112"/>
        <v>491mar</v>
      </c>
      <c r="B771" t="str">
        <f t="shared" si="113"/>
        <v>KIDS VENTURAmar</v>
      </c>
      <c r="C771" s="1" t="s">
        <v>94</v>
      </c>
      <c r="D771" s="1" t="s">
        <v>31</v>
      </c>
      <c r="E771" s="1">
        <v>491</v>
      </c>
      <c r="F771" s="1" t="s">
        <v>121</v>
      </c>
      <c r="G771" s="1" t="s">
        <v>119</v>
      </c>
      <c r="H771" s="1" t="s">
        <v>119</v>
      </c>
      <c r="I771" s="1" t="s">
        <v>127</v>
      </c>
      <c r="J771" s="1" t="s">
        <v>138</v>
      </c>
      <c r="K771" t="s">
        <v>82</v>
      </c>
      <c r="L771" s="6">
        <v>0</v>
      </c>
      <c r="M771" s="6">
        <v>0</v>
      </c>
      <c r="N771" s="6">
        <v>0</v>
      </c>
      <c r="O771" s="6">
        <v>0</v>
      </c>
      <c r="P771" s="6">
        <v>83040.75</v>
      </c>
      <c r="Q771" s="6">
        <v>40689.870000000003</v>
      </c>
      <c r="R771" s="6">
        <v>68869.800000000061</v>
      </c>
      <c r="S771" s="6">
        <v>33382.430865473267</v>
      </c>
      <c r="T771" s="6">
        <v>68869.800000000105</v>
      </c>
      <c r="U771" s="6">
        <v>33458.480000000098</v>
      </c>
      <c r="V771" s="30">
        <v>68869.80000000025</v>
      </c>
      <c r="W771" s="30">
        <v>33458.480000000163</v>
      </c>
      <c r="X771" s="30">
        <v>75756.780000000275</v>
      </c>
      <c r="Y771" s="30">
        <v>38424.000346809582</v>
      </c>
      <c r="Z771" s="30">
        <v>74108.350879168996</v>
      </c>
      <c r="AA771" s="30">
        <v>37350.608843101174</v>
      </c>
      <c r="AB771" s="34">
        <v>0</v>
      </c>
      <c r="AC771" s="34">
        <v>0</v>
      </c>
      <c r="AD771" s="34">
        <v>0.60417811569543467</v>
      </c>
      <c r="AE771" s="34">
        <v>0.60417811569543334</v>
      </c>
      <c r="AF771" s="34">
        <v>0.60417811569543334</v>
      </c>
      <c r="AG771" s="34">
        <v>0.79999999999999993</v>
      </c>
      <c r="AH771" s="34">
        <v>0.8897434115809425</v>
      </c>
      <c r="AI771" s="37">
        <f t="shared" si="105"/>
        <v>0</v>
      </c>
      <c r="AJ771" s="37">
        <f t="shared" si="106"/>
        <v>0</v>
      </c>
      <c r="AK771" s="37">
        <f t="shared" si="107"/>
        <v>41609.625992321511</v>
      </c>
      <c r="AL771" s="37">
        <f t="shared" si="108"/>
        <v>41609.625992321395</v>
      </c>
      <c r="AM771" s="37">
        <f t="shared" si="109"/>
        <v>41609.625992321504</v>
      </c>
      <c r="AN771" s="37">
        <f t="shared" si="110"/>
        <v>60605.424000000217</v>
      </c>
      <c r="AO771" s="37">
        <f t="shared" si="111"/>
        <v>65937.416937869362</v>
      </c>
    </row>
    <row r="772" spans="1:41" hidden="1" x14ac:dyDescent="0.3">
      <c r="A772" t="str">
        <f t="shared" si="112"/>
        <v>491abr</v>
      </c>
      <c r="B772" t="str">
        <f t="shared" si="113"/>
        <v>KIDS VENTURAabr</v>
      </c>
      <c r="C772" s="1" t="s">
        <v>94</v>
      </c>
      <c r="D772" s="1" t="s">
        <v>31</v>
      </c>
      <c r="E772" s="1">
        <v>491</v>
      </c>
      <c r="F772" s="1" t="s">
        <v>121</v>
      </c>
      <c r="G772" s="1" t="s">
        <v>119</v>
      </c>
      <c r="H772" s="1" t="s">
        <v>119</v>
      </c>
      <c r="I772" s="1" t="s">
        <v>127</v>
      </c>
      <c r="J772" s="1" t="s">
        <v>138</v>
      </c>
      <c r="K772" t="s">
        <v>83</v>
      </c>
      <c r="L772" s="6">
        <v>0</v>
      </c>
      <c r="M772" s="6">
        <v>0</v>
      </c>
      <c r="N772" s="6">
        <v>0</v>
      </c>
      <c r="O772" s="6">
        <v>0</v>
      </c>
      <c r="P772" s="6">
        <v>87894.95</v>
      </c>
      <c r="Q772" s="6">
        <v>43765.371000000006</v>
      </c>
      <c r="R772" s="6">
        <v>77756.950000000172</v>
      </c>
      <c r="S772" s="6">
        <v>40948.350268617141</v>
      </c>
      <c r="T772" s="6">
        <v>77756.950000000215</v>
      </c>
      <c r="U772" s="6">
        <v>40946.310000000216</v>
      </c>
      <c r="V772" s="30">
        <v>77756.950000000332</v>
      </c>
      <c r="W772" s="30">
        <v>40946.310000000281</v>
      </c>
      <c r="X772" s="30">
        <v>85532.645000000368</v>
      </c>
      <c r="Y772" s="30">
        <v>42149.974287673067</v>
      </c>
      <c r="Z772" s="30">
        <v>0</v>
      </c>
      <c r="AA772" s="30">
        <v>0</v>
      </c>
      <c r="AB772" s="34">
        <v>0</v>
      </c>
      <c r="AC772" s="34">
        <v>0</v>
      </c>
      <c r="AD772" s="34">
        <v>0.89296019637541935</v>
      </c>
      <c r="AE772" s="34">
        <v>0.89296019637541879</v>
      </c>
      <c r="AF772" s="34">
        <v>0.89296019637541879</v>
      </c>
      <c r="AG772" s="34">
        <v>0.7</v>
      </c>
      <c r="AH772" s="34">
        <v>0</v>
      </c>
      <c r="AI772" s="37">
        <f t="shared" si="105"/>
        <v>0</v>
      </c>
      <c r="AJ772" s="37">
        <f t="shared" si="106"/>
        <v>0</v>
      </c>
      <c r="AK772" s="37">
        <f t="shared" si="107"/>
        <v>69433.861341553857</v>
      </c>
      <c r="AL772" s="37">
        <f t="shared" si="108"/>
        <v>69433.861341553769</v>
      </c>
      <c r="AM772" s="37">
        <f t="shared" si="109"/>
        <v>69433.861341553915</v>
      </c>
      <c r="AN772" s="37">
        <f t="shared" si="110"/>
        <v>59872.851500000252</v>
      </c>
      <c r="AO772" s="37">
        <f t="shared" si="111"/>
        <v>0</v>
      </c>
    </row>
    <row r="773" spans="1:41" hidden="1" x14ac:dyDescent="0.3">
      <c r="A773" t="str">
        <f t="shared" si="112"/>
        <v>491may</v>
      </c>
      <c r="B773" t="str">
        <f t="shared" si="113"/>
        <v>KIDS VENTURAmay</v>
      </c>
      <c r="C773" s="1" t="s">
        <v>94</v>
      </c>
      <c r="D773" s="1" t="s">
        <v>31</v>
      </c>
      <c r="E773" s="1">
        <v>491</v>
      </c>
      <c r="F773" s="1" t="s">
        <v>121</v>
      </c>
      <c r="G773" s="1" t="s">
        <v>119</v>
      </c>
      <c r="H773" s="1" t="s">
        <v>119</v>
      </c>
      <c r="I773" s="1" t="s">
        <v>127</v>
      </c>
      <c r="J773" s="1" t="s">
        <v>138</v>
      </c>
      <c r="K773" t="s">
        <v>84</v>
      </c>
      <c r="L773" s="6">
        <v>0</v>
      </c>
      <c r="M773" s="6">
        <v>0</v>
      </c>
      <c r="N773" s="6">
        <v>0</v>
      </c>
      <c r="O773" s="6">
        <v>0</v>
      </c>
      <c r="P773" s="6">
        <v>75339.55</v>
      </c>
      <c r="Q773" s="6">
        <v>40280.246500000001</v>
      </c>
      <c r="R773" s="6">
        <v>74555.200000000041</v>
      </c>
      <c r="S773" s="6">
        <v>39842.890000000036</v>
      </c>
      <c r="T773" s="6">
        <v>74555.200000000026</v>
      </c>
      <c r="U773" s="6">
        <v>39842.890000000021</v>
      </c>
      <c r="V773" s="30">
        <v>74555.200000000026</v>
      </c>
      <c r="W773" s="30">
        <v>39842.890000000021</v>
      </c>
      <c r="X773" s="30">
        <v>81265.168000000034</v>
      </c>
      <c r="Y773" s="30">
        <v>42154.569893549626</v>
      </c>
      <c r="Z773" s="30">
        <v>0</v>
      </c>
      <c r="AA773" s="30">
        <v>0</v>
      </c>
      <c r="AB773" s="34">
        <v>0</v>
      </c>
      <c r="AC773" s="34">
        <v>0</v>
      </c>
      <c r="AD773" s="34">
        <v>0.91681827692769968</v>
      </c>
      <c r="AE773" s="34">
        <v>0.91681827692769924</v>
      </c>
      <c r="AF773" s="34">
        <v>0.91681827692769924</v>
      </c>
      <c r="AG773" s="34">
        <v>0.88</v>
      </c>
      <c r="AH773" s="34">
        <v>0</v>
      </c>
      <c r="AI773" s="37">
        <f t="shared" ref="AI773:AI836" si="114">L773*AB773</f>
        <v>0</v>
      </c>
      <c r="AJ773" s="37">
        <f t="shared" ref="AJ773:AJ836" si="115">N773*AC773</f>
        <v>0</v>
      </c>
      <c r="AK773" s="37">
        <f t="shared" ref="AK773:AK836" si="116">T773*AD773</f>
        <v>68353.570000000065</v>
      </c>
      <c r="AL773" s="37">
        <f t="shared" ref="AL773:AL836" si="117">R773*AE773</f>
        <v>68353.570000000036</v>
      </c>
      <c r="AM773" s="37">
        <f t="shared" ref="AM773:AM836" si="118">V773*AF773</f>
        <v>68353.570000000022</v>
      </c>
      <c r="AN773" s="37">
        <f t="shared" ref="AN773:AN836" si="119">X773*AG773</f>
        <v>71513.347840000031</v>
      </c>
      <c r="AO773" s="37">
        <f t="shared" ref="AO773:AO836" si="120">Z773*AH773</f>
        <v>0</v>
      </c>
    </row>
    <row r="774" spans="1:41" hidden="1" x14ac:dyDescent="0.3">
      <c r="A774" t="str">
        <f t="shared" si="112"/>
        <v>491jun</v>
      </c>
      <c r="B774" t="str">
        <f t="shared" si="113"/>
        <v>KIDS VENTURAjun</v>
      </c>
      <c r="C774" s="1" t="s">
        <v>94</v>
      </c>
      <c r="D774" s="1" t="s">
        <v>31</v>
      </c>
      <c r="E774" s="1">
        <v>491</v>
      </c>
      <c r="F774" s="1" t="s">
        <v>121</v>
      </c>
      <c r="G774" s="1" t="s">
        <v>119</v>
      </c>
      <c r="H774" s="1" t="s">
        <v>119</v>
      </c>
      <c r="I774" s="1" t="s">
        <v>127</v>
      </c>
      <c r="J774" s="1" t="s">
        <v>138</v>
      </c>
      <c r="K774" t="s">
        <v>85</v>
      </c>
      <c r="L774" s="6">
        <v>0</v>
      </c>
      <c r="M774" s="6">
        <v>0</v>
      </c>
      <c r="N774" s="6">
        <v>0</v>
      </c>
      <c r="O774" s="6">
        <v>0</v>
      </c>
      <c r="P774" s="6">
        <v>76978.749770000009</v>
      </c>
      <c r="Q774" s="6">
        <v>39537.856037550002</v>
      </c>
      <c r="R774" s="6">
        <v>70385.080000000162</v>
      </c>
      <c r="S774" s="6">
        <v>38436.970000000234</v>
      </c>
      <c r="T774" s="6">
        <v>70385.080000000133</v>
      </c>
      <c r="U774" s="6">
        <v>38436.970000000161</v>
      </c>
      <c r="V774" s="30">
        <v>70385.080000000133</v>
      </c>
      <c r="W774" s="30">
        <v>38436.970000000161</v>
      </c>
      <c r="X774" s="30">
        <v>78127.438800000135</v>
      </c>
      <c r="Y774" s="30">
        <v>40526.939899990444</v>
      </c>
      <c r="Z774" s="30">
        <v>0</v>
      </c>
      <c r="AA774" s="30">
        <v>0</v>
      </c>
      <c r="AB774" s="34">
        <v>0</v>
      </c>
      <c r="AC774" s="34">
        <v>0</v>
      </c>
      <c r="AD774" s="34">
        <v>0.97930186340627889</v>
      </c>
      <c r="AE774" s="34">
        <v>0.97930186340627878</v>
      </c>
      <c r="AF774" s="34">
        <v>0.97930186340627878</v>
      </c>
      <c r="AG774" s="34">
        <v>0.88</v>
      </c>
      <c r="AH774" s="34">
        <v>0</v>
      </c>
      <c r="AI774" s="37">
        <f t="shared" si="114"/>
        <v>0</v>
      </c>
      <c r="AJ774" s="37">
        <f t="shared" si="115"/>
        <v>0</v>
      </c>
      <c r="AK774" s="37">
        <f t="shared" si="116"/>
        <v>68928.240000000136</v>
      </c>
      <c r="AL774" s="37">
        <f t="shared" si="117"/>
        <v>68928.240000000165</v>
      </c>
      <c r="AM774" s="37">
        <f t="shared" si="118"/>
        <v>68928.240000000136</v>
      </c>
      <c r="AN774" s="37">
        <f t="shared" si="119"/>
        <v>68752.146144000115</v>
      </c>
      <c r="AO774" s="37">
        <f t="shared" si="120"/>
        <v>0</v>
      </c>
    </row>
    <row r="775" spans="1:41" hidden="1" x14ac:dyDescent="0.3">
      <c r="A775" t="str">
        <f t="shared" si="112"/>
        <v>491jul</v>
      </c>
      <c r="B775" t="str">
        <f t="shared" si="113"/>
        <v>KIDS VENTURAjul</v>
      </c>
      <c r="C775" s="1" t="s">
        <v>94</v>
      </c>
      <c r="D775" s="1" t="s">
        <v>31</v>
      </c>
      <c r="E775" s="1">
        <v>491</v>
      </c>
      <c r="F775" s="1" t="s">
        <v>121</v>
      </c>
      <c r="G775" s="1" t="s">
        <v>119</v>
      </c>
      <c r="H775" s="1" t="s">
        <v>119</v>
      </c>
      <c r="I775" s="1" t="s">
        <v>127</v>
      </c>
      <c r="J775" s="1" t="s">
        <v>138</v>
      </c>
      <c r="K775" t="s">
        <v>86</v>
      </c>
      <c r="L775" s="6">
        <v>0</v>
      </c>
      <c r="M775" s="6">
        <v>0</v>
      </c>
      <c r="N775" s="6">
        <v>0</v>
      </c>
      <c r="O775" s="6">
        <v>0</v>
      </c>
      <c r="P775" s="6">
        <v>94069.046630000012</v>
      </c>
      <c r="Q775" s="6">
        <v>47312.092749350006</v>
      </c>
      <c r="R775" s="6">
        <v>74275.69</v>
      </c>
      <c r="S775" s="6">
        <v>40354.523869974422</v>
      </c>
      <c r="T775" s="6">
        <v>74218.220000000132</v>
      </c>
      <c r="U775" s="6">
        <v>40323.300000000156</v>
      </c>
      <c r="V775" s="30">
        <v>74218.220000000205</v>
      </c>
      <c r="W775" s="30">
        <v>40323.300000000199</v>
      </c>
      <c r="X775" s="30">
        <v>81640.042000000205</v>
      </c>
      <c r="Y775" s="30">
        <v>42349.027772899397</v>
      </c>
      <c r="Z775" s="30">
        <v>0</v>
      </c>
      <c r="AA775" s="30">
        <v>0</v>
      </c>
      <c r="AB775" s="34">
        <v>0</v>
      </c>
      <c r="AC775" s="34">
        <v>0</v>
      </c>
      <c r="AD775" s="34">
        <v>0.97627550216105985</v>
      </c>
      <c r="AE775" s="34">
        <v>0.97627550216105985</v>
      </c>
      <c r="AF775" s="34">
        <v>0.97627550216105985</v>
      </c>
      <c r="AG775" s="34">
        <v>0.88</v>
      </c>
      <c r="AH775" s="34">
        <v>0</v>
      </c>
      <c r="AI775" s="37">
        <f t="shared" si="114"/>
        <v>0</v>
      </c>
      <c r="AJ775" s="37">
        <f t="shared" si="115"/>
        <v>0</v>
      </c>
      <c r="AK775" s="37">
        <f t="shared" si="116"/>
        <v>72457.430000000139</v>
      </c>
      <c r="AL775" s="37">
        <f t="shared" si="117"/>
        <v>72513.53655310921</v>
      </c>
      <c r="AM775" s="37">
        <f t="shared" si="118"/>
        <v>72457.430000000211</v>
      </c>
      <c r="AN775" s="37">
        <f t="shared" si="119"/>
        <v>71843.236960000184</v>
      </c>
      <c r="AO775" s="37">
        <f t="shared" si="120"/>
        <v>0</v>
      </c>
    </row>
    <row r="776" spans="1:41" hidden="1" x14ac:dyDescent="0.3">
      <c r="A776" t="str">
        <f t="shared" si="112"/>
        <v>491ago</v>
      </c>
      <c r="B776" t="str">
        <f t="shared" si="113"/>
        <v>KIDS VENTURAago</v>
      </c>
      <c r="C776" s="1" t="s">
        <v>94</v>
      </c>
      <c r="D776" s="1" t="s">
        <v>31</v>
      </c>
      <c r="E776" s="1">
        <v>491</v>
      </c>
      <c r="F776" s="1" t="s">
        <v>121</v>
      </c>
      <c r="G776" s="1" t="s">
        <v>119</v>
      </c>
      <c r="H776" s="1" t="s">
        <v>119</v>
      </c>
      <c r="I776" s="1" t="s">
        <v>127</v>
      </c>
      <c r="J776" s="1" t="s">
        <v>138</v>
      </c>
      <c r="K776" t="s">
        <v>87</v>
      </c>
      <c r="L776" s="6">
        <v>0</v>
      </c>
      <c r="M776" s="6">
        <v>0</v>
      </c>
      <c r="N776" s="6">
        <v>0</v>
      </c>
      <c r="O776" s="6">
        <v>0</v>
      </c>
      <c r="P776" s="6">
        <v>101723.41433799997</v>
      </c>
      <c r="Q776" s="6">
        <v>41000.022827009991</v>
      </c>
      <c r="R776" s="6">
        <v>86464.902187299958</v>
      </c>
      <c r="S776" s="6">
        <v>37326.898274257393</v>
      </c>
      <c r="T776" s="6">
        <v>102471.12999999996</v>
      </c>
      <c r="U776" s="6">
        <v>42470.919999999962</v>
      </c>
      <c r="V776" s="30">
        <v>95298.150900000255</v>
      </c>
      <c r="W776" s="30">
        <v>41140.211743530112</v>
      </c>
      <c r="X776" s="30">
        <v>101969.02146300027</v>
      </c>
      <c r="Y776" s="30">
        <v>47164.437461159469</v>
      </c>
      <c r="Z776" s="30">
        <v>0</v>
      </c>
      <c r="AA776" s="30">
        <v>0</v>
      </c>
      <c r="AB776" s="34">
        <v>0</v>
      </c>
      <c r="AC776" s="34">
        <v>0</v>
      </c>
      <c r="AD776" s="34">
        <v>0.39624545957481122</v>
      </c>
      <c r="AE776" s="34">
        <v>0.43</v>
      </c>
      <c r="AF776" s="34">
        <v>0.43</v>
      </c>
      <c r="AG776" s="34">
        <v>0.49000000000000005</v>
      </c>
      <c r="AH776" s="34">
        <v>0</v>
      </c>
      <c r="AI776" s="37">
        <f t="shared" si="114"/>
        <v>0</v>
      </c>
      <c r="AJ776" s="37">
        <f t="shared" si="115"/>
        <v>0</v>
      </c>
      <c r="AK776" s="37">
        <f t="shared" si="116"/>
        <v>40603.720000000212</v>
      </c>
      <c r="AL776" s="37">
        <f t="shared" si="117"/>
        <v>37179.907940538978</v>
      </c>
      <c r="AM776" s="37">
        <f t="shared" si="118"/>
        <v>40978.204887000109</v>
      </c>
      <c r="AN776" s="37">
        <f t="shared" si="119"/>
        <v>49964.820516870139</v>
      </c>
      <c r="AO776" s="37">
        <f t="shared" si="120"/>
        <v>0</v>
      </c>
    </row>
    <row r="777" spans="1:41" hidden="1" x14ac:dyDescent="0.3">
      <c r="A777" t="str">
        <f t="shared" si="112"/>
        <v>491sep</v>
      </c>
      <c r="B777" t="str">
        <f t="shared" si="113"/>
        <v>KIDS VENTURAsep</v>
      </c>
      <c r="C777" s="1" t="s">
        <v>94</v>
      </c>
      <c r="D777" s="1" t="s">
        <v>31</v>
      </c>
      <c r="E777" s="1">
        <v>491</v>
      </c>
      <c r="F777" s="1" t="s">
        <v>121</v>
      </c>
      <c r="G777" s="1" t="s">
        <v>119</v>
      </c>
      <c r="H777" s="1" t="s">
        <v>119</v>
      </c>
      <c r="I777" s="1" t="s">
        <v>127</v>
      </c>
      <c r="J777" s="1" t="s">
        <v>138</v>
      </c>
      <c r="K777" t="s">
        <v>88</v>
      </c>
      <c r="L777" s="6">
        <v>0</v>
      </c>
      <c r="M777" s="6">
        <v>0</v>
      </c>
      <c r="N777" s="6">
        <v>0</v>
      </c>
      <c r="O777" s="6">
        <v>0</v>
      </c>
      <c r="P777" s="6">
        <v>74655.792627000003</v>
      </c>
      <c r="Q777" s="6">
        <v>39523.664865165003</v>
      </c>
      <c r="R777" s="6">
        <v>76148.908479539998</v>
      </c>
      <c r="S777" s="6">
        <v>38866.402887957222</v>
      </c>
      <c r="T777" s="6">
        <v>75815.370000000199</v>
      </c>
      <c r="U777" s="6">
        <v>38498.610000000168</v>
      </c>
      <c r="V777" s="30">
        <v>75815.370000000199</v>
      </c>
      <c r="W777" s="30">
        <v>38498.610000000168</v>
      </c>
      <c r="X777" s="30">
        <v>82638.75330000023</v>
      </c>
      <c r="Y777" s="30">
        <v>41914.551878513186</v>
      </c>
      <c r="Z777" s="30">
        <v>0</v>
      </c>
      <c r="AA777" s="30">
        <v>0</v>
      </c>
      <c r="AB777" s="34">
        <v>0</v>
      </c>
      <c r="AC777" s="34">
        <v>0</v>
      </c>
      <c r="AD777" s="34">
        <v>0.80436381171786187</v>
      </c>
      <c r="AE777" s="34">
        <v>0.92</v>
      </c>
      <c r="AF777" s="34">
        <v>0.92</v>
      </c>
      <c r="AG777" s="34">
        <v>0.8</v>
      </c>
      <c r="AH777" s="34">
        <v>0</v>
      </c>
      <c r="AI777" s="37">
        <f t="shared" si="114"/>
        <v>0</v>
      </c>
      <c r="AJ777" s="37">
        <f t="shared" si="115"/>
        <v>0</v>
      </c>
      <c r="AK777" s="37">
        <f t="shared" si="116"/>
        <v>60983.140000000196</v>
      </c>
      <c r="AL777" s="37">
        <f t="shared" si="117"/>
        <v>70056.995801176803</v>
      </c>
      <c r="AM777" s="37">
        <f t="shared" si="118"/>
        <v>69750.140400000193</v>
      </c>
      <c r="AN777" s="37">
        <f t="shared" si="119"/>
        <v>66111.002640000181</v>
      </c>
      <c r="AO777" s="37">
        <f t="shared" si="120"/>
        <v>0</v>
      </c>
    </row>
    <row r="778" spans="1:41" hidden="1" x14ac:dyDescent="0.3">
      <c r="A778" t="str">
        <f t="shared" ref="A778:A830" si="121">CONCATENATE(E778,K778)</f>
        <v>491oct</v>
      </c>
      <c r="B778" t="str">
        <f t="shared" ref="B778:B830" si="122">CONCATENATE(D778,K778)</f>
        <v>KIDS VENTURAoct</v>
      </c>
      <c r="C778" s="1" t="s">
        <v>94</v>
      </c>
      <c r="D778" s="1" t="s">
        <v>31</v>
      </c>
      <c r="E778" s="1">
        <v>491</v>
      </c>
      <c r="F778" s="1" t="s">
        <v>121</v>
      </c>
      <c r="G778" s="1" t="s">
        <v>119</v>
      </c>
      <c r="H778" s="1" t="s">
        <v>119</v>
      </c>
      <c r="I778" s="1" t="s">
        <v>127</v>
      </c>
      <c r="J778" s="1" t="s">
        <v>138</v>
      </c>
      <c r="K778" t="s">
        <v>89</v>
      </c>
      <c r="L778" s="6">
        <v>0</v>
      </c>
      <c r="M778" s="6">
        <v>0</v>
      </c>
      <c r="N778" s="6">
        <v>0</v>
      </c>
      <c r="O778" s="6">
        <v>0</v>
      </c>
      <c r="P778" s="6">
        <v>85376.120797499971</v>
      </c>
      <c r="Q778" s="6">
        <v>44350.324714799986</v>
      </c>
      <c r="R778" s="6">
        <v>87083.643213449977</v>
      </c>
      <c r="S778" s="6">
        <v>44447.491496144867</v>
      </c>
      <c r="T778" s="6">
        <v>53501.380000000114</v>
      </c>
      <c r="U778" s="6">
        <v>28041.440000000104</v>
      </c>
      <c r="V778" s="30">
        <v>81011.119999999966</v>
      </c>
      <c r="W778" s="30">
        <v>41348.075647999976</v>
      </c>
      <c r="X778" s="30">
        <v>88302.12079999999</v>
      </c>
      <c r="Y778" s="30">
        <v>45550.38511260596</v>
      </c>
      <c r="Z778" s="30">
        <v>0</v>
      </c>
      <c r="AA778" s="30">
        <v>0</v>
      </c>
      <c r="AB778" s="34">
        <v>0</v>
      </c>
      <c r="AC778" s="34">
        <v>0</v>
      </c>
      <c r="AD778" s="34">
        <v>0.82629962068268192</v>
      </c>
      <c r="AE778" s="34">
        <v>0.92</v>
      </c>
      <c r="AF778" s="34">
        <v>0.92</v>
      </c>
      <c r="AG778" s="34">
        <v>0.8600000000000001</v>
      </c>
      <c r="AH778" s="34">
        <v>0</v>
      </c>
      <c r="AI778" s="37">
        <f t="shared" si="114"/>
        <v>0</v>
      </c>
      <c r="AJ778" s="37">
        <f t="shared" si="115"/>
        <v>0</v>
      </c>
      <c r="AK778" s="37">
        <f t="shared" si="116"/>
        <v>44208.170000000122</v>
      </c>
      <c r="AL778" s="37">
        <f t="shared" si="117"/>
        <v>80116.951756373979</v>
      </c>
      <c r="AM778" s="37">
        <f t="shared" si="118"/>
        <v>74530.230399999971</v>
      </c>
      <c r="AN778" s="37">
        <f t="shared" si="119"/>
        <v>75939.823887999999</v>
      </c>
      <c r="AO778" s="37">
        <f t="shared" si="120"/>
        <v>0</v>
      </c>
    </row>
    <row r="779" spans="1:41" hidden="1" x14ac:dyDescent="0.3">
      <c r="A779" t="str">
        <f t="shared" si="121"/>
        <v>491nov</v>
      </c>
      <c r="B779" t="str">
        <f t="shared" si="122"/>
        <v>KIDS VENTURAnov</v>
      </c>
      <c r="C779" s="1" t="s">
        <v>94</v>
      </c>
      <c r="D779" s="1" t="s">
        <v>31</v>
      </c>
      <c r="E779" s="1">
        <v>491</v>
      </c>
      <c r="F779" s="1" t="s">
        <v>121</v>
      </c>
      <c r="G779" s="1" t="s">
        <v>119</v>
      </c>
      <c r="H779" s="1" t="s">
        <v>119</v>
      </c>
      <c r="I779" s="1" t="s">
        <v>127</v>
      </c>
      <c r="J779" s="1" t="s">
        <v>138</v>
      </c>
      <c r="K779" t="s">
        <v>90</v>
      </c>
      <c r="L779" s="6">
        <v>0</v>
      </c>
      <c r="M779" s="6">
        <v>0</v>
      </c>
      <c r="N779" s="6">
        <v>0</v>
      </c>
      <c r="O779" s="6">
        <v>0</v>
      </c>
      <c r="P779" s="6">
        <v>99868.188582500021</v>
      </c>
      <c r="Q779" s="6">
        <v>48032.461713275006</v>
      </c>
      <c r="R779" s="6">
        <v>104861.59801162503</v>
      </c>
      <c r="S779" s="6">
        <v>50490.859442597459</v>
      </c>
      <c r="T779" s="6">
        <v>40784.482758620703</v>
      </c>
      <c r="U779" s="6">
        <v>15893.10208774756</v>
      </c>
      <c r="V779" s="30">
        <v>104861.59801162503</v>
      </c>
      <c r="W779" s="30">
        <v>50490.859442597459</v>
      </c>
      <c r="X779" s="30">
        <v>115347.75781278752</v>
      </c>
      <c r="Y779" s="30">
        <v>55180.737290987745</v>
      </c>
      <c r="Z779" s="30">
        <v>0</v>
      </c>
      <c r="AA779" s="30">
        <v>0</v>
      </c>
      <c r="AB779" s="34">
        <v>0</v>
      </c>
      <c r="AC779" s="34">
        <v>0</v>
      </c>
      <c r="AD779" s="34">
        <v>0.39624545957481122</v>
      </c>
      <c r="AE779" s="34">
        <v>0.65</v>
      </c>
      <c r="AF779" s="34">
        <v>0.65</v>
      </c>
      <c r="AG779" s="34">
        <v>0.6</v>
      </c>
      <c r="AH779" s="34">
        <v>0</v>
      </c>
      <c r="AI779" s="37">
        <f t="shared" si="114"/>
        <v>0</v>
      </c>
      <c r="AJ779" s="37">
        <f t="shared" si="115"/>
        <v>0</v>
      </c>
      <c r="AK779" s="37">
        <f t="shared" si="116"/>
        <v>16160.666114210624</v>
      </c>
      <c r="AL779" s="37">
        <f t="shared" si="117"/>
        <v>68160.038707556276</v>
      </c>
      <c r="AM779" s="37">
        <f t="shared" si="118"/>
        <v>68160.038707556276</v>
      </c>
      <c r="AN779" s="37">
        <f t="shared" si="119"/>
        <v>69208.654687672504</v>
      </c>
      <c r="AO779" s="37">
        <f t="shared" si="120"/>
        <v>0</v>
      </c>
    </row>
    <row r="780" spans="1:41" hidden="1" x14ac:dyDescent="0.3">
      <c r="A780" t="str">
        <f t="shared" si="121"/>
        <v>491dic</v>
      </c>
      <c r="B780" t="str">
        <f t="shared" si="122"/>
        <v>KIDS VENTURAdic</v>
      </c>
      <c r="C780" s="2" t="s">
        <v>94</v>
      </c>
      <c r="D780" s="1" t="s">
        <v>31</v>
      </c>
      <c r="E780" s="1">
        <v>491</v>
      </c>
      <c r="F780" s="1" t="s">
        <v>121</v>
      </c>
      <c r="G780" s="1" t="s">
        <v>119</v>
      </c>
      <c r="H780" s="1" t="s">
        <v>119</v>
      </c>
      <c r="I780" s="1" t="s">
        <v>127</v>
      </c>
      <c r="J780" s="1" t="s">
        <v>138</v>
      </c>
      <c r="K780" t="s">
        <v>91</v>
      </c>
      <c r="L780" s="6">
        <v>0</v>
      </c>
      <c r="M780" s="6">
        <v>0</v>
      </c>
      <c r="N780" s="6">
        <v>9320.4</v>
      </c>
      <c r="O780" s="6">
        <v>5054.2199999999993</v>
      </c>
      <c r="P780" s="6">
        <v>139553.46437500024</v>
      </c>
      <c r="Q780" s="6">
        <v>74623.867194500141</v>
      </c>
      <c r="R780" s="6">
        <v>143740.06830625026</v>
      </c>
      <c r="S780" s="6">
        <v>71870.034153125132</v>
      </c>
      <c r="T780" s="6">
        <v>187011.78160919543</v>
      </c>
      <c r="U780" s="6">
        <v>87853.803629769871</v>
      </c>
      <c r="V780" s="30">
        <v>143740.06830625026</v>
      </c>
      <c r="W780" s="30">
        <v>71870.034153125132</v>
      </c>
      <c r="X780" s="30">
        <v>158114.07513687533</v>
      </c>
      <c r="Y780" s="30">
        <v>81334.860270320278</v>
      </c>
      <c r="Z780" s="30">
        <v>0</v>
      </c>
      <c r="AA780" s="30">
        <v>0</v>
      </c>
      <c r="AB780" s="34">
        <v>0</v>
      </c>
      <c r="AC780" s="34">
        <v>0.96323119179434358</v>
      </c>
      <c r="AD780" s="34">
        <v>0.60417811569543467</v>
      </c>
      <c r="AE780" s="34">
        <v>0.8</v>
      </c>
      <c r="AF780" s="34">
        <v>0.8</v>
      </c>
      <c r="AG780" s="34">
        <v>0.84999999999999987</v>
      </c>
      <c r="AH780" s="34">
        <v>0</v>
      </c>
      <c r="AI780" s="37">
        <f t="shared" si="114"/>
        <v>0</v>
      </c>
      <c r="AJ780" s="37">
        <f t="shared" si="115"/>
        <v>8977.6999999999989</v>
      </c>
      <c r="AK780" s="37">
        <f t="shared" si="116"/>
        <v>112988.42582548985</v>
      </c>
      <c r="AL780" s="37">
        <f t="shared" si="117"/>
        <v>114992.05464500021</v>
      </c>
      <c r="AM780" s="37">
        <f t="shared" si="118"/>
        <v>114992.05464500021</v>
      </c>
      <c r="AN780" s="37">
        <f t="shared" si="119"/>
        <v>134396.96386634401</v>
      </c>
      <c r="AO780" s="37">
        <f t="shared" si="120"/>
        <v>0</v>
      </c>
    </row>
    <row r="781" spans="1:41" hidden="1" x14ac:dyDescent="0.3">
      <c r="A781" t="str">
        <f t="shared" si="121"/>
        <v>530ene</v>
      </c>
      <c r="B781" t="str">
        <f t="shared" si="122"/>
        <v>YUTH AMERICAene</v>
      </c>
      <c r="C781" s="1" t="s">
        <v>95</v>
      </c>
      <c r="D781" s="1" t="s">
        <v>68</v>
      </c>
      <c r="E781" s="1">
        <v>530</v>
      </c>
      <c r="F781" s="1" t="s">
        <v>119</v>
      </c>
      <c r="G781" s="1" t="s">
        <v>120</v>
      </c>
      <c r="H781" s="1" t="s">
        <v>119</v>
      </c>
      <c r="I781" s="1" t="s">
        <v>124</v>
      </c>
      <c r="J781" s="1" t="s">
        <v>139</v>
      </c>
      <c r="K781" t="s">
        <v>80</v>
      </c>
      <c r="L781" s="6">
        <v>0</v>
      </c>
      <c r="M781" s="6">
        <v>0</v>
      </c>
      <c r="N781" s="6">
        <v>27241.829999999998</v>
      </c>
      <c r="O781" s="6">
        <v>14477.5</v>
      </c>
      <c r="P781" s="6">
        <v>27655.160706666666</v>
      </c>
      <c r="Q781" s="6">
        <v>14202.688604433335</v>
      </c>
      <c r="R781" s="6">
        <v>28258.190000000002</v>
      </c>
      <c r="S781" s="6">
        <v>14860.529039180681</v>
      </c>
      <c r="T781" s="6">
        <v>28258.190000000002</v>
      </c>
      <c r="U781" s="6">
        <v>14692.270000000011</v>
      </c>
      <c r="V781" s="30">
        <v>31084.009000000024</v>
      </c>
      <c r="W781" s="30">
        <v>16161.497000000023</v>
      </c>
      <c r="X781" s="30">
        <v>32016.529270000021</v>
      </c>
      <c r="Y781" s="30">
        <v>16358.882989169622</v>
      </c>
      <c r="Z781" s="30">
        <v>20413.793103448286</v>
      </c>
      <c r="AA781" s="30">
        <v>10609.164933835442</v>
      </c>
      <c r="AB781" s="34">
        <v>0</v>
      </c>
      <c r="AC781" s="34">
        <v>0.9665229379734035</v>
      </c>
      <c r="AD781" s="34">
        <v>0.96341113924121424</v>
      </c>
      <c r="AE781" s="34">
        <v>0.96341113924121413</v>
      </c>
      <c r="AF781" s="34">
        <v>0.96341113924121413</v>
      </c>
      <c r="AG781" s="34">
        <v>0.92</v>
      </c>
      <c r="AH781" s="34">
        <v>0.93074324324324331</v>
      </c>
      <c r="AI781" s="37">
        <f t="shared" si="114"/>
        <v>0</v>
      </c>
      <c r="AJ781" s="37">
        <f t="shared" si="115"/>
        <v>26329.853567372</v>
      </c>
      <c r="AK781" s="37">
        <f t="shared" si="116"/>
        <v>27224.255020794692</v>
      </c>
      <c r="AL781" s="37">
        <f t="shared" si="117"/>
        <v>27224.255020794688</v>
      </c>
      <c r="AM781" s="37">
        <f t="shared" si="118"/>
        <v>29946.680522874176</v>
      </c>
      <c r="AN781" s="37">
        <f t="shared" si="119"/>
        <v>29455.206928400021</v>
      </c>
      <c r="AO781" s="37">
        <f t="shared" si="120"/>
        <v>19000.000000000011</v>
      </c>
    </row>
    <row r="782" spans="1:41" hidden="1" x14ac:dyDescent="0.3">
      <c r="A782" t="str">
        <f t="shared" si="121"/>
        <v>530feb</v>
      </c>
      <c r="B782" t="str">
        <f t="shared" si="122"/>
        <v>YUTH AMERICAfeb</v>
      </c>
      <c r="C782" s="1" t="s">
        <v>95</v>
      </c>
      <c r="D782" s="1" t="s">
        <v>68</v>
      </c>
      <c r="E782" s="1">
        <v>530</v>
      </c>
      <c r="F782" s="1" t="s">
        <v>119</v>
      </c>
      <c r="G782" s="1" t="s">
        <v>120</v>
      </c>
      <c r="H782" s="1" t="s">
        <v>119</v>
      </c>
      <c r="I782" s="1" t="s">
        <v>124</v>
      </c>
      <c r="J782" s="1" t="s">
        <v>139</v>
      </c>
      <c r="K782" t="s">
        <v>81</v>
      </c>
      <c r="L782" s="6">
        <v>0</v>
      </c>
      <c r="M782" s="6">
        <v>0</v>
      </c>
      <c r="N782" s="6">
        <v>24695.59</v>
      </c>
      <c r="O782" s="6">
        <v>10906.970000000001</v>
      </c>
      <c r="P782" s="6">
        <v>34532.25845999999</v>
      </c>
      <c r="Q782" s="6">
        <v>13881.370353899998</v>
      </c>
      <c r="R782" s="6">
        <v>32895.159999999974</v>
      </c>
      <c r="S782" s="6">
        <v>15617.352138116767</v>
      </c>
      <c r="T782" s="6">
        <v>32895.159999999982</v>
      </c>
      <c r="U782" s="6">
        <v>15571.789999999986</v>
      </c>
      <c r="V782" s="30">
        <v>36184.676000000036</v>
      </c>
      <c r="W782" s="30">
        <v>17128.969000000012</v>
      </c>
      <c r="X782" s="30">
        <v>37270.216280000037</v>
      </c>
      <c r="Y782" s="30">
        <v>16857.328352359677</v>
      </c>
      <c r="Z782" s="30">
        <v>31559.913793103438</v>
      </c>
      <c r="AA782" s="30">
        <v>13493.90918591735</v>
      </c>
      <c r="AB782" s="34">
        <v>0</v>
      </c>
      <c r="AC782" s="34">
        <v>0.54305605620919717</v>
      </c>
      <c r="AD782" s="34">
        <v>0.44885011727192548</v>
      </c>
      <c r="AE782" s="34">
        <v>0.44885011727192559</v>
      </c>
      <c r="AF782" s="34">
        <v>0.44885011727192559</v>
      </c>
      <c r="AG782" s="34">
        <v>0.48</v>
      </c>
      <c r="AH782" s="34">
        <v>0.57721811733748518</v>
      </c>
      <c r="AI782" s="37">
        <f t="shared" si="114"/>
        <v>0</v>
      </c>
      <c r="AJ782" s="37">
        <f t="shared" si="115"/>
        <v>13411.089711159288</v>
      </c>
      <c r="AK782" s="37">
        <f t="shared" si="116"/>
        <v>14764.996423678744</v>
      </c>
      <c r="AL782" s="37">
        <f t="shared" si="117"/>
        <v>14764.996423678744</v>
      </c>
      <c r="AM782" s="37">
        <f t="shared" si="118"/>
        <v>16241.496066046648</v>
      </c>
      <c r="AN782" s="37">
        <f t="shared" si="119"/>
        <v>17889.703814400018</v>
      </c>
      <c r="AO782" s="37">
        <f t="shared" si="120"/>
        <v>18216.954022988499</v>
      </c>
    </row>
    <row r="783" spans="1:41" hidden="1" x14ac:dyDescent="0.3">
      <c r="A783" t="str">
        <f t="shared" si="121"/>
        <v>530mar</v>
      </c>
      <c r="B783" t="str">
        <f t="shared" si="122"/>
        <v>YUTH AMERICAmar</v>
      </c>
      <c r="C783" s="1" t="s">
        <v>95</v>
      </c>
      <c r="D783" s="1" t="s">
        <v>68</v>
      </c>
      <c r="E783" s="1">
        <v>530</v>
      </c>
      <c r="F783" s="1" t="s">
        <v>119</v>
      </c>
      <c r="G783" s="1" t="s">
        <v>120</v>
      </c>
      <c r="H783" s="1" t="s">
        <v>119</v>
      </c>
      <c r="I783" s="1" t="s">
        <v>124</v>
      </c>
      <c r="J783" s="1" t="s">
        <v>139</v>
      </c>
      <c r="K783" t="s">
        <v>82</v>
      </c>
      <c r="L783" s="6">
        <v>0</v>
      </c>
      <c r="M783" s="6">
        <v>0</v>
      </c>
      <c r="N783" s="6">
        <v>33643.31</v>
      </c>
      <c r="O783" s="6">
        <v>15015.95</v>
      </c>
      <c r="P783" s="6">
        <v>27008.261180000001</v>
      </c>
      <c r="Q783" s="6">
        <v>12787.762413</v>
      </c>
      <c r="R783" s="6">
        <v>31271.009999999995</v>
      </c>
      <c r="S783" s="6">
        <v>15711.852472116934</v>
      </c>
      <c r="T783" s="6">
        <v>31271.01</v>
      </c>
      <c r="U783" s="6">
        <v>15763.699999999997</v>
      </c>
      <c r="V783" s="30">
        <v>31271.009999999984</v>
      </c>
      <c r="W783" s="30">
        <v>15763.699999999992</v>
      </c>
      <c r="X783" s="30">
        <v>3127.1009999999987</v>
      </c>
      <c r="Y783" s="30">
        <v>1547.7757258206859</v>
      </c>
      <c r="Z783" s="30">
        <v>2477.6852196316108</v>
      </c>
      <c r="AA783" s="30">
        <v>1214.0657576194892</v>
      </c>
      <c r="AB783" s="34">
        <v>0</v>
      </c>
      <c r="AC783" s="34">
        <v>0.49278512516535289</v>
      </c>
      <c r="AD783" s="34">
        <v>0.81179036608177157</v>
      </c>
      <c r="AE783" s="34">
        <v>0.81179036608177169</v>
      </c>
      <c r="AF783" s="34">
        <v>0.81179036608177169</v>
      </c>
      <c r="AG783" s="34">
        <v>0.8</v>
      </c>
      <c r="AH783" s="34">
        <v>0.88062729217603919</v>
      </c>
      <c r="AI783" s="37">
        <f t="shared" si="114"/>
        <v>0</v>
      </c>
      <c r="AJ783" s="37">
        <f t="shared" si="115"/>
        <v>16578.922729326769</v>
      </c>
      <c r="AK783" s="37">
        <f t="shared" si="116"/>
        <v>25385.504655646739</v>
      </c>
      <c r="AL783" s="37">
        <f t="shared" si="117"/>
        <v>25385.504655646739</v>
      </c>
      <c r="AM783" s="37">
        <f t="shared" si="118"/>
        <v>25385.504655646731</v>
      </c>
      <c r="AN783" s="37">
        <f t="shared" si="119"/>
        <v>2501.6807999999992</v>
      </c>
      <c r="AO783" s="37">
        <f t="shared" si="120"/>
        <v>2181.9172258287804</v>
      </c>
    </row>
    <row r="784" spans="1:41" hidden="1" x14ac:dyDescent="0.3">
      <c r="A784" t="str">
        <f t="shared" si="121"/>
        <v>530abr</v>
      </c>
      <c r="B784" t="str">
        <f t="shared" si="122"/>
        <v>YUTH AMERICAabr</v>
      </c>
      <c r="C784" s="1" t="s">
        <v>95</v>
      </c>
      <c r="D784" s="1" t="s">
        <v>68</v>
      </c>
      <c r="E784" s="1">
        <v>530</v>
      </c>
      <c r="F784" s="1" t="s">
        <v>119</v>
      </c>
      <c r="G784" s="1" t="s">
        <v>120</v>
      </c>
      <c r="H784" s="1" t="s">
        <v>119</v>
      </c>
      <c r="I784" s="1" t="s">
        <v>124</v>
      </c>
      <c r="J784" s="1" t="s">
        <v>139</v>
      </c>
      <c r="K784" t="s">
        <v>83</v>
      </c>
      <c r="L784" s="6">
        <v>0</v>
      </c>
      <c r="M784" s="6">
        <v>0</v>
      </c>
      <c r="N784" s="6">
        <v>30743.840000000004</v>
      </c>
      <c r="O784" s="6">
        <v>16224.080000000002</v>
      </c>
      <c r="P784" s="6">
        <v>24311.021040000003</v>
      </c>
      <c r="Q784" s="6">
        <v>12673.153805700003</v>
      </c>
      <c r="R784" s="6">
        <v>27545.839999999978</v>
      </c>
      <c r="S784" s="6">
        <v>14451.771781761598</v>
      </c>
      <c r="T784" s="6">
        <v>27545.839999999986</v>
      </c>
      <c r="U784" s="6">
        <v>14381.379999999983</v>
      </c>
      <c r="V784" s="30">
        <v>27545.839999999967</v>
      </c>
      <c r="W784" s="30">
        <v>14381.379999999974</v>
      </c>
      <c r="X784" s="30">
        <v>31677.715999999964</v>
      </c>
      <c r="Y784" s="30">
        <v>16185.765953516962</v>
      </c>
      <c r="Z784" s="30">
        <v>0</v>
      </c>
      <c r="AA784" s="30">
        <v>0</v>
      </c>
      <c r="AB784" s="34">
        <v>0</v>
      </c>
      <c r="AC784" s="34">
        <v>0.96034232731967961</v>
      </c>
      <c r="AD784" s="34">
        <v>0.96796219283300466</v>
      </c>
      <c r="AE784" s="34">
        <v>0.96796219283300466</v>
      </c>
      <c r="AF784" s="34">
        <v>0.96796219283300466</v>
      </c>
      <c r="AG784" s="34">
        <v>0.92</v>
      </c>
      <c r="AH784" s="34">
        <v>0</v>
      </c>
      <c r="AI784" s="37">
        <f t="shared" si="114"/>
        <v>0</v>
      </c>
      <c r="AJ784" s="37">
        <f t="shared" si="115"/>
        <v>29524.610856343861</v>
      </c>
      <c r="AK784" s="37">
        <f t="shared" si="116"/>
        <v>26663.331689827079</v>
      </c>
      <c r="AL784" s="37">
        <f t="shared" si="117"/>
        <v>26663.331689827071</v>
      </c>
      <c r="AM784" s="37">
        <f t="shared" si="118"/>
        <v>26663.33168982706</v>
      </c>
      <c r="AN784" s="37">
        <f t="shared" si="119"/>
        <v>29143.498719999967</v>
      </c>
      <c r="AO784" s="37">
        <f t="shared" si="120"/>
        <v>0</v>
      </c>
    </row>
    <row r="785" spans="1:41" hidden="1" x14ac:dyDescent="0.3">
      <c r="A785" t="str">
        <f t="shared" si="121"/>
        <v>530may</v>
      </c>
      <c r="B785" t="str">
        <f t="shared" si="122"/>
        <v>YUTH AMERICAmay</v>
      </c>
      <c r="C785" s="1" t="s">
        <v>95</v>
      </c>
      <c r="D785" s="1" t="s">
        <v>68</v>
      </c>
      <c r="E785" s="1">
        <v>530</v>
      </c>
      <c r="F785" s="1" t="s">
        <v>119</v>
      </c>
      <c r="G785" s="1" t="s">
        <v>120</v>
      </c>
      <c r="H785" s="1" t="s">
        <v>119</v>
      </c>
      <c r="I785" s="1" t="s">
        <v>124</v>
      </c>
      <c r="J785" s="1" t="s">
        <v>139</v>
      </c>
      <c r="K785" t="s">
        <v>84</v>
      </c>
      <c r="L785" s="6">
        <v>0</v>
      </c>
      <c r="M785" s="6">
        <v>0</v>
      </c>
      <c r="N785" s="6">
        <v>18393.12</v>
      </c>
      <c r="O785" s="6">
        <v>9637.9000000000015</v>
      </c>
      <c r="P785" s="6">
        <v>27352.086179999991</v>
      </c>
      <c r="Q785" s="6">
        <v>13670.112029299995</v>
      </c>
      <c r="R785" s="6">
        <v>24921.149999999987</v>
      </c>
      <c r="S785" s="6">
        <v>12854.919626130239</v>
      </c>
      <c r="T785" s="6">
        <v>24921.149999999994</v>
      </c>
      <c r="U785" s="6">
        <v>13026.989999999994</v>
      </c>
      <c r="V785" s="30">
        <v>24921.149999999994</v>
      </c>
      <c r="W785" s="30">
        <v>13026.989999999996</v>
      </c>
      <c r="X785" s="30">
        <v>28659.322499999995</v>
      </c>
      <c r="Y785" s="30">
        <v>14643.514272662938</v>
      </c>
      <c r="Z785" s="30">
        <v>0</v>
      </c>
      <c r="AA785" s="30">
        <v>0</v>
      </c>
      <c r="AB785" s="34">
        <v>0</v>
      </c>
      <c r="AC785" s="34">
        <v>0.93579630559537041</v>
      </c>
      <c r="AD785" s="34">
        <v>0.92290419970565596</v>
      </c>
      <c r="AE785" s="34">
        <v>0.92290419970565596</v>
      </c>
      <c r="AF785" s="34">
        <v>0.92290419970565596</v>
      </c>
      <c r="AG785" s="34">
        <v>0.91999999999999993</v>
      </c>
      <c r="AH785" s="34">
        <v>0</v>
      </c>
      <c r="AI785" s="37">
        <f t="shared" si="114"/>
        <v>0</v>
      </c>
      <c r="AJ785" s="37">
        <f t="shared" si="115"/>
        <v>17212.213744372319</v>
      </c>
      <c r="AK785" s="37">
        <f t="shared" si="116"/>
        <v>22999.833996494603</v>
      </c>
      <c r="AL785" s="37">
        <f t="shared" si="117"/>
        <v>22999.833996494595</v>
      </c>
      <c r="AM785" s="37">
        <f t="shared" si="118"/>
        <v>22999.833996494603</v>
      </c>
      <c r="AN785" s="37">
        <f t="shared" si="119"/>
        <v>26366.576699999994</v>
      </c>
      <c r="AO785" s="37">
        <f t="shared" si="120"/>
        <v>0</v>
      </c>
    </row>
    <row r="786" spans="1:41" hidden="1" x14ac:dyDescent="0.3">
      <c r="A786" t="str">
        <f t="shared" si="121"/>
        <v>530jun</v>
      </c>
      <c r="B786" t="str">
        <f t="shared" si="122"/>
        <v>YUTH AMERICAjun</v>
      </c>
      <c r="C786" s="1" t="s">
        <v>95</v>
      </c>
      <c r="D786" s="1" t="s">
        <v>68</v>
      </c>
      <c r="E786" s="1">
        <v>530</v>
      </c>
      <c r="F786" s="1" t="s">
        <v>119</v>
      </c>
      <c r="G786" s="1" t="s">
        <v>120</v>
      </c>
      <c r="H786" s="1" t="s">
        <v>119</v>
      </c>
      <c r="I786" s="1" t="s">
        <v>124</v>
      </c>
      <c r="J786" s="1" t="s">
        <v>139</v>
      </c>
      <c r="K786" t="s">
        <v>85</v>
      </c>
      <c r="L786" s="6">
        <v>0</v>
      </c>
      <c r="M786" s="6">
        <v>0</v>
      </c>
      <c r="N786" s="6">
        <v>17822.89</v>
      </c>
      <c r="O786" s="6">
        <v>9342.130000000001</v>
      </c>
      <c r="P786" s="6">
        <v>24585.584549999992</v>
      </c>
      <c r="Q786" s="6">
        <v>12729.499973499998</v>
      </c>
      <c r="R786" s="6">
        <v>25355.929999999997</v>
      </c>
      <c r="S786" s="6">
        <v>13463.532781123318</v>
      </c>
      <c r="T786" s="6">
        <v>25355.929999999997</v>
      </c>
      <c r="U786" s="6">
        <v>13464.679999999997</v>
      </c>
      <c r="V786" s="30">
        <v>25355.929999999993</v>
      </c>
      <c r="W786" s="30">
        <v>13464.679999999995</v>
      </c>
      <c r="X786" s="30">
        <v>29159.319499999998</v>
      </c>
      <c r="Y786" s="30">
        <v>14898.988323237185</v>
      </c>
      <c r="Z786" s="30">
        <v>0</v>
      </c>
      <c r="AA786" s="30">
        <v>0</v>
      </c>
      <c r="AB786" s="34">
        <v>0</v>
      </c>
      <c r="AC786" s="34">
        <v>0.93830950470310004</v>
      </c>
      <c r="AD786" s="34">
        <v>0.97107946954102142</v>
      </c>
      <c r="AE786" s="34">
        <v>0.97107946954102142</v>
      </c>
      <c r="AF786" s="34">
        <v>0.97107946954102142</v>
      </c>
      <c r="AG786" s="34">
        <v>0.92</v>
      </c>
      <c r="AH786" s="34">
        <v>0</v>
      </c>
      <c r="AI786" s="37">
        <f t="shared" si="114"/>
        <v>0</v>
      </c>
      <c r="AJ786" s="37">
        <f t="shared" si="115"/>
        <v>16723.387088277836</v>
      </c>
      <c r="AK786" s="37">
        <f t="shared" si="116"/>
        <v>24622.623054119267</v>
      </c>
      <c r="AL786" s="37">
        <f t="shared" si="117"/>
        <v>24622.623054119267</v>
      </c>
      <c r="AM786" s="37">
        <f t="shared" si="118"/>
        <v>24622.623054119264</v>
      </c>
      <c r="AN786" s="37">
        <f t="shared" si="119"/>
        <v>26826.573939999998</v>
      </c>
      <c r="AO786" s="37">
        <f t="shared" si="120"/>
        <v>0</v>
      </c>
    </row>
    <row r="787" spans="1:41" hidden="1" x14ac:dyDescent="0.3">
      <c r="A787" t="str">
        <f t="shared" si="121"/>
        <v>530jul</v>
      </c>
      <c r="B787" t="str">
        <f t="shared" si="122"/>
        <v>YUTH AMERICAjul</v>
      </c>
      <c r="C787" s="1" t="s">
        <v>95</v>
      </c>
      <c r="D787" s="1" t="s">
        <v>68</v>
      </c>
      <c r="E787" s="1">
        <v>530</v>
      </c>
      <c r="F787" s="1" t="s">
        <v>119</v>
      </c>
      <c r="G787" s="1" t="s">
        <v>120</v>
      </c>
      <c r="H787" s="1" t="s">
        <v>119</v>
      </c>
      <c r="I787" s="1" t="s">
        <v>124</v>
      </c>
      <c r="J787" s="1" t="s">
        <v>139</v>
      </c>
      <c r="K787" t="s">
        <v>86</v>
      </c>
      <c r="L787" s="6">
        <v>0</v>
      </c>
      <c r="M787" s="6">
        <v>0</v>
      </c>
      <c r="N787" s="6">
        <v>29002.23</v>
      </c>
      <c r="O787" s="6">
        <v>15244.34</v>
      </c>
      <c r="P787" s="6">
        <v>29083.154850000003</v>
      </c>
      <c r="Q787" s="6">
        <v>14922.831689000001</v>
      </c>
      <c r="R787" s="6">
        <v>25519.610000000011</v>
      </c>
      <c r="S787" s="6">
        <v>13368.880000000023</v>
      </c>
      <c r="T787" s="6">
        <v>25519.609999999986</v>
      </c>
      <c r="U787" s="6">
        <v>13368.879999999979</v>
      </c>
      <c r="V787" s="30">
        <v>25519.609999999993</v>
      </c>
      <c r="W787" s="30">
        <v>13368.879999999983</v>
      </c>
      <c r="X787" s="30">
        <v>29347.551499999998</v>
      </c>
      <c r="Y787" s="30">
        <v>14995.165683276731</v>
      </c>
      <c r="Z787" s="30">
        <v>0</v>
      </c>
      <c r="AA787" s="30">
        <v>0</v>
      </c>
      <c r="AB787" s="34">
        <v>0</v>
      </c>
      <c r="AC787" s="34">
        <v>0.96237639579237011</v>
      </c>
      <c r="AD787" s="34">
        <v>0.98844574819129283</v>
      </c>
      <c r="AE787" s="34">
        <v>0.98844574819129283</v>
      </c>
      <c r="AF787" s="34">
        <v>0.98844574819129283</v>
      </c>
      <c r="AG787" s="34">
        <v>0.91999999999999993</v>
      </c>
      <c r="AH787" s="34">
        <v>0</v>
      </c>
      <c r="AI787" s="37">
        <f t="shared" si="114"/>
        <v>0</v>
      </c>
      <c r="AJ787" s="37">
        <f t="shared" si="115"/>
        <v>27911.061577341348</v>
      </c>
      <c r="AK787" s="37">
        <f t="shared" si="116"/>
        <v>25224.749999999985</v>
      </c>
      <c r="AL787" s="37">
        <f t="shared" si="117"/>
        <v>25224.750000000011</v>
      </c>
      <c r="AM787" s="37">
        <f t="shared" si="118"/>
        <v>25224.749999999993</v>
      </c>
      <c r="AN787" s="37">
        <f t="shared" si="119"/>
        <v>26999.747379999997</v>
      </c>
      <c r="AO787" s="37">
        <f t="shared" si="120"/>
        <v>0</v>
      </c>
    </row>
    <row r="788" spans="1:41" hidden="1" x14ac:dyDescent="0.3">
      <c r="A788" t="str">
        <f t="shared" si="121"/>
        <v>530ago</v>
      </c>
      <c r="B788" t="str">
        <f t="shared" si="122"/>
        <v>YUTH AMERICAago</v>
      </c>
      <c r="C788" s="1" t="s">
        <v>95</v>
      </c>
      <c r="D788" s="1" t="s">
        <v>68</v>
      </c>
      <c r="E788" s="1">
        <v>530</v>
      </c>
      <c r="F788" s="1" t="s">
        <v>119</v>
      </c>
      <c r="G788" s="1" t="s">
        <v>120</v>
      </c>
      <c r="H788" s="1" t="s">
        <v>119</v>
      </c>
      <c r="I788" s="1" t="s">
        <v>124</v>
      </c>
      <c r="J788" s="1" t="s">
        <v>139</v>
      </c>
      <c r="K788" t="s">
        <v>87</v>
      </c>
      <c r="L788" s="6">
        <v>0</v>
      </c>
      <c r="M788" s="6">
        <v>0</v>
      </c>
      <c r="N788" s="6">
        <v>40688.460000000006</v>
      </c>
      <c r="O788" s="6">
        <v>15947.740000000002</v>
      </c>
      <c r="P788" s="6">
        <v>42421.557000000008</v>
      </c>
      <c r="Q788" s="6">
        <v>15922.579565000002</v>
      </c>
      <c r="R788" s="6">
        <v>42421.557000000008</v>
      </c>
      <c r="S788" s="6">
        <v>16932.564476550004</v>
      </c>
      <c r="T788" s="6">
        <v>52077.98000000001</v>
      </c>
      <c r="U788" s="6">
        <v>20545.160000000011</v>
      </c>
      <c r="V788" s="30">
        <v>48432.521399999983</v>
      </c>
      <c r="W788" s="30">
        <v>19331.840916809993</v>
      </c>
      <c r="X788" s="30">
        <v>55697.399609999986</v>
      </c>
      <c r="Y788" s="30">
        <v>25191.948083816118</v>
      </c>
      <c r="Z788" s="30">
        <v>0</v>
      </c>
      <c r="AA788" s="30">
        <v>0</v>
      </c>
      <c r="AB788" s="34">
        <v>0</v>
      </c>
      <c r="AC788" s="34">
        <v>0.31520522456664152</v>
      </c>
      <c r="AD788" s="34">
        <v>0.4083864235901622</v>
      </c>
      <c r="AE788" s="34">
        <v>0.51</v>
      </c>
      <c r="AF788" s="34">
        <v>0.51</v>
      </c>
      <c r="AG788" s="34">
        <v>0.48000000000000004</v>
      </c>
      <c r="AH788" s="34">
        <v>0</v>
      </c>
      <c r="AI788" s="37">
        <f t="shared" si="114"/>
        <v>0</v>
      </c>
      <c r="AJ788" s="37">
        <f t="shared" si="115"/>
        <v>12825.215171570813</v>
      </c>
      <c r="AK788" s="37">
        <f t="shared" si="116"/>
        <v>21267.94</v>
      </c>
      <c r="AL788" s="37">
        <f t="shared" si="117"/>
        <v>21634.994070000004</v>
      </c>
      <c r="AM788" s="37">
        <f t="shared" si="118"/>
        <v>24700.585913999992</v>
      </c>
      <c r="AN788" s="37">
        <f t="shared" si="119"/>
        <v>26734.751812799994</v>
      </c>
      <c r="AO788" s="37">
        <f t="shared" si="120"/>
        <v>0</v>
      </c>
    </row>
    <row r="789" spans="1:41" hidden="1" x14ac:dyDescent="0.3">
      <c r="A789" t="str">
        <f t="shared" si="121"/>
        <v>530sep</v>
      </c>
      <c r="B789" t="str">
        <f t="shared" si="122"/>
        <v>YUTH AMERICAsep</v>
      </c>
      <c r="C789" s="1" t="s">
        <v>95</v>
      </c>
      <c r="D789" s="1" t="s">
        <v>68</v>
      </c>
      <c r="E789" s="1">
        <v>530</v>
      </c>
      <c r="F789" s="1" t="s">
        <v>119</v>
      </c>
      <c r="G789" s="1" t="s">
        <v>120</v>
      </c>
      <c r="H789" s="1" t="s">
        <v>119</v>
      </c>
      <c r="I789" s="1" t="s">
        <v>124</v>
      </c>
      <c r="J789" s="1" t="s">
        <v>139</v>
      </c>
      <c r="K789" t="s">
        <v>88</v>
      </c>
      <c r="L789" s="6">
        <v>0</v>
      </c>
      <c r="M789" s="6">
        <v>0</v>
      </c>
      <c r="N789" s="6">
        <v>24636.149999999994</v>
      </c>
      <c r="O789" s="6">
        <v>11863.89</v>
      </c>
      <c r="P789" s="6">
        <v>23591.817579999995</v>
      </c>
      <c r="Q789" s="6">
        <v>12503.065981299997</v>
      </c>
      <c r="R789" s="6">
        <v>24299.572107399996</v>
      </c>
      <c r="S789" s="6">
        <v>12003.988621055598</v>
      </c>
      <c r="T789" s="6">
        <v>18638.560000000005</v>
      </c>
      <c r="U789" s="6">
        <v>8566.1400000000067</v>
      </c>
      <c r="V789" s="30">
        <v>18638.560000000005</v>
      </c>
      <c r="W789" s="30">
        <v>8566.1400000000067</v>
      </c>
      <c r="X789" s="30">
        <v>21434.344000000005</v>
      </c>
      <c r="Y789" s="30">
        <v>10609.045675880085</v>
      </c>
      <c r="Z789" s="30">
        <v>0</v>
      </c>
      <c r="AA789" s="30">
        <v>0</v>
      </c>
      <c r="AB789" s="34">
        <v>0</v>
      </c>
      <c r="AC789" s="34">
        <v>0.76261449342801579</v>
      </c>
      <c r="AD789" s="34">
        <v>0.67161679872264834</v>
      </c>
      <c r="AE789" s="34">
        <v>0.79999999999999993</v>
      </c>
      <c r="AF789" s="34">
        <v>0.79999999999999993</v>
      </c>
      <c r="AG789" s="34">
        <v>0.8</v>
      </c>
      <c r="AH789" s="34">
        <v>0</v>
      </c>
      <c r="AI789" s="37">
        <f t="shared" si="114"/>
        <v>0</v>
      </c>
      <c r="AJ789" s="37">
        <f t="shared" si="115"/>
        <v>18787.885052266607</v>
      </c>
      <c r="AK789" s="37">
        <f t="shared" si="116"/>
        <v>12517.970000000008</v>
      </c>
      <c r="AL789" s="37">
        <f t="shared" si="117"/>
        <v>19439.657685919996</v>
      </c>
      <c r="AM789" s="37">
        <f t="shared" si="118"/>
        <v>14910.848000000004</v>
      </c>
      <c r="AN789" s="37">
        <f t="shared" si="119"/>
        <v>17147.475200000004</v>
      </c>
      <c r="AO789" s="37">
        <f t="shared" si="120"/>
        <v>0</v>
      </c>
    </row>
    <row r="790" spans="1:41" hidden="1" x14ac:dyDescent="0.3">
      <c r="A790" t="str">
        <f t="shared" si="121"/>
        <v>530oct</v>
      </c>
      <c r="B790" t="str">
        <f t="shared" si="122"/>
        <v>YUTH AMERICAoct</v>
      </c>
      <c r="C790" s="1" t="s">
        <v>95</v>
      </c>
      <c r="D790" s="1" t="s">
        <v>68</v>
      </c>
      <c r="E790" s="1">
        <v>530</v>
      </c>
      <c r="F790" s="1" t="s">
        <v>119</v>
      </c>
      <c r="G790" s="1" t="s">
        <v>120</v>
      </c>
      <c r="H790" s="1" t="s">
        <v>119</v>
      </c>
      <c r="I790" s="1" t="s">
        <v>124</v>
      </c>
      <c r="J790" s="1" t="s">
        <v>139</v>
      </c>
      <c r="K790" t="s">
        <v>89</v>
      </c>
      <c r="L790" s="6">
        <v>0</v>
      </c>
      <c r="M790" s="6">
        <v>0</v>
      </c>
      <c r="N790" s="6">
        <v>25932.14</v>
      </c>
      <c r="O790" s="6">
        <v>13843.240000000002</v>
      </c>
      <c r="P790" s="6">
        <v>27161.651080000003</v>
      </c>
      <c r="Q790" s="6">
        <v>14429.689275200002</v>
      </c>
      <c r="R790" s="6">
        <v>27976.500612400003</v>
      </c>
      <c r="S790" s="6">
        <v>14323.968313548801</v>
      </c>
      <c r="T790" s="6">
        <v>22672.379999999986</v>
      </c>
      <c r="U790" s="6">
        <v>11287.95999999999</v>
      </c>
      <c r="V790" s="30">
        <v>21531.93</v>
      </c>
      <c r="W790" s="30">
        <v>11024.34816</v>
      </c>
      <c r="X790" s="30">
        <v>24761.719499999999</v>
      </c>
      <c r="Y790" s="30">
        <v>12652.029471873464</v>
      </c>
      <c r="Z790" s="30">
        <v>0</v>
      </c>
      <c r="AA790" s="30">
        <v>0</v>
      </c>
      <c r="AB790" s="34">
        <v>0</v>
      </c>
      <c r="AC790" s="34">
        <v>0.96704830880653359</v>
      </c>
      <c r="AD790" s="34">
        <v>0.67950122572045824</v>
      </c>
      <c r="AE790" s="34">
        <v>0.91999999999999993</v>
      </c>
      <c r="AF790" s="34">
        <v>0.91999999999999993</v>
      </c>
      <c r="AG790" s="34">
        <v>0.92</v>
      </c>
      <c r="AH790" s="34">
        <v>0</v>
      </c>
      <c r="AI790" s="37">
        <f t="shared" si="114"/>
        <v>0</v>
      </c>
      <c r="AJ790" s="37">
        <f t="shared" si="115"/>
        <v>25077.632130734262</v>
      </c>
      <c r="AK790" s="37">
        <f t="shared" si="116"/>
        <v>15405.909999999994</v>
      </c>
      <c r="AL790" s="37">
        <f t="shared" si="117"/>
        <v>25738.380563408002</v>
      </c>
      <c r="AM790" s="37">
        <f t="shared" si="118"/>
        <v>19809.375599999999</v>
      </c>
      <c r="AN790" s="37">
        <f t="shared" si="119"/>
        <v>22780.781940000001</v>
      </c>
      <c r="AO790" s="37">
        <f t="shared" si="120"/>
        <v>0</v>
      </c>
    </row>
    <row r="791" spans="1:41" hidden="1" x14ac:dyDescent="0.3">
      <c r="A791" t="str">
        <f t="shared" si="121"/>
        <v>530nov</v>
      </c>
      <c r="B791" t="str">
        <f t="shared" si="122"/>
        <v>YUTH AMERICAnov</v>
      </c>
      <c r="C791" s="1" t="s">
        <v>95</v>
      </c>
      <c r="D791" s="1" t="s">
        <v>68</v>
      </c>
      <c r="E791" s="1">
        <v>530</v>
      </c>
      <c r="F791" s="1" t="s">
        <v>119</v>
      </c>
      <c r="G791" s="1" t="s">
        <v>120</v>
      </c>
      <c r="H791" s="1" t="s">
        <v>119</v>
      </c>
      <c r="I791" s="1" t="s">
        <v>124</v>
      </c>
      <c r="J791" s="1" t="s">
        <v>139</v>
      </c>
      <c r="K791" t="s">
        <v>90</v>
      </c>
      <c r="L791" s="6">
        <v>0</v>
      </c>
      <c r="M791" s="6">
        <v>0</v>
      </c>
      <c r="N791" s="6">
        <v>26149.910000000003</v>
      </c>
      <c r="O791" s="6">
        <v>13741.840000000002</v>
      </c>
      <c r="P791" s="6">
        <v>34684.071689999997</v>
      </c>
      <c r="Q791" s="6">
        <v>17216.0490885</v>
      </c>
      <c r="R791" s="6">
        <v>37510.823532734998</v>
      </c>
      <c r="S791" s="6">
        <v>16954.892236796219</v>
      </c>
      <c r="T791" s="6">
        <v>38837.931034482761</v>
      </c>
      <c r="U791" s="6">
        <v>14379.837816543846</v>
      </c>
      <c r="V791" s="30">
        <v>32283.189655172413</v>
      </c>
      <c r="W791" s="30">
        <v>14592.001724137932</v>
      </c>
      <c r="X791" s="30">
        <v>37125.668103448275</v>
      </c>
      <c r="Y791" s="30">
        <v>17286.825143920843</v>
      </c>
      <c r="Z791" s="30">
        <v>0</v>
      </c>
      <c r="AA791" s="30">
        <v>0</v>
      </c>
      <c r="AB791" s="34">
        <v>0</v>
      </c>
      <c r="AC791" s="34">
        <v>0.83251579420327682</v>
      </c>
      <c r="AD791" s="34">
        <v>0.4083864235901622</v>
      </c>
      <c r="AE791" s="34">
        <v>0.6</v>
      </c>
      <c r="AF791" s="34">
        <v>0.6</v>
      </c>
      <c r="AG791" s="34">
        <v>0.57999999999999996</v>
      </c>
      <c r="AH791" s="34">
        <v>0</v>
      </c>
      <c r="AI791" s="37">
        <f t="shared" si="114"/>
        <v>0</v>
      </c>
      <c r="AJ791" s="37">
        <f t="shared" si="115"/>
        <v>21770.213091994214</v>
      </c>
      <c r="AK791" s="37">
        <f t="shared" si="116"/>
        <v>15860.883754813784</v>
      </c>
      <c r="AL791" s="37">
        <f t="shared" si="117"/>
        <v>22506.494119640996</v>
      </c>
      <c r="AM791" s="37">
        <f t="shared" si="118"/>
        <v>19369.913793103446</v>
      </c>
      <c r="AN791" s="37">
        <f t="shared" si="119"/>
        <v>21532.887499999997</v>
      </c>
      <c r="AO791" s="37">
        <f t="shared" si="120"/>
        <v>0</v>
      </c>
    </row>
    <row r="792" spans="1:41" hidden="1" x14ac:dyDescent="0.3">
      <c r="A792" t="str">
        <f t="shared" si="121"/>
        <v>530dic</v>
      </c>
      <c r="B792" t="str">
        <f t="shared" si="122"/>
        <v>YUTH AMERICAdic</v>
      </c>
      <c r="C792" s="1" t="s">
        <v>95</v>
      </c>
      <c r="D792" s="1" t="s">
        <v>68</v>
      </c>
      <c r="E792" s="1">
        <v>530</v>
      </c>
      <c r="F792" s="1" t="s">
        <v>119</v>
      </c>
      <c r="G792" s="1" t="s">
        <v>120</v>
      </c>
      <c r="H792" s="1" t="s">
        <v>119</v>
      </c>
      <c r="I792" s="1" t="s">
        <v>124</v>
      </c>
      <c r="J792" s="1" t="s">
        <v>139</v>
      </c>
      <c r="K792" t="s">
        <v>91</v>
      </c>
      <c r="L792" s="6">
        <v>0</v>
      </c>
      <c r="M792" s="6">
        <v>0</v>
      </c>
      <c r="N792" s="6">
        <v>84589.800000000017</v>
      </c>
      <c r="O792" s="6">
        <v>40443.550000000025</v>
      </c>
      <c r="P792" s="6">
        <v>87384.554250000045</v>
      </c>
      <c r="Q792" s="6">
        <v>43591.033920000016</v>
      </c>
      <c r="R792" s="6">
        <v>90006.090877500043</v>
      </c>
      <c r="S792" s="6">
        <v>44282.996711730018</v>
      </c>
      <c r="T792" s="6">
        <v>50716.235632183911</v>
      </c>
      <c r="U792" s="6">
        <v>23144.333648818418</v>
      </c>
      <c r="V792" s="30">
        <v>90006.090877500043</v>
      </c>
      <c r="W792" s="30">
        <v>44282.996711730018</v>
      </c>
      <c r="X792" s="30">
        <v>103507.00450912505</v>
      </c>
      <c r="Y792" s="30">
        <v>52335.135629069729</v>
      </c>
      <c r="Z792" s="30">
        <v>0</v>
      </c>
      <c r="AA792" s="30">
        <v>0</v>
      </c>
      <c r="AB792" s="34">
        <v>0</v>
      </c>
      <c r="AC792" s="34">
        <v>0.51991782546950949</v>
      </c>
      <c r="AD792" s="34">
        <v>0.81179036608177157</v>
      </c>
      <c r="AE792" s="34">
        <v>0.8</v>
      </c>
      <c r="AF792" s="34">
        <v>0.8</v>
      </c>
      <c r="AG792" s="34">
        <v>0.88</v>
      </c>
      <c r="AH792" s="34">
        <v>0</v>
      </c>
      <c r="AI792" s="37">
        <f t="shared" si="114"/>
        <v>0</v>
      </c>
      <c r="AJ792" s="37">
        <f t="shared" si="115"/>
        <v>43979.744872900723</v>
      </c>
      <c r="AK792" s="37">
        <f t="shared" si="116"/>
        <v>41170.951490139967</v>
      </c>
      <c r="AL792" s="37">
        <f t="shared" si="117"/>
        <v>72004.872702000037</v>
      </c>
      <c r="AM792" s="37">
        <f t="shared" si="118"/>
        <v>72004.872702000037</v>
      </c>
      <c r="AN792" s="37">
        <f t="shared" si="119"/>
        <v>91086.163968030043</v>
      </c>
      <c r="AO792" s="37">
        <f t="shared" si="120"/>
        <v>0</v>
      </c>
    </row>
    <row r="793" spans="1:41" hidden="1" x14ac:dyDescent="0.3">
      <c r="A793" t="str">
        <f t="shared" si="121"/>
        <v>542ene</v>
      </c>
      <c r="B793" t="str">
        <f t="shared" si="122"/>
        <v>YUTH AYACUCHOene</v>
      </c>
      <c r="C793" s="1" t="s">
        <v>95</v>
      </c>
      <c r="D793" s="1" t="s">
        <v>69</v>
      </c>
      <c r="E793" s="1">
        <v>542</v>
      </c>
      <c r="F793" s="1" t="s">
        <v>119</v>
      </c>
      <c r="G793" s="1" t="s">
        <v>119</v>
      </c>
      <c r="H793" s="1" t="s">
        <v>119</v>
      </c>
      <c r="I793" s="1" t="s">
        <v>127</v>
      </c>
      <c r="J793" s="1" t="s">
        <v>139</v>
      </c>
      <c r="K793" t="s">
        <v>80</v>
      </c>
      <c r="L793" s="6">
        <v>0</v>
      </c>
      <c r="M793" s="6">
        <v>0</v>
      </c>
      <c r="N793" s="6">
        <v>25452.61</v>
      </c>
      <c r="O793" s="6">
        <v>13471.039999999999</v>
      </c>
      <c r="P793" s="6">
        <v>29632.284989655167</v>
      </c>
      <c r="Q793" s="6">
        <v>15285.231959068962</v>
      </c>
      <c r="R793" s="6">
        <v>17664.589999999989</v>
      </c>
      <c r="S793" s="6">
        <v>9407.5039626655689</v>
      </c>
      <c r="T793" s="6">
        <v>17664.59</v>
      </c>
      <c r="U793" s="6">
        <v>9607.0499999999993</v>
      </c>
      <c r="V793" s="30">
        <v>19431.04899999997</v>
      </c>
      <c r="W793" s="30">
        <v>10567.754999999981</v>
      </c>
      <c r="X793" s="30">
        <v>20499.756694999967</v>
      </c>
      <c r="Y793" s="30">
        <v>10822.182383132846</v>
      </c>
      <c r="Z793" s="30">
        <v>16332.471264367827</v>
      </c>
      <c r="AA793" s="30">
        <v>8509.5777042243099</v>
      </c>
      <c r="AB793" s="34">
        <v>0</v>
      </c>
      <c r="AC793" s="34">
        <v>0.9333800552417858</v>
      </c>
      <c r="AD793" s="34">
        <v>0.96496793667890068</v>
      </c>
      <c r="AE793" s="34">
        <v>0.96496793667890068</v>
      </c>
      <c r="AF793" s="34">
        <v>0.96496793667890068</v>
      </c>
      <c r="AG793" s="34">
        <v>0.92</v>
      </c>
      <c r="AH793" s="34">
        <v>0.92418670936185943</v>
      </c>
      <c r="AI793" s="37">
        <f t="shared" si="114"/>
        <v>0</v>
      </c>
      <c r="AJ793" s="37">
        <f t="shared" si="115"/>
        <v>23756.95852784763</v>
      </c>
      <c r="AK793" s="37">
        <f t="shared" si="116"/>
        <v>17045.762964578742</v>
      </c>
      <c r="AL793" s="37">
        <f t="shared" si="117"/>
        <v>17045.762964578731</v>
      </c>
      <c r="AM793" s="37">
        <f t="shared" si="118"/>
        <v>18750.339261036588</v>
      </c>
      <c r="AN793" s="37">
        <f t="shared" si="119"/>
        <v>18859.776159399971</v>
      </c>
      <c r="AO793" s="37">
        <f t="shared" si="120"/>
        <v>15094.25287356323</v>
      </c>
    </row>
    <row r="794" spans="1:41" hidden="1" x14ac:dyDescent="0.3">
      <c r="A794" t="str">
        <f t="shared" si="121"/>
        <v>542feb</v>
      </c>
      <c r="B794" t="str">
        <f t="shared" si="122"/>
        <v>YUTH AYACUCHOfeb</v>
      </c>
      <c r="C794" s="1" t="s">
        <v>95</v>
      </c>
      <c r="D794" s="1" t="s">
        <v>69</v>
      </c>
      <c r="E794" s="1">
        <v>542</v>
      </c>
      <c r="F794" s="1" t="s">
        <v>119</v>
      </c>
      <c r="G794" s="1" t="s">
        <v>119</v>
      </c>
      <c r="H794" s="1" t="s">
        <v>119</v>
      </c>
      <c r="I794" s="1" t="s">
        <v>127</v>
      </c>
      <c r="J794" s="1" t="s">
        <v>139</v>
      </c>
      <c r="K794" t="s">
        <v>81</v>
      </c>
      <c r="L794" s="6">
        <v>0</v>
      </c>
      <c r="M794" s="6">
        <v>0</v>
      </c>
      <c r="N794" s="6">
        <v>26065.960000000003</v>
      </c>
      <c r="O794" s="6">
        <v>11895.42</v>
      </c>
      <c r="P794" s="6">
        <v>32700.332999999991</v>
      </c>
      <c r="Q794" s="6">
        <v>13056.155984999998</v>
      </c>
      <c r="R794" s="6">
        <v>17496.489999999983</v>
      </c>
      <c r="S794" s="6">
        <v>8387.9014180826234</v>
      </c>
      <c r="T794" s="6">
        <v>17496.489999999983</v>
      </c>
      <c r="U794" s="6">
        <v>8581.8599999999806</v>
      </c>
      <c r="V794" s="30">
        <v>19246.13899999997</v>
      </c>
      <c r="W794" s="30">
        <v>9440.045999999973</v>
      </c>
      <c r="X794" s="30">
        <v>25019.98069999996</v>
      </c>
      <c r="Y794" s="30">
        <v>11657.554492736503</v>
      </c>
      <c r="Z794" s="30">
        <v>30766.666666666642</v>
      </c>
      <c r="AA794" s="30">
        <v>11008.616142416391</v>
      </c>
      <c r="AB794" s="34">
        <v>0</v>
      </c>
      <c r="AC794" s="34">
        <v>0.55068585387601066</v>
      </c>
      <c r="AD794" s="34">
        <v>0.42914802295954774</v>
      </c>
      <c r="AE794" s="34">
        <v>0.42914802295954713</v>
      </c>
      <c r="AF794" s="34">
        <v>0.42914802295954713</v>
      </c>
      <c r="AG794" s="34">
        <v>0.48</v>
      </c>
      <c r="AH794" s="34">
        <v>0.37294056113871527</v>
      </c>
      <c r="AI794" s="37">
        <f t="shared" si="114"/>
        <v>0</v>
      </c>
      <c r="AJ794" s="37">
        <f t="shared" si="115"/>
        <v>14354.155439697941</v>
      </c>
      <c r="AK794" s="37">
        <f t="shared" si="116"/>
        <v>7508.5840922314901</v>
      </c>
      <c r="AL794" s="37">
        <f t="shared" si="117"/>
        <v>7508.5840922314792</v>
      </c>
      <c r="AM794" s="37">
        <f t="shared" si="118"/>
        <v>8259.4425014546232</v>
      </c>
      <c r="AN794" s="37">
        <f t="shared" si="119"/>
        <v>12009.59073599998</v>
      </c>
      <c r="AO794" s="37">
        <f t="shared" si="120"/>
        <v>11474.137931034464</v>
      </c>
    </row>
    <row r="795" spans="1:41" hidden="1" x14ac:dyDescent="0.3">
      <c r="A795" t="str">
        <f t="shared" si="121"/>
        <v>542mar</v>
      </c>
      <c r="B795" t="str">
        <f t="shared" si="122"/>
        <v>YUTH AYACUCHOmar</v>
      </c>
      <c r="C795" s="1" t="s">
        <v>95</v>
      </c>
      <c r="D795" s="1" t="s">
        <v>69</v>
      </c>
      <c r="E795" s="1">
        <v>542</v>
      </c>
      <c r="F795" s="1" t="s">
        <v>119</v>
      </c>
      <c r="G795" s="1" t="s">
        <v>119</v>
      </c>
      <c r="H795" s="1" t="s">
        <v>119</v>
      </c>
      <c r="I795" s="1" t="s">
        <v>127</v>
      </c>
      <c r="J795" s="1" t="s">
        <v>139</v>
      </c>
      <c r="K795" t="s">
        <v>82</v>
      </c>
      <c r="L795" s="6">
        <v>0</v>
      </c>
      <c r="M795" s="6">
        <v>0</v>
      </c>
      <c r="N795" s="6">
        <v>37355.96</v>
      </c>
      <c r="O795" s="6">
        <v>17074.049999999996</v>
      </c>
      <c r="P795" s="6">
        <v>29395.987999999987</v>
      </c>
      <c r="Q795" s="6">
        <v>13887.455749999994</v>
      </c>
      <c r="R795" s="6">
        <v>20438.900000000009</v>
      </c>
      <c r="S795" s="6">
        <v>10212.646389539257</v>
      </c>
      <c r="T795" s="6">
        <v>20438.900000000009</v>
      </c>
      <c r="U795" s="6">
        <v>10263.680000000011</v>
      </c>
      <c r="V795" s="30">
        <v>20438.899999999987</v>
      </c>
      <c r="W795" s="30">
        <v>10263.68</v>
      </c>
      <c r="X795" s="30">
        <v>21563.039499999984</v>
      </c>
      <c r="Y795" s="30">
        <v>11018.968407944418</v>
      </c>
      <c r="Z795" s="30">
        <v>18627.860846035081</v>
      </c>
      <c r="AA795" s="30">
        <v>8121.7473288712954</v>
      </c>
      <c r="AB795" s="34">
        <v>0</v>
      </c>
      <c r="AC795" s="34">
        <v>0.48488410806329774</v>
      </c>
      <c r="AD795" s="34">
        <v>0.7805917507116733</v>
      </c>
      <c r="AE795" s="34">
        <v>0.78059175071167342</v>
      </c>
      <c r="AF795" s="34">
        <v>0.78059175071167342</v>
      </c>
      <c r="AG795" s="34">
        <v>0.8</v>
      </c>
      <c r="AH795" s="34">
        <v>0.68639017950085046</v>
      </c>
      <c r="AI795" s="37">
        <f t="shared" si="114"/>
        <v>0</v>
      </c>
      <c r="AJ795" s="37">
        <f t="shared" si="115"/>
        <v>18113.311345448226</v>
      </c>
      <c r="AK795" s="37">
        <f t="shared" si="116"/>
        <v>15954.436733620827</v>
      </c>
      <c r="AL795" s="37">
        <f t="shared" si="117"/>
        <v>15954.436733620829</v>
      </c>
      <c r="AM795" s="37">
        <f t="shared" si="118"/>
        <v>15954.436733620812</v>
      </c>
      <c r="AN795" s="37">
        <f t="shared" si="119"/>
        <v>17250.431599999989</v>
      </c>
      <c r="AO795" s="37">
        <f t="shared" si="120"/>
        <v>12785.980749826884</v>
      </c>
    </row>
    <row r="796" spans="1:41" hidden="1" x14ac:dyDescent="0.3">
      <c r="A796" t="str">
        <f t="shared" si="121"/>
        <v>542abr</v>
      </c>
      <c r="B796" t="str">
        <f t="shared" si="122"/>
        <v>YUTH AYACUCHOabr</v>
      </c>
      <c r="C796" s="1" t="s">
        <v>95</v>
      </c>
      <c r="D796" s="1" t="s">
        <v>69</v>
      </c>
      <c r="E796" s="1">
        <v>542</v>
      </c>
      <c r="F796" s="1" t="s">
        <v>119</v>
      </c>
      <c r="G796" s="1" t="s">
        <v>119</v>
      </c>
      <c r="H796" s="1" t="s">
        <v>119</v>
      </c>
      <c r="I796" s="1" t="s">
        <v>127</v>
      </c>
      <c r="J796" s="1" t="s">
        <v>139</v>
      </c>
      <c r="K796" t="s">
        <v>83</v>
      </c>
      <c r="L796" s="6">
        <v>0</v>
      </c>
      <c r="M796" s="6">
        <v>0</v>
      </c>
      <c r="N796" s="6">
        <v>25056.300000000003</v>
      </c>
      <c r="O796" s="6">
        <v>13387.08</v>
      </c>
      <c r="P796" s="6">
        <v>27585.739649999989</v>
      </c>
      <c r="Q796" s="6">
        <v>14661.300052749995</v>
      </c>
      <c r="R796" s="6">
        <v>15213.280000000002</v>
      </c>
      <c r="S796" s="6">
        <v>8190.3381766124121</v>
      </c>
      <c r="T796" s="6">
        <v>15213.280000000002</v>
      </c>
      <c r="U796" s="6">
        <v>8191.2400000000034</v>
      </c>
      <c r="V796" s="30">
        <v>15213.279999999999</v>
      </c>
      <c r="W796" s="30">
        <v>8191.2400000000016</v>
      </c>
      <c r="X796" s="30">
        <v>17495.271999999997</v>
      </c>
      <c r="Y796" s="30">
        <v>9236.0620295897461</v>
      </c>
      <c r="Z796" s="30">
        <v>0</v>
      </c>
      <c r="AA796" s="30">
        <v>0</v>
      </c>
      <c r="AB796" s="34">
        <v>0</v>
      </c>
      <c r="AC796" s="34">
        <v>0.95246503878727728</v>
      </c>
      <c r="AD796" s="34">
        <v>0.91225435400329369</v>
      </c>
      <c r="AE796" s="34">
        <v>0.9122543540032938</v>
      </c>
      <c r="AF796" s="34">
        <v>0.9122543540032938</v>
      </c>
      <c r="AG796" s="34">
        <v>0.92</v>
      </c>
      <c r="AH796" s="34">
        <v>0</v>
      </c>
      <c r="AI796" s="37">
        <f t="shared" si="114"/>
        <v>0</v>
      </c>
      <c r="AJ796" s="37">
        <f t="shared" si="115"/>
        <v>23865.24975136566</v>
      </c>
      <c r="AK796" s="37">
        <f t="shared" si="116"/>
        <v>13878.38091867123</v>
      </c>
      <c r="AL796" s="37">
        <f t="shared" si="117"/>
        <v>13878.380918671231</v>
      </c>
      <c r="AM796" s="37">
        <f t="shared" si="118"/>
        <v>13878.380918671228</v>
      </c>
      <c r="AN796" s="37">
        <f t="shared" si="119"/>
        <v>16095.650239999999</v>
      </c>
      <c r="AO796" s="37">
        <f t="shared" si="120"/>
        <v>0</v>
      </c>
    </row>
    <row r="797" spans="1:41" hidden="1" x14ac:dyDescent="0.3">
      <c r="A797" t="str">
        <f t="shared" si="121"/>
        <v>542may</v>
      </c>
      <c r="B797" t="str">
        <f t="shared" si="122"/>
        <v>YUTH AYACUCHOmay</v>
      </c>
      <c r="C797" s="1" t="s">
        <v>95</v>
      </c>
      <c r="D797" s="1" t="s">
        <v>69</v>
      </c>
      <c r="E797" s="1">
        <v>542</v>
      </c>
      <c r="F797" s="1" t="s">
        <v>119</v>
      </c>
      <c r="G797" s="1" t="s">
        <v>119</v>
      </c>
      <c r="H797" s="1" t="s">
        <v>119</v>
      </c>
      <c r="I797" s="1" t="s">
        <v>127</v>
      </c>
      <c r="J797" s="1" t="s">
        <v>139</v>
      </c>
      <c r="K797" t="s">
        <v>84</v>
      </c>
      <c r="L797" s="6">
        <v>0</v>
      </c>
      <c r="M797" s="6">
        <v>0</v>
      </c>
      <c r="N797" s="6">
        <v>26904.639999999999</v>
      </c>
      <c r="O797" s="6">
        <v>13879.16</v>
      </c>
      <c r="P797" s="6">
        <v>30988.840199999991</v>
      </c>
      <c r="Q797" s="6">
        <v>15428.958098499996</v>
      </c>
      <c r="R797" s="6">
        <v>18908.910000000003</v>
      </c>
      <c r="S797" s="6">
        <v>10312.466005592669</v>
      </c>
      <c r="T797" s="6">
        <v>18908.91</v>
      </c>
      <c r="U797" s="6">
        <v>10406.189999999999</v>
      </c>
      <c r="V797" s="30">
        <v>18908.91</v>
      </c>
      <c r="W797" s="30">
        <v>10406.189999999999</v>
      </c>
      <c r="X797" s="30">
        <v>20421.622800000005</v>
      </c>
      <c r="Y797" s="30">
        <v>10780.934124698621</v>
      </c>
      <c r="Z797" s="30">
        <v>0</v>
      </c>
      <c r="AA797" s="30">
        <v>0</v>
      </c>
      <c r="AB797" s="34">
        <v>0</v>
      </c>
      <c r="AC797" s="34">
        <v>0.86510032315855878</v>
      </c>
      <c r="AD797" s="34">
        <v>0.95959465824105494</v>
      </c>
      <c r="AE797" s="34">
        <v>0.95959465824105494</v>
      </c>
      <c r="AF797" s="34">
        <v>0.95959465824105494</v>
      </c>
      <c r="AG797" s="34">
        <v>0.91999999999999993</v>
      </c>
      <c r="AH797" s="34">
        <v>0</v>
      </c>
      <c r="AI797" s="37">
        <f t="shared" si="114"/>
        <v>0</v>
      </c>
      <c r="AJ797" s="37">
        <f t="shared" si="115"/>
        <v>23275.212758464688</v>
      </c>
      <c r="AK797" s="37">
        <f t="shared" si="116"/>
        <v>18144.889029160866</v>
      </c>
      <c r="AL797" s="37">
        <f t="shared" si="117"/>
        <v>18144.88902916087</v>
      </c>
      <c r="AM797" s="37">
        <f t="shared" si="118"/>
        <v>18144.889029160866</v>
      </c>
      <c r="AN797" s="37">
        <f t="shared" si="119"/>
        <v>18787.892976000003</v>
      </c>
      <c r="AO797" s="37">
        <f t="shared" si="120"/>
        <v>0</v>
      </c>
    </row>
    <row r="798" spans="1:41" hidden="1" x14ac:dyDescent="0.3">
      <c r="A798" t="str">
        <f t="shared" si="121"/>
        <v>542jun</v>
      </c>
      <c r="B798" t="str">
        <f t="shared" si="122"/>
        <v>YUTH AYACUCHOjun</v>
      </c>
      <c r="C798" s="1" t="s">
        <v>95</v>
      </c>
      <c r="D798" s="1" t="s">
        <v>69</v>
      </c>
      <c r="E798" s="1">
        <v>542</v>
      </c>
      <c r="F798" s="1" t="s">
        <v>119</v>
      </c>
      <c r="G798" s="1" t="s">
        <v>119</v>
      </c>
      <c r="H798" s="1" t="s">
        <v>119</v>
      </c>
      <c r="I798" s="1" t="s">
        <v>127</v>
      </c>
      <c r="J798" s="1" t="s">
        <v>139</v>
      </c>
      <c r="K798" t="s">
        <v>85</v>
      </c>
      <c r="L798" s="6">
        <v>0</v>
      </c>
      <c r="M798" s="6">
        <v>0</v>
      </c>
      <c r="N798" s="6">
        <v>34987.789999999994</v>
      </c>
      <c r="O798" s="6">
        <v>18551.39</v>
      </c>
      <c r="P798" s="6">
        <v>28079.542249999999</v>
      </c>
      <c r="Q798" s="6">
        <v>14822.086239749999</v>
      </c>
      <c r="R798" s="6">
        <v>20528.919999999991</v>
      </c>
      <c r="S798" s="6">
        <v>10760.589952213046</v>
      </c>
      <c r="T798" s="6">
        <v>20528.919999999995</v>
      </c>
      <c r="U798" s="6">
        <v>10779.879999999996</v>
      </c>
      <c r="V798" s="30">
        <v>20528.919999999991</v>
      </c>
      <c r="W798" s="30">
        <v>10779.879999999994</v>
      </c>
      <c r="X798" s="30">
        <v>21658.010599999991</v>
      </c>
      <c r="Y798" s="30">
        <v>11433.645006440147</v>
      </c>
      <c r="Z798" s="30">
        <v>0</v>
      </c>
      <c r="AA798" s="30">
        <v>0</v>
      </c>
      <c r="AB798" s="34">
        <v>0</v>
      </c>
      <c r="AC798" s="34">
        <v>0.96734555005380651</v>
      </c>
      <c r="AD798" s="34">
        <v>0.95666028809733039</v>
      </c>
      <c r="AE798" s="34">
        <v>0.95666028809733028</v>
      </c>
      <c r="AF798" s="34">
        <v>0.95666028809733028</v>
      </c>
      <c r="AG798" s="34">
        <v>0.92</v>
      </c>
      <c r="AH798" s="34">
        <v>0</v>
      </c>
      <c r="AI798" s="37">
        <f t="shared" si="114"/>
        <v>0</v>
      </c>
      <c r="AJ798" s="37">
        <f t="shared" si="115"/>
        <v>33845.282962717065</v>
      </c>
      <c r="AK798" s="37">
        <f t="shared" si="116"/>
        <v>19639.202521527044</v>
      </c>
      <c r="AL798" s="37">
        <f t="shared" si="117"/>
        <v>19639.202521527037</v>
      </c>
      <c r="AM798" s="37">
        <f t="shared" si="118"/>
        <v>19639.202521527037</v>
      </c>
      <c r="AN798" s="37">
        <f t="shared" si="119"/>
        <v>19925.369751999991</v>
      </c>
      <c r="AO798" s="37">
        <f t="shared" si="120"/>
        <v>0</v>
      </c>
    </row>
    <row r="799" spans="1:41" hidden="1" x14ac:dyDescent="0.3">
      <c r="A799" t="str">
        <f t="shared" si="121"/>
        <v>542jul</v>
      </c>
      <c r="B799" t="str">
        <f t="shared" si="122"/>
        <v>YUTH AYACUCHOjul</v>
      </c>
      <c r="C799" s="1" t="s">
        <v>95</v>
      </c>
      <c r="D799" s="1" t="s">
        <v>69</v>
      </c>
      <c r="E799" s="1">
        <v>542</v>
      </c>
      <c r="F799" s="1" t="s">
        <v>119</v>
      </c>
      <c r="G799" s="1" t="s">
        <v>119</v>
      </c>
      <c r="H799" s="1" t="s">
        <v>119</v>
      </c>
      <c r="I799" s="1" t="s">
        <v>127</v>
      </c>
      <c r="J799" s="1" t="s">
        <v>139</v>
      </c>
      <c r="K799" t="s">
        <v>86</v>
      </c>
      <c r="L799" s="6">
        <v>0</v>
      </c>
      <c r="M799" s="6">
        <v>0</v>
      </c>
      <c r="N799" s="6">
        <v>31657.34</v>
      </c>
      <c r="O799" s="6">
        <v>16659.03</v>
      </c>
      <c r="P799" s="6">
        <v>32462.4758</v>
      </c>
      <c r="Q799" s="6">
        <v>17064.020940000002</v>
      </c>
      <c r="R799" s="6">
        <v>19915.240000000009</v>
      </c>
      <c r="S799" s="6">
        <v>10549.489999999998</v>
      </c>
      <c r="T799" s="6">
        <v>19915.240000000013</v>
      </c>
      <c r="U799" s="6">
        <v>10549.490000000016</v>
      </c>
      <c r="V799" s="30">
        <v>19915.239999999987</v>
      </c>
      <c r="W799" s="30">
        <v>10549.490000000003</v>
      </c>
      <c r="X799" s="30">
        <v>21010.578199999985</v>
      </c>
      <c r="Y799" s="30">
        <v>11091.854046781662</v>
      </c>
      <c r="Z799" s="30">
        <v>0</v>
      </c>
      <c r="AA799" s="30">
        <v>0</v>
      </c>
      <c r="AB799" s="34">
        <v>0</v>
      </c>
      <c r="AC799" s="34">
        <v>0.97</v>
      </c>
      <c r="AD799" s="34">
        <v>0.96549526894980942</v>
      </c>
      <c r="AE799" s="34">
        <v>0.96549526894980919</v>
      </c>
      <c r="AF799" s="34">
        <v>0.96549526894980919</v>
      </c>
      <c r="AG799" s="34">
        <v>0.92</v>
      </c>
      <c r="AH799" s="34">
        <v>0</v>
      </c>
      <c r="AI799" s="37">
        <f t="shared" si="114"/>
        <v>0</v>
      </c>
      <c r="AJ799" s="37">
        <f t="shared" si="115"/>
        <v>30707.6198</v>
      </c>
      <c r="AK799" s="37">
        <f t="shared" si="116"/>
        <v>19228.070000000014</v>
      </c>
      <c r="AL799" s="37">
        <f t="shared" si="117"/>
        <v>19228.070000000007</v>
      </c>
      <c r="AM799" s="37">
        <f t="shared" si="118"/>
        <v>19228.069999999985</v>
      </c>
      <c r="AN799" s="37">
        <f t="shared" si="119"/>
        <v>19329.731943999988</v>
      </c>
      <c r="AO799" s="37">
        <f t="shared" si="120"/>
        <v>0</v>
      </c>
    </row>
    <row r="800" spans="1:41" hidden="1" x14ac:dyDescent="0.3">
      <c r="A800" t="str">
        <f t="shared" si="121"/>
        <v>542ago</v>
      </c>
      <c r="B800" t="str">
        <f t="shared" si="122"/>
        <v>YUTH AYACUCHOago</v>
      </c>
      <c r="C800" s="1" t="s">
        <v>95</v>
      </c>
      <c r="D800" s="1" t="s">
        <v>69</v>
      </c>
      <c r="E800" s="1">
        <v>542</v>
      </c>
      <c r="F800" s="1" t="s">
        <v>119</v>
      </c>
      <c r="G800" s="1" t="s">
        <v>119</v>
      </c>
      <c r="H800" s="1" t="s">
        <v>119</v>
      </c>
      <c r="I800" s="1" t="s">
        <v>127</v>
      </c>
      <c r="J800" s="1" t="s">
        <v>139</v>
      </c>
      <c r="K800" t="s">
        <v>87</v>
      </c>
      <c r="L800" s="6">
        <v>0</v>
      </c>
      <c r="M800" s="6">
        <v>0</v>
      </c>
      <c r="N800" s="6">
        <v>44314.98</v>
      </c>
      <c r="O800" s="6">
        <v>16659.660000000003</v>
      </c>
      <c r="P800" s="6">
        <v>47783.330900000008</v>
      </c>
      <c r="Q800" s="6">
        <v>17779.781469499998</v>
      </c>
      <c r="R800" s="6">
        <v>35837.498175000015</v>
      </c>
      <c r="S800" s="6">
        <v>14560.775508502506</v>
      </c>
      <c r="T800" s="6">
        <v>51142.109999999957</v>
      </c>
      <c r="U800" s="6">
        <v>19163.859999999968</v>
      </c>
      <c r="V800" s="30">
        <v>47562.162300000004</v>
      </c>
      <c r="W800" s="30">
        <v>19324.506542490002</v>
      </c>
      <c r="X800" s="30">
        <v>47562.162300000004</v>
      </c>
      <c r="Y800" s="30">
        <v>22160.628557344513</v>
      </c>
      <c r="Z800" s="30">
        <v>0</v>
      </c>
      <c r="AA800" s="30">
        <v>0</v>
      </c>
      <c r="AB800" s="34">
        <v>0</v>
      </c>
      <c r="AC800" s="34">
        <v>0.24289853008383894</v>
      </c>
      <c r="AD800" s="34">
        <v>0.31859890020181025</v>
      </c>
      <c r="AE800" s="34">
        <v>0.46</v>
      </c>
      <c r="AF800" s="34">
        <v>0.46</v>
      </c>
      <c r="AG800" s="34">
        <v>0.48</v>
      </c>
      <c r="AH800" s="34">
        <v>0</v>
      </c>
      <c r="AI800" s="37">
        <f t="shared" si="114"/>
        <v>0</v>
      </c>
      <c r="AJ800" s="37">
        <f t="shared" si="115"/>
        <v>10764.043502694722</v>
      </c>
      <c r="AK800" s="37">
        <f t="shared" si="116"/>
        <v>16293.819999999989</v>
      </c>
      <c r="AL800" s="37">
        <f t="shared" si="117"/>
        <v>16485.249160500007</v>
      </c>
      <c r="AM800" s="37">
        <f t="shared" si="118"/>
        <v>21878.594658000002</v>
      </c>
      <c r="AN800" s="37">
        <f t="shared" si="119"/>
        <v>22829.837904</v>
      </c>
      <c r="AO800" s="37">
        <f t="shared" si="120"/>
        <v>0</v>
      </c>
    </row>
    <row r="801" spans="1:41" hidden="1" x14ac:dyDescent="0.3">
      <c r="A801" t="str">
        <f t="shared" si="121"/>
        <v>542sep</v>
      </c>
      <c r="B801" t="str">
        <f t="shared" si="122"/>
        <v>YUTH AYACUCHOsep</v>
      </c>
      <c r="C801" s="1" t="s">
        <v>95</v>
      </c>
      <c r="D801" s="1" t="s">
        <v>69</v>
      </c>
      <c r="E801" s="1">
        <v>542</v>
      </c>
      <c r="F801" s="1" t="s">
        <v>119</v>
      </c>
      <c r="G801" s="1" t="s">
        <v>119</v>
      </c>
      <c r="H801" s="1" t="s">
        <v>119</v>
      </c>
      <c r="I801" s="1" t="s">
        <v>127</v>
      </c>
      <c r="J801" s="1" t="s">
        <v>139</v>
      </c>
      <c r="K801" t="s">
        <v>88</v>
      </c>
      <c r="L801" s="6">
        <v>0</v>
      </c>
      <c r="M801" s="6">
        <v>0</v>
      </c>
      <c r="N801" s="6">
        <v>21766.019999999997</v>
      </c>
      <c r="O801" s="6">
        <v>11005.22</v>
      </c>
      <c r="P801" s="6">
        <v>26874.012299999991</v>
      </c>
      <c r="Q801" s="6">
        <v>14188.025704999996</v>
      </c>
      <c r="R801" s="6">
        <v>22842.910454999994</v>
      </c>
      <c r="S801" s="6">
        <v>11695.570152959997</v>
      </c>
      <c r="T801" s="6">
        <v>15647.370000000017</v>
      </c>
      <c r="U801" s="6">
        <v>8231.4400000000169</v>
      </c>
      <c r="V801" s="30">
        <v>15647.370000000017</v>
      </c>
      <c r="W801" s="30">
        <v>8231.4400000000169</v>
      </c>
      <c r="X801" s="30">
        <v>16507.975350000019</v>
      </c>
      <c r="Y801" s="30">
        <v>8435.7707947794406</v>
      </c>
      <c r="Z801" s="30">
        <v>0</v>
      </c>
      <c r="AA801" s="30">
        <v>0</v>
      </c>
      <c r="AB801" s="34">
        <v>0</v>
      </c>
      <c r="AC801" s="34">
        <v>0.82971720871498811</v>
      </c>
      <c r="AD801" s="34">
        <v>0.98677796971631659</v>
      </c>
      <c r="AE801" s="34">
        <v>0.79999999999999993</v>
      </c>
      <c r="AF801" s="34">
        <v>0.79999999999999993</v>
      </c>
      <c r="AG801" s="34">
        <v>0.8</v>
      </c>
      <c r="AH801" s="34">
        <v>0</v>
      </c>
      <c r="AI801" s="37">
        <f t="shared" si="114"/>
        <v>0</v>
      </c>
      <c r="AJ801" s="37">
        <f t="shared" si="115"/>
        <v>18059.641359234603</v>
      </c>
      <c r="AK801" s="37">
        <f t="shared" si="116"/>
        <v>15440.480000000018</v>
      </c>
      <c r="AL801" s="37">
        <f t="shared" si="117"/>
        <v>18274.328363999994</v>
      </c>
      <c r="AM801" s="37">
        <f t="shared" si="118"/>
        <v>12517.896000000013</v>
      </c>
      <c r="AN801" s="37">
        <f t="shared" si="119"/>
        <v>13206.380280000016</v>
      </c>
      <c r="AO801" s="37">
        <f t="shared" si="120"/>
        <v>0</v>
      </c>
    </row>
    <row r="802" spans="1:41" hidden="1" x14ac:dyDescent="0.3">
      <c r="A802" t="str">
        <f t="shared" si="121"/>
        <v>542oct</v>
      </c>
      <c r="B802" t="str">
        <f t="shared" si="122"/>
        <v>YUTH AYACUCHOoct</v>
      </c>
      <c r="C802" s="1" t="s">
        <v>95</v>
      </c>
      <c r="D802" s="1" t="s">
        <v>69</v>
      </c>
      <c r="E802" s="1">
        <v>542</v>
      </c>
      <c r="F802" s="1" t="s">
        <v>119</v>
      </c>
      <c r="G802" s="1" t="s">
        <v>119</v>
      </c>
      <c r="H802" s="1" t="s">
        <v>119</v>
      </c>
      <c r="I802" s="1" t="s">
        <v>127</v>
      </c>
      <c r="J802" s="1" t="s">
        <v>139</v>
      </c>
      <c r="K802" t="s">
        <v>89</v>
      </c>
      <c r="L802" s="6">
        <v>0</v>
      </c>
      <c r="M802" s="6">
        <v>0</v>
      </c>
      <c r="N802" s="6">
        <v>15490.260000000002</v>
      </c>
      <c r="O802" s="6">
        <v>8324.4399999999987</v>
      </c>
      <c r="P802" s="6">
        <v>28944.586499999998</v>
      </c>
      <c r="Q802" s="6">
        <v>15380.797549999997</v>
      </c>
      <c r="R802" s="6">
        <v>24602.898524999997</v>
      </c>
      <c r="S802" s="6">
        <v>13147.788971759997</v>
      </c>
      <c r="T802" s="6">
        <v>9247.6200000000044</v>
      </c>
      <c r="U802" s="6">
        <v>4603.7300000000032</v>
      </c>
      <c r="V802" s="30">
        <v>12852.589999999997</v>
      </c>
      <c r="W802" s="30">
        <v>6868.4240959999979</v>
      </c>
      <c r="X802" s="30">
        <v>16065.737499999997</v>
      </c>
      <c r="Y802" s="30">
        <v>8481.3856052713018</v>
      </c>
      <c r="Z802" s="30">
        <v>0</v>
      </c>
      <c r="AA802" s="30">
        <v>0</v>
      </c>
      <c r="AB802" s="34">
        <v>0</v>
      </c>
      <c r="AC802" s="34">
        <v>0.98315491183879089</v>
      </c>
      <c r="AD802" s="34">
        <v>0.6379360311085448</v>
      </c>
      <c r="AE802" s="34">
        <v>0.96</v>
      </c>
      <c r="AF802" s="34">
        <v>0.96</v>
      </c>
      <c r="AG802" s="34">
        <v>0.92</v>
      </c>
      <c r="AH802" s="34">
        <v>0</v>
      </c>
      <c r="AI802" s="37">
        <f t="shared" si="114"/>
        <v>0</v>
      </c>
      <c r="AJ802" s="37">
        <f t="shared" si="115"/>
        <v>15229.325204659952</v>
      </c>
      <c r="AK802" s="37">
        <f t="shared" si="116"/>
        <v>5899.390000000004</v>
      </c>
      <c r="AL802" s="37">
        <f t="shared" si="117"/>
        <v>23618.782583999997</v>
      </c>
      <c r="AM802" s="37">
        <f t="shared" si="118"/>
        <v>12338.486399999996</v>
      </c>
      <c r="AN802" s="37">
        <f t="shared" si="119"/>
        <v>14780.478499999997</v>
      </c>
      <c r="AO802" s="37">
        <f t="shared" si="120"/>
        <v>0</v>
      </c>
    </row>
    <row r="803" spans="1:41" hidden="1" x14ac:dyDescent="0.3">
      <c r="A803" t="str">
        <f t="shared" si="121"/>
        <v>542nov</v>
      </c>
      <c r="B803" t="str">
        <f t="shared" si="122"/>
        <v>YUTH AYACUCHOnov</v>
      </c>
      <c r="C803" s="1" t="s">
        <v>95</v>
      </c>
      <c r="D803" s="1" t="s">
        <v>69</v>
      </c>
      <c r="E803" s="1">
        <v>542</v>
      </c>
      <c r="F803" s="1" t="s">
        <v>119</v>
      </c>
      <c r="G803" s="1" t="s">
        <v>119</v>
      </c>
      <c r="H803" s="1" t="s">
        <v>119</v>
      </c>
      <c r="I803" s="1" t="s">
        <v>127</v>
      </c>
      <c r="J803" s="1" t="s">
        <v>139</v>
      </c>
      <c r="K803" t="s">
        <v>90</v>
      </c>
      <c r="L803" s="6">
        <v>0</v>
      </c>
      <c r="M803" s="6">
        <v>0</v>
      </c>
      <c r="N803" s="6">
        <v>11705.079999999998</v>
      </c>
      <c r="O803" s="6">
        <v>6095.2799999999988</v>
      </c>
      <c r="P803" s="6">
        <v>30771.773499999999</v>
      </c>
      <c r="Q803" s="6">
        <v>15513.422507499998</v>
      </c>
      <c r="R803" s="6">
        <v>27463.807848749999</v>
      </c>
      <c r="S803" s="6">
        <v>12743.20684182</v>
      </c>
      <c r="T803" s="6">
        <v>15207.183908045976</v>
      </c>
      <c r="U803" s="6">
        <v>4873.8571016849692</v>
      </c>
      <c r="V803" s="30">
        <v>27463.807848749999</v>
      </c>
      <c r="W803" s="30">
        <v>12743.20684182</v>
      </c>
      <c r="X803" s="30">
        <v>28974.317280431253</v>
      </c>
      <c r="Y803" s="30">
        <v>13908.191898365905</v>
      </c>
      <c r="Z803" s="30">
        <v>0</v>
      </c>
      <c r="AA803" s="30">
        <v>0</v>
      </c>
      <c r="AB803" s="34">
        <v>0</v>
      </c>
      <c r="AC803" s="34">
        <v>0.75876018941503254</v>
      </c>
      <c r="AD803" s="34">
        <v>0.31859890020181025</v>
      </c>
      <c r="AE803" s="34">
        <v>0.6</v>
      </c>
      <c r="AF803" s="34">
        <v>0.6</v>
      </c>
      <c r="AG803" s="34">
        <v>0.57999999999999996</v>
      </c>
      <c r="AH803" s="34">
        <v>0</v>
      </c>
      <c r="AI803" s="37">
        <f t="shared" si="114"/>
        <v>0</v>
      </c>
      <c r="AJ803" s="37">
        <f t="shared" si="115"/>
        <v>8881.3487179181084</v>
      </c>
      <c r="AK803" s="37">
        <f t="shared" si="116"/>
        <v>4844.9920682701149</v>
      </c>
      <c r="AL803" s="37">
        <f t="shared" si="117"/>
        <v>16478.284709249998</v>
      </c>
      <c r="AM803" s="37">
        <f t="shared" si="118"/>
        <v>16478.284709249998</v>
      </c>
      <c r="AN803" s="37">
        <f t="shared" si="119"/>
        <v>16805.104022650125</v>
      </c>
      <c r="AO803" s="37">
        <f t="shared" si="120"/>
        <v>0</v>
      </c>
    </row>
    <row r="804" spans="1:41" hidden="1" x14ac:dyDescent="0.3">
      <c r="A804" t="str">
        <f t="shared" si="121"/>
        <v>542dic</v>
      </c>
      <c r="B804" t="str">
        <f t="shared" si="122"/>
        <v>YUTH AYACUCHOdic</v>
      </c>
      <c r="C804" s="1" t="s">
        <v>95</v>
      </c>
      <c r="D804" s="1" t="s">
        <v>69</v>
      </c>
      <c r="E804" s="1">
        <v>542</v>
      </c>
      <c r="F804" s="1" t="s">
        <v>119</v>
      </c>
      <c r="G804" s="1" t="s">
        <v>119</v>
      </c>
      <c r="H804" s="1" t="s">
        <v>119</v>
      </c>
      <c r="I804" s="1" t="s">
        <v>127</v>
      </c>
      <c r="J804" s="1" t="s">
        <v>139</v>
      </c>
      <c r="K804" t="s">
        <v>91</v>
      </c>
      <c r="L804" s="6">
        <v>0</v>
      </c>
      <c r="M804" s="6">
        <v>0</v>
      </c>
      <c r="N804" s="6">
        <v>58898.41</v>
      </c>
      <c r="O804" s="6">
        <v>28562.639999999999</v>
      </c>
      <c r="P804" s="6">
        <v>60748.786499999973</v>
      </c>
      <c r="Q804" s="6">
        <v>30149.485447499992</v>
      </c>
      <c r="R804" s="6">
        <v>51636.468524999975</v>
      </c>
      <c r="S804" s="6">
        <v>26231.326010699995</v>
      </c>
      <c r="T804" s="6">
        <v>45787.356321839077</v>
      </c>
      <c r="U804" s="6">
        <v>20299.823050613209</v>
      </c>
      <c r="V804" s="30">
        <v>51636.468524999975</v>
      </c>
      <c r="W804" s="30">
        <v>26231.326010699995</v>
      </c>
      <c r="X804" s="30">
        <v>53701.927265999984</v>
      </c>
      <c r="Y804" s="30">
        <v>28047.568573270833</v>
      </c>
      <c r="Z804" s="30">
        <v>0</v>
      </c>
      <c r="AA804" s="30">
        <v>0</v>
      </c>
      <c r="AB804" s="34">
        <v>0</v>
      </c>
      <c r="AC804" s="34">
        <v>0.59683097786383155</v>
      </c>
      <c r="AD804" s="34">
        <v>0.7805917507116733</v>
      </c>
      <c r="AE804" s="34">
        <v>0.8</v>
      </c>
      <c r="AF804" s="34">
        <v>0.8</v>
      </c>
      <c r="AG804" s="34">
        <v>0.88</v>
      </c>
      <c r="AH804" s="34">
        <v>0</v>
      </c>
      <c r="AI804" s="37">
        <f t="shared" si="114"/>
        <v>0</v>
      </c>
      <c r="AJ804" s="37">
        <f t="shared" si="115"/>
        <v>35152.395634924877</v>
      </c>
      <c r="AK804" s="37">
        <f t="shared" si="116"/>
        <v>35741.232631723571</v>
      </c>
      <c r="AL804" s="37">
        <f t="shared" si="117"/>
        <v>41309.174819999986</v>
      </c>
      <c r="AM804" s="37">
        <f t="shared" si="118"/>
        <v>41309.174819999986</v>
      </c>
      <c r="AN804" s="37">
        <f t="shared" si="119"/>
        <v>47257.695994079986</v>
      </c>
      <c r="AO804" s="37">
        <f t="shared" si="120"/>
        <v>0</v>
      </c>
    </row>
    <row r="805" spans="1:41" hidden="1" x14ac:dyDescent="0.3">
      <c r="A805" t="str">
        <f t="shared" si="121"/>
        <v>520ene</v>
      </c>
      <c r="B805" t="str">
        <f t="shared" si="122"/>
        <v>YUTH CALACOTOene</v>
      </c>
      <c r="C805" s="1" t="s">
        <v>95</v>
      </c>
      <c r="D805" s="1" t="s">
        <v>70</v>
      </c>
      <c r="E805" s="1">
        <v>520</v>
      </c>
      <c r="F805" s="1" t="s">
        <v>119</v>
      </c>
      <c r="G805" s="1" t="s">
        <v>119</v>
      </c>
      <c r="H805" s="1" t="s">
        <v>119</v>
      </c>
      <c r="I805" s="1" t="s">
        <v>125</v>
      </c>
      <c r="J805" s="1" t="s">
        <v>140</v>
      </c>
      <c r="K805" t="s">
        <v>80</v>
      </c>
      <c r="L805" s="6">
        <v>0</v>
      </c>
      <c r="M805" s="6">
        <v>0</v>
      </c>
      <c r="N805" s="6">
        <v>46382.06</v>
      </c>
      <c r="O805" s="6">
        <v>24003.800000000003</v>
      </c>
      <c r="P805" s="6">
        <v>47904.451533333318</v>
      </c>
      <c r="Q805" s="6">
        <v>24300.087026333327</v>
      </c>
      <c r="R805" s="6">
        <v>43179.810000000012</v>
      </c>
      <c r="S805" s="6">
        <v>22855.383430287842</v>
      </c>
      <c r="T805" s="6">
        <v>43179.810000000005</v>
      </c>
      <c r="U805" s="6">
        <v>23146.810000000012</v>
      </c>
      <c r="V805" s="30">
        <v>47497.791000000063</v>
      </c>
      <c r="W805" s="30">
        <v>25461.491000000045</v>
      </c>
      <c r="X805" s="30">
        <v>45122.901450000063</v>
      </c>
      <c r="Y805" s="30">
        <v>22980.567567610957</v>
      </c>
      <c r="Z805" s="30">
        <v>31816.235632183914</v>
      </c>
      <c r="AA805" s="30">
        <v>16379.381804869998</v>
      </c>
      <c r="AB805" s="34">
        <v>0</v>
      </c>
      <c r="AC805" s="34">
        <v>0.93332807967644382</v>
      </c>
      <c r="AD805" s="34">
        <v>0.97182565548862354</v>
      </c>
      <c r="AE805" s="34">
        <v>0.97182565548862354</v>
      </c>
      <c r="AF805" s="34">
        <v>0.97182565548862354</v>
      </c>
      <c r="AG805" s="34">
        <v>0.92</v>
      </c>
      <c r="AH805" s="34">
        <v>0.92223210697206026</v>
      </c>
      <c r="AI805" s="37">
        <f t="shared" si="114"/>
        <v>0</v>
      </c>
      <c r="AJ805" s="37">
        <f t="shared" si="115"/>
        <v>43289.678991237597</v>
      </c>
      <c r="AK805" s="37">
        <f t="shared" si="116"/>
        <v>41963.247157124228</v>
      </c>
      <c r="AL805" s="37">
        <f t="shared" si="117"/>
        <v>41963.247157124235</v>
      </c>
      <c r="AM805" s="37">
        <f t="shared" si="118"/>
        <v>46159.571872836706</v>
      </c>
      <c r="AN805" s="37">
        <f t="shared" si="119"/>
        <v>41513.069334000058</v>
      </c>
      <c r="AO805" s="37">
        <f t="shared" si="120"/>
        <v>29341.95402298851</v>
      </c>
    </row>
    <row r="806" spans="1:41" hidden="1" x14ac:dyDescent="0.3">
      <c r="A806" t="str">
        <f t="shared" si="121"/>
        <v>520feb</v>
      </c>
      <c r="B806" t="str">
        <f t="shared" si="122"/>
        <v>YUTH CALACOTOfeb</v>
      </c>
      <c r="C806" s="1" t="s">
        <v>95</v>
      </c>
      <c r="D806" s="1" t="s">
        <v>70</v>
      </c>
      <c r="E806" s="1">
        <v>520</v>
      </c>
      <c r="F806" s="1" t="s">
        <v>119</v>
      </c>
      <c r="G806" s="1" t="s">
        <v>119</v>
      </c>
      <c r="H806" s="1" t="s">
        <v>119</v>
      </c>
      <c r="I806" s="1" t="s">
        <v>125</v>
      </c>
      <c r="J806" s="1" t="s">
        <v>140</v>
      </c>
      <c r="K806" t="s">
        <v>81</v>
      </c>
      <c r="L806" s="6">
        <v>0</v>
      </c>
      <c r="M806" s="6">
        <v>0</v>
      </c>
      <c r="N806" s="6">
        <v>50743.839999999997</v>
      </c>
      <c r="O806" s="6">
        <v>22472.680000000004</v>
      </c>
      <c r="P806" s="6">
        <v>61042.963300000003</v>
      </c>
      <c r="Q806" s="6">
        <v>24085.143439500003</v>
      </c>
      <c r="R806" s="6">
        <v>44163.89</v>
      </c>
      <c r="S806" s="6">
        <v>20244.724326304124</v>
      </c>
      <c r="T806" s="6">
        <v>44163.890000000014</v>
      </c>
      <c r="U806" s="6">
        <v>20346.380000000019</v>
      </c>
      <c r="V806" s="30">
        <v>48580.279000000082</v>
      </c>
      <c r="W806" s="30">
        <v>22381.018000000055</v>
      </c>
      <c r="X806" s="30">
        <v>53438.306900000098</v>
      </c>
      <c r="Y806" s="30">
        <v>24267.107577138151</v>
      </c>
      <c r="Z806" s="30">
        <v>52665.804597701055</v>
      </c>
      <c r="AA806" s="30">
        <v>22365.476826116879</v>
      </c>
      <c r="AB806" s="34">
        <v>0</v>
      </c>
      <c r="AC806" s="34">
        <v>0.55273080798538943</v>
      </c>
      <c r="AD806" s="34">
        <v>0.491932621489648</v>
      </c>
      <c r="AE806" s="34">
        <v>0.49193262148964823</v>
      </c>
      <c r="AF806" s="34">
        <v>0.49193262148964823</v>
      </c>
      <c r="AG806" s="34">
        <v>0.47999999999999993</v>
      </c>
      <c r="AH806" s="34">
        <v>0.57387997402838309</v>
      </c>
      <c r="AI806" s="37">
        <f t="shared" si="114"/>
        <v>0</v>
      </c>
      <c r="AJ806" s="37">
        <f t="shared" si="115"/>
        <v>28047.683683481322</v>
      </c>
      <c r="AK806" s="37">
        <f t="shared" si="116"/>
        <v>21725.658182880459</v>
      </c>
      <c r="AL806" s="37">
        <f t="shared" si="117"/>
        <v>21725.658182880459</v>
      </c>
      <c r="AM806" s="37">
        <f t="shared" si="118"/>
        <v>23898.224001168546</v>
      </c>
      <c r="AN806" s="37">
        <f t="shared" si="119"/>
        <v>25650.387312000043</v>
      </c>
      <c r="AO806" s="37">
        <f t="shared" si="120"/>
        <v>30223.850574712582</v>
      </c>
    </row>
    <row r="807" spans="1:41" hidden="1" x14ac:dyDescent="0.3">
      <c r="A807" t="str">
        <f t="shared" si="121"/>
        <v>520mar</v>
      </c>
      <c r="B807" t="str">
        <f t="shared" si="122"/>
        <v>YUTH CALACOTOmar</v>
      </c>
      <c r="C807" s="1" t="s">
        <v>95</v>
      </c>
      <c r="D807" s="1" t="s">
        <v>70</v>
      </c>
      <c r="E807" s="1">
        <v>520</v>
      </c>
      <c r="F807" s="1" t="s">
        <v>119</v>
      </c>
      <c r="G807" s="1" t="s">
        <v>119</v>
      </c>
      <c r="H807" s="1" t="s">
        <v>119</v>
      </c>
      <c r="I807" s="1" t="s">
        <v>125</v>
      </c>
      <c r="J807" s="1" t="s">
        <v>140</v>
      </c>
      <c r="K807" t="s">
        <v>82</v>
      </c>
      <c r="L807" s="6">
        <v>0</v>
      </c>
      <c r="M807" s="6">
        <v>0</v>
      </c>
      <c r="N807" s="6">
        <v>57122.549999999996</v>
      </c>
      <c r="O807" s="6">
        <v>25213.890000000003</v>
      </c>
      <c r="P807" s="6">
        <v>52302.320699999997</v>
      </c>
      <c r="Q807" s="6">
        <v>24560.182491499996</v>
      </c>
      <c r="R807" s="6">
        <v>40448.200000000004</v>
      </c>
      <c r="S807" s="6">
        <v>20162.229556016857</v>
      </c>
      <c r="T807" s="6">
        <v>40448.200000000012</v>
      </c>
      <c r="U807" s="6">
        <v>20267.520000000011</v>
      </c>
      <c r="V807" s="30">
        <v>40448.199999999983</v>
      </c>
      <c r="W807" s="30">
        <v>20267.519999999997</v>
      </c>
      <c r="X807" s="30">
        <v>45301.983999999982</v>
      </c>
      <c r="Y807" s="30">
        <v>22390.094091589512</v>
      </c>
      <c r="Z807" s="30">
        <v>41528.538105536943</v>
      </c>
      <c r="AA807" s="30">
        <v>20182.869519290954</v>
      </c>
      <c r="AB807" s="34">
        <v>0</v>
      </c>
      <c r="AC807" s="34">
        <v>0.44447696185305846</v>
      </c>
      <c r="AD807" s="34">
        <v>0.78364389438568782</v>
      </c>
      <c r="AE807" s="34">
        <v>0.78364389438568804</v>
      </c>
      <c r="AF807" s="34">
        <v>0.78364389438568804</v>
      </c>
      <c r="AG807" s="34">
        <v>0.8</v>
      </c>
      <c r="AH807" s="34">
        <v>0.86291159846772969</v>
      </c>
      <c r="AI807" s="37">
        <f t="shared" si="114"/>
        <v>0</v>
      </c>
      <c r="AJ807" s="37">
        <f t="shared" si="115"/>
        <v>25389.657477299421</v>
      </c>
      <c r="AK807" s="37">
        <f t="shared" si="116"/>
        <v>31696.984968891189</v>
      </c>
      <c r="AL807" s="37">
        <f t="shared" si="117"/>
        <v>31696.984968891189</v>
      </c>
      <c r="AM807" s="37">
        <f t="shared" si="118"/>
        <v>31696.984968891175</v>
      </c>
      <c r="AN807" s="37">
        <f t="shared" si="119"/>
        <v>36241.587199999987</v>
      </c>
      <c r="AO807" s="37">
        <f t="shared" si="120"/>
        <v>35835.457198676908</v>
      </c>
    </row>
    <row r="808" spans="1:41" hidden="1" x14ac:dyDescent="0.3">
      <c r="A808" t="str">
        <f t="shared" si="121"/>
        <v>520abr</v>
      </c>
      <c r="B808" t="str">
        <f t="shared" si="122"/>
        <v>YUTH CALACOTOabr</v>
      </c>
      <c r="C808" s="1" t="s">
        <v>95</v>
      </c>
      <c r="D808" s="1" t="s">
        <v>70</v>
      </c>
      <c r="E808" s="1">
        <v>520</v>
      </c>
      <c r="F808" s="1" t="s">
        <v>119</v>
      </c>
      <c r="G808" s="1" t="s">
        <v>119</v>
      </c>
      <c r="H808" s="1" t="s">
        <v>119</v>
      </c>
      <c r="I808" s="1" t="s">
        <v>125</v>
      </c>
      <c r="J808" s="1" t="s">
        <v>140</v>
      </c>
      <c r="K808" t="s">
        <v>83</v>
      </c>
      <c r="L808" s="6">
        <v>0</v>
      </c>
      <c r="M808" s="6">
        <v>0</v>
      </c>
      <c r="N808" s="6">
        <v>47875.360000000001</v>
      </c>
      <c r="O808" s="6">
        <v>25239.559999999998</v>
      </c>
      <c r="P808" s="6">
        <v>45470.438750000001</v>
      </c>
      <c r="Q808" s="6">
        <v>23972.484723500002</v>
      </c>
      <c r="R808" s="6">
        <v>46859.539999999986</v>
      </c>
      <c r="S808" s="6">
        <v>24819.928709192303</v>
      </c>
      <c r="T808" s="6">
        <v>46859.539999999994</v>
      </c>
      <c r="U808" s="6">
        <v>24865.49</v>
      </c>
      <c r="V808" s="30">
        <v>46859.539999999986</v>
      </c>
      <c r="W808" s="30">
        <v>24865.489999999998</v>
      </c>
      <c r="X808" s="30">
        <v>49202.516999999985</v>
      </c>
      <c r="Y808" s="30">
        <v>25058.268198199501</v>
      </c>
      <c r="Z808" s="30">
        <v>0</v>
      </c>
      <c r="AA808" s="30">
        <v>0</v>
      </c>
      <c r="AB808" s="34">
        <v>0</v>
      </c>
      <c r="AC808" s="34">
        <v>0.9785468231441431</v>
      </c>
      <c r="AD808" s="34">
        <v>0.96455877904882303</v>
      </c>
      <c r="AE808" s="34">
        <v>0.96455877904882303</v>
      </c>
      <c r="AF808" s="34">
        <v>0.96455877904882303</v>
      </c>
      <c r="AG808" s="34">
        <v>0.92</v>
      </c>
      <c r="AH808" s="34">
        <v>0</v>
      </c>
      <c r="AI808" s="37">
        <f t="shared" si="114"/>
        <v>0</v>
      </c>
      <c r="AJ808" s="37">
        <f t="shared" si="115"/>
        <v>46848.281434882185</v>
      </c>
      <c r="AK808" s="37">
        <f t="shared" si="116"/>
        <v>45198.78068918948</v>
      </c>
      <c r="AL808" s="37">
        <f t="shared" si="117"/>
        <v>45198.780689189472</v>
      </c>
      <c r="AM808" s="37">
        <f t="shared" si="118"/>
        <v>45198.780689189472</v>
      </c>
      <c r="AN808" s="37">
        <f t="shared" si="119"/>
        <v>45266.315639999986</v>
      </c>
      <c r="AO808" s="37">
        <f t="shared" si="120"/>
        <v>0</v>
      </c>
    </row>
    <row r="809" spans="1:41" hidden="1" x14ac:dyDescent="0.3">
      <c r="A809" t="str">
        <f t="shared" si="121"/>
        <v>520may</v>
      </c>
      <c r="B809" t="str">
        <f t="shared" si="122"/>
        <v>YUTH CALACOTOmay</v>
      </c>
      <c r="C809" s="1" t="s">
        <v>95</v>
      </c>
      <c r="D809" s="1" t="s">
        <v>70</v>
      </c>
      <c r="E809" s="1">
        <v>520</v>
      </c>
      <c r="F809" s="1" t="s">
        <v>119</v>
      </c>
      <c r="G809" s="1" t="s">
        <v>119</v>
      </c>
      <c r="H809" s="1" t="s">
        <v>119</v>
      </c>
      <c r="I809" s="1" t="s">
        <v>125</v>
      </c>
      <c r="J809" s="1" t="s">
        <v>140</v>
      </c>
      <c r="K809" t="s">
        <v>84</v>
      </c>
      <c r="L809" s="6">
        <v>0</v>
      </c>
      <c r="M809" s="6">
        <v>0</v>
      </c>
      <c r="N809" s="6">
        <v>45648.149999999994</v>
      </c>
      <c r="O809" s="6">
        <v>24079.249999999996</v>
      </c>
      <c r="P809" s="6">
        <v>49786.071874999994</v>
      </c>
      <c r="Q809" s="6">
        <v>24985.041881875</v>
      </c>
      <c r="R809" s="6">
        <v>56250.359999999971</v>
      </c>
      <c r="S809" s="6">
        <v>29411.074702275302</v>
      </c>
      <c r="T809" s="6">
        <v>56250.359999999971</v>
      </c>
      <c r="U809" s="6">
        <v>29375.319999999963</v>
      </c>
      <c r="V809" s="30">
        <v>56250.359999999971</v>
      </c>
      <c r="W809" s="30">
        <v>29375.319999999963</v>
      </c>
      <c r="X809" s="30">
        <v>53437.841999999982</v>
      </c>
      <c r="Y809" s="30">
        <v>27215.269836073825</v>
      </c>
      <c r="Z809" s="30">
        <v>0</v>
      </c>
      <c r="AA809" s="30">
        <v>0</v>
      </c>
      <c r="AB809" s="34">
        <v>0</v>
      </c>
      <c r="AC809" s="34">
        <v>0.94293361075077053</v>
      </c>
      <c r="AD809" s="34">
        <v>0.94825058725558586</v>
      </c>
      <c r="AE809" s="34">
        <v>0.94825058725558597</v>
      </c>
      <c r="AF809" s="34">
        <v>0.94825058725558597</v>
      </c>
      <c r="AG809" s="34">
        <v>0.91999999999999993</v>
      </c>
      <c r="AH809" s="34">
        <v>0</v>
      </c>
      <c r="AI809" s="37">
        <f t="shared" si="114"/>
        <v>0</v>
      </c>
      <c r="AJ809" s="37">
        <f t="shared" si="115"/>
        <v>43043.174903592779</v>
      </c>
      <c r="AK809" s="37">
        <f t="shared" si="116"/>
        <v>53339.436903338086</v>
      </c>
      <c r="AL809" s="37">
        <f t="shared" si="117"/>
        <v>53339.436903338094</v>
      </c>
      <c r="AM809" s="37">
        <f t="shared" si="118"/>
        <v>53339.436903338094</v>
      </c>
      <c r="AN809" s="37">
        <f t="shared" si="119"/>
        <v>49162.814639999982</v>
      </c>
      <c r="AO809" s="37">
        <f t="shared" si="120"/>
        <v>0</v>
      </c>
    </row>
    <row r="810" spans="1:41" hidden="1" x14ac:dyDescent="0.3">
      <c r="A810" t="str">
        <f t="shared" si="121"/>
        <v>520jun</v>
      </c>
      <c r="B810" t="str">
        <f t="shared" si="122"/>
        <v>YUTH CALACOTOjun</v>
      </c>
      <c r="C810" s="1" t="s">
        <v>95</v>
      </c>
      <c r="D810" s="1" t="s">
        <v>70</v>
      </c>
      <c r="E810" s="1">
        <v>520</v>
      </c>
      <c r="F810" s="1" t="s">
        <v>119</v>
      </c>
      <c r="G810" s="1" t="s">
        <v>119</v>
      </c>
      <c r="H810" s="1" t="s">
        <v>119</v>
      </c>
      <c r="I810" s="1" t="s">
        <v>125</v>
      </c>
      <c r="J810" s="1" t="s">
        <v>140</v>
      </c>
      <c r="K810" t="s">
        <v>85</v>
      </c>
      <c r="L810" s="6">
        <v>0</v>
      </c>
      <c r="M810" s="6">
        <v>0</v>
      </c>
      <c r="N810" s="6">
        <v>41211.919999999998</v>
      </c>
      <c r="O810" s="6">
        <v>21438.879999999997</v>
      </c>
      <c r="P810" s="6">
        <v>45071.983775000001</v>
      </c>
      <c r="Q810" s="6">
        <v>23264.870789125001</v>
      </c>
      <c r="R810" s="6">
        <v>41536.189999999959</v>
      </c>
      <c r="S810" s="6">
        <v>21903.730517492615</v>
      </c>
      <c r="T810" s="6">
        <v>41536.189999999959</v>
      </c>
      <c r="U810" s="6">
        <v>21910.629999999976</v>
      </c>
      <c r="V810" s="30">
        <v>41536.189999999959</v>
      </c>
      <c r="W810" s="30">
        <v>21910.629999999976</v>
      </c>
      <c r="X810" s="30">
        <v>44443.723299999969</v>
      </c>
      <c r="Y810" s="30">
        <v>22634.670055151193</v>
      </c>
      <c r="Z810" s="30">
        <v>0</v>
      </c>
      <c r="AA810" s="30">
        <v>0</v>
      </c>
      <c r="AB810" s="34">
        <v>0</v>
      </c>
      <c r="AC810" s="34">
        <v>0.95350355911496698</v>
      </c>
      <c r="AD810" s="34">
        <v>0.99929371020898317</v>
      </c>
      <c r="AE810" s="34">
        <v>0.99929371020898317</v>
      </c>
      <c r="AF810" s="34">
        <v>0.99929371020898317</v>
      </c>
      <c r="AG810" s="34">
        <v>0.92</v>
      </c>
      <c r="AH810" s="34">
        <v>0</v>
      </c>
      <c r="AI810" s="37">
        <f t="shared" si="114"/>
        <v>0</v>
      </c>
      <c r="AJ810" s="37">
        <f t="shared" si="115"/>
        <v>39295.712397961288</v>
      </c>
      <c r="AK810" s="37">
        <f t="shared" si="116"/>
        <v>41506.853413045224</v>
      </c>
      <c r="AL810" s="37">
        <f t="shared" si="117"/>
        <v>41506.853413045224</v>
      </c>
      <c r="AM810" s="37">
        <f t="shared" si="118"/>
        <v>41506.853413045224</v>
      </c>
      <c r="AN810" s="37">
        <f t="shared" si="119"/>
        <v>40888.225435999972</v>
      </c>
      <c r="AO810" s="37">
        <f t="shared" si="120"/>
        <v>0</v>
      </c>
    </row>
    <row r="811" spans="1:41" hidden="1" x14ac:dyDescent="0.3">
      <c r="A811" t="str">
        <f t="shared" si="121"/>
        <v>520jul</v>
      </c>
      <c r="B811" t="str">
        <f t="shared" si="122"/>
        <v>YUTH CALACOTOjul</v>
      </c>
      <c r="C811" s="1" t="s">
        <v>95</v>
      </c>
      <c r="D811" s="1" t="s">
        <v>70</v>
      </c>
      <c r="E811" s="1">
        <v>520</v>
      </c>
      <c r="F811" s="1" t="s">
        <v>119</v>
      </c>
      <c r="G811" s="1" t="s">
        <v>119</v>
      </c>
      <c r="H811" s="1" t="s">
        <v>119</v>
      </c>
      <c r="I811" s="1" t="s">
        <v>125</v>
      </c>
      <c r="J811" s="1" t="s">
        <v>140</v>
      </c>
      <c r="K811" t="s">
        <v>86</v>
      </c>
      <c r="L811" s="6">
        <v>0</v>
      </c>
      <c r="M811" s="6">
        <v>0</v>
      </c>
      <c r="N811" s="6">
        <v>50378.210000000006</v>
      </c>
      <c r="O811" s="6">
        <v>26330.670000000002</v>
      </c>
      <c r="P811" s="6">
        <v>50564.158199999998</v>
      </c>
      <c r="Q811" s="6">
        <v>26253.128128000004</v>
      </c>
      <c r="R811" s="6">
        <v>53245.359999999979</v>
      </c>
      <c r="S811" s="6">
        <v>27970.549999999927</v>
      </c>
      <c r="T811" s="6">
        <v>53245.35999999995</v>
      </c>
      <c r="U811" s="6">
        <v>27970.549999999967</v>
      </c>
      <c r="V811" s="30">
        <v>53245.359999999993</v>
      </c>
      <c r="W811" s="30">
        <v>27970.549999999988</v>
      </c>
      <c r="X811" s="30">
        <v>55907.627999999997</v>
      </c>
      <c r="Y811" s="30">
        <v>28473.10304773978</v>
      </c>
      <c r="Z811" s="30">
        <v>0</v>
      </c>
      <c r="AA811" s="30">
        <v>0</v>
      </c>
      <c r="AB811" s="34">
        <v>0</v>
      </c>
      <c r="AC811" s="34">
        <v>0.98010831722867842</v>
      </c>
      <c r="AD811" s="34">
        <v>0.97167302465416705</v>
      </c>
      <c r="AE811" s="34">
        <v>0.97167302465416705</v>
      </c>
      <c r="AF811" s="34">
        <v>0.97167302465416705</v>
      </c>
      <c r="AG811" s="34">
        <v>0.91999999999999993</v>
      </c>
      <c r="AH811" s="34">
        <v>0</v>
      </c>
      <c r="AI811" s="37">
        <f t="shared" si="114"/>
        <v>0</v>
      </c>
      <c r="AJ811" s="37">
        <f t="shared" si="115"/>
        <v>49376.102628092987</v>
      </c>
      <c r="AK811" s="37">
        <f t="shared" si="116"/>
        <v>51737.079999999951</v>
      </c>
      <c r="AL811" s="37">
        <f t="shared" si="117"/>
        <v>51737.07999999998</v>
      </c>
      <c r="AM811" s="37">
        <f t="shared" si="118"/>
        <v>51737.079999999994</v>
      </c>
      <c r="AN811" s="37">
        <f t="shared" si="119"/>
        <v>51435.017759999995</v>
      </c>
      <c r="AO811" s="37">
        <f t="shared" si="120"/>
        <v>0</v>
      </c>
    </row>
    <row r="812" spans="1:41" hidden="1" x14ac:dyDescent="0.3">
      <c r="A812" t="str">
        <f t="shared" si="121"/>
        <v>520ago</v>
      </c>
      <c r="B812" t="str">
        <f t="shared" si="122"/>
        <v>YUTH CALACOTOago</v>
      </c>
      <c r="C812" s="1" t="s">
        <v>95</v>
      </c>
      <c r="D812" s="1" t="s">
        <v>70</v>
      </c>
      <c r="E812" s="1">
        <v>520</v>
      </c>
      <c r="F812" s="1" t="s">
        <v>119</v>
      </c>
      <c r="G812" s="1" t="s">
        <v>119</v>
      </c>
      <c r="H812" s="1" t="s">
        <v>119</v>
      </c>
      <c r="I812" s="1" t="s">
        <v>125</v>
      </c>
      <c r="J812" s="1" t="s">
        <v>140</v>
      </c>
      <c r="K812" t="s">
        <v>87</v>
      </c>
      <c r="L812" s="6">
        <v>0</v>
      </c>
      <c r="M812" s="6">
        <v>0</v>
      </c>
      <c r="N812" s="6">
        <v>62734.950000000004</v>
      </c>
      <c r="O812" s="6">
        <v>23452.460000000003</v>
      </c>
      <c r="P812" s="6">
        <v>70160.580619999964</v>
      </c>
      <c r="Q812" s="6">
        <v>25918.957862999985</v>
      </c>
      <c r="R812" s="6">
        <v>66652.551588999951</v>
      </c>
      <c r="S812" s="6">
        <v>27937.416998529334</v>
      </c>
      <c r="T812" s="6">
        <v>97837.969999999914</v>
      </c>
      <c r="U812" s="6">
        <v>37612.629999999917</v>
      </c>
      <c r="V812" s="30">
        <v>90989.312100000083</v>
      </c>
      <c r="W812" s="30">
        <v>38138.170166715041</v>
      </c>
      <c r="X812" s="30">
        <v>91899.205221000069</v>
      </c>
      <c r="Y812" s="30">
        <v>41732.757430447346</v>
      </c>
      <c r="Z812" s="30">
        <v>0</v>
      </c>
      <c r="AA812" s="30">
        <v>0</v>
      </c>
      <c r="AB812" s="34">
        <v>0</v>
      </c>
      <c r="AC812" s="34">
        <v>0.27770075318166998</v>
      </c>
      <c r="AD812" s="34">
        <v>0.39452985379807098</v>
      </c>
      <c r="AE812" s="34">
        <v>0.51</v>
      </c>
      <c r="AF812" s="34">
        <v>0.51</v>
      </c>
      <c r="AG812" s="34">
        <v>0.47999999999999993</v>
      </c>
      <c r="AH812" s="34">
        <v>0</v>
      </c>
      <c r="AI812" s="37">
        <f t="shared" si="114"/>
        <v>0</v>
      </c>
      <c r="AJ812" s="37">
        <f t="shared" si="115"/>
        <v>17421.542865814408</v>
      </c>
      <c r="AK812" s="37">
        <f t="shared" si="116"/>
        <v>38600.000000000022</v>
      </c>
      <c r="AL812" s="37">
        <f t="shared" si="117"/>
        <v>33992.801310389979</v>
      </c>
      <c r="AM812" s="37">
        <f t="shared" si="118"/>
        <v>46404.549171000042</v>
      </c>
      <c r="AN812" s="37">
        <f t="shared" si="119"/>
        <v>44111.618506080027</v>
      </c>
      <c r="AO812" s="37">
        <f t="shared" si="120"/>
        <v>0</v>
      </c>
    </row>
    <row r="813" spans="1:41" hidden="1" x14ac:dyDescent="0.3">
      <c r="A813" t="str">
        <f t="shared" si="121"/>
        <v>520sep</v>
      </c>
      <c r="B813" t="str">
        <f t="shared" si="122"/>
        <v>YUTH CALACOTOsep</v>
      </c>
      <c r="C813" s="1" t="s">
        <v>95</v>
      </c>
      <c r="D813" s="1" t="s">
        <v>70</v>
      </c>
      <c r="E813" s="1">
        <v>520</v>
      </c>
      <c r="F813" s="1" t="s">
        <v>119</v>
      </c>
      <c r="G813" s="1" t="s">
        <v>119</v>
      </c>
      <c r="H813" s="1" t="s">
        <v>119</v>
      </c>
      <c r="I813" s="1" t="s">
        <v>125</v>
      </c>
      <c r="J813" s="1" t="s">
        <v>140</v>
      </c>
      <c r="K813" t="s">
        <v>88</v>
      </c>
      <c r="L813" s="6">
        <v>0</v>
      </c>
      <c r="M813" s="6">
        <v>0</v>
      </c>
      <c r="N813" s="6">
        <v>42361.03</v>
      </c>
      <c r="O813" s="6">
        <v>20707.650000000001</v>
      </c>
      <c r="P813" s="6">
        <v>44449.53428</v>
      </c>
      <c r="Q813" s="6">
        <v>23599.526294000003</v>
      </c>
      <c r="R813" s="6">
        <v>44449.53428</v>
      </c>
      <c r="S813" s="6">
        <v>22824.835852780005</v>
      </c>
      <c r="T813" s="6">
        <v>30002.289999999979</v>
      </c>
      <c r="U813" s="6">
        <v>14230.609999999975</v>
      </c>
      <c r="V813" s="30">
        <v>30002.289999999979</v>
      </c>
      <c r="W813" s="30">
        <v>14230.609999999975</v>
      </c>
      <c r="X813" s="30">
        <v>42603.251799999976</v>
      </c>
      <c r="Y813" s="30">
        <v>21056.270215663837</v>
      </c>
      <c r="Z813" s="30">
        <v>0</v>
      </c>
      <c r="AA813" s="30">
        <v>0</v>
      </c>
      <c r="AB813" s="34">
        <v>0</v>
      </c>
      <c r="AC813" s="34">
        <v>0.790365971748624</v>
      </c>
      <c r="AD813" s="34">
        <v>0.73246142211144549</v>
      </c>
      <c r="AE813" s="34">
        <v>0.85000000000000009</v>
      </c>
      <c r="AF813" s="34">
        <v>0.85000000000000009</v>
      </c>
      <c r="AG813" s="34">
        <v>0.8</v>
      </c>
      <c r="AH813" s="34">
        <v>0</v>
      </c>
      <c r="AI813" s="37">
        <f t="shared" si="114"/>
        <v>0</v>
      </c>
      <c r="AJ813" s="37">
        <f t="shared" si="115"/>
        <v>33480.716640222614</v>
      </c>
      <c r="AK813" s="37">
        <f t="shared" si="116"/>
        <v>21975.519999999986</v>
      </c>
      <c r="AL813" s="37">
        <f t="shared" si="117"/>
        <v>37782.104138000002</v>
      </c>
      <c r="AM813" s="37">
        <f t="shared" si="118"/>
        <v>25501.946499999984</v>
      </c>
      <c r="AN813" s="37">
        <f t="shared" si="119"/>
        <v>34082.601439999984</v>
      </c>
      <c r="AO813" s="37">
        <f t="shared" si="120"/>
        <v>0</v>
      </c>
    </row>
    <row r="814" spans="1:41" hidden="1" x14ac:dyDescent="0.3">
      <c r="A814" t="str">
        <f t="shared" si="121"/>
        <v>520oct</v>
      </c>
      <c r="B814" t="str">
        <f t="shared" si="122"/>
        <v>YUTH CALACOTOoct</v>
      </c>
      <c r="C814" s="1" t="s">
        <v>95</v>
      </c>
      <c r="D814" s="1" t="s">
        <v>70</v>
      </c>
      <c r="E814" s="1">
        <v>520</v>
      </c>
      <c r="F814" s="1" t="s">
        <v>119</v>
      </c>
      <c r="G814" s="1" t="s">
        <v>119</v>
      </c>
      <c r="H814" s="1" t="s">
        <v>119</v>
      </c>
      <c r="I814" s="1" t="s">
        <v>125</v>
      </c>
      <c r="J814" s="1" t="s">
        <v>140</v>
      </c>
      <c r="K814" t="s">
        <v>89</v>
      </c>
      <c r="L814" s="6">
        <v>0</v>
      </c>
      <c r="M814" s="6">
        <v>0</v>
      </c>
      <c r="N814" s="6">
        <v>39617.68</v>
      </c>
      <c r="O814" s="6">
        <v>21286.07</v>
      </c>
      <c r="P814" s="6">
        <v>46935.778200000015</v>
      </c>
      <c r="Q814" s="6">
        <v>25031.877293000016</v>
      </c>
      <c r="R814" s="6">
        <v>46935.778200000015</v>
      </c>
      <c r="S814" s="6">
        <v>24617.815665900005</v>
      </c>
      <c r="T814" s="6">
        <v>42824.899999999965</v>
      </c>
      <c r="U814" s="6">
        <v>20422.369999999966</v>
      </c>
      <c r="V814" s="30">
        <v>36558.17</v>
      </c>
      <c r="W814" s="30">
        <v>19174.760164999996</v>
      </c>
      <c r="X814" s="30">
        <v>45697.712500000001</v>
      </c>
      <c r="Y814" s="30">
        <v>23273.312132979176</v>
      </c>
      <c r="Z814" s="30">
        <v>0</v>
      </c>
      <c r="AA814" s="30">
        <v>0</v>
      </c>
      <c r="AB814" s="34">
        <v>0</v>
      </c>
      <c r="AC814" s="34">
        <v>0.96535694571452957</v>
      </c>
      <c r="AD814" s="34">
        <v>0.64030599020663181</v>
      </c>
      <c r="AE814" s="34">
        <v>0.95</v>
      </c>
      <c r="AF814" s="34">
        <v>0.95</v>
      </c>
      <c r="AG814" s="34">
        <v>0.91999999999999993</v>
      </c>
      <c r="AH814" s="34">
        <v>0</v>
      </c>
      <c r="AI814" s="37">
        <f t="shared" si="114"/>
        <v>0</v>
      </c>
      <c r="AJ814" s="37">
        <f t="shared" si="115"/>
        <v>38245.202561095604</v>
      </c>
      <c r="AK814" s="37">
        <f t="shared" si="116"/>
        <v>27421.039999999964</v>
      </c>
      <c r="AL814" s="37">
        <f t="shared" si="117"/>
        <v>44588.989290000012</v>
      </c>
      <c r="AM814" s="37">
        <f t="shared" si="118"/>
        <v>34730.261499999993</v>
      </c>
      <c r="AN814" s="37">
        <f t="shared" si="119"/>
        <v>42041.895499999999</v>
      </c>
      <c r="AO814" s="37">
        <f t="shared" si="120"/>
        <v>0</v>
      </c>
    </row>
    <row r="815" spans="1:41" hidden="1" x14ac:dyDescent="0.3">
      <c r="A815" t="str">
        <f t="shared" si="121"/>
        <v>520nov</v>
      </c>
      <c r="B815" t="str">
        <f t="shared" si="122"/>
        <v>YUTH CALACOTOnov</v>
      </c>
      <c r="C815" s="1" t="s">
        <v>95</v>
      </c>
      <c r="D815" s="1" t="s">
        <v>70</v>
      </c>
      <c r="E815" s="1">
        <v>520</v>
      </c>
      <c r="F815" s="1" t="s">
        <v>119</v>
      </c>
      <c r="G815" s="1" t="s">
        <v>119</v>
      </c>
      <c r="H815" s="1" t="s">
        <v>119</v>
      </c>
      <c r="I815" s="1" t="s">
        <v>125</v>
      </c>
      <c r="J815" s="1" t="s">
        <v>140</v>
      </c>
      <c r="K815" t="s">
        <v>90</v>
      </c>
      <c r="L815" s="6">
        <v>0</v>
      </c>
      <c r="M815" s="6">
        <v>0</v>
      </c>
      <c r="N815" s="6">
        <v>44517.43</v>
      </c>
      <c r="O815" s="6">
        <v>23055.530000000002</v>
      </c>
      <c r="P815" s="6">
        <v>60135.663100000012</v>
      </c>
      <c r="Q815" s="6">
        <v>30155.359418000004</v>
      </c>
      <c r="R815" s="6">
        <v>63142.446255000017</v>
      </c>
      <c r="S815" s="6">
        <v>28919.240384790013</v>
      </c>
      <c r="T815" s="6">
        <v>66580.531609195401</v>
      </c>
      <c r="U815" s="6">
        <v>24480.102089353648</v>
      </c>
      <c r="V815" s="30">
        <v>53222.772988505727</v>
      </c>
      <c r="W815" s="30">
        <v>24376.030028735626</v>
      </c>
      <c r="X815" s="30">
        <v>56948.367097701121</v>
      </c>
      <c r="Y815" s="30">
        <v>26575.181804454791</v>
      </c>
      <c r="Z815" s="30">
        <v>0</v>
      </c>
      <c r="AA815" s="30">
        <v>0</v>
      </c>
      <c r="AB815" s="34">
        <v>0</v>
      </c>
      <c r="AC815" s="34">
        <v>0.82093832104213504</v>
      </c>
      <c r="AD815" s="34">
        <v>0.39452985379807098</v>
      </c>
      <c r="AE815" s="34">
        <v>0.6</v>
      </c>
      <c r="AF815" s="34">
        <v>0.6</v>
      </c>
      <c r="AG815" s="34">
        <v>0.57999999999999996</v>
      </c>
      <c r="AH815" s="34">
        <v>0</v>
      </c>
      <c r="AI815" s="37">
        <f t="shared" si="114"/>
        <v>0</v>
      </c>
      <c r="AJ815" s="37">
        <f t="shared" si="115"/>
        <v>36546.064241310771</v>
      </c>
      <c r="AK815" s="37">
        <f t="shared" si="116"/>
        <v>26268.007401573705</v>
      </c>
      <c r="AL815" s="37">
        <f t="shared" si="117"/>
        <v>37885.467753000012</v>
      </c>
      <c r="AM815" s="37">
        <f t="shared" si="118"/>
        <v>31933.663793103435</v>
      </c>
      <c r="AN815" s="37">
        <f t="shared" si="119"/>
        <v>33030.052916666646</v>
      </c>
      <c r="AO815" s="37">
        <f t="shared" si="120"/>
        <v>0</v>
      </c>
    </row>
    <row r="816" spans="1:41" hidden="1" x14ac:dyDescent="0.3">
      <c r="A816" t="str">
        <f t="shared" si="121"/>
        <v>520dic</v>
      </c>
      <c r="B816" t="str">
        <f t="shared" si="122"/>
        <v>YUTH CALACOTOdic</v>
      </c>
      <c r="C816" s="1" t="s">
        <v>95</v>
      </c>
      <c r="D816" s="1" t="s">
        <v>70</v>
      </c>
      <c r="E816" s="1">
        <v>520</v>
      </c>
      <c r="F816" s="1" t="s">
        <v>119</v>
      </c>
      <c r="G816" s="1" t="s">
        <v>119</v>
      </c>
      <c r="H816" s="1" t="s">
        <v>119</v>
      </c>
      <c r="I816" s="1" t="s">
        <v>125</v>
      </c>
      <c r="J816" s="1" t="s">
        <v>140</v>
      </c>
      <c r="K816" t="s">
        <v>91</v>
      </c>
      <c r="L816" s="6">
        <v>0</v>
      </c>
      <c r="M816" s="6">
        <v>0</v>
      </c>
      <c r="N816" s="6">
        <v>103720.40000000002</v>
      </c>
      <c r="O816" s="6">
        <v>51536.100000000006</v>
      </c>
      <c r="P816" s="6">
        <v>106146.86480000002</v>
      </c>
      <c r="Q816" s="6">
        <v>53017.843031200005</v>
      </c>
      <c r="R816" s="6">
        <v>106146.86480000002</v>
      </c>
      <c r="S816" s="6">
        <v>53073.432400000012</v>
      </c>
      <c r="T816" s="6">
        <v>90892.385057471256</v>
      </c>
      <c r="U816" s="6">
        <v>41560.36051078837</v>
      </c>
      <c r="V816" s="30">
        <v>106146.86480000002</v>
      </c>
      <c r="W816" s="30">
        <v>53073.432400000012</v>
      </c>
      <c r="X816" s="30">
        <v>106146.86480000002</v>
      </c>
      <c r="Y816" s="30">
        <v>53526.948282074576</v>
      </c>
      <c r="Z816" s="30">
        <v>0</v>
      </c>
      <c r="AA816" s="30">
        <v>0</v>
      </c>
      <c r="AB816" s="34">
        <v>0</v>
      </c>
      <c r="AC816" s="34">
        <v>0.58687295179551358</v>
      </c>
      <c r="AD816" s="34">
        <v>0.78364389438568782</v>
      </c>
      <c r="AE816" s="34">
        <v>0.8</v>
      </c>
      <c r="AF816" s="34">
        <v>0.8</v>
      </c>
      <c r="AG816" s="34">
        <v>0.88</v>
      </c>
      <c r="AH816" s="34">
        <v>0</v>
      </c>
      <c r="AI816" s="37">
        <f t="shared" si="114"/>
        <v>0</v>
      </c>
      <c r="AJ816" s="37">
        <f t="shared" si="115"/>
        <v>60870.6973094114</v>
      </c>
      <c r="AK816" s="37">
        <f t="shared" si="116"/>
        <v>71227.262596440269</v>
      </c>
      <c r="AL816" s="37">
        <f t="shared" si="117"/>
        <v>84917.491840000032</v>
      </c>
      <c r="AM816" s="37">
        <f t="shared" si="118"/>
        <v>84917.491840000032</v>
      </c>
      <c r="AN816" s="37">
        <f t="shared" si="119"/>
        <v>93409.241024000017</v>
      </c>
      <c r="AO816" s="37">
        <f t="shared" si="120"/>
        <v>0</v>
      </c>
    </row>
    <row r="817" spans="1:41" hidden="1" x14ac:dyDescent="0.3">
      <c r="A817" t="str">
        <f t="shared" ref="A817" si="123">CONCATENATE(E817,K817)</f>
        <v>Y-LPjun</v>
      </c>
      <c r="B817" t="str">
        <f t="shared" ref="B817" si="124">CONCATENATE(D817,K817)</f>
        <v>YUTH LA PAZ CENTRO MULTICINE - CIELO MALLjun</v>
      </c>
      <c r="C817" s="1" t="s">
        <v>95</v>
      </c>
      <c r="D817" s="1" t="s">
        <v>71</v>
      </c>
      <c r="E817" s="1" t="s">
        <v>115</v>
      </c>
      <c r="F817" s="1" t="s">
        <v>121</v>
      </c>
      <c r="G817" s="1" t="s">
        <v>121</v>
      </c>
      <c r="H817" s="1" t="s">
        <v>303</v>
      </c>
      <c r="I817" s="1" t="s">
        <v>125</v>
      </c>
      <c r="J817" s="1" t="s">
        <v>139</v>
      </c>
      <c r="K817" t="s">
        <v>85</v>
      </c>
      <c r="L817" s="6">
        <v>0</v>
      </c>
      <c r="M817" s="6">
        <v>0</v>
      </c>
      <c r="N817" s="6">
        <v>0</v>
      </c>
      <c r="O817" s="6">
        <v>0</v>
      </c>
      <c r="P817" s="6">
        <v>21350.625187499998</v>
      </c>
      <c r="Q817" s="6">
        <v>11239.4072151375</v>
      </c>
      <c r="R817" s="6">
        <v>0</v>
      </c>
      <c r="S817" s="6">
        <v>0</v>
      </c>
      <c r="T817" s="6">
        <v>0</v>
      </c>
      <c r="U817" s="6">
        <v>0</v>
      </c>
      <c r="V817" s="30">
        <v>0</v>
      </c>
      <c r="W817" s="30">
        <v>0</v>
      </c>
      <c r="X817" s="30">
        <v>0</v>
      </c>
      <c r="Y817" s="30">
        <v>0</v>
      </c>
      <c r="Z817" s="30">
        <v>0</v>
      </c>
      <c r="AA817" s="30">
        <v>0</v>
      </c>
      <c r="AB817" s="34">
        <v>0</v>
      </c>
      <c r="AC817" s="34">
        <v>0</v>
      </c>
      <c r="AD817" s="34">
        <v>0</v>
      </c>
      <c r="AE817" s="34">
        <v>0</v>
      </c>
      <c r="AF817" s="34">
        <v>0</v>
      </c>
      <c r="AG817" s="34">
        <v>0</v>
      </c>
      <c r="AH817" s="34">
        <v>0</v>
      </c>
      <c r="AI817" s="37">
        <f t="shared" si="114"/>
        <v>0</v>
      </c>
      <c r="AJ817" s="37">
        <f t="shared" si="115"/>
        <v>0</v>
      </c>
      <c r="AK817" s="37">
        <f t="shared" si="116"/>
        <v>0</v>
      </c>
      <c r="AL817" s="37">
        <f t="shared" si="117"/>
        <v>0</v>
      </c>
      <c r="AM817" s="37">
        <f t="shared" si="118"/>
        <v>0</v>
      </c>
      <c r="AN817" s="37">
        <f t="shared" si="119"/>
        <v>0</v>
      </c>
      <c r="AO817" s="37">
        <f t="shared" si="120"/>
        <v>0</v>
      </c>
    </row>
    <row r="818" spans="1:41" hidden="1" x14ac:dyDescent="0.3">
      <c r="A818" t="str">
        <f t="shared" si="121"/>
        <v>Y-LPjul</v>
      </c>
      <c r="B818" t="str">
        <f t="shared" si="122"/>
        <v>YUTH LA PAZ CENTRO MULTICINE - CIELO MALLjul</v>
      </c>
      <c r="C818" s="1" t="s">
        <v>95</v>
      </c>
      <c r="D818" s="1" t="s">
        <v>71</v>
      </c>
      <c r="E818" s="1" t="s">
        <v>115</v>
      </c>
      <c r="F818" s="1" t="s">
        <v>121</v>
      </c>
      <c r="G818" s="1" t="s">
        <v>121</v>
      </c>
      <c r="H818" s="1" t="s">
        <v>303</v>
      </c>
      <c r="I818" s="1" t="s">
        <v>125</v>
      </c>
      <c r="J818" s="1" t="s">
        <v>139</v>
      </c>
      <c r="K818" t="s">
        <v>86</v>
      </c>
      <c r="L818" s="6">
        <v>0</v>
      </c>
      <c r="M818" s="6">
        <v>0</v>
      </c>
      <c r="N818" s="6">
        <v>0</v>
      </c>
      <c r="O818" s="6">
        <v>0</v>
      </c>
      <c r="P818" s="6">
        <v>30537.312592500006</v>
      </c>
      <c r="Q818" s="6">
        <v>16052.357877412505</v>
      </c>
      <c r="R818" s="6">
        <v>0</v>
      </c>
      <c r="S818" s="6">
        <v>0</v>
      </c>
      <c r="T818" s="6">
        <v>0</v>
      </c>
      <c r="U818" s="6">
        <v>0</v>
      </c>
      <c r="V818" s="30">
        <v>0</v>
      </c>
      <c r="W818" s="30">
        <v>0</v>
      </c>
      <c r="X818" s="30">
        <v>37271.751999999986</v>
      </c>
      <c r="Y818" s="30">
        <v>18982.068698493178</v>
      </c>
      <c r="Z818" s="30">
        <v>0</v>
      </c>
      <c r="AA818" s="30">
        <v>0</v>
      </c>
      <c r="AB818" s="34">
        <v>0</v>
      </c>
      <c r="AC818" s="34">
        <v>0</v>
      </c>
      <c r="AD818" s="34">
        <v>0</v>
      </c>
      <c r="AE818" s="34">
        <v>0</v>
      </c>
      <c r="AF818" s="34">
        <v>0</v>
      </c>
      <c r="AG818" s="34">
        <v>0.91999999999999993</v>
      </c>
      <c r="AH818" s="34">
        <v>0</v>
      </c>
      <c r="AI818" s="37">
        <f t="shared" si="114"/>
        <v>0</v>
      </c>
      <c r="AJ818" s="37">
        <f t="shared" si="115"/>
        <v>0</v>
      </c>
      <c r="AK818" s="37">
        <f t="shared" si="116"/>
        <v>0</v>
      </c>
      <c r="AL818" s="37">
        <f t="shared" si="117"/>
        <v>0</v>
      </c>
      <c r="AM818" s="37">
        <f t="shared" si="118"/>
        <v>0</v>
      </c>
      <c r="AN818" s="37">
        <f t="shared" si="119"/>
        <v>34290.011839999985</v>
      </c>
      <c r="AO818" s="37">
        <f t="shared" si="120"/>
        <v>0</v>
      </c>
    </row>
    <row r="819" spans="1:41" hidden="1" x14ac:dyDescent="0.3">
      <c r="A819" t="str">
        <f t="shared" si="121"/>
        <v>Y-LPago</v>
      </c>
      <c r="B819" t="str">
        <f t="shared" si="122"/>
        <v>YUTH LA PAZ CENTRO MULTICINE - CIELO MALLago</v>
      </c>
      <c r="C819" s="1" t="s">
        <v>95</v>
      </c>
      <c r="D819" s="1" t="s">
        <v>71</v>
      </c>
      <c r="E819" s="1" t="s">
        <v>115</v>
      </c>
      <c r="F819" s="1" t="s">
        <v>121</v>
      </c>
      <c r="G819" s="1" t="s">
        <v>121</v>
      </c>
      <c r="H819" s="1" t="s">
        <v>303</v>
      </c>
      <c r="I819" s="1" t="s">
        <v>125</v>
      </c>
      <c r="J819" s="1" t="s">
        <v>139</v>
      </c>
      <c r="K819" t="s">
        <v>87</v>
      </c>
      <c r="L819" s="6">
        <v>0</v>
      </c>
      <c r="M819" s="6">
        <v>0</v>
      </c>
      <c r="N819" s="6">
        <v>0</v>
      </c>
      <c r="O819" s="6">
        <v>0</v>
      </c>
      <c r="P819" s="6">
        <v>44542.634850000002</v>
      </c>
      <c r="Q819" s="6">
        <v>16539.0072435</v>
      </c>
      <c r="R819" s="6">
        <v>0</v>
      </c>
      <c r="S819" s="6">
        <v>0</v>
      </c>
      <c r="T819" s="6">
        <v>0</v>
      </c>
      <c r="U819" s="6">
        <v>0</v>
      </c>
      <c r="V819" s="30">
        <v>0</v>
      </c>
      <c r="W819" s="30">
        <v>0</v>
      </c>
      <c r="X819" s="30">
        <v>63692.518470000068</v>
      </c>
      <c r="Y819" s="30">
        <v>28923.693268626874</v>
      </c>
      <c r="Z819" s="30">
        <v>0</v>
      </c>
      <c r="AA819" s="30">
        <v>0</v>
      </c>
      <c r="AB819" s="34">
        <v>0</v>
      </c>
      <c r="AC819" s="34">
        <v>0</v>
      </c>
      <c r="AD819" s="34">
        <v>0</v>
      </c>
      <c r="AE819" s="34">
        <v>0</v>
      </c>
      <c r="AF819" s="34">
        <v>0</v>
      </c>
      <c r="AG819" s="34">
        <v>0.47999999999999993</v>
      </c>
      <c r="AH819" s="34">
        <v>0</v>
      </c>
      <c r="AI819" s="37">
        <f t="shared" si="114"/>
        <v>0</v>
      </c>
      <c r="AJ819" s="37">
        <f t="shared" si="115"/>
        <v>0</v>
      </c>
      <c r="AK819" s="37">
        <f t="shared" si="116"/>
        <v>0</v>
      </c>
      <c r="AL819" s="37">
        <f t="shared" si="117"/>
        <v>0</v>
      </c>
      <c r="AM819" s="37">
        <f t="shared" si="118"/>
        <v>0</v>
      </c>
      <c r="AN819" s="37">
        <f t="shared" si="119"/>
        <v>30572.408865600028</v>
      </c>
      <c r="AO819" s="37">
        <f t="shared" si="120"/>
        <v>0</v>
      </c>
    </row>
    <row r="820" spans="1:41" hidden="1" x14ac:dyDescent="0.3">
      <c r="A820" t="str">
        <f t="shared" si="121"/>
        <v>Y-LPsep</v>
      </c>
      <c r="B820" t="str">
        <f t="shared" si="122"/>
        <v>YUTH LA PAZ CENTRO MULTICINE - CIELO MALLsep</v>
      </c>
      <c r="C820" s="1" t="s">
        <v>95</v>
      </c>
      <c r="D820" s="1" t="s">
        <v>71</v>
      </c>
      <c r="E820" s="1" t="s">
        <v>115</v>
      </c>
      <c r="F820" s="1" t="s">
        <v>121</v>
      </c>
      <c r="G820" s="1" t="s">
        <v>121</v>
      </c>
      <c r="H820" s="1" t="s">
        <v>303</v>
      </c>
      <c r="I820" s="1" t="s">
        <v>125</v>
      </c>
      <c r="J820" s="1" t="s">
        <v>139</v>
      </c>
      <c r="K820" t="s">
        <v>88</v>
      </c>
      <c r="L820" s="6">
        <v>0</v>
      </c>
      <c r="M820" s="6">
        <v>0</v>
      </c>
      <c r="N820" s="6">
        <v>0</v>
      </c>
      <c r="O820" s="6">
        <v>0</v>
      </c>
      <c r="P820" s="6">
        <v>24771.408458999995</v>
      </c>
      <c r="Q820" s="6">
        <v>13076.633013465</v>
      </c>
      <c r="R820" s="6">
        <v>0</v>
      </c>
      <c r="S820" s="6">
        <v>0</v>
      </c>
      <c r="T820" s="6">
        <v>0</v>
      </c>
      <c r="U820" s="6">
        <v>0</v>
      </c>
      <c r="V820" s="30">
        <v>0</v>
      </c>
      <c r="W820" s="30">
        <v>0</v>
      </c>
      <c r="X820" s="30">
        <v>21001.602999999992</v>
      </c>
      <c r="Y820" s="30">
        <v>10379.851514763868</v>
      </c>
      <c r="Z820" s="30">
        <v>0</v>
      </c>
      <c r="AA820" s="30">
        <v>0</v>
      </c>
      <c r="AB820" s="34">
        <v>0</v>
      </c>
      <c r="AC820" s="34">
        <v>0</v>
      </c>
      <c r="AD820" s="34">
        <v>0</v>
      </c>
      <c r="AE820" s="34">
        <v>0</v>
      </c>
      <c r="AF820" s="34">
        <v>0</v>
      </c>
      <c r="AG820" s="34">
        <v>0.8</v>
      </c>
      <c r="AH820" s="34">
        <v>0</v>
      </c>
      <c r="AI820" s="37">
        <f t="shared" si="114"/>
        <v>0</v>
      </c>
      <c r="AJ820" s="37">
        <f t="shared" si="115"/>
        <v>0</v>
      </c>
      <c r="AK820" s="37">
        <f t="shared" si="116"/>
        <v>0</v>
      </c>
      <c r="AL820" s="37">
        <f t="shared" si="117"/>
        <v>0</v>
      </c>
      <c r="AM820" s="37">
        <f t="shared" si="118"/>
        <v>0</v>
      </c>
      <c r="AN820" s="37">
        <f t="shared" si="119"/>
        <v>16801.282399999993</v>
      </c>
      <c r="AO820" s="37">
        <f t="shared" si="120"/>
        <v>0</v>
      </c>
    </row>
    <row r="821" spans="1:41" hidden="1" x14ac:dyDescent="0.3">
      <c r="A821" t="str">
        <f t="shared" si="121"/>
        <v>Y-LPoct</v>
      </c>
      <c r="B821" t="str">
        <f t="shared" si="122"/>
        <v>YUTH LA PAZ CENTRO MULTICINE - CIELO MALLoct</v>
      </c>
      <c r="C821" s="1" t="s">
        <v>95</v>
      </c>
      <c r="D821" s="1" t="s">
        <v>71</v>
      </c>
      <c r="E821" s="1" t="s">
        <v>115</v>
      </c>
      <c r="F821" s="1" t="s">
        <v>121</v>
      </c>
      <c r="G821" s="1" t="s">
        <v>121</v>
      </c>
      <c r="H821" s="1" t="s">
        <v>303</v>
      </c>
      <c r="I821" s="1" t="s">
        <v>125</v>
      </c>
      <c r="J821" s="1" t="s">
        <v>139</v>
      </c>
      <c r="K821" t="s">
        <v>89</v>
      </c>
      <c r="L821" s="6">
        <v>0</v>
      </c>
      <c r="M821" s="6">
        <v>0</v>
      </c>
      <c r="N821" s="6">
        <v>0</v>
      </c>
      <c r="O821" s="6">
        <v>0</v>
      </c>
      <c r="P821" s="6">
        <v>28519.733634</v>
      </c>
      <c r="Q821" s="6">
        <v>15150.433126185002</v>
      </c>
      <c r="R821" s="6">
        <v>0</v>
      </c>
      <c r="S821" s="6">
        <v>0</v>
      </c>
      <c r="T821" s="6">
        <v>0</v>
      </c>
      <c r="U821" s="6">
        <v>0</v>
      </c>
      <c r="V821" s="30">
        <v>0</v>
      </c>
      <c r="W821" s="30">
        <v>0</v>
      </c>
      <c r="X821" s="30">
        <v>25590.719000000001</v>
      </c>
      <c r="Y821" s="30">
        <v>13033.054794468337</v>
      </c>
      <c r="Z821" s="30">
        <v>0</v>
      </c>
      <c r="AA821" s="30">
        <v>0</v>
      </c>
      <c r="AB821" s="34">
        <v>0</v>
      </c>
      <c r="AC821" s="34">
        <v>0</v>
      </c>
      <c r="AD821" s="34">
        <v>0</v>
      </c>
      <c r="AE821" s="34">
        <v>0</v>
      </c>
      <c r="AF821" s="34">
        <v>0</v>
      </c>
      <c r="AG821" s="34">
        <v>0.92</v>
      </c>
      <c r="AH821" s="34">
        <v>0</v>
      </c>
      <c r="AI821" s="37">
        <f t="shared" si="114"/>
        <v>0</v>
      </c>
      <c r="AJ821" s="37">
        <f t="shared" si="115"/>
        <v>0</v>
      </c>
      <c r="AK821" s="37">
        <f t="shared" si="116"/>
        <v>0</v>
      </c>
      <c r="AL821" s="37">
        <f t="shared" si="117"/>
        <v>0</v>
      </c>
      <c r="AM821" s="37">
        <f t="shared" si="118"/>
        <v>0</v>
      </c>
      <c r="AN821" s="37">
        <f t="shared" si="119"/>
        <v>23543.461480000002</v>
      </c>
      <c r="AO821" s="37">
        <f t="shared" si="120"/>
        <v>0</v>
      </c>
    </row>
    <row r="822" spans="1:41" hidden="1" x14ac:dyDescent="0.3">
      <c r="A822" t="str">
        <f t="shared" si="121"/>
        <v>Y-LPnov</v>
      </c>
      <c r="B822" t="str">
        <f t="shared" si="122"/>
        <v>YUTH LA PAZ CENTRO MULTICINE - CIELO MALLnov</v>
      </c>
      <c r="C822" s="1" t="s">
        <v>95</v>
      </c>
      <c r="D822" s="1" t="s">
        <v>71</v>
      </c>
      <c r="E822" s="1" t="s">
        <v>115</v>
      </c>
      <c r="F822" s="1" t="s">
        <v>121</v>
      </c>
      <c r="G822" s="1" t="s">
        <v>121</v>
      </c>
      <c r="H822" s="1" t="s">
        <v>303</v>
      </c>
      <c r="I822" s="1" t="s">
        <v>125</v>
      </c>
      <c r="J822" s="1" t="s">
        <v>139</v>
      </c>
      <c r="K822" t="s">
        <v>90</v>
      </c>
      <c r="L822" s="6">
        <v>0</v>
      </c>
      <c r="M822" s="6">
        <v>0</v>
      </c>
      <c r="N822" s="6">
        <v>0</v>
      </c>
      <c r="O822" s="6">
        <v>0</v>
      </c>
      <c r="P822" s="6">
        <v>36418.275274500003</v>
      </c>
      <c r="Q822" s="6">
        <v>18213.111222862502</v>
      </c>
      <c r="R822" s="6">
        <v>50333.550014700013</v>
      </c>
      <c r="S822" s="6">
        <v>23052.765906732606</v>
      </c>
      <c r="T822" s="6">
        <v>0</v>
      </c>
      <c r="U822" s="6">
        <v>0</v>
      </c>
      <c r="V822" s="30">
        <v>0</v>
      </c>
      <c r="W822" s="30">
        <v>0</v>
      </c>
      <c r="X822" s="30">
        <v>37255.94109195401</v>
      </c>
      <c r="Y822" s="30">
        <v>17385.632956185378</v>
      </c>
      <c r="Z822" s="30">
        <v>0</v>
      </c>
      <c r="AA822" s="30">
        <v>0</v>
      </c>
      <c r="AB822" s="34">
        <v>0</v>
      </c>
      <c r="AC822" s="34">
        <v>0</v>
      </c>
      <c r="AD822" s="34">
        <v>0</v>
      </c>
      <c r="AE822" s="34">
        <v>0.6</v>
      </c>
      <c r="AF822" s="34">
        <v>0.6</v>
      </c>
      <c r="AG822" s="34">
        <v>0.57999999999999996</v>
      </c>
      <c r="AH822" s="34">
        <v>0</v>
      </c>
      <c r="AI822" s="37">
        <f t="shared" si="114"/>
        <v>0</v>
      </c>
      <c r="AJ822" s="37">
        <f t="shared" si="115"/>
        <v>0</v>
      </c>
      <c r="AK822" s="37">
        <f t="shared" si="116"/>
        <v>0</v>
      </c>
      <c r="AL822" s="37">
        <f t="shared" si="117"/>
        <v>30200.130008820008</v>
      </c>
      <c r="AM822" s="37">
        <f t="shared" si="118"/>
        <v>0</v>
      </c>
      <c r="AN822" s="37">
        <f t="shared" si="119"/>
        <v>21608.445833333324</v>
      </c>
      <c r="AO822" s="37">
        <f t="shared" si="120"/>
        <v>0</v>
      </c>
    </row>
    <row r="823" spans="1:41" hidden="1" x14ac:dyDescent="0.3">
      <c r="A823" t="str">
        <f t="shared" si="121"/>
        <v>Y-LPdic</v>
      </c>
      <c r="B823" t="str">
        <f t="shared" si="122"/>
        <v>YUTH LA PAZ CENTRO MULTICINE - CIELO MALLdic</v>
      </c>
      <c r="C823" s="1" t="s">
        <v>95</v>
      </c>
      <c r="D823" s="1" t="s">
        <v>71</v>
      </c>
      <c r="E823" s="1" t="s">
        <v>115</v>
      </c>
      <c r="F823" s="1" t="s">
        <v>121</v>
      </c>
      <c r="G823" s="1" t="s">
        <v>121</v>
      </c>
      <c r="H823" s="1" t="s">
        <v>303</v>
      </c>
      <c r="I823" s="1" t="s">
        <v>125</v>
      </c>
      <c r="J823" s="1" t="s">
        <v>139</v>
      </c>
      <c r="K823" t="s">
        <v>91</v>
      </c>
      <c r="L823" s="6">
        <v>0</v>
      </c>
      <c r="M823" s="6">
        <v>0</v>
      </c>
      <c r="N823" s="6">
        <v>0</v>
      </c>
      <c r="O823" s="6">
        <v>0</v>
      </c>
      <c r="P823" s="6">
        <v>91753.781962500056</v>
      </c>
      <c r="Q823" s="6">
        <v>45271.916735062521</v>
      </c>
      <c r="R823" s="6">
        <v>74037.438198000018</v>
      </c>
      <c r="S823" s="6">
        <v>37018.719099000009</v>
      </c>
      <c r="T823" s="6">
        <v>0</v>
      </c>
      <c r="U823" s="6">
        <v>0</v>
      </c>
      <c r="V823" s="30">
        <v>0</v>
      </c>
      <c r="W823" s="30">
        <v>0</v>
      </c>
      <c r="X823" s="30">
        <v>74302.805360000042</v>
      </c>
      <c r="Y823" s="30">
        <v>37468.863797452213</v>
      </c>
      <c r="Z823" s="30">
        <v>0</v>
      </c>
      <c r="AA823" s="30">
        <v>0</v>
      </c>
      <c r="AB823" s="34">
        <v>0</v>
      </c>
      <c r="AC823" s="34">
        <v>0</v>
      </c>
      <c r="AD823" s="34">
        <v>0</v>
      </c>
      <c r="AE823" s="34">
        <v>0.8</v>
      </c>
      <c r="AF823" s="34">
        <v>0.8</v>
      </c>
      <c r="AG823" s="34">
        <v>0.88</v>
      </c>
      <c r="AH823" s="34">
        <v>0</v>
      </c>
      <c r="AI823" s="37">
        <f t="shared" si="114"/>
        <v>0</v>
      </c>
      <c r="AJ823" s="37">
        <f t="shared" si="115"/>
        <v>0</v>
      </c>
      <c r="AK823" s="37">
        <f t="shared" si="116"/>
        <v>0</v>
      </c>
      <c r="AL823" s="37">
        <f t="shared" si="117"/>
        <v>59229.950558400014</v>
      </c>
      <c r="AM823" s="37">
        <f t="shared" si="118"/>
        <v>0</v>
      </c>
      <c r="AN823" s="37">
        <f t="shared" si="119"/>
        <v>65386.468716800038</v>
      </c>
      <c r="AO823" s="37">
        <f t="shared" si="120"/>
        <v>0</v>
      </c>
    </row>
    <row r="824" spans="1:41" hidden="1" x14ac:dyDescent="0.3">
      <c r="A824" t="str">
        <f t="shared" si="121"/>
        <v>543ene</v>
      </c>
      <c r="B824" t="str">
        <f t="shared" si="122"/>
        <v>YUTH LAS BRISASene</v>
      </c>
      <c r="C824" s="1" t="s">
        <v>95</v>
      </c>
      <c r="D824" s="1" t="s">
        <v>72</v>
      </c>
      <c r="E824" s="1">
        <v>543</v>
      </c>
      <c r="F824" s="1" t="s">
        <v>121</v>
      </c>
      <c r="G824" s="1" t="s">
        <v>119</v>
      </c>
      <c r="H824" s="1" t="s">
        <v>119</v>
      </c>
      <c r="I824" s="1" t="s">
        <v>127</v>
      </c>
      <c r="J824" s="1" t="s">
        <v>140</v>
      </c>
      <c r="K824" t="s">
        <v>80</v>
      </c>
      <c r="L824" s="6">
        <v>0</v>
      </c>
      <c r="M824" s="6">
        <v>0</v>
      </c>
      <c r="N824" s="6">
        <v>0</v>
      </c>
      <c r="O824" s="6">
        <v>0</v>
      </c>
      <c r="P824" s="6">
        <v>35780.537579923075</v>
      </c>
      <c r="Q824" s="6">
        <v>18123.425473949614</v>
      </c>
      <c r="R824" s="6">
        <v>27429.920000000013</v>
      </c>
      <c r="S824" s="6">
        <v>14084.237904861571</v>
      </c>
      <c r="T824" s="6">
        <v>27429.920000000013</v>
      </c>
      <c r="U824" s="6">
        <v>14254.000000000015</v>
      </c>
      <c r="V824" s="30">
        <v>30172.912000000015</v>
      </c>
      <c r="W824" s="30">
        <v>15679.400000000018</v>
      </c>
      <c r="X824" s="30">
        <v>32117.556178400013</v>
      </c>
      <c r="Y824" s="30">
        <v>16179.403565348293</v>
      </c>
      <c r="Z824" s="30">
        <v>26373.706896551714</v>
      </c>
      <c r="AA824" s="30">
        <v>13061.978015140859</v>
      </c>
      <c r="AB824" s="34">
        <v>0</v>
      </c>
      <c r="AC824" s="34">
        <v>0</v>
      </c>
      <c r="AD824" s="34">
        <v>0.95115050154551517</v>
      </c>
      <c r="AE824" s="34">
        <v>0.95115050154551517</v>
      </c>
      <c r="AF824" s="34">
        <v>0.95115050154551517</v>
      </c>
      <c r="AG824" s="34">
        <v>0.91999999999999993</v>
      </c>
      <c r="AH824" s="34">
        <v>0.85305702191642019</v>
      </c>
      <c r="AI824" s="37">
        <f t="shared" si="114"/>
        <v>0</v>
      </c>
      <c r="AJ824" s="37">
        <f t="shared" si="115"/>
        <v>0</v>
      </c>
      <c r="AK824" s="37">
        <f t="shared" si="116"/>
        <v>26089.982165353369</v>
      </c>
      <c r="AL824" s="37">
        <f t="shared" si="117"/>
        <v>26089.982165353369</v>
      </c>
      <c r="AM824" s="37">
        <f t="shared" si="118"/>
        <v>28698.980381888709</v>
      </c>
      <c r="AN824" s="37">
        <f t="shared" si="119"/>
        <v>29548.15168412801</v>
      </c>
      <c r="AO824" s="37">
        <f t="shared" si="120"/>
        <v>22498.275862068956</v>
      </c>
    </row>
    <row r="825" spans="1:41" hidden="1" x14ac:dyDescent="0.3">
      <c r="A825" t="str">
        <f t="shared" si="121"/>
        <v>543feb</v>
      </c>
      <c r="B825" t="str">
        <f t="shared" si="122"/>
        <v>YUTH LAS BRISASfeb</v>
      </c>
      <c r="C825" s="1" t="s">
        <v>95</v>
      </c>
      <c r="D825" s="1" t="s">
        <v>72</v>
      </c>
      <c r="E825" s="1">
        <v>543</v>
      </c>
      <c r="F825" s="1" t="s">
        <v>121</v>
      </c>
      <c r="G825" s="1" t="s">
        <v>119</v>
      </c>
      <c r="H825" s="1" t="s">
        <v>119</v>
      </c>
      <c r="I825" s="1" t="s">
        <v>127</v>
      </c>
      <c r="J825" s="1" t="s">
        <v>140</v>
      </c>
      <c r="K825" t="s">
        <v>81</v>
      </c>
      <c r="L825" s="6">
        <v>0</v>
      </c>
      <c r="M825" s="6">
        <v>0</v>
      </c>
      <c r="N825" s="6">
        <v>0</v>
      </c>
      <c r="O825" s="6">
        <v>0</v>
      </c>
      <c r="P825" s="6">
        <v>48847.869084999998</v>
      </c>
      <c r="Q825" s="6">
        <v>20315.509124525001</v>
      </c>
      <c r="R825" s="6">
        <v>25948.12999999999</v>
      </c>
      <c r="S825" s="6">
        <v>12013.876926898789</v>
      </c>
      <c r="T825" s="6">
        <v>25948.129999999994</v>
      </c>
      <c r="U825" s="6">
        <v>12079.509999999995</v>
      </c>
      <c r="V825" s="30">
        <v>28542.942999999999</v>
      </c>
      <c r="W825" s="30">
        <v>13287.460999999998</v>
      </c>
      <c r="X825" s="30">
        <v>37105.825899999996</v>
      </c>
      <c r="Y825" s="30">
        <v>16267.886881304436</v>
      </c>
      <c r="Z825" s="30">
        <v>34136.566091953988</v>
      </c>
      <c r="AA825" s="30">
        <v>13219.521231050549</v>
      </c>
      <c r="AB825" s="34">
        <v>0</v>
      </c>
      <c r="AC825" s="34">
        <v>0</v>
      </c>
      <c r="AD825" s="34">
        <v>0.46288806609997174</v>
      </c>
      <c r="AE825" s="34">
        <v>0.46288806609997157</v>
      </c>
      <c r="AF825" s="34">
        <v>0.46288806609997157</v>
      </c>
      <c r="AG825" s="34">
        <v>0.47999999999999993</v>
      </c>
      <c r="AH825" s="34">
        <v>0.47539779578728936</v>
      </c>
      <c r="AI825" s="37">
        <f t="shared" si="114"/>
        <v>0</v>
      </c>
      <c r="AJ825" s="37">
        <f t="shared" si="115"/>
        <v>0</v>
      </c>
      <c r="AK825" s="37">
        <f t="shared" si="116"/>
        <v>12011.079714610656</v>
      </c>
      <c r="AL825" s="37">
        <f t="shared" si="117"/>
        <v>12011.079714610651</v>
      </c>
      <c r="AM825" s="37">
        <f t="shared" si="118"/>
        <v>13212.18768607172</v>
      </c>
      <c r="AN825" s="37">
        <f t="shared" si="119"/>
        <v>17810.796431999996</v>
      </c>
      <c r="AO825" s="37">
        <f t="shared" si="120"/>
        <v>16228.448275862049</v>
      </c>
    </row>
    <row r="826" spans="1:41" hidden="1" x14ac:dyDescent="0.3">
      <c r="A826" t="str">
        <f t="shared" si="121"/>
        <v>543mar</v>
      </c>
      <c r="B826" t="str">
        <f t="shared" si="122"/>
        <v>YUTH LAS BRISASmar</v>
      </c>
      <c r="C826" s="1" t="s">
        <v>95</v>
      </c>
      <c r="D826" s="1" t="s">
        <v>72</v>
      </c>
      <c r="E826" s="1">
        <v>543</v>
      </c>
      <c r="F826" s="1" t="s">
        <v>121</v>
      </c>
      <c r="G826" s="1" t="s">
        <v>119</v>
      </c>
      <c r="H826" s="1" t="s">
        <v>119</v>
      </c>
      <c r="I826" s="1" t="s">
        <v>127</v>
      </c>
      <c r="J826" s="1" t="s">
        <v>140</v>
      </c>
      <c r="K826" t="s">
        <v>82</v>
      </c>
      <c r="L826" s="6">
        <v>0</v>
      </c>
      <c r="M826" s="6">
        <v>0</v>
      </c>
      <c r="N826" s="6">
        <v>43786.07</v>
      </c>
      <c r="O826" s="6">
        <v>20704.450000000004</v>
      </c>
      <c r="P826" s="6">
        <v>38051.077369999985</v>
      </c>
      <c r="Q826" s="6">
        <v>18428.891527399996</v>
      </c>
      <c r="R826" s="6">
        <v>32226.839999999997</v>
      </c>
      <c r="S826" s="6">
        <v>15922.391644084306</v>
      </c>
      <c r="T826" s="6">
        <v>32226.839999999982</v>
      </c>
      <c r="U826" s="6">
        <v>15942.759999999987</v>
      </c>
      <c r="V826" s="30">
        <v>32226.839999999978</v>
      </c>
      <c r="W826" s="30">
        <v>15942.759999999986</v>
      </c>
      <c r="X826" s="30">
        <v>32549.108399999983</v>
      </c>
      <c r="Y826" s="30">
        <v>15816.801306772213</v>
      </c>
      <c r="Z826" s="30">
        <v>25780.134695327593</v>
      </c>
      <c r="AA826" s="30">
        <v>11729.961286374055</v>
      </c>
      <c r="AB826" s="34">
        <v>0</v>
      </c>
      <c r="AC826" s="34">
        <v>0.66831341214154105</v>
      </c>
      <c r="AD826" s="34">
        <v>0.78069725683526903</v>
      </c>
      <c r="AE826" s="34">
        <v>0.78069725683526892</v>
      </c>
      <c r="AF826" s="34">
        <v>0.78069725683526892</v>
      </c>
      <c r="AG826" s="34">
        <v>0.8</v>
      </c>
      <c r="AH826" s="34">
        <v>0.74565333618477347</v>
      </c>
      <c r="AI826" s="37">
        <f t="shared" si="114"/>
        <v>0</v>
      </c>
      <c r="AJ826" s="37">
        <f t="shared" si="115"/>
        <v>29262.817845968366</v>
      </c>
      <c r="AK826" s="37">
        <f t="shared" si="116"/>
        <v>25159.405584469107</v>
      </c>
      <c r="AL826" s="37">
        <f t="shared" si="117"/>
        <v>25159.405584469114</v>
      </c>
      <c r="AM826" s="37">
        <f t="shared" si="118"/>
        <v>25159.405584469099</v>
      </c>
      <c r="AN826" s="37">
        <f t="shared" si="119"/>
        <v>26039.286719999989</v>
      </c>
      <c r="AO826" s="37">
        <f t="shared" si="120"/>
        <v>19223.043442863847</v>
      </c>
    </row>
    <row r="827" spans="1:41" hidden="1" x14ac:dyDescent="0.3">
      <c r="A827" t="str">
        <f t="shared" si="121"/>
        <v>543abr</v>
      </c>
      <c r="B827" t="str">
        <f t="shared" si="122"/>
        <v>YUTH LAS BRISASabr</v>
      </c>
      <c r="C827" s="1" t="s">
        <v>95</v>
      </c>
      <c r="D827" s="1" t="s">
        <v>72</v>
      </c>
      <c r="E827" s="1">
        <v>543</v>
      </c>
      <c r="F827" s="1" t="s">
        <v>121</v>
      </c>
      <c r="G827" s="1" t="s">
        <v>119</v>
      </c>
      <c r="H827" s="1" t="s">
        <v>119</v>
      </c>
      <c r="I827" s="1" t="s">
        <v>127</v>
      </c>
      <c r="J827" s="1" t="s">
        <v>140</v>
      </c>
      <c r="K827" t="s">
        <v>83</v>
      </c>
      <c r="L827" s="6">
        <v>0</v>
      </c>
      <c r="M827" s="6">
        <v>0</v>
      </c>
      <c r="N827" s="6">
        <v>35220.31</v>
      </c>
      <c r="O827" s="6">
        <v>18537.099999999999</v>
      </c>
      <c r="P827" s="6">
        <v>32817.198029999985</v>
      </c>
      <c r="Q827" s="6">
        <v>17209.959781099991</v>
      </c>
      <c r="R827" s="6">
        <v>35594.089999999997</v>
      </c>
      <c r="S827" s="6">
        <v>18228.106822763664</v>
      </c>
      <c r="T827" s="6">
        <v>35594.089999999982</v>
      </c>
      <c r="U827" s="6">
        <v>18363.339999999982</v>
      </c>
      <c r="V827" s="30">
        <v>35594.089999999997</v>
      </c>
      <c r="W827" s="30">
        <v>18363.339999999989</v>
      </c>
      <c r="X827" s="30">
        <v>33814.385499999997</v>
      </c>
      <c r="Y827" s="30">
        <v>17034.191090999007</v>
      </c>
      <c r="Z827" s="30">
        <v>0</v>
      </c>
      <c r="AA827" s="30">
        <v>0</v>
      </c>
      <c r="AB827" s="34">
        <v>0</v>
      </c>
      <c r="AC827" s="34">
        <v>0.94794239307623185</v>
      </c>
      <c r="AD827" s="34">
        <v>0.921043404047451</v>
      </c>
      <c r="AE827" s="34">
        <v>0.921043404047451</v>
      </c>
      <c r="AF827" s="34">
        <v>0.921043404047451</v>
      </c>
      <c r="AG827" s="34">
        <v>0.92</v>
      </c>
      <c r="AH827" s="34">
        <v>0</v>
      </c>
      <c r="AI827" s="37">
        <f t="shared" si="114"/>
        <v>0</v>
      </c>
      <c r="AJ827" s="37">
        <f t="shared" si="115"/>
        <v>33386.824946286739</v>
      </c>
      <c r="AK827" s="37">
        <f t="shared" si="116"/>
        <v>32783.701817571316</v>
      </c>
      <c r="AL827" s="37">
        <f t="shared" si="117"/>
        <v>32783.701817571331</v>
      </c>
      <c r="AM827" s="37">
        <f t="shared" si="118"/>
        <v>32783.701817571331</v>
      </c>
      <c r="AN827" s="37">
        <f t="shared" si="119"/>
        <v>31109.234659999998</v>
      </c>
      <c r="AO827" s="37">
        <f t="shared" si="120"/>
        <v>0</v>
      </c>
    </row>
    <row r="828" spans="1:41" hidden="1" x14ac:dyDescent="0.3">
      <c r="A828" t="str">
        <f t="shared" si="121"/>
        <v>543may</v>
      </c>
      <c r="B828" t="str">
        <f t="shared" si="122"/>
        <v>YUTH LAS BRISASmay</v>
      </c>
      <c r="C828" s="1" t="s">
        <v>95</v>
      </c>
      <c r="D828" s="1" t="s">
        <v>72</v>
      </c>
      <c r="E828" s="1">
        <v>543</v>
      </c>
      <c r="F828" s="1" t="s">
        <v>121</v>
      </c>
      <c r="G828" s="1" t="s">
        <v>119</v>
      </c>
      <c r="H828" s="1" t="s">
        <v>119</v>
      </c>
      <c r="I828" s="1" t="s">
        <v>127</v>
      </c>
      <c r="J828" s="1" t="s">
        <v>140</v>
      </c>
      <c r="K828" t="s">
        <v>84</v>
      </c>
      <c r="L828" s="6">
        <v>0</v>
      </c>
      <c r="M828" s="6">
        <v>0</v>
      </c>
      <c r="N828" s="6">
        <v>25871.489999999998</v>
      </c>
      <c r="O828" s="6">
        <v>13822.269999999999</v>
      </c>
      <c r="P828" s="6">
        <v>35375.434324999995</v>
      </c>
      <c r="Q828" s="6">
        <v>17912.350505375001</v>
      </c>
      <c r="R828" s="6">
        <v>31238.319999999978</v>
      </c>
      <c r="S828" s="6">
        <v>15596.546240111835</v>
      </c>
      <c r="T828" s="6">
        <v>31238.319999999974</v>
      </c>
      <c r="U828" s="6">
        <v>15592.229999999981</v>
      </c>
      <c r="V828" s="30">
        <v>31238.319999999974</v>
      </c>
      <c r="W828" s="30">
        <v>15592.229999999981</v>
      </c>
      <c r="X828" s="30">
        <v>33425.002399999976</v>
      </c>
      <c r="Y828" s="30">
        <v>16838.037115851181</v>
      </c>
      <c r="Z828" s="30">
        <v>0</v>
      </c>
      <c r="AA828" s="30">
        <v>0</v>
      </c>
      <c r="AB828" s="34">
        <v>0</v>
      </c>
      <c r="AC828" s="34">
        <v>0.9286814049755886</v>
      </c>
      <c r="AD828" s="34">
        <v>0.81587285026949818</v>
      </c>
      <c r="AE828" s="34">
        <v>0.81587285026949841</v>
      </c>
      <c r="AF828" s="34">
        <v>0.81587285026949841</v>
      </c>
      <c r="AG828" s="34">
        <v>0.91999999999999993</v>
      </c>
      <c r="AH828" s="34">
        <v>0</v>
      </c>
      <c r="AI828" s="37">
        <f t="shared" si="114"/>
        <v>0</v>
      </c>
      <c r="AJ828" s="37">
        <f t="shared" si="115"/>
        <v>24026.37168201189</v>
      </c>
      <c r="AK828" s="37">
        <f t="shared" si="116"/>
        <v>25486.497176030651</v>
      </c>
      <c r="AL828" s="37">
        <f t="shared" si="117"/>
        <v>25486.497176030658</v>
      </c>
      <c r="AM828" s="37">
        <f t="shared" si="118"/>
        <v>25486.497176030658</v>
      </c>
      <c r="AN828" s="37">
        <f t="shared" si="119"/>
        <v>30751.002207999976</v>
      </c>
      <c r="AO828" s="37">
        <f t="shared" si="120"/>
        <v>0</v>
      </c>
    </row>
    <row r="829" spans="1:41" hidden="1" x14ac:dyDescent="0.3">
      <c r="A829" t="str">
        <f t="shared" si="121"/>
        <v>543jun</v>
      </c>
      <c r="B829" t="str">
        <f t="shared" si="122"/>
        <v>YUTH LAS BRISASjun</v>
      </c>
      <c r="C829" s="1" t="s">
        <v>95</v>
      </c>
      <c r="D829" s="1" t="s">
        <v>72</v>
      </c>
      <c r="E829" s="1">
        <v>543</v>
      </c>
      <c r="F829" s="1" t="s">
        <v>121</v>
      </c>
      <c r="G829" s="1" t="s">
        <v>119</v>
      </c>
      <c r="H829" s="1" t="s">
        <v>119</v>
      </c>
      <c r="I829" s="1" t="s">
        <v>127</v>
      </c>
      <c r="J829" s="1" t="s">
        <v>140</v>
      </c>
      <c r="K829" t="s">
        <v>85</v>
      </c>
      <c r="L829" s="6">
        <v>0</v>
      </c>
      <c r="M829" s="6">
        <v>0</v>
      </c>
      <c r="N829" s="6">
        <v>35221.11</v>
      </c>
      <c r="O829" s="6">
        <v>18069.36</v>
      </c>
      <c r="P829" s="6">
        <v>32894.726325000003</v>
      </c>
      <c r="Q829" s="6">
        <v>17068.721868125001</v>
      </c>
      <c r="R829" s="6">
        <v>32118.389999999978</v>
      </c>
      <c r="S829" s="6">
        <v>16531.543738249406</v>
      </c>
      <c r="T829" s="6">
        <v>32118.389999999985</v>
      </c>
      <c r="U829" s="6">
        <v>16537.32999999998</v>
      </c>
      <c r="V829" s="30">
        <v>32118.389999999981</v>
      </c>
      <c r="W829" s="30">
        <v>16537.329999999976</v>
      </c>
      <c r="X829" s="30">
        <v>34366.677299999981</v>
      </c>
      <c r="Y829" s="30">
        <v>17312.411260316934</v>
      </c>
      <c r="Z829" s="30">
        <v>0</v>
      </c>
      <c r="AA829" s="30">
        <v>0</v>
      </c>
      <c r="AB829" s="34">
        <v>0</v>
      </c>
      <c r="AC829" s="34">
        <v>0.93610468739889041</v>
      </c>
      <c r="AD829" s="34">
        <v>0.92897423203343743</v>
      </c>
      <c r="AE829" s="34">
        <v>0.92897423203343743</v>
      </c>
      <c r="AF829" s="34">
        <v>0.92897423203343743</v>
      </c>
      <c r="AG829" s="34">
        <v>0.91999999999999993</v>
      </c>
      <c r="AH829" s="34">
        <v>0</v>
      </c>
      <c r="AI829" s="37">
        <f t="shared" si="114"/>
        <v>0</v>
      </c>
      <c r="AJ829" s="37">
        <f t="shared" si="115"/>
        <v>32970.646166391933</v>
      </c>
      <c r="AK829" s="37">
        <f t="shared" si="116"/>
        <v>29837.156684400423</v>
      </c>
      <c r="AL829" s="37">
        <f t="shared" si="117"/>
        <v>29837.156684400416</v>
      </c>
      <c r="AM829" s="37">
        <f t="shared" si="118"/>
        <v>29837.156684400419</v>
      </c>
      <c r="AN829" s="37">
        <f t="shared" si="119"/>
        <v>31617.343115999982</v>
      </c>
      <c r="AO829" s="37">
        <f t="shared" si="120"/>
        <v>0</v>
      </c>
    </row>
    <row r="830" spans="1:41" hidden="1" x14ac:dyDescent="0.3">
      <c r="A830" t="str">
        <f t="shared" si="121"/>
        <v>543jul</v>
      </c>
      <c r="B830" t="str">
        <f t="shared" si="122"/>
        <v>YUTH LAS BRISASjul</v>
      </c>
      <c r="C830" s="1" t="s">
        <v>95</v>
      </c>
      <c r="D830" s="1" t="s">
        <v>72</v>
      </c>
      <c r="E830" s="1">
        <v>543</v>
      </c>
      <c r="F830" s="1" t="s">
        <v>121</v>
      </c>
      <c r="G830" s="1" t="s">
        <v>119</v>
      </c>
      <c r="H830" s="1" t="s">
        <v>119</v>
      </c>
      <c r="I830" s="1" t="s">
        <v>127</v>
      </c>
      <c r="J830" s="1" t="s">
        <v>140</v>
      </c>
      <c r="K830" t="s">
        <v>86</v>
      </c>
      <c r="L830" s="6">
        <v>0</v>
      </c>
      <c r="M830" s="6">
        <v>0</v>
      </c>
      <c r="N830" s="6">
        <v>35885.729999999996</v>
      </c>
      <c r="O830" s="6">
        <v>18867.66</v>
      </c>
      <c r="P830" s="6">
        <v>38545.661850000004</v>
      </c>
      <c r="Q830" s="6">
        <v>20275.909314500008</v>
      </c>
      <c r="R830" s="6">
        <v>31111.170000000013</v>
      </c>
      <c r="S830" s="6">
        <v>15973.719999999983</v>
      </c>
      <c r="T830" s="6">
        <v>31111.169999999987</v>
      </c>
      <c r="U830" s="6">
        <v>15973.719999999983</v>
      </c>
      <c r="V830" s="30">
        <v>31111.170000000006</v>
      </c>
      <c r="W830" s="30">
        <v>15973.719999999994</v>
      </c>
      <c r="X830" s="30">
        <v>33288.951900000007</v>
      </c>
      <c r="Y830" s="30">
        <v>16769.50089433607</v>
      </c>
      <c r="Z830" s="30">
        <v>0</v>
      </c>
      <c r="AA830" s="30">
        <v>0</v>
      </c>
      <c r="AB830" s="34">
        <v>0</v>
      </c>
      <c r="AC830" s="34">
        <v>0.97</v>
      </c>
      <c r="AD830" s="34">
        <v>0.94317732184292646</v>
      </c>
      <c r="AE830" s="34">
        <v>0.94317732184292646</v>
      </c>
      <c r="AF830" s="34">
        <v>0.94317732184292646</v>
      </c>
      <c r="AG830" s="34">
        <v>0.91999999999999993</v>
      </c>
      <c r="AH830" s="34">
        <v>0</v>
      </c>
      <c r="AI830" s="37">
        <f t="shared" si="114"/>
        <v>0</v>
      </c>
      <c r="AJ830" s="37">
        <f t="shared" si="115"/>
        <v>34809.158099999993</v>
      </c>
      <c r="AK830" s="37">
        <f t="shared" si="116"/>
        <v>29343.349999999988</v>
      </c>
      <c r="AL830" s="37">
        <f t="shared" si="117"/>
        <v>29343.350000000009</v>
      </c>
      <c r="AM830" s="37">
        <f t="shared" si="118"/>
        <v>29343.350000000002</v>
      </c>
      <c r="AN830" s="37">
        <f t="shared" si="119"/>
        <v>30625.835748000005</v>
      </c>
      <c r="AO830" s="37">
        <f t="shared" si="120"/>
        <v>0</v>
      </c>
    </row>
    <row r="831" spans="1:41" hidden="1" x14ac:dyDescent="0.3">
      <c r="A831" t="str">
        <f t="shared" ref="A831:A875" si="125">CONCATENATE(E831,K831)</f>
        <v>543ago</v>
      </c>
      <c r="B831" t="str">
        <f t="shared" ref="B831:B875" si="126">CONCATENATE(D831,K831)</f>
        <v>YUTH LAS BRISASago</v>
      </c>
      <c r="C831" s="1" t="s">
        <v>95</v>
      </c>
      <c r="D831" s="1" t="s">
        <v>72</v>
      </c>
      <c r="E831" s="1">
        <v>543</v>
      </c>
      <c r="F831" s="1" t="s">
        <v>121</v>
      </c>
      <c r="G831" s="1" t="s">
        <v>119</v>
      </c>
      <c r="H831" s="1" t="s">
        <v>119</v>
      </c>
      <c r="I831" s="1" t="s">
        <v>127</v>
      </c>
      <c r="J831" s="1" t="s">
        <v>140</v>
      </c>
      <c r="K831" t="s">
        <v>87</v>
      </c>
      <c r="L831" s="6">
        <v>0</v>
      </c>
      <c r="M831" s="6">
        <v>0</v>
      </c>
      <c r="N831" s="6">
        <v>49288.05</v>
      </c>
      <c r="O831" s="6">
        <v>19872.47</v>
      </c>
      <c r="P831" s="6">
        <v>52130.999799999983</v>
      </c>
      <c r="Q831" s="6">
        <v>21144.658989999996</v>
      </c>
      <c r="R831" s="6">
        <v>44624.135828800005</v>
      </c>
      <c r="S831" s="6">
        <v>18713.131359807281</v>
      </c>
      <c r="T831" s="6">
        <v>40655.139999999978</v>
      </c>
      <c r="U831" s="6">
        <v>13264.139999999981</v>
      </c>
      <c r="V831" s="30">
        <v>37809.280199999987</v>
      </c>
      <c r="W831" s="30">
        <v>15855.321651869994</v>
      </c>
      <c r="X831" s="30">
        <v>39699.74420999999</v>
      </c>
      <c r="Y831" s="30">
        <v>17405.10909972767</v>
      </c>
      <c r="Z831" s="30">
        <v>0</v>
      </c>
      <c r="AA831" s="30">
        <v>0</v>
      </c>
      <c r="AB831" s="34">
        <v>0</v>
      </c>
      <c r="AC831" s="34">
        <v>0.36763176961632127</v>
      </c>
      <c r="AD831" s="34">
        <v>0.24974431277324347</v>
      </c>
      <c r="AE831" s="34">
        <v>0.51</v>
      </c>
      <c r="AF831" s="34">
        <v>0.51</v>
      </c>
      <c r="AG831" s="34">
        <v>0.47999999999999987</v>
      </c>
      <c r="AH831" s="34">
        <v>0</v>
      </c>
      <c r="AI831" s="37">
        <f t="shared" si="114"/>
        <v>0</v>
      </c>
      <c r="AJ831" s="37">
        <f t="shared" si="115"/>
        <v>18119.853042437724</v>
      </c>
      <c r="AK831" s="37">
        <f t="shared" si="116"/>
        <v>10153.389999999996</v>
      </c>
      <c r="AL831" s="37">
        <f t="shared" si="117"/>
        <v>22758.309272688002</v>
      </c>
      <c r="AM831" s="37">
        <f t="shared" si="118"/>
        <v>19282.732901999992</v>
      </c>
      <c r="AN831" s="37">
        <f t="shared" si="119"/>
        <v>19055.87722079999</v>
      </c>
      <c r="AO831" s="37">
        <f t="shared" si="120"/>
        <v>0</v>
      </c>
    </row>
    <row r="832" spans="1:41" hidden="1" x14ac:dyDescent="0.3">
      <c r="A832" t="str">
        <f t="shared" si="125"/>
        <v>543sep</v>
      </c>
      <c r="B832" t="str">
        <f t="shared" si="126"/>
        <v>YUTH LAS BRISASsep</v>
      </c>
      <c r="C832" s="1" t="s">
        <v>95</v>
      </c>
      <c r="D832" s="1" t="s">
        <v>72</v>
      </c>
      <c r="E832" s="1">
        <v>543</v>
      </c>
      <c r="F832" s="1" t="s">
        <v>121</v>
      </c>
      <c r="G832" s="1" t="s">
        <v>119</v>
      </c>
      <c r="H832" s="1" t="s">
        <v>119</v>
      </c>
      <c r="I832" s="1" t="s">
        <v>127</v>
      </c>
      <c r="J832" s="1" t="s">
        <v>140</v>
      </c>
      <c r="K832" t="s">
        <v>88</v>
      </c>
      <c r="L832" s="6">
        <v>0</v>
      </c>
      <c r="M832" s="6">
        <v>0</v>
      </c>
      <c r="N832" s="6">
        <v>27495.82</v>
      </c>
      <c r="O832" s="6">
        <v>13682.550000000001</v>
      </c>
      <c r="P832" s="6">
        <v>31240.269774999997</v>
      </c>
      <c r="Q832" s="6">
        <v>16280.08049875</v>
      </c>
      <c r="R832" s="6">
        <v>31240.269774999997</v>
      </c>
      <c r="S832" s="6">
        <v>15807.576506149999</v>
      </c>
      <c r="T832" s="6">
        <v>21563.429999999993</v>
      </c>
      <c r="U832" s="6">
        <v>10408.899999999987</v>
      </c>
      <c r="V832" s="30">
        <v>21563.429999999993</v>
      </c>
      <c r="W832" s="30">
        <v>10408.899999999987</v>
      </c>
      <c r="X832" s="30">
        <v>26954.287499999991</v>
      </c>
      <c r="Y832" s="30">
        <v>13098.073363911682</v>
      </c>
      <c r="Z832" s="30">
        <v>0</v>
      </c>
      <c r="AA832" s="30">
        <v>0</v>
      </c>
      <c r="AB832" s="34">
        <v>0</v>
      </c>
      <c r="AC832" s="34">
        <v>0.82057006174645342</v>
      </c>
      <c r="AD832" s="34">
        <v>0.78057665223018813</v>
      </c>
      <c r="AE832" s="34">
        <v>0.8</v>
      </c>
      <c r="AF832" s="34">
        <v>0.8</v>
      </c>
      <c r="AG832" s="34">
        <v>0.8</v>
      </c>
      <c r="AH832" s="34">
        <v>0</v>
      </c>
      <c r="AI832" s="37">
        <f t="shared" si="114"/>
        <v>0</v>
      </c>
      <c r="AJ832" s="37">
        <f t="shared" si="115"/>
        <v>22562.246715169367</v>
      </c>
      <c r="AK832" s="37">
        <f t="shared" si="116"/>
        <v>16831.91</v>
      </c>
      <c r="AL832" s="37">
        <f t="shared" si="117"/>
        <v>24992.215819999998</v>
      </c>
      <c r="AM832" s="37">
        <f t="shared" si="118"/>
        <v>17250.743999999995</v>
      </c>
      <c r="AN832" s="37">
        <f t="shared" si="119"/>
        <v>21563.429999999993</v>
      </c>
      <c r="AO832" s="37">
        <f t="shared" si="120"/>
        <v>0</v>
      </c>
    </row>
    <row r="833" spans="1:41" hidden="1" x14ac:dyDescent="0.3">
      <c r="A833" t="str">
        <f t="shared" si="125"/>
        <v>543oct</v>
      </c>
      <c r="B833" t="str">
        <f t="shared" si="126"/>
        <v>YUTH LAS BRISASoct</v>
      </c>
      <c r="C833" s="1" t="s">
        <v>95</v>
      </c>
      <c r="D833" s="1" t="s">
        <v>72</v>
      </c>
      <c r="E833" s="1">
        <v>543</v>
      </c>
      <c r="F833" s="1" t="s">
        <v>121</v>
      </c>
      <c r="G833" s="1" t="s">
        <v>119</v>
      </c>
      <c r="H833" s="1" t="s">
        <v>119</v>
      </c>
      <c r="I833" s="1" t="s">
        <v>127</v>
      </c>
      <c r="J833" s="1" t="s">
        <v>140</v>
      </c>
      <c r="K833" t="s">
        <v>89</v>
      </c>
      <c r="L833" s="6">
        <v>0</v>
      </c>
      <c r="M833" s="6">
        <v>0</v>
      </c>
      <c r="N833" s="6">
        <v>20500.87</v>
      </c>
      <c r="O833" s="6">
        <v>10809.19</v>
      </c>
      <c r="P833" s="6">
        <v>33134.383224999998</v>
      </c>
      <c r="Q833" s="6">
        <v>17362.84730175</v>
      </c>
      <c r="R833" s="6">
        <v>33134.383224999998</v>
      </c>
      <c r="S833" s="6">
        <v>17243.133030290002</v>
      </c>
      <c r="T833" s="6">
        <v>15980.069999999994</v>
      </c>
      <c r="U833" s="6">
        <v>7707.5799999999908</v>
      </c>
      <c r="V833" s="30">
        <v>23378.12</v>
      </c>
      <c r="W833" s="30">
        <v>12165.973648000001</v>
      </c>
      <c r="X833" s="30">
        <v>30391.555999999997</v>
      </c>
      <c r="Y833" s="30">
        <v>15309.921052884352</v>
      </c>
      <c r="Z833" s="30">
        <v>0</v>
      </c>
      <c r="AA833" s="30">
        <v>0</v>
      </c>
      <c r="AB833" s="34">
        <v>0</v>
      </c>
      <c r="AC833" s="34">
        <v>0.92933297830109285</v>
      </c>
      <c r="AD833" s="34">
        <v>0.70415085791238707</v>
      </c>
      <c r="AE833" s="34">
        <v>0.92</v>
      </c>
      <c r="AF833" s="34">
        <v>0.92</v>
      </c>
      <c r="AG833" s="34">
        <v>0.92</v>
      </c>
      <c r="AH833" s="34">
        <v>0</v>
      </c>
      <c r="AI833" s="37">
        <f t="shared" si="114"/>
        <v>0</v>
      </c>
      <c r="AJ833" s="37">
        <f t="shared" si="115"/>
        <v>19052.134574863525</v>
      </c>
      <c r="AK833" s="37">
        <f t="shared" si="116"/>
        <v>11252.379999999996</v>
      </c>
      <c r="AL833" s="37">
        <f t="shared" si="117"/>
        <v>30483.632567000001</v>
      </c>
      <c r="AM833" s="37">
        <f t="shared" si="118"/>
        <v>21507.8704</v>
      </c>
      <c r="AN833" s="37">
        <f t="shared" si="119"/>
        <v>27960.231519999998</v>
      </c>
      <c r="AO833" s="37">
        <f t="shared" si="120"/>
        <v>0</v>
      </c>
    </row>
    <row r="834" spans="1:41" hidden="1" x14ac:dyDescent="0.3">
      <c r="A834" t="str">
        <f t="shared" si="125"/>
        <v>543nov</v>
      </c>
      <c r="B834" t="str">
        <f t="shared" si="126"/>
        <v>YUTH LAS BRISASnov</v>
      </c>
      <c r="C834" s="1" t="s">
        <v>95</v>
      </c>
      <c r="D834" s="1" t="s">
        <v>72</v>
      </c>
      <c r="E834" s="1">
        <v>543</v>
      </c>
      <c r="F834" s="1" t="s">
        <v>121</v>
      </c>
      <c r="G834" s="1" t="s">
        <v>119</v>
      </c>
      <c r="H834" s="1" t="s">
        <v>119</v>
      </c>
      <c r="I834" s="1" t="s">
        <v>127</v>
      </c>
      <c r="J834" s="1" t="s">
        <v>140</v>
      </c>
      <c r="K834" t="s">
        <v>90</v>
      </c>
      <c r="L834" s="6">
        <v>0</v>
      </c>
      <c r="M834" s="6">
        <v>0</v>
      </c>
      <c r="N834" s="6">
        <v>22595.809999999998</v>
      </c>
      <c r="O834" s="6">
        <v>10916.56</v>
      </c>
      <c r="P834" s="6">
        <v>39307.444250000008</v>
      </c>
      <c r="Q834" s="6">
        <v>19489.227484999999</v>
      </c>
      <c r="R834" s="6">
        <v>36320.078487000006</v>
      </c>
      <c r="S834" s="6">
        <v>16634.595947046</v>
      </c>
      <c r="T834" s="6">
        <v>14881.034482758623</v>
      </c>
      <c r="U834" s="6">
        <v>4602.5651470628936</v>
      </c>
      <c r="V834" s="30">
        <v>36320.078487000006</v>
      </c>
      <c r="W834" s="30">
        <v>16634.595947046</v>
      </c>
      <c r="X834" s="30">
        <v>39044.084373525009</v>
      </c>
      <c r="Y834" s="30">
        <v>17697.43430779807</v>
      </c>
      <c r="Z834" s="30">
        <v>0</v>
      </c>
      <c r="AA834" s="30">
        <v>0</v>
      </c>
      <c r="AB834" s="34">
        <v>0</v>
      </c>
      <c r="AC834" s="34">
        <v>0.58843298823985501</v>
      </c>
      <c r="AD834" s="34">
        <v>0.24974431277324347</v>
      </c>
      <c r="AE834" s="34">
        <v>0.6</v>
      </c>
      <c r="AF834" s="34">
        <v>0.6</v>
      </c>
      <c r="AG834" s="34">
        <v>0.58000000000000007</v>
      </c>
      <c r="AH834" s="34">
        <v>0</v>
      </c>
      <c r="AI834" s="37">
        <f t="shared" si="114"/>
        <v>0</v>
      </c>
      <c r="AJ834" s="37">
        <f t="shared" si="115"/>
        <v>13296.119999999997</v>
      </c>
      <c r="AK834" s="37">
        <f t="shared" si="116"/>
        <v>3716.4537302514909</v>
      </c>
      <c r="AL834" s="37">
        <f t="shared" si="117"/>
        <v>21792.047092200002</v>
      </c>
      <c r="AM834" s="37">
        <f t="shared" si="118"/>
        <v>21792.047092200002</v>
      </c>
      <c r="AN834" s="37">
        <f t="shared" si="119"/>
        <v>22645.568936644508</v>
      </c>
      <c r="AO834" s="37">
        <f t="shared" si="120"/>
        <v>0</v>
      </c>
    </row>
    <row r="835" spans="1:41" hidden="1" x14ac:dyDescent="0.3">
      <c r="A835" t="str">
        <f t="shared" si="125"/>
        <v>543dic</v>
      </c>
      <c r="B835" t="str">
        <f t="shared" si="126"/>
        <v>YUTH LAS BRISASdic</v>
      </c>
      <c r="C835" s="1" t="s">
        <v>95</v>
      </c>
      <c r="D835" s="1" t="s">
        <v>72</v>
      </c>
      <c r="E835" s="1">
        <v>543</v>
      </c>
      <c r="F835" s="1" t="s">
        <v>121</v>
      </c>
      <c r="G835" s="1" t="s">
        <v>119</v>
      </c>
      <c r="H835" s="1" t="s">
        <v>119</v>
      </c>
      <c r="I835" s="1" t="s">
        <v>127</v>
      </c>
      <c r="J835" s="1" t="s">
        <v>140</v>
      </c>
      <c r="K835" t="s">
        <v>91</v>
      </c>
      <c r="L835" s="6">
        <v>0</v>
      </c>
      <c r="M835" s="6">
        <v>0</v>
      </c>
      <c r="N835" s="6">
        <v>68125.75</v>
      </c>
      <c r="O835" s="6">
        <v>33438.289999999994</v>
      </c>
      <c r="P835" s="6">
        <v>69278.553750000006</v>
      </c>
      <c r="Q835" s="6">
        <v>34289.984925000004</v>
      </c>
      <c r="R835" s="6">
        <v>60965.127300000007</v>
      </c>
      <c r="S835" s="6">
        <v>30482.563650000004</v>
      </c>
      <c r="T835" s="6">
        <v>70020.617816091937</v>
      </c>
      <c r="U835" s="6">
        <v>29363.18867155616</v>
      </c>
      <c r="V835" s="30">
        <v>60965.127300000007</v>
      </c>
      <c r="W835" s="30">
        <v>30482.563650000004</v>
      </c>
      <c r="X835" s="30">
        <v>60965.127300000007</v>
      </c>
      <c r="Y835" s="30">
        <v>30349.416699079589</v>
      </c>
      <c r="Z835" s="30">
        <v>0</v>
      </c>
      <c r="AA835" s="30">
        <v>0</v>
      </c>
      <c r="AB835" s="34">
        <v>0</v>
      </c>
      <c r="AC835" s="34">
        <v>0.58240575928906912</v>
      </c>
      <c r="AD835" s="34">
        <v>0.78069725683526903</v>
      </c>
      <c r="AE835" s="34">
        <v>0.79999999999999993</v>
      </c>
      <c r="AF835" s="34">
        <v>0.79999999999999993</v>
      </c>
      <c r="AG835" s="34">
        <v>0.88</v>
      </c>
      <c r="AH835" s="34">
        <v>0</v>
      </c>
      <c r="AI835" s="37">
        <f t="shared" si="114"/>
        <v>0</v>
      </c>
      <c r="AJ835" s="37">
        <f t="shared" si="115"/>
        <v>39676.829155887302</v>
      </c>
      <c r="AK835" s="37">
        <f t="shared" si="116"/>
        <v>54664.904250933738</v>
      </c>
      <c r="AL835" s="37">
        <f t="shared" si="117"/>
        <v>48772.101840000003</v>
      </c>
      <c r="AM835" s="37">
        <f t="shared" si="118"/>
        <v>48772.101840000003</v>
      </c>
      <c r="AN835" s="37">
        <f t="shared" si="119"/>
        <v>53649.312024000006</v>
      </c>
      <c r="AO835" s="37">
        <f t="shared" si="120"/>
        <v>0</v>
      </c>
    </row>
    <row r="836" spans="1:41" hidden="1" x14ac:dyDescent="0.3">
      <c r="A836" t="str">
        <f t="shared" si="125"/>
        <v>540ene</v>
      </c>
      <c r="B836" t="str">
        <f t="shared" si="126"/>
        <v>YUTH MALL VENTURAene</v>
      </c>
      <c r="C836" s="1" t="s">
        <v>95</v>
      </c>
      <c r="D836" s="1" t="s">
        <v>73</v>
      </c>
      <c r="E836" s="1">
        <v>540</v>
      </c>
      <c r="F836" s="1" t="s">
        <v>120</v>
      </c>
      <c r="G836" s="1" t="s">
        <v>119</v>
      </c>
      <c r="H836" s="1" t="s">
        <v>119</v>
      </c>
      <c r="I836" s="1" t="s">
        <v>127</v>
      </c>
      <c r="J836" s="1" t="s">
        <v>140</v>
      </c>
      <c r="K836" t="s">
        <v>80</v>
      </c>
      <c r="L836" s="6">
        <v>0</v>
      </c>
      <c r="M836" s="6">
        <v>0</v>
      </c>
      <c r="N836" s="6">
        <v>43624.67</v>
      </c>
      <c r="O836" s="6">
        <v>22838.52</v>
      </c>
      <c r="P836" s="6">
        <v>67345.311441379265</v>
      </c>
      <c r="Q836" s="6">
        <v>34894.886822758599</v>
      </c>
      <c r="R836" s="6">
        <v>77190.37999999999</v>
      </c>
      <c r="S836" s="6">
        <v>40818.646650491573</v>
      </c>
      <c r="T836" s="6">
        <v>77190.38</v>
      </c>
      <c r="U836" s="6">
        <v>40980.309999999969</v>
      </c>
      <c r="V836" s="30">
        <v>84909.418000000107</v>
      </c>
      <c r="W836" s="30">
        <v>45078.341000000022</v>
      </c>
      <c r="X836" s="30">
        <v>90003.983080000122</v>
      </c>
      <c r="Y836" s="30">
        <v>45893.527743407823</v>
      </c>
      <c r="Z836" s="30">
        <v>74388.505747126284</v>
      </c>
      <c r="AA836" s="30">
        <v>38687.708302111096</v>
      </c>
      <c r="AB836" s="34">
        <v>0</v>
      </c>
      <c r="AC836" s="34">
        <v>0.96776575678849797</v>
      </c>
      <c r="AD836" s="34">
        <v>0.95910093294582732</v>
      </c>
      <c r="AE836" s="34">
        <v>0.95910093294582732</v>
      </c>
      <c r="AF836" s="34">
        <v>0.95910093294582732</v>
      </c>
      <c r="AG836" s="34">
        <v>0.92</v>
      </c>
      <c r="AH836" s="34">
        <v>0.91580008652924993</v>
      </c>
      <c r="AI836" s="37">
        <f t="shared" si="114"/>
        <v>0</v>
      </c>
      <c r="AJ836" s="37">
        <f t="shared" si="115"/>
        <v>42218.461777198485</v>
      </c>
      <c r="AK836" s="37">
        <f t="shared" si="116"/>
        <v>74033.365472442936</v>
      </c>
      <c r="AL836" s="37">
        <f t="shared" si="117"/>
        <v>74033.365472442922</v>
      </c>
      <c r="AM836" s="37">
        <f t="shared" si="118"/>
        <v>81436.70201968732</v>
      </c>
      <c r="AN836" s="37">
        <f t="shared" si="119"/>
        <v>82803.664433600119</v>
      </c>
      <c r="AO836" s="37">
        <f t="shared" si="120"/>
        <v>68124.999999999854</v>
      </c>
    </row>
    <row r="837" spans="1:41" hidden="1" x14ac:dyDescent="0.3">
      <c r="A837" t="str">
        <f t="shared" si="125"/>
        <v>540feb</v>
      </c>
      <c r="B837" t="str">
        <f t="shared" si="126"/>
        <v>YUTH MALL VENTURAfeb</v>
      </c>
      <c r="C837" s="1" t="s">
        <v>95</v>
      </c>
      <c r="D837" s="1" t="s">
        <v>73</v>
      </c>
      <c r="E837" s="1">
        <v>540</v>
      </c>
      <c r="F837" s="1" t="s">
        <v>120</v>
      </c>
      <c r="G837" s="1" t="s">
        <v>119</v>
      </c>
      <c r="H837" s="1" t="s">
        <v>119</v>
      </c>
      <c r="I837" s="1" t="s">
        <v>127</v>
      </c>
      <c r="J837" s="1" t="s">
        <v>140</v>
      </c>
      <c r="K837" t="s">
        <v>81</v>
      </c>
      <c r="L837" s="6">
        <v>0</v>
      </c>
      <c r="M837" s="6">
        <v>0</v>
      </c>
      <c r="N837" s="6">
        <v>49967.89</v>
      </c>
      <c r="O837" s="6">
        <v>22663.759999999998</v>
      </c>
      <c r="P837" s="6">
        <v>72533.640299999955</v>
      </c>
      <c r="Q837" s="6">
        <v>29923.487302499983</v>
      </c>
      <c r="R837" s="6">
        <v>88393.950000000026</v>
      </c>
      <c r="S837" s="6">
        <v>40009.533321959658</v>
      </c>
      <c r="T837" s="6">
        <v>88393.949999999983</v>
      </c>
      <c r="U837" s="6">
        <v>39768.37999999999</v>
      </c>
      <c r="V837" s="30">
        <v>97233.345000000219</v>
      </c>
      <c r="W837" s="30">
        <v>43745.218000000103</v>
      </c>
      <c r="X837" s="30">
        <v>101122.67880000023</v>
      </c>
      <c r="Y837" s="30">
        <v>44783.503323215242</v>
      </c>
      <c r="Z837" s="30">
        <v>80873.635057471227</v>
      </c>
      <c r="AA837" s="30">
        <v>31294.009183124414</v>
      </c>
      <c r="AB837" s="34">
        <v>0</v>
      </c>
      <c r="AC837" s="34">
        <v>0.60882677987378342</v>
      </c>
      <c r="AD837" s="34">
        <v>0.47975511049057884</v>
      </c>
      <c r="AE837" s="34">
        <v>0.47975511049057806</v>
      </c>
      <c r="AF837" s="34">
        <v>0.47975511049057806</v>
      </c>
      <c r="AG837" s="34">
        <v>0.48</v>
      </c>
      <c r="AH837" s="34">
        <v>0.47151215933044383</v>
      </c>
      <c r="AI837" s="37">
        <f t="shared" ref="AI837:AI875" si="127">L837*AB837</f>
        <v>0</v>
      </c>
      <c r="AJ837" s="37">
        <f t="shared" ref="AJ837:AJ875" si="128">N837*AC837</f>
        <v>30421.789565787425</v>
      </c>
      <c r="AK837" s="37">
        <f t="shared" ref="AK837:AK875" si="129">T837*AD837</f>
        <v>42407.449248948695</v>
      </c>
      <c r="AL837" s="37">
        <f t="shared" ref="AL837:AL875" si="130">R837*AE837</f>
        <v>42407.449248948644</v>
      </c>
      <c r="AM837" s="37">
        <f t="shared" ref="AM837:AM875" si="131">V837*AF837</f>
        <v>46648.1941738436</v>
      </c>
      <c r="AN837" s="37">
        <f t="shared" ref="AN837:AN875" si="132">X837*AG837</f>
        <v>48538.885824000106</v>
      </c>
      <c r="AO837" s="37">
        <f t="shared" ref="AO837:AO875" si="133">Z837*AH837</f>
        <v>38132.902298850539</v>
      </c>
    </row>
    <row r="838" spans="1:41" hidden="1" x14ac:dyDescent="0.3">
      <c r="A838" t="str">
        <f t="shared" si="125"/>
        <v>540mar</v>
      </c>
      <c r="B838" t="str">
        <f t="shared" si="126"/>
        <v>YUTH MALL VENTURAmar</v>
      </c>
      <c r="C838" s="1" t="s">
        <v>95</v>
      </c>
      <c r="D838" s="1" t="s">
        <v>73</v>
      </c>
      <c r="E838" s="1">
        <v>540</v>
      </c>
      <c r="F838" s="1" t="s">
        <v>120</v>
      </c>
      <c r="G838" s="1" t="s">
        <v>119</v>
      </c>
      <c r="H838" s="1" t="s">
        <v>119</v>
      </c>
      <c r="I838" s="1" t="s">
        <v>127</v>
      </c>
      <c r="J838" s="1" t="s">
        <v>140</v>
      </c>
      <c r="K838" t="s">
        <v>82</v>
      </c>
      <c r="L838" s="6">
        <v>0</v>
      </c>
      <c r="M838" s="6">
        <v>0</v>
      </c>
      <c r="N838" s="6">
        <v>60628.57</v>
      </c>
      <c r="O838" s="6">
        <v>28456.239999999998</v>
      </c>
      <c r="P838" s="6">
        <v>69870.067019999959</v>
      </c>
      <c r="Q838" s="6">
        <v>33948.076559599984</v>
      </c>
      <c r="R838" s="6">
        <v>92592.190000000046</v>
      </c>
      <c r="S838" s="6">
        <v>46816.472490718981</v>
      </c>
      <c r="T838" s="6">
        <v>92592.190000000031</v>
      </c>
      <c r="U838" s="6">
        <v>46437.210000000079</v>
      </c>
      <c r="V838" s="30">
        <v>92592.190000000192</v>
      </c>
      <c r="W838" s="30">
        <v>46437.210000000159</v>
      </c>
      <c r="X838" s="30">
        <v>99073.6433000002</v>
      </c>
      <c r="Y838" s="30">
        <v>48706.705791083652</v>
      </c>
      <c r="Z838" s="30">
        <v>82010.704996399669</v>
      </c>
      <c r="AA838" s="30">
        <v>39365.13839827184</v>
      </c>
      <c r="AB838" s="34">
        <v>0</v>
      </c>
      <c r="AC838" s="34">
        <v>0.59206101452085103</v>
      </c>
      <c r="AD838" s="34">
        <v>0.82487955396676937</v>
      </c>
      <c r="AE838" s="34">
        <v>0.82487955396676926</v>
      </c>
      <c r="AF838" s="34">
        <v>0.82487955396676926</v>
      </c>
      <c r="AG838" s="34">
        <v>0.8</v>
      </c>
      <c r="AH838" s="34">
        <v>0.85342936456887508</v>
      </c>
      <c r="AI838" s="37">
        <f t="shared" si="127"/>
        <v>0</v>
      </c>
      <c r="AJ838" s="37">
        <f t="shared" si="128"/>
        <v>35895.812663148434</v>
      </c>
      <c r="AK838" s="37">
        <f t="shared" si="129"/>
        <v>76377.404388006384</v>
      </c>
      <c r="AL838" s="37">
        <f t="shared" si="130"/>
        <v>76377.404388006398</v>
      </c>
      <c r="AM838" s="37">
        <f t="shared" si="131"/>
        <v>76377.404388006515</v>
      </c>
      <c r="AN838" s="37">
        <f t="shared" si="132"/>
        <v>79258.914640000163</v>
      </c>
      <c r="AO838" s="37">
        <f t="shared" si="133"/>
        <v>69990.343852922844</v>
      </c>
    </row>
    <row r="839" spans="1:41" hidden="1" x14ac:dyDescent="0.3">
      <c r="A839" t="str">
        <f t="shared" si="125"/>
        <v>540abr</v>
      </c>
      <c r="B839" t="str">
        <f t="shared" si="126"/>
        <v>YUTH MALL VENTURAabr</v>
      </c>
      <c r="C839" s="1" t="s">
        <v>95</v>
      </c>
      <c r="D839" s="1" t="s">
        <v>73</v>
      </c>
      <c r="E839" s="1">
        <v>540</v>
      </c>
      <c r="F839" s="1" t="s">
        <v>120</v>
      </c>
      <c r="G839" s="1" t="s">
        <v>119</v>
      </c>
      <c r="H839" s="1" t="s">
        <v>119</v>
      </c>
      <c r="I839" s="1" t="s">
        <v>127</v>
      </c>
      <c r="J839" s="1" t="s">
        <v>140</v>
      </c>
      <c r="K839" t="s">
        <v>83</v>
      </c>
      <c r="L839" s="6">
        <v>0</v>
      </c>
      <c r="M839" s="6">
        <v>0</v>
      </c>
      <c r="N839" s="6">
        <v>53460.02</v>
      </c>
      <c r="O839" s="6">
        <v>28095.569999999996</v>
      </c>
      <c r="P839" s="6">
        <v>61750.794979999991</v>
      </c>
      <c r="Q839" s="6">
        <v>32580.682606399998</v>
      </c>
      <c r="R839" s="6">
        <v>86465.070000000036</v>
      </c>
      <c r="S839" s="6">
        <v>45463.717405744625</v>
      </c>
      <c r="T839" s="6">
        <v>86465.070000000036</v>
      </c>
      <c r="U839" s="6">
        <v>45458.460000000036</v>
      </c>
      <c r="V839" s="30">
        <v>86465.070000000138</v>
      </c>
      <c r="W839" s="30">
        <v>45458.460000000086</v>
      </c>
      <c r="X839" s="30">
        <v>93382.275600000154</v>
      </c>
      <c r="Y839" s="30">
        <v>47616.137745613625</v>
      </c>
      <c r="Z839" s="30">
        <v>0</v>
      </c>
      <c r="AA839" s="30">
        <v>0</v>
      </c>
      <c r="AB839" s="34">
        <v>0</v>
      </c>
      <c r="AC839" s="34">
        <v>0.95491021891992967</v>
      </c>
      <c r="AD839" s="34">
        <v>0.95207385631527919</v>
      </c>
      <c r="AE839" s="34">
        <v>0.95207385631527885</v>
      </c>
      <c r="AF839" s="34">
        <v>0.95207385631527885</v>
      </c>
      <c r="AG839" s="34">
        <v>0.92</v>
      </c>
      <c r="AH839" s="34">
        <v>0</v>
      </c>
      <c r="AI839" s="37">
        <f t="shared" si="127"/>
        <v>0</v>
      </c>
      <c r="AJ839" s="37">
        <f t="shared" si="128"/>
        <v>51049.519401663812</v>
      </c>
      <c r="AK839" s="37">
        <f t="shared" si="129"/>
        <v>82321.132631470595</v>
      </c>
      <c r="AL839" s="37">
        <f t="shared" si="130"/>
        <v>82321.132631470566</v>
      </c>
      <c r="AM839" s="37">
        <f t="shared" si="131"/>
        <v>82321.132631470653</v>
      </c>
      <c r="AN839" s="37">
        <f t="shared" si="132"/>
        <v>85911.693552000143</v>
      </c>
      <c r="AO839" s="37">
        <f t="shared" si="133"/>
        <v>0</v>
      </c>
    </row>
    <row r="840" spans="1:41" hidden="1" x14ac:dyDescent="0.3">
      <c r="A840" t="str">
        <f t="shared" si="125"/>
        <v>540may</v>
      </c>
      <c r="B840" t="str">
        <f t="shared" si="126"/>
        <v>YUTH MALL VENTURAmay</v>
      </c>
      <c r="C840" s="1" t="s">
        <v>95</v>
      </c>
      <c r="D840" s="1" t="s">
        <v>73</v>
      </c>
      <c r="E840" s="1">
        <v>540</v>
      </c>
      <c r="F840" s="1" t="s">
        <v>120</v>
      </c>
      <c r="G840" s="1" t="s">
        <v>119</v>
      </c>
      <c r="H840" s="1" t="s">
        <v>119</v>
      </c>
      <c r="I840" s="1" t="s">
        <v>127</v>
      </c>
      <c r="J840" s="1" t="s">
        <v>140</v>
      </c>
      <c r="K840" t="s">
        <v>84</v>
      </c>
      <c r="L840" s="6">
        <v>0</v>
      </c>
      <c r="M840" s="6">
        <v>0</v>
      </c>
      <c r="N840" s="6">
        <v>49919.499999999985</v>
      </c>
      <c r="O840" s="6">
        <v>26285.169999999991</v>
      </c>
      <c r="P840" s="6">
        <v>66781.406999999992</v>
      </c>
      <c r="Q840" s="6">
        <v>33743.0098975</v>
      </c>
      <c r="R840" s="6">
        <v>105756.96000000006</v>
      </c>
      <c r="S840" s="6">
        <v>56046.933111674531</v>
      </c>
      <c r="T840" s="6">
        <v>105756.96000000004</v>
      </c>
      <c r="U840" s="6">
        <v>55648.48000000004</v>
      </c>
      <c r="V840" s="30">
        <v>105756.96000000004</v>
      </c>
      <c r="W840" s="30">
        <v>55648.48000000004</v>
      </c>
      <c r="X840" s="30">
        <v>112102.37760000002</v>
      </c>
      <c r="Y840" s="30">
        <v>57161.621079754281</v>
      </c>
      <c r="Z840" s="30">
        <v>0</v>
      </c>
      <c r="AA840" s="30">
        <v>0</v>
      </c>
      <c r="AB840" s="34">
        <v>0</v>
      </c>
      <c r="AC840" s="34">
        <v>0.94876828535682955</v>
      </c>
      <c r="AD840" s="34">
        <v>0.92750073026826452</v>
      </c>
      <c r="AE840" s="34">
        <v>0.92750073026826407</v>
      </c>
      <c r="AF840" s="34">
        <v>0.92750073026826407</v>
      </c>
      <c r="AG840" s="34">
        <v>0.92</v>
      </c>
      <c r="AH840" s="34">
        <v>0</v>
      </c>
      <c r="AI840" s="37">
        <f t="shared" si="127"/>
        <v>0</v>
      </c>
      <c r="AJ840" s="37">
        <f t="shared" si="128"/>
        <v>47362.038420870238</v>
      </c>
      <c r="AK840" s="37">
        <f t="shared" si="129"/>
        <v>98089.657630951668</v>
      </c>
      <c r="AL840" s="37">
        <f t="shared" si="130"/>
        <v>98089.657630951653</v>
      </c>
      <c r="AM840" s="37">
        <f t="shared" si="131"/>
        <v>98089.657630951624</v>
      </c>
      <c r="AN840" s="37">
        <f t="shared" si="132"/>
        <v>103134.18739200002</v>
      </c>
      <c r="AO840" s="37">
        <f t="shared" si="133"/>
        <v>0</v>
      </c>
    </row>
    <row r="841" spans="1:41" hidden="1" x14ac:dyDescent="0.3">
      <c r="A841" t="str">
        <f t="shared" si="125"/>
        <v>540jun</v>
      </c>
      <c r="B841" t="str">
        <f t="shared" si="126"/>
        <v>YUTH MALL VENTURAjun</v>
      </c>
      <c r="C841" s="1" t="s">
        <v>95</v>
      </c>
      <c r="D841" s="1" t="s">
        <v>73</v>
      </c>
      <c r="E841" s="1">
        <v>540</v>
      </c>
      <c r="F841" s="1" t="s">
        <v>120</v>
      </c>
      <c r="G841" s="1" t="s">
        <v>119</v>
      </c>
      <c r="H841" s="1" t="s">
        <v>119</v>
      </c>
      <c r="I841" s="1" t="s">
        <v>127</v>
      </c>
      <c r="J841" s="1" t="s">
        <v>140</v>
      </c>
      <c r="K841" t="s">
        <v>85</v>
      </c>
      <c r="L841" s="6">
        <v>0</v>
      </c>
      <c r="M841" s="6">
        <v>0</v>
      </c>
      <c r="N841" s="6">
        <v>55877.11</v>
      </c>
      <c r="O841" s="6">
        <v>29228.080000000009</v>
      </c>
      <c r="P841" s="6">
        <v>62601.211299999995</v>
      </c>
      <c r="Q841" s="6">
        <v>32761.861906999999</v>
      </c>
      <c r="R841" s="6">
        <v>97150.79</v>
      </c>
      <c r="S841" s="6">
        <v>50732.170000000187</v>
      </c>
      <c r="T841" s="6">
        <v>97150.790000000008</v>
      </c>
      <c r="U841" s="6">
        <v>50732.170000000006</v>
      </c>
      <c r="V841" s="30">
        <v>97150.789999999964</v>
      </c>
      <c r="W841" s="30">
        <v>50732.169999999984</v>
      </c>
      <c r="X841" s="30">
        <v>104922.85319999997</v>
      </c>
      <c r="Y841" s="30">
        <v>53500.741961293425</v>
      </c>
      <c r="Z841" s="30">
        <v>0</v>
      </c>
      <c r="AA841" s="30">
        <v>0</v>
      </c>
      <c r="AB841" s="34">
        <v>0</v>
      </c>
      <c r="AC841" s="34">
        <v>0.96362864512315693</v>
      </c>
      <c r="AD841" s="34">
        <v>0.97245971957613542</v>
      </c>
      <c r="AE841" s="34">
        <v>0.97245971957613542</v>
      </c>
      <c r="AF841" s="34">
        <v>0.97245971957613542</v>
      </c>
      <c r="AG841" s="34">
        <v>0.92</v>
      </c>
      <c r="AH841" s="34">
        <v>0</v>
      </c>
      <c r="AI841" s="37">
        <f t="shared" si="127"/>
        <v>0</v>
      </c>
      <c r="AJ841" s="37">
        <f t="shared" si="128"/>
        <v>53844.783802697602</v>
      </c>
      <c r="AK841" s="37">
        <f t="shared" si="129"/>
        <v>94475.230000000025</v>
      </c>
      <c r="AL841" s="37">
        <f t="shared" si="130"/>
        <v>94475.23000000001</v>
      </c>
      <c r="AM841" s="37">
        <f t="shared" si="131"/>
        <v>94475.229999999981</v>
      </c>
      <c r="AN841" s="37">
        <f t="shared" si="132"/>
        <v>96529.024943999975</v>
      </c>
      <c r="AO841" s="37">
        <f t="shared" si="133"/>
        <v>0</v>
      </c>
    </row>
    <row r="842" spans="1:41" hidden="1" x14ac:dyDescent="0.3">
      <c r="A842" t="str">
        <f t="shared" si="125"/>
        <v>540jul</v>
      </c>
      <c r="B842" t="str">
        <f t="shared" si="126"/>
        <v>YUTH MALL VENTURAjul</v>
      </c>
      <c r="C842" s="1" t="s">
        <v>95</v>
      </c>
      <c r="D842" s="1" t="s">
        <v>73</v>
      </c>
      <c r="E842" s="1">
        <v>540</v>
      </c>
      <c r="F842" s="1" t="s">
        <v>120</v>
      </c>
      <c r="G842" s="1" t="s">
        <v>119</v>
      </c>
      <c r="H842" s="1" t="s">
        <v>119</v>
      </c>
      <c r="I842" s="1" t="s">
        <v>127</v>
      </c>
      <c r="J842" s="1" t="s">
        <v>140</v>
      </c>
      <c r="K842" t="s">
        <v>86</v>
      </c>
      <c r="L842" s="6">
        <v>0</v>
      </c>
      <c r="M842" s="6">
        <v>0</v>
      </c>
      <c r="N842" s="6">
        <v>71488.399999999994</v>
      </c>
      <c r="O842" s="6">
        <v>37666.37000000001</v>
      </c>
      <c r="P842" s="6">
        <v>73625.862299999979</v>
      </c>
      <c r="Q842" s="6">
        <v>38853.854509499986</v>
      </c>
      <c r="R842" s="6">
        <v>106987.01999999995</v>
      </c>
      <c r="S842" s="6">
        <v>56132.830000000213</v>
      </c>
      <c r="T842" s="6">
        <v>106987.01999999996</v>
      </c>
      <c r="U842" s="6">
        <v>56132.829999999944</v>
      </c>
      <c r="V842" s="30">
        <v>106987.01999999993</v>
      </c>
      <c r="W842" s="30">
        <v>56132.829999999922</v>
      </c>
      <c r="X842" s="30">
        <v>115545.98159999991</v>
      </c>
      <c r="Y842" s="30">
        <v>58917.533766094304</v>
      </c>
      <c r="Z842" s="30">
        <v>0</v>
      </c>
      <c r="AA842" s="30">
        <v>0</v>
      </c>
      <c r="AB842" s="34">
        <v>0</v>
      </c>
      <c r="AC842" s="34">
        <v>0.97</v>
      </c>
      <c r="AD842" s="34">
        <v>0.98341266071342115</v>
      </c>
      <c r="AE842" s="34">
        <v>0.98341266071342126</v>
      </c>
      <c r="AF842" s="34">
        <v>0.98341266071342126</v>
      </c>
      <c r="AG842" s="34">
        <v>0.92</v>
      </c>
      <c r="AH842" s="34">
        <v>0</v>
      </c>
      <c r="AI842" s="37">
        <f t="shared" si="127"/>
        <v>0</v>
      </c>
      <c r="AJ842" s="37">
        <f t="shared" si="128"/>
        <v>69343.747999999992</v>
      </c>
      <c r="AK842" s="37">
        <f t="shared" si="129"/>
        <v>105212.38999999997</v>
      </c>
      <c r="AL842" s="37">
        <f t="shared" si="130"/>
        <v>105212.38999999996</v>
      </c>
      <c r="AM842" s="37">
        <f t="shared" si="131"/>
        <v>105212.38999999994</v>
      </c>
      <c r="AN842" s="37">
        <f t="shared" si="132"/>
        <v>106302.30307199992</v>
      </c>
      <c r="AO842" s="37">
        <f t="shared" si="133"/>
        <v>0</v>
      </c>
    </row>
    <row r="843" spans="1:41" hidden="1" x14ac:dyDescent="0.3">
      <c r="A843" t="str">
        <f t="shared" si="125"/>
        <v>540ago</v>
      </c>
      <c r="B843" t="str">
        <f t="shared" si="126"/>
        <v>YUTH MALL VENTURAago</v>
      </c>
      <c r="C843" s="1" t="s">
        <v>95</v>
      </c>
      <c r="D843" s="1" t="s">
        <v>73</v>
      </c>
      <c r="E843" s="1">
        <v>540</v>
      </c>
      <c r="F843" s="1" t="s">
        <v>120</v>
      </c>
      <c r="G843" s="1" t="s">
        <v>119</v>
      </c>
      <c r="H843" s="1" t="s">
        <v>119</v>
      </c>
      <c r="I843" s="1" t="s">
        <v>127</v>
      </c>
      <c r="J843" s="1" t="s">
        <v>140</v>
      </c>
      <c r="K843" t="s">
        <v>87</v>
      </c>
      <c r="L843" s="6">
        <v>0</v>
      </c>
      <c r="M843" s="6">
        <v>0</v>
      </c>
      <c r="N843" s="6">
        <v>96492.260000000009</v>
      </c>
      <c r="O843" s="6">
        <v>38424.850000000013</v>
      </c>
      <c r="P843" s="6">
        <v>107904.79786000012</v>
      </c>
      <c r="Q843" s="6">
        <v>42199.36084790004</v>
      </c>
      <c r="R843" s="6">
        <v>113300.0377530001</v>
      </c>
      <c r="S843" s="6">
        <v>48299.806094103944</v>
      </c>
      <c r="T843" s="6">
        <v>138916.33000000007</v>
      </c>
      <c r="U843" s="6">
        <v>53247.920000000027</v>
      </c>
      <c r="V843" s="30">
        <v>129192.18690000042</v>
      </c>
      <c r="W843" s="30">
        <v>55074.629275470179</v>
      </c>
      <c r="X843" s="30">
        <v>135651.79624500047</v>
      </c>
      <c r="Y843" s="30">
        <v>60075.175420867927</v>
      </c>
      <c r="Z843" s="30">
        <v>0</v>
      </c>
      <c r="AA843" s="30">
        <v>0</v>
      </c>
      <c r="AB843" s="34">
        <v>0</v>
      </c>
      <c r="AC843" s="34">
        <v>0.33746598525209459</v>
      </c>
      <c r="AD843" s="34">
        <v>0.35974899423271439</v>
      </c>
      <c r="AE843" s="34">
        <v>0.45999999999999991</v>
      </c>
      <c r="AF843" s="34">
        <v>0.45999999999999991</v>
      </c>
      <c r="AG843" s="34">
        <v>0.47999999999999993</v>
      </c>
      <c r="AH843" s="34">
        <v>0</v>
      </c>
      <c r="AI843" s="37">
        <f t="shared" si="127"/>
        <v>0</v>
      </c>
      <c r="AJ843" s="37">
        <f t="shared" si="128"/>
        <v>32562.855590101281</v>
      </c>
      <c r="AK843" s="37">
        <f t="shared" si="129"/>
        <v>49975.009999999878</v>
      </c>
      <c r="AL843" s="37">
        <f t="shared" si="130"/>
        <v>52118.017366380038</v>
      </c>
      <c r="AM843" s="37">
        <f t="shared" si="131"/>
        <v>59428.405974000183</v>
      </c>
      <c r="AN843" s="37">
        <f t="shared" si="132"/>
        <v>65112.862197600218</v>
      </c>
      <c r="AO843" s="37">
        <f t="shared" si="133"/>
        <v>0</v>
      </c>
    </row>
    <row r="844" spans="1:41" hidden="1" x14ac:dyDescent="0.3">
      <c r="A844" t="str">
        <f t="shared" si="125"/>
        <v>540sep</v>
      </c>
      <c r="B844" t="str">
        <f t="shared" si="126"/>
        <v>YUTH MALL VENTURAsep</v>
      </c>
      <c r="C844" s="1" t="s">
        <v>95</v>
      </c>
      <c r="D844" s="1" t="s">
        <v>73</v>
      </c>
      <c r="E844" s="1">
        <v>540</v>
      </c>
      <c r="F844" s="1" t="s">
        <v>120</v>
      </c>
      <c r="G844" s="1" t="s">
        <v>119</v>
      </c>
      <c r="H844" s="1" t="s">
        <v>119</v>
      </c>
      <c r="I844" s="1" t="s">
        <v>127</v>
      </c>
      <c r="J844" s="1" t="s">
        <v>140</v>
      </c>
      <c r="K844" t="s">
        <v>88</v>
      </c>
      <c r="L844" s="6">
        <v>0</v>
      </c>
      <c r="M844" s="6">
        <v>0</v>
      </c>
      <c r="N844" s="6">
        <v>53827.17</v>
      </c>
      <c r="O844" s="6">
        <v>26639.8</v>
      </c>
      <c r="P844" s="6">
        <v>59958.846850000024</v>
      </c>
      <c r="Q844" s="6">
        <v>31990.681882950015</v>
      </c>
      <c r="R844" s="6">
        <v>68353.085409000021</v>
      </c>
      <c r="S844" s="6">
        <v>35171.08009720096</v>
      </c>
      <c r="T844" s="6">
        <v>82727.760000000009</v>
      </c>
      <c r="U844" s="6">
        <v>39388.660000000011</v>
      </c>
      <c r="V844" s="30">
        <v>82727.760000000009</v>
      </c>
      <c r="W844" s="30">
        <v>39388.660000000011</v>
      </c>
      <c r="X844" s="30">
        <v>87691.425600000017</v>
      </c>
      <c r="Y844" s="30">
        <v>43110.965992908968</v>
      </c>
      <c r="Z844" s="30">
        <v>0</v>
      </c>
      <c r="AA844" s="30">
        <v>0</v>
      </c>
      <c r="AB844" s="34">
        <v>0</v>
      </c>
      <c r="AC844" s="34">
        <v>0.78944086248418266</v>
      </c>
      <c r="AD844" s="34">
        <v>0.76282012229026863</v>
      </c>
      <c r="AE844" s="34">
        <v>0.85</v>
      </c>
      <c r="AF844" s="34">
        <v>0.85</v>
      </c>
      <c r="AG844" s="34">
        <v>0.8</v>
      </c>
      <c r="AH844" s="34">
        <v>0</v>
      </c>
      <c r="AI844" s="37">
        <f t="shared" si="127"/>
        <v>0</v>
      </c>
      <c r="AJ844" s="37">
        <f t="shared" si="128"/>
        <v>42493.367509882723</v>
      </c>
      <c r="AK844" s="37">
        <f t="shared" si="129"/>
        <v>63106.400000000001</v>
      </c>
      <c r="AL844" s="37">
        <f t="shared" si="130"/>
        <v>58100.122597650014</v>
      </c>
      <c r="AM844" s="37">
        <f t="shared" si="131"/>
        <v>70318.596000000005</v>
      </c>
      <c r="AN844" s="37">
        <f t="shared" si="132"/>
        <v>70153.140480000016</v>
      </c>
      <c r="AO844" s="37">
        <f t="shared" si="133"/>
        <v>0</v>
      </c>
    </row>
    <row r="845" spans="1:41" hidden="1" x14ac:dyDescent="0.3">
      <c r="A845" t="str">
        <f t="shared" si="125"/>
        <v>540oct</v>
      </c>
      <c r="B845" t="str">
        <f t="shared" si="126"/>
        <v>YUTH MALL VENTURAoct</v>
      </c>
      <c r="C845" s="1" t="s">
        <v>95</v>
      </c>
      <c r="D845" s="1" t="s">
        <v>73</v>
      </c>
      <c r="E845" s="1">
        <v>540</v>
      </c>
      <c r="F845" s="1" t="s">
        <v>120</v>
      </c>
      <c r="G845" s="1" t="s">
        <v>119</v>
      </c>
      <c r="H845" s="1" t="s">
        <v>119</v>
      </c>
      <c r="I845" s="1" t="s">
        <v>127</v>
      </c>
      <c r="J845" s="1" t="s">
        <v>140</v>
      </c>
      <c r="K845" t="s">
        <v>89</v>
      </c>
      <c r="L845" s="6">
        <v>0</v>
      </c>
      <c r="M845" s="6">
        <v>0</v>
      </c>
      <c r="N845" s="6">
        <v>55833.630000000005</v>
      </c>
      <c r="O845" s="6">
        <v>30002.560000000005</v>
      </c>
      <c r="P845" s="6">
        <v>64213.908429999981</v>
      </c>
      <c r="Q845" s="6">
        <v>34485.73301584999</v>
      </c>
      <c r="R845" s="6">
        <v>73203.855610199986</v>
      </c>
      <c r="S845" s="6">
        <v>38387.369843432774</v>
      </c>
      <c r="T845" s="6">
        <v>49988.359999999986</v>
      </c>
      <c r="U845" s="6">
        <v>24756.839999999975</v>
      </c>
      <c r="V845" s="30">
        <v>69753.31</v>
      </c>
      <c r="W845" s="30">
        <v>36577.938230899999</v>
      </c>
      <c r="X845" s="30">
        <v>75333.574800000017</v>
      </c>
      <c r="Y845" s="30">
        <v>38413.005589106477</v>
      </c>
      <c r="Z845" s="30">
        <v>0</v>
      </c>
      <c r="AA845" s="30">
        <v>0</v>
      </c>
      <c r="AB845" s="34">
        <v>0</v>
      </c>
      <c r="AC845" s="34">
        <v>0.96921451484909049</v>
      </c>
      <c r="AD845" s="34">
        <v>0.74162925128970014</v>
      </c>
      <c r="AE845" s="34">
        <v>0.92999999999999994</v>
      </c>
      <c r="AF845" s="34">
        <v>0.92999999999999994</v>
      </c>
      <c r="AG845" s="34">
        <v>0.92</v>
      </c>
      <c r="AH845" s="34">
        <v>0</v>
      </c>
      <c r="AI845" s="37">
        <f t="shared" si="127"/>
        <v>0</v>
      </c>
      <c r="AJ845" s="37">
        <f t="shared" si="128"/>
        <v>54114.764612713632</v>
      </c>
      <c r="AK845" s="37">
        <f t="shared" si="129"/>
        <v>37072.829999999987</v>
      </c>
      <c r="AL845" s="37">
        <f t="shared" si="130"/>
        <v>68079.585717485985</v>
      </c>
      <c r="AM845" s="37">
        <f t="shared" si="131"/>
        <v>64870.578299999994</v>
      </c>
      <c r="AN845" s="37">
        <f t="shared" si="132"/>
        <v>69306.888816000021</v>
      </c>
      <c r="AO845" s="37">
        <f t="shared" si="133"/>
        <v>0</v>
      </c>
    </row>
    <row r="846" spans="1:41" hidden="1" x14ac:dyDescent="0.3">
      <c r="A846" t="str">
        <f t="shared" si="125"/>
        <v>540nov</v>
      </c>
      <c r="B846" t="str">
        <f t="shared" si="126"/>
        <v>YUTH MALL VENTURAnov</v>
      </c>
      <c r="C846" s="1" t="s">
        <v>95</v>
      </c>
      <c r="D846" s="1" t="s">
        <v>73</v>
      </c>
      <c r="E846" s="1">
        <v>540</v>
      </c>
      <c r="F846" s="1" t="s">
        <v>120</v>
      </c>
      <c r="G846" s="1" t="s">
        <v>119</v>
      </c>
      <c r="H846" s="1" t="s">
        <v>119</v>
      </c>
      <c r="I846" s="1" t="s">
        <v>127</v>
      </c>
      <c r="J846" s="1" t="s">
        <v>140</v>
      </c>
      <c r="K846" t="s">
        <v>90</v>
      </c>
      <c r="L846" s="6">
        <v>0</v>
      </c>
      <c r="M846" s="6">
        <v>0</v>
      </c>
      <c r="N846" s="6">
        <v>50842.680000000008</v>
      </c>
      <c r="O846" s="6">
        <v>26065.560000000012</v>
      </c>
      <c r="P846" s="6">
        <v>76709.342659999995</v>
      </c>
      <c r="Q846" s="6">
        <v>38266.571975299994</v>
      </c>
      <c r="R846" s="6">
        <v>91821.08316401999</v>
      </c>
      <c r="S846" s="6">
        <v>42219.334038816392</v>
      </c>
      <c r="T846" s="6">
        <v>35909.482758620688</v>
      </c>
      <c r="U846" s="6">
        <v>11216.018137694182</v>
      </c>
      <c r="V846" s="30">
        <v>91821.08316401999</v>
      </c>
      <c r="W846" s="30">
        <v>42219.334038816392</v>
      </c>
      <c r="X846" s="30">
        <v>99166.769817141569</v>
      </c>
      <c r="Y846" s="30">
        <v>45428.298827283812</v>
      </c>
      <c r="Z846" s="30">
        <v>0</v>
      </c>
      <c r="AA846" s="30">
        <v>0</v>
      </c>
      <c r="AB846" s="34">
        <v>0</v>
      </c>
      <c r="AC846" s="34">
        <v>0.77279284378485347</v>
      </c>
      <c r="AD846" s="34">
        <v>0.35974899423271439</v>
      </c>
      <c r="AE846" s="34">
        <v>0.6</v>
      </c>
      <c r="AF846" s="34">
        <v>0.6</v>
      </c>
      <c r="AG846" s="34">
        <v>0.57999999999999985</v>
      </c>
      <c r="AH846" s="34">
        <v>0</v>
      </c>
      <c r="AI846" s="37">
        <f t="shared" si="127"/>
        <v>0</v>
      </c>
      <c r="AJ846" s="37">
        <f t="shared" si="128"/>
        <v>39290.859262843296</v>
      </c>
      <c r="AK846" s="37">
        <f t="shared" si="129"/>
        <v>12918.400305830792</v>
      </c>
      <c r="AL846" s="37">
        <f t="shared" si="130"/>
        <v>55092.64989841199</v>
      </c>
      <c r="AM846" s="37">
        <f t="shared" si="131"/>
        <v>55092.64989841199</v>
      </c>
      <c r="AN846" s="37">
        <f t="shared" si="132"/>
        <v>57516.726493942093</v>
      </c>
      <c r="AO846" s="37">
        <f t="shared" si="133"/>
        <v>0</v>
      </c>
    </row>
    <row r="847" spans="1:41" hidden="1" x14ac:dyDescent="0.3">
      <c r="A847" t="str">
        <f t="shared" si="125"/>
        <v>540dic</v>
      </c>
      <c r="B847" t="str">
        <f t="shared" si="126"/>
        <v>YUTH MALL VENTURAdic</v>
      </c>
      <c r="C847" s="1" t="s">
        <v>95</v>
      </c>
      <c r="D847" s="1" t="s">
        <v>73</v>
      </c>
      <c r="E847" s="1">
        <v>540</v>
      </c>
      <c r="F847" s="1" t="s">
        <v>120</v>
      </c>
      <c r="G847" s="1" t="s">
        <v>119</v>
      </c>
      <c r="H847" s="1" t="s">
        <v>119</v>
      </c>
      <c r="I847" s="1" t="s">
        <v>127</v>
      </c>
      <c r="J847" s="1" t="s">
        <v>140</v>
      </c>
      <c r="K847" t="s">
        <v>91</v>
      </c>
      <c r="L847" s="6">
        <v>99515.200000000012</v>
      </c>
      <c r="M847" s="6">
        <v>50788.44000000001</v>
      </c>
      <c r="N847" s="6">
        <v>135747.45000000004</v>
      </c>
      <c r="O847" s="6">
        <v>65457.10000000002</v>
      </c>
      <c r="P847" s="6">
        <v>137287.37610000008</v>
      </c>
      <c r="Q847" s="6">
        <v>67689.712461000046</v>
      </c>
      <c r="R847" s="6">
        <v>156507.6087540001</v>
      </c>
      <c r="S847" s="6">
        <v>78629.422638009652</v>
      </c>
      <c r="T847" s="6">
        <v>167897.55747126433</v>
      </c>
      <c r="U847" s="6">
        <v>73288.758249849663</v>
      </c>
      <c r="V847" s="30">
        <v>156507.6087540001</v>
      </c>
      <c r="W847" s="30">
        <v>78629.422638009652</v>
      </c>
      <c r="X847" s="30">
        <v>164332.98919170009</v>
      </c>
      <c r="Y847" s="30">
        <v>82792.727242340567</v>
      </c>
      <c r="Z847" s="30">
        <v>0</v>
      </c>
      <c r="AA847" s="30">
        <v>0</v>
      </c>
      <c r="AB847" s="34">
        <v>0.94420540781709728</v>
      </c>
      <c r="AC847" s="34">
        <v>0.48857249081255089</v>
      </c>
      <c r="AD847" s="34">
        <v>0.82487955396676937</v>
      </c>
      <c r="AE847" s="34">
        <v>0.8</v>
      </c>
      <c r="AF847" s="34">
        <v>0.8</v>
      </c>
      <c r="AG847" s="34">
        <v>0.88</v>
      </c>
      <c r="AH847" s="34">
        <v>0</v>
      </c>
      <c r="AI847" s="37">
        <f t="shared" si="127"/>
        <v>93962.790000000008</v>
      </c>
      <c r="AJ847" s="37">
        <f t="shared" si="128"/>
        <v>66322.469767952236</v>
      </c>
      <c r="AK847" s="37">
        <f t="shared" si="129"/>
        <v>138495.26231900655</v>
      </c>
      <c r="AL847" s="37">
        <f t="shared" si="130"/>
        <v>125206.08700320008</v>
      </c>
      <c r="AM847" s="37">
        <f t="shared" si="131"/>
        <v>125206.08700320008</v>
      </c>
      <c r="AN847" s="37">
        <f t="shared" si="132"/>
        <v>144613.03048869609</v>
      </c>
      <c r="AO847" s="37">
        <f t="shared" si="133"/>
        <v>0</v>
      </c>
    </row>
    <row r="848" spans="1:41" hidden="1" x14ac:dyDescent="0.3">
      <c r="A848" t="str">
        <f t="shared" si="125"/>
        <v>541ene</v>
      </c>
      <c r="B848" t="str">
        <f t="shared" si="126"/>
        <v>YUTH PATIO DESIGNene</v>
      </c>
      <c r="C848" s="1" t="s">
        <v>95</v>
      </c>
      <c r="D848" s="1" t="s">
        <v>74</v>
      </c>
      <c r="E848" s="1">
        <v>541</v>
      </c>
      <c r="F848" s="1" t="s">
        <v>121</v>
      </c>
      <c r="G848" s="1" t="s">
        <v>119</v>
      </c>
      <c r="H848" s="1" t="s">
        <v>119</v>
      </c>
      <c r="I848" s="1" t="s">
        <v>127</v>
      </c>
      <c r="J848" s="1" t="s">
        <v>140</v>
      </c>
      <c r="K848" t="s">
        <v>80</v>
      </c>
      <c r="L848" s="6">
        <v>0</v>
      </c>
      <c r="M848" s="6">
        <v>0</v>
      </c>
      <c r="N848" s="6">
        <v>0</v>
      </c>
      <c r="O848" s="6">
        <v>0</v>
      </c>
      <c r="P848" s="6">
        <v>32595.513488620687</v>
      </c>
      <c r="Q848" s="6">
        <v>16648.250907825859</v>
      </c>
      <c r="R848" s="6">
        <v>28483.64000000001</v>
      </c>
      <c r="S848" s="6">
        <v>14875.020643823922</v>
      </c>
      <c r="T848" s="6">
        <v>28483.64</v>
      </c>
      <c r="U848" s="6">
        <v>14848.44</v>
      </c>
      <c r="V848" s="30">
        <v>31332.004000000004</v>
      </c>
      <c r="W848" s="30">
        <v>16333.284000000005</v>
      </c>
      <c r="X848" s="30">
        <v>33351.351657800013</v>
      </c>
      <c r="Y848" s="30">
        <v>16947.85039601387</v>
      </c>
      <c r="Z848" s="30">
        <v>32299.281609195386</v>
      </c>
      <c r="AA848" s="30">
        <v>16609.067238888871</v>
      </c>
      <c r="AB848" s="34">
        <v>0</v>
      </c>
      <c r="AC848" s="34">
        <v>0</v>
      </c>
      <c r="AD848" s="34">
        <v>0.93385271834631267</v>
      </c>
      <c r="AE848" s="34">
        <v>0.93385271834631278</v>
      </c>
      <c r="AF848" s="34">
        <v>0.93385271834631278</v>
      </c>
      <c r="AG848" s="34">
        <v>0.92</v>
      </c>
      <c r="AH848" s="34">
        <v>0.93348398375466513</v>
      </c>
      <c r="AI848" s="37">
        <f t="shared" si="127"/>
        <v>0</v>
      </c>
      <c r="AJ848" s="37">
        <f t="shared" si="128"/>
        <v>0</v>
      </c>
      <c r="AK848" s="37">
        <f t="shared" si="129"/>
        <v>26599.524642397766</v>
      </c>
      <c r="AL848" s="37">
        <f t="shared" si="130"/>
        <v>26599.524642397777</v>
      </c>
      <c r="AM848" s="37">
        <f t="shared" si="131"/>
        <v>29259.477106637551</v>
      </c>
      <c r="AN848" s="37">
        <f t="shared" si="132"/>
        <v>30683.243525176014</v>
      </c>
      <c r="AO848" s="37">
        <f t="shared" si="133"/>
        <v>30150.8620689655</v>
      </c>
    </row>
    <row r="849" spans="1:41" hidden="1" x14ac:dyDescent="0.3">
      <c r="A849" t="str">
        <f t="shared" si="125"/>
        <v>541feb</v>
      </c>
      <c r="B849" t="str">
        <f t="shared" si="126"/>
        <v>YUTH PATIO DESIGNfeb</v>
      </c>
      <c r="C849" s="1" t="s">
        <v>95</v>
      </c>
      <c r="D849" s="1" t="s">
        <v>74</v>
      </c>
      <c r="E849" s="1">
        <v>541</v>
      </c>
      <c r="F849" s="1" t="s">
        <v>121</v>
      </c>
      <c r="G849" s="1" t="s">
        <v>119</v>
      </c>
      <c r="H849" s="1" t="s">
        <v>119</v>
      </c>
      <c r="I849" s="1" t="s">
        <v>127</v>
      </c>
      <c r="J849" s="1" t="s">
        <v>140</v>
      </c>
      <c r="K849" t="s">
        <v>81</v>
      </c>
      <c r="L849" s="6">
        <v>0</v>
      </c>
      <c r="M849" s="6">
        <v>0</v>
      </c>
      <c r="N849" s="6">
        <v>0</v>
      </c>
      <c r="O849" s="6">
        <v>0</v>
      </c>
      <c r="P849" s="6">
        <v>35970.366299999994</v>
      </c>
      <c r="Q849" s="6">
        <v>14891.646569249999</v>
      </c>
      <c r="R849" s="6">
        <v>28348.569999999989</v>
      </c>
      <c r="S849" s="6">
        <v>13266.688961507674</v>
      </c>
      <c r="T849" s="6">
        <v>28348.569999999996</v>
      </c>
      <c r="U849" s="6">
        <v>13349.38</v>
      </c>
      <c r="V849" s="30">
        <v>31183.427000000011</v>
      </c>
      <c r="W849" s="30">
        <v>14684.318000000007</v>
      </c>
      <c r="X849" s="30">
        <v>38979.283750000017</v>
      </c>
      <c r="Y849" s="30">
        <v>17390.614913146594</v>
      </c>
      <c r="Z849" s="30">
        <v>39897.198275862043</v>
      </c>
      <c r="AA849" s="30">
        <v>14747.930109732682</v>
      </c>
      <c r="AB849" s="34">
        <v>0</v>
      </c>
      <c r="AC849" s="34">
        <v>0</v>
      </c>
      <c r="AD849" s="34">
        <v>0.5144533963295318</v>
      </c>
      <c r="AE849" s="34">
        <v>0.51445339632953135</v>
      </c>
      <c r="AF849" s="34">
        <v>0.51445339632953135</v>
      </c>
      <c r="AG849" s="34">
        <v>0.48</v>
      </c>
      <c r="AH849" s="34">
        <v>0.42839985667187058</v>
      </c>
      <c r="AI849" s="37">
        <f t="shared" si="127"/>
        <v>0</v>
      </c>
      <c r="AJ849" s="37">
        <f t="shared" si="128"/>
        <v>0</v>
      </c>
      <c r="AK849" s="37">
        <f t="shared" si="129"/>
        <v>14584.018117585474</v>
      </c>
      <c r="AL849" s="37">
        <f t="shared" si="130"/>
        <v>14584.018117585458</v>
      </c>
      <c r="AM849" s="37">
        <f t="shared" si="131"/>
        <v>16042.419929344014</v>
      </c>
      <c r="AN849" s="37">
        <f t="shared" si="132"/>
        <v>18710.056200000006</v>
      </c>
      <c r="AO849" s="37">
        <f t="shared" si="133"/>
        <v>17091.954022988502</v>
      </c>
    </row>
    <row r="850" spans="1:41" hidden="1" x14ac:dyDescent="0.3">
      <c r="A850" t="str">
        <f t="shared" si="125"/>
        <v>541mar</v>
      </c>
      <c r="B850" t="str">
        <f t="shared" si="126"/>
        <v>YUTH PATIO DESIGNmar</v>
      </c>
      <c r="C850" s="1" t="s">
        <v>95</v>
      </c>
      <c r="D850" s="1" t="s">
        <v>74</v>
      </c>
      <c r="E850" s="1">
        <v>541</v>
      </c>
      <c r="F850" s="1" t="s">
        <v>121</v>
      </c>
      <c r="G850" s="1" t="s">
        <v>119</v>
      </c>
      <c r="H850" s="1" t="s">
        <v>119</v>
      </c>
      <c r="I850" s="1" t="s">
        <v>127</v>
      </c>
      <c r="J850" s="1" t="s">
        <v>140</v>
      </c>
      <c r="K850" t="s">
        <v>82</v>
      </c>
      <c r="L850" s="6">
        <v>0</v>
      </c>
      <c r="M850" s="6">
        <v>0</v>
      </c>
      <c r="N850" s="6">
        <v>0</v>
      </c>
      <c r="O850" s="6">
        <v>0</v>
      </c>
      <c r="P850" s="6">
        <v>32631.976239999989</v>
      </c>
      <c r="Q850" s="6">
        <v>15719.036411799996</v>
      </c>
      <c r="R850" s="6">
        <v>30628.42</v>
      </c>
      <c r="S850" s="6">
        <v>15248.40426011654</v>
      </c>
      <c r="T850" s="6">
        <v>30628.42</v>
      </c>
      <c r="U850" s="6">
        <v>15271.159999999994</v>
      </c>
      <c r="V850" s="30">
        <v>30628.419999999987</v>
      </c>
      <c r="W850" s="30">
        <v>15271.159999999989</v>
      </c>
      <c r="X850" s="30">
        <v>30934.704199999989</v>
      </c>
      <c r="Y850" s="30">
        <v>15196.63738588673</v>
      </c>
      <c r="Z850" s="30">
        <v>31939.060238453989</v>
      </c>
      <c r="AA850" s="30">
        <v>14308.698986827387</v>
      </c>
      <c r="AB850" s="34">
        <v>0</v>
      </c>
      <c r="AC850" s="34">
        <v>0</v>
      </c>
      <c r="AD850" s="34">
        <v>0.76869250634860153</v>
      </c>
      <c r="AE850" s="34">
        <v>0.76869250634860165</v>
      </c>
      <c r="AF850" s="34">
        <v>0.76869250634860165</v>
      </c>
      <c r="AG850" s="34">
        <v>0.79999999999999993</v>
      </c>
      <c r="AH850" s="34">
        <v>0.73112175299033622</v>
      </c>
      <c r="AI850" s="37">
        <f t="shared" si="127"/>
        <v>0</v>
      </c>
      <c r="AJ850" s="37">
        <f t="shared" si="128"/>
        <v>0</v>
      </c>
      <c r="AK850" s="37">
        <f t="shared" si="129"/>
        <v>23543.836935297633</v>
      </c>
      <c r="AL850" s="37">
        <f t="shared" si="130"/>
        <v>23543.836935297637</v>
      </c>
      <c r="AM850" s="37">
        <f t="shared" si="131"/>
        <v>23543.83693529763</v>
      </c>
      <c r="AN850" s="37">
        <f t="shared" si="132"/>
        <v>24747.76335999999</v>
      </c>
      <c r="AO850" s="37">
        <f t="shared" si="133"/>
        <v>23351.341710402427</v>
      </c>
    </row>
    <row r="851" spans="1:41" hidden="1" x14ac:dyDescent="0.3">
      <c r="A851" t="str">
        <f t="shared" si="125"/>
        <v>541abr</v>
      </c>
      <c r="B851" t="str">
        <f t="shared" si="126"/>
        <v>YUTH PATIO DESIGNabr</v>
      </c>
      <c r="C851" s="1" t="s">
        <v>95</v>
      </c>
      <c r="D851" s="1" t="s">
        <v>74</v>
      </c>
      <c r="E851" s="1">
        <v>541</v>
      </c>
      <c r="F851" s="1" t="s">
        <v>121</v>
      </c>
      <c r="G851" s="1" t="s">
        <v>119</v>
      </c>
      <c r="H851" s="1" t="s">
        <v>119</v>
      </c>
      <c r="I851" s="1" t="s">
        <v>127</v>
      </c>
      <c r="J851" s="1" t="s">
        <v>140</v>
      </c>
      <c r="K851" t="s">
        <v>83</v>
      </c>
      <c r="L851" s="6">
        <v>0</v>
      </c>
      <c r="M851" s="6">
        <v>0</v>
      </c>
      <c r="N851" s="6">
        <v>0</v>
      </c>
      <c r="O851" s="6">
        <v>0</v>
      </c>
      <c r="P851" s="6">
        <v>31171.885804499983</v>
      </c>
      <c r="Q851" s="6">
        <v>16434.207764784995</v>
      </c>
      <c r="R851" s="6">
        <v>32083.249999999985</v>
      </c>
      <c r="S851" s="6">
        <v>16527.230349232479</v>
      </c>
      <c r="T851" s="6">
        <v>32083.249999999978</v>
      </c>
      <c r="U851" s="6">
        <v>16524.589999999978</v>
      </c>
      <c r="V851" s="30">
        <v>32083.249999999964</v>
      </c>
      <c r="W851" s="30">
        <v>16524.589999999971</v>
      </c>
      <c r="X851" s="30">
        <v>30479.087499999969</v>
      </c>
      <c r="Y851" s="30">
        <v>15488.278270011497</v>
      </c>
      <c r="Z851" s="30">
        <v>0</v>
      </c>
      <c r="AA851" s="30">
        <v>0</v>
      </c>
      <c r="AB851" s="34">
        <v>0</v>
      </c>
      <c r="AC851" s="34">
        <v>0</v>
      </c>
      <c r="AD851" s="34">
        <v>0.92875920865019013</v>
      </c>
      <c r="AE851" s="34">
        <v>0.92875920865019013</v>
      </c>
      <c r="AF851" s="34">
        <v>0.92875920865019013</v>
      </c>
      <c r="AG851" s="34">
        <v>0.92</v>
      </c>
      <c r="AH851" s="34">
        <v>0</v>
      </c>
      <c r="AI851" s="37">
        <f t="shared" si="127"/>
        <v>0</v>
      </c>
      <c r="AJ851" s="37">
        <f t="shared" si="128"/>
        <v>0</v>
      </c>
      <c r="AK851" s="37">
        <f t="shared" si="129"/>
        <v>29797.613880926194</v>
      </c>
      <c r="AL851" s="37">
        <f t="shared" si="130"/>
        <v>29797.613880926197</v>
      </c>
      <c r="AM851" s="37">
        <f t="shared" si="131"/>
        <v>29797.613880926179</v>
      </c>
      <c r="AN851" s="37">
        <f t="shared" si="132"/>
        <v>28040.760499999971</v>
      </c>
      <c r="AO851" s="37">
        <f t="shared" si="133"/>
        <v>0</v>
      </c>
    </row>
    <row r="852" spans="1:41" hidden="1" x14ac:dyDescent="0.3">
      <c r="A852" t="str">
        <f t="shared" si="125"/>
        <v>541may</v>
      </c>
      <c r="B852" t="str">
        <f t="shared" si="126"/>
        <v>YUTH PATIO DESIGNmay</v>
      </c>
      <c r="C852" s="1" t="s">
        <v>95</v>
      </c>
      <c r="D852" s="1" t="s">
        <v>74</v>
      </c>
      <c r="E852" s="1">
        <v>541</v>
      </c>
      <c r="F852" s="1" t="s">
        <v>121</v>
      </c>
      <c r="G852" s="1" t="s">
        <v>119</v>
      </c>
      <c r="H852" s="1" t="s">
        <v>119</v>
      </c>
      <c r="I852" s="1" t="s">
        <v>127</v>
      </c>
      <c r="J852" s="1" t="s">
        <v>140</v>
      </c>
      <c r="K852" t="s">
        <v>84</v>
      </c>
      <c r="L852" s="6">
        <v>0</v>
      </c>
      <c r="M852" s="6">
        <v>0</v>
      </c>
      <c r="N852" s="6">
        <v>0</v>
      </c>
      <c r="O852" s="6">
        <v>0</v>
      </c>
      <c r="P852" s="6">
        <v>35017.389425999987</v>
      </c>
      <c r="Q852" s="6">
        <v>17819.003228779988</v>
      </c>
      <c r="R852" s="6">
        <v>40908.769999999975</v>
      </c>
      <c r="S852" s="6">
        <v>21322.020767104004</v>
      </c>
      <c r="T852" s="6">
        <v>40908.76999999996</v>
      </c>
      <c r="U852" s="6">
        <v>21327.949999999961</v>
      </c>
      <c r="V852" s="30">
        <v>40908.76999999996</v>
      </c>
      <c r="W852" s="30">
        <v>21327.949999999961</v>
      </c>
      <c r="X852" s="30">
        <v>36817.892999999967</v>
      </c>
      <c r="Y852" s="30">
        <v>18709.410906724439</v>
      </c>
      <c r="Z852" s="30">
        <v>0</v>
      </c>
      <c r="AA852" s="30">
        <v>0</v>
      </c>
      <c r="AB852" s="34">
        <v>0</v>
      </c>
      <c r="AC852" s="34">
        <v>0</v>
      </c>
      <c r="AD852" s="34">
        <v>0.90091931664618052</v>
      </c>
      <c r="AE852" s="34">
        <v>0.9009193166461803</v>
      </c>
      <c r="AF852" s="34">
        <v>0.9009193166461803</v>
      </c>
      <c r="AG852" s="34">
        <v>0.91999999999999993</v>
      </c>
      <c r="AH852" s="34">
        <v>0</v>
      </c>
      <c r="AI852" s="37">
        <f t="shared" si="127"/>
        <v>0</v>
      </c>
      <c r="AJ852" s="37">
        <f t="shared" si="128"/>
        <v>0</v>
      </c>
      <c r="AK852" s="37">
        <f t="shared" si="129"/>
        <v>36855.501113235732</v>
      </c>
      <c r="AL852" s="37">
        <f t="shared" si="130"/>
        <v>36855.501113235739</v>
      </c>
      <c r="AM852" s="37">
        <f t="shared" si="131"/>
        <v>36855.501113235725</v>
      </c>
      <c r="AN852" s="37">
        <f t="shared" si="132"/>
        <v>33872.461559999967</v>
      </c>
      <c r="AO852" s="37">
        <f t="shared" si="133"/>
        <v>0</v>
      </c>
    </row>
    <row r="853" spans="1:41" hidden="1" x14ac:dyDescent="0.3">
      <c r="A853" t="str">
        <f t="shared" si="125"/>
        <v>541jun</v>
      </c>
      <c r="B853" t="str">
        <f t="shared" si="126"/>
        <v>YUTH PATIO DESIGNjun</v>
      </c>
      <c r="C853" s="1" t="s">
        <v>95</v>
      </c>
      <c r="D853" s="1" t="s">
        <v>74</v>
      </c>
      <c r="E853" s="1">
        <v>541</v>
      </c>
      <c r="F853" s="1" t="s">
        <v>121</v>
      </c>
      <c r="G853" s="1" t="s">
        <v>119</v>
      </c>
      <c r="H853" s="1" t="s">
        <v>119</v>
      </c>
      <c r="I853" s="1" t="s">
        <v>127</v>
      </c>
      <c r="J853" s="1" t="s">
        <v>140</v>
      </c>
      <c r="K853" t="s">
        <v>85</v>
      </c>
      <c r="L853" s="6">
        <v>0</v>
      </c>
      <c r="M853" s="6">
        <v>0</v>
      </c>
      <c r="N853" s="6">
        <v>0</v>
      </c>
      <c r="O853" s="6">
        <v>0</v>
      </c>
      <c r="P853" s="6">
        <v>31729.882742499998</v>
      </c>
      <c r="Q853" s="6">
        <v>16876.997794139996</v>
      </c>
      <c r="R853" s="6">
        <v>34538.039999999986</v>
      </c>
      <c r="S853" s="6">
        <v>18084.410948489152</v>
      </c>
      <c r="T853" s="6">
        <v>34538.039999999979</v>
      </c>
      <c r="U853" s="6">
        <v>18118.769999999968</v>
      </c>
      <c r="V853" s="30">
        <v>34538.039999999979</v>
      </c>
      <c r="W853" s="30">
        <v>18118.769999999968</v>
      </c>
      <c r="X853" s="30">
        <v>33156.518399999972</v>
      </c>
      <c r="Y853" s="30">
        <v>16848.843766860035</v>
      </c>
      <c r="Z853" s="30">
        <v>0</v>
      </c>
      <c r="AA853" s="30">
        <v>0</v>
      </c>
      <c r="AB853" s="34">
        <v>0</v>
      </c>
      <c r="AC853" s="34">
        <v>0</v>
      </c>
      <c r="AD853" s="34">
        <v>0.9634159480319594</v>
      </c>
      <c r="AE853" s="34">
        <v>0.96341594803195951</v>
      </c>
      <c r="AF853" s="34">
        <v>0.96341594803195951</v>
      </c>
      <c r="AG853" s="34">
        <v>0.91999999999999993</v>
      </c>
      <c r="AH853" s="34">
        <v>0</v>
      </c>
      <c r="AI853" s="37">
        <f t="shared" si="127"/>
        <v>0</v>
      </c>
      <c r="AJ853" s="37">
        <f t="shared" si="128"/>
        <v>0</v>
      </c>
      <c r="AK853" s="37">
        <f t="shared" si="129"/>
        <v>33274.498549765718</v>
      </c>
      <c r="AL853" s="37">
        <f t="shared" si="130"/>
        <v>33274.498549765725</v>
      </c>
      <c r="AM853" s="37">
        <f t="shared" si="131"/>
        <v>33274.498549765718</v>
      </c>
      <c r="AN853" s="37">
        <f t="shared" si="132"/>
        <v>30503.996927999971</v>
      </c>
      <c r="AO853" s="37">
        <f t="shared" si="133"/>
        <v>0</v>
      </c>
    </row>
    <row r="854" spans="1:41" hidden="1" x14ac:dyDescent="0.3">
      <c r="A854" t="str">
        <f t="shared" si="125"/>
        <v>541jul</v>
      </c>
      <c r="B854" t="str">
        <f t="shared" si="126"/>
        <v>YUTH PATIO DESIGNjul</v>
      </c>
      <c r="C854" s="1" t="s">
        <v>95</v>
      </c>
      <c r="D854" s="1" t="s">
        <v>74</v>
      </c>
      <c r="E854" s="1">
        <v>541</v>
      </c>
      <c r="F854" s="1" t="s">
        <v>121</v>
      </c>
      <c r="G854" s="1" t="s">
        <v>119</v>
      </c>
      <c r="H854" s="1" t="s">
        <v>119</v>
      </c>
      <c r="I854" s="1" t="s">
        <v>127</v>
      </c>
      <c r="J854" s="1" t="s">
        <v>140</v>
      </c>
      <c r="K854" t="s">
        <v>86</v>
      </c>
      <c r="L854" s="6">
        <v>0</v>
      </c>
      <c r="M854" s="6">
        <v>0</v>
      </c>
      <c r="N854" s="6">
        <v>0</v>
      </c>
      <c r="O854" s="6">
        <v>0</v>
      </c>
      <c r="P854" s="6">
        <v>36682.597653999997</v>
      </c>
      <c r="Q854" s="6">
        <v>19418.671911604997</v>
      </c>
      <c r="R854" s="6">
        <v>27448.200000000004</v>
      </c>
      <c r="S854" s="6">
        <v>14215.599999999989</v>
      </c>
      <c r="T854" s="6">
        <v>27448.199999999961</v>
      </c>
      <c r="U854" s="6">
        <v>14215.599999999962</v>
      </c>
      <c r="V854" s="30">
        <v>27448.199999999961</v>
      </c>
      <c r="W854" s="30">
        <v>14215.599999999962</v>
      </c>
      <c r="X854" s="30">
        <v>31016.465999999957</v>
      </c>
      <c r="Y854" s="30">
        <v>15761.352972274854</v>
      </c>
      <c r="Z854" s="30">
        <v>0</v>
      </c>
      <c r="AA854" s="30">
        <v>0</v>
      </c>
      <c r="AB854" s="34">
        <v>0</v>
      </c>
      <c r="AC854" s="34">
        <v>0</v>
      </c>
      <c r="AD854" s="34">
        <v>0.95857542571097565</v>
      </c>
      <c r="AE854" s="34">
        <v>0.95857542571097565</v>
      </c>
      <c r="AF854" s="34">
        <v>0.95857542571097565</v>
      </c>
      <c r="AG854" s="34">
        <v>0.92</v>
      </c>
      <c r="AH854" s="34">
        <v>0</v>
      </c>
      <c r="AI854" s="37">
        <f t="shared" si="127"/>
        <v>0</v>
      </c>
      <c r="AJ854" s="37">
        <f t="shared" si="128"/>
        <v>0</v>
      </c>
      <c r="AK854" s="37">
        <f t="shared" si="129"/>
        <v>26311.169999999966</v>
      </c>
      <c r="AL854" s="37">
        <f t="shared" si="130"/>
        <v>26311.170000000006</v>
      </c>
      <c r="AM854" s="37">
        <f t="shared" si="131"/>
        <v>26311.169999999966</v>
      </c>
      <c r="AN854" s="37">
        <f t="shared" si="132"/>
        <v>28535.148719999961</v>
      </c>
      <c r="AO854" s="37">
        <f t="shared" si="133"/>
        <v>0</v>
      </c>
    </row>
    <row r="855" spans="1:41" hidden="1" x14ac:dyDescent="0.3">
      <c r="A855" t="str">
        <f t="shared" si="125"/>
        <v>541ago</v>
      </c>
      <c r="B855" t="str">
        <f t="shared" si="126"/>
        <v>YUTH PATIO DESIGNago</v>
      </c>
      <c r="C855" s="1" t="s">
        <v>95</v>
      </c>
      <c r="D855" s="1" t="s">
        <v>74</v>
      </c>
      <c r="E855" s="1">
        <v>541</v>
      </c>
      <c r="F855" s="1" t="s">
        <v>121</v>
      </c>
      <c r="G855" s="1" t="s">
        <v>119</v>
      </c>
      <c r="H855" s="1" t="s">
        <v>119</v>
      </c>
      <c r="I855" s="1" t="s">
        <v>127</v>
      </c>
      <c r="J855" s="1" t="s">
        <v>140</v>
      </c>
      <c r="K855" t="s">
        <v>87</v>
      </c>
      <c r="L855" s="6">
        <v>0</v>
      </c>
      <c r="M855" s="6">
        <v>0</v>
      </c>
      <c r="N855" s="6">
        <v>14891.760000000002</v>
      </c>
      <c r="O855" s="6">
        <v>6267.6200000000008</v>
      </c>
      <c r="P855" s="6">
        <v>51247.139430999989</v>
      </c>
      <c r="Q855" s="6">
        <v>20767.385134799999</v>
      </c>
      <c r="R855" s="6">
        <v>48684.782459449991</v>
      </c>
      <c r="S855" s="6">
        <v>21026.957544236451</v>
      </c>
      <c r="T855" s="6">
        <v>38128.079999999973</v>
      </c>
      <c r="U855" s="6">
        <v>14906.739999999969</v>
      </c>
      <c r="V855" s="30">
        <v>35459.114399999962</v>
      </c>
      <c r="W855" s="30">
        <v>15314.791509359984</v>
      </c>
      <c r="X855" s="30">
        <v>37232.07011999996</v>
      </c>
      <c r="Y855" s="30">
        <v>16611.09521737148</v>
      </c>
      <c r="Z855" s="30">
        <v>0</v>
      </c>
      <c r="AA855" s="30">
        <v>0</v>
      </c>
      <c r="AB855" s="34">
        <v>0</v>
      </c>
      <c r="AC855" s="34">
        <v>0.37835017486180306</v>
      </c>
      <c r="AD855" s="34">
        <v>0.39750047733848659</v>
      </c>
      <c r="AE855" s="34">
        <v>0.51</v>
      </c>
      <c r="AF855" s="34">
        <v>0.51</v>
      </c>
      <c r="AG855" s="34">
        <v>0.48</v>
      </c>
      <c r="AH855" s="34">
        <v>0</v>
      </c>
      <c r="AI855" s="37">
        <f t="shared" si="127"/>
        <v>0</v>
      </c>
      <c r="AJ855" s="37">
        <f t="shared" si="128"/>
        <v>5634.3000000000047</v>
      </c>
      <c r="AK855" s="37">
        <f t="shared" si="129"/>
        <v>15155.929999999993</v>
      </c>
      <c r="AL855" s="37">
        <f t="shared" si="130"/>
        <v>24829.239054319496</v>
      </c>
      <c r="AM855" s="37">
        <f t="shared" si="131"/>
        <v>18084.148343999979</v>
      </c>
      <c r="AN855" s="37">
        <f t="shared" si="132"/>
        <v>17871.39365759998</v>
      </c>
      <c r="AO855" s="37">
        <f t="shared" si="133"/>
        <v>0</v>
      </c>
    </row>
    <row r="856" spans="1:41" hidden="1" x14ac:dyDescent="0.3">
      <c r="A856" t="str">
        <f t="shared" si="125"/>
        <v>541sep</v>
      </c>
      <c r="B856" t="str">
        <f t="shared" si="126"/>
        <v>YUTH PATIO DESIGNsep</v>
      </c>
      <c r="C856" s="1" t="s">
        <v>95</v>
      </c>
      <c r="D856" s="1" t="s">
        <v>74</v>
      </c>
      <c r="E856" s="1">
        <v>541</v>
      </c>
      <c r="F856" s="1" t="s">
        <v>121</v>
      </c>
      <c r="G856" s="1" t="s">
        <v>119</v>
      </c>
      <c r="H856" s="1" t="s">
        <v>119</v>
      </c>
      <c r="I856" s="1" t="s">
        <v>127</v>
      </c>
      <c r="J856" s="1" t="s">
        <v>140</v>
      </c>
      <c r="K856" t="s">
        <v>88</v>
      </c>
      <c r="L856" s="6">
        <v>0</v>
      </c>
      <c r="M856" s="6">
        <v>0</v>
      </c>
      <c r="N856" s="6">
        <v>21284.879999999997</v>
      </c>
      <c r="O856" s="6">
        <v>10829.760000000002</v>
      </c>
      <c r="P856" s="6">
        <v>27670.861254999993</v>
      </c>
      <c r="Q856" s="6">
        <v>14546.471011574995</v>
      </c>
      <c r="R856" s="6">
        <v>28224.278480099991</v>
      </c>
      <c r="S856" s="6">
        <v>14253.260632450496</v>
      </c>
      <c r="T856" s="6">
        <v>22849.42</v>
      </c>
      <c r="U856" s="6">
        <v>10967.009999999995</v>
      </c>
      <c r="V856" s="30">
        <v>22849.42</v>
      </c>
      <c r="W856" s="30">
        <v>10967.009999999995</v>
      </c>
      <c r="X856" s="30">
        <v>29018.7634</v>
      </c>
      <c r="Y856" s="30">
        <v>14255.433700789732</v>
      </c>
      <c r="Z856" s="30">
        <v>0</v>
      </c>
      <c r="AA856" s="30">
        <v>0</v>
      </c>
      <c r="AB856" s="34">
        <v>0</v>
      </c>
      <c r="AC856" s="34">
        <v>0.82333354614470278</v>
      </c>
      <c r="AD856" s="34">
        <v>0.76236814763788296</v>
      </c>
      <c r="AE856" s="34">
        <v>0.79999999999999993</v>
      </c>
      <c r="AF856" s="34">
        <v>0.79999999999999993</v>
      </c>
      <c r="AG856" s="34">
        <v>0.79999999999999993</v>
      </c>
      <c r="AH856" s="34">
        <v>0</v>
      </c>
      <c r="AI856" s="37">
        <f t="shared" si="127"/>
        <v>0</v>
      </c>
      <c r="AJ856" s="37">
        <f t="shared" si="128"/>
        <v>17524.555729664458</v>
      </c>
      <c r="AK856" s="37">
        <f t="shared" si="129"/>
        <v>17419.669999999995</v>
      </c>
      <c r="AL856" s="37">
        <f t="shared" si="130"/>
        <v>22579.42278407999</v>
      </c>
      <c r="AM856" s="37">
        <f t="shared" si="131"/>
        <v>18279.535999999996</v>
      </c>
      <c r="AN856" s="37">
        <f t="shared" si="132"/>
        <v>23215.010719999998</v>
      </c>
      <c r="AO856" s="37">
        <f t="shared" si="133"/>
        <v>0</v>
      </c>
    </row>
    <row r="857" spans="1:41" hidden="1" x14ac:dyDescent="0.3">
      <c r="A857" t="str">
        <f t="shared" si="125"/>
        <v>541oct</v>
      </c>
      <c r="B857" t="str">
        <f t="shared" si="126"/>
        <v>YUTH PATIO DESIGNoct</v>
      </c>
      <c r="C857" s="1" t="s">
        <v>95</v>
      </c>
      <c r="D857" s="1" t="s">
        <v>74</v>
      </c>
      <c r="E857" s="1">
        <v>541</v>
      </c>
      <c r="F857" s="1" t="s">
        <v>121</v>
      </c>
      <c r="G857" s="1" t="s">
        <v>119</v>
      </c>
      <c r="H857" s="1" t="s">
        <v>119</v>
      </c>
      <c r="I857" s="1" t="s">
        <v>127</v>
      </c>
      <c r="J857" s="1" t="s">
        <v>140</v>
      </c>
      <c r="K857" t="s">
        <v>89</v>
      </c>
      <c r="L857" s="6">
        <v>0</v>
      </c>
      <c r="M857" s="6">
        <v>0</v>
      </c>
      <c r="N857" s="6">
        <v>24955.449999999997</v>
      </c>
      <c r="O857" s="6">
        <v>13280.7</v>
      </c>
      <c r="P857" s="6">
        <v>29180.602314999996</v>
      </c>
      <c r="Q857" s="6">
        <v>15343.846658275001</v>
      </c>
      <c r="R857" s="6">
        <v>29764.214361299997</v>
      </c>
      <c r="S857" s="6">
        <v>15402.98093197275</v>
      </c>
      <c r="T857" s="6">
        <v>17395.649999999991</v>
      </c>
      <c r="U857" s="6">
        <v>8127.4199999999873</v>
      </c>
      <c r="V857" s="30">
        <v>23453.170000000002</v>
      </c>
      <c r="W857" s="30">
        <v>12137.015475000002</v>
      </c>
      <c r="X857" s="30">
        <v>30723.652700000002</v>
      </c>
      <c r="Y857" s="30">
        <v>15612.556723976419</v>
      </c>
      <c r="Z857" s="30">
        <v>0</v>
      </c>
      <c r="AA857" s="30">
        <v>0</v>
      </c>
      <c r="AB857" s="34">
        <v>0</v>
      </c>
      <c r="AC857" s="34">
        <v>0.9478306101585372</v>
      </c>
      <c r="AD857" s="34">
        <v>0.67751765527588792</v>
      </c>
      <c r="AE857" s="34">
        <v>0.9</v>
      </c>
      <c r="AF857" s="34">
        <v>0.9</v>
      </c>
      <c r="AG857" s="34">
        <v>0.92</v>
      </c>
      <c r="AH857" s="34">
        <v>0</v>
      </c>
      <c r="AI857" s="37">
        <f t="shared" si="127"/>
        <v>0</v>
      </c>
      <c r="AJ857" s="37">
        <f t="shared" si="128"/>
        <v>23653.539400280864</v>
      </c>
      <c r="AK857" s="37">
        <f t="shared" si="129"/>
        <v>11785.859999999993</v>
      </c>
      <c r="AL857" s="37">
        <f t="shared" si="130"/>
        <v>26787.792925169997</v>
      </c>
      <c r="AM857" s="37">
        <f t="shared" si="131"/>
        <v>21107.853000000003</v>
      </c>
      <c r="AN857" s="37">
        <f t="shared" si="132"/>
        <v>28265.760484000002</v>
      </c>
      <c r="AO857" s="37">
        <f t="shared" si="133"/>
        <v>0</v>
      </c>
    </row>
    <row r="858" spans="1:41" hidden="1" x14ac:dyDescent="0.3">
      <c r="A858" t="str">
        <f t="shared" si="125"/>
        <v>541nov</v>
      </c>
      <c r="B858" t="str">
        <f t="shared" si="126"/>
        <v>YUTH PATIO DESIGNnov</v>
      </c>
      <c r="C858" s="1" t="s">
        <v>95</v>
      </c>
      <c r="D858" s="1" t="s">
        <v>74</v>
      </c>
      <c r="E858" s="1">
        <v>541</v>
      </c>
      <c r="F858" s="1" t="s">
        <v>121</v>
      </c>
      <c r="G858" s="1" t="s">
        <v>119</v>
      </c>
      <c r="H858" s="1" t="s">
        <v>119</v>
      </c>
      <c r="I858" s="1" t="s">
        <v>127</v>
      </c>
      <c r="J858" s="1" t="s">
        <v>140</v>
      </c>
      <c r="K858" t="s">
        <v>90</v>
      </c>
      <c r="L858" s="6">
        <v>0</v>
      </c>
      <c r="M858" s="6">
        <v>0</v>
      </c>
      <c r="N858" s="6">
        <v>22930.21</v>
      </c>
      <c r="O858" s="6">
        <v>11570</v>
      </c>
      <c r="P858" s="6">
        <v>35903.535610000006</v>
      </c>
      <c r="Q858" s="6">
        <v>17948.985086350003</v>
      </c>
      <c r="R858" s="6">
        <v>38452.686638310006</v>
      </c>
      <c r="S858" s="6">
        <v>17611.330480345983</v>
      </c>
      <c r="T858" s="6">
        <v>18688.505747126437</v>
      </c>
      <c r="U858" s="6">
        <v>5791.7536141611017</v>
      </c>
      <c r="V858" s="30">
        <v>38452.686638310006</v>
      </c>
      <c r="W858" s="30">
        <v>17611.330480345983</v>
      </c>
      <c r="X858" s="30">
        <v>41336.638136183246</v>
      </c>
      <c r="Y858" s="30">
        <v>19024.919738276782</v>
      </c>
      <c r="Z858" s="30">
        <v>0</v>
      </c>
      <c r="AA858" s="30">
        <v>0</v>
      </c>
      <c r="AB858" s="34">
        <v>0</v>
      </c>
      <c r="AC858" s="34">
        <v>0.72510925670651361</v>
      </c>
      <c r="AD858" s="34">
        <v>0.39750047733848659</v>
      </c>
      <c r="AE858" s="34">
        <v>0.6</v>
      </c>
      <c r="AF858" s="34">
        <v>0.6</v>
      </c>
      <c r="AG858" s="34">
        <v>0.57999999999999996</v>
      </c>
      <c r="AH858" s="34">
        <v>0</v>
      </c>
      <c r="AI858" s="37">
        <f t="shared" si="127"/>
        <v>0</v>
      </c>
      <c r="AJ858" s="37">
        <f t="shared" si="128"/>
        <v>16626.907529224263</v>
      </c>
      <c r="AK858" s="37">
        <f t="shared" si="129"/>
        <v>7428.6899552258092</v>
      </c>
      <c r="AL858" s="37">
        <f t="shared" si="130"/>
        <v>23071.611982986004</v>
      </c>
      <c r="AM858" s="37">
        <f t="shared" si="131"/>
        <v>23071.611982986004</v>
      </c>
      <c r="AN858" s="37">
        <f t="shared" si="132"/>
        <v>23975.250118986281</v>
      </c>
      <c r="AO858" s="37">
        <f t="shared" si="133"/>
        <v>0</v>
      </c>
    </row>
    <row r="859" spans="1:41" hidden="1" x14ac:dyDescent="0.3">
      <c r="A859" t="str">
        <f t="shared" si="125"/>
        <v>541dic</v>
      </c>
      <c r="B859" t="str">
        <f t="shared" si="126"/>
        <v>YUTH PATIO DESIGNdic</v>
      </c>
      <c r="C859" s="1" t="s">
        <v>95</v>
      </c>
      <c r="D859" s="1" t="s">
        <v>74</v>
      </c>
      <c r="E859" s="1">
        <v>541</v>
      </c>
      <c r="F859" s="1" t="s">
        <v>121</v>
      </c>
      <c r="G859" s="1" t="s">
        <v>119</v>
      </c>
      <c r="H859" s="1" t="s">
        <v>119</v>
      </c>
      <c r="I859" s="1" t="s">
        <v>127</v>
      </c>
      <c r="J859" s="1" t="s">
        <v>140</v>
      </c>
      <c r="K859" t="s">
        <v>91</v>
      </c>
      <c r="L859" s="6">
        <v>0</v>
      </c>
      <c r="M859" s="6">
        <v>0</v>
      </c>
      <c r="N859" s="6">
        <v>59582.39</v>
      </c>
      <c r="O859" s="6">
        <v>29046.130000000005</v>
      </c>
      <c r="P859" s="6">
        <v>64813.989499999996</v>
      </c>
      <c r="Q859" s="6">
        <v>32193.776567499997</v>
      </c>
      <c r="R859" s="6">
        <v>65462.129394999996</v>
      </c>
      <c r="S859" s="6">
        <v>32731.064697499998</v>
      </c>
      <c r="T859" s="6">
        <v>63067.816091954017</v>
      </c>
      <c r="U859" s="6">
        <v>25850.695266957457</v>
      </c>
      <c r="V859" s="30">
        <v>65462.129394999996</v>
      </c>
      <c r="W859" s="30">
        <v>32731.064697499998</v>
      </c>
      <c r="X859" s="30">
        <v>65462.129394999996</v>
      </c>
      <c r="Y859" s="30">
        <v>32896.258073973717</v>
      </c>
      <c r="Z859" s="30">
        <v>0</v>
      </c>
      <c r="AA859" s="30">
        <v>0</v>
      </c>
      <c r="AB859" s="34">
        <v>0</v>
      </c>
      <c r="AC859" s="34">
        <v>0.59986514595720108</v>
      </c>
      <c r="AD859" s="34">
        <v>0.76869250634860153</v>
      </c>
      <c r="AE859" s="34">
        <v>0.79999999999999993</v>
      </c>
      <c r="AF859" s="34">
        <v>0.79999999999999993</v>
      </c>
      <c r="AG859" s="34">
        <v>0.88</v>
      </c>
      <c r="AH859" s="34">
        <v>0</v>
      </c>
      <c r="AI859" s="37">
        <f t="shared" si="127"/>
        <v>0</v>
      </c>
      <c r="AJ859" s="37">
        <f t="shared" si="128"/>
        <v>35741.399073828878</v>
      </c>
      <c r="AK859" s="37">
        <f t="shared" si="129"/>
        <v>48479.757621656798</v>
      </c>
      <c r="AL859" s="37">
        <f t="shared" si="130"/>
        <v>52369.703515999994</v>
      </c>
      <c r="AM859" s="37">
        <f t="shared" si="131"/>
        <v>52369.703515999994</v>
      </c>
      <c r="AN859" s="37">
        <f t="shared" si="132"/>
        <v>57606.673867599995</v>
      </c>
      <c r="AO859" s="37">
        <f t="shared" si="133"/>
        <v>0</v>
      </c>
    </row>
    <row r="860" spans="1:41" hidden="1" x14ac:dyDescent="0.3">
      <c r="A860" t="str">
        <f t="shared" si="125"/>
        <v>Y-SCREsep</v>
      </c>
      <c r="B860" t="str">
        <f t="shared" si="126"/>
        <v>YUTH SUCRE KIOSCOsep</v>
      </c>
      <c r="C860" s="1" t="s">
        <v>95</v>
      </c>
      <c r="D860" s="1" t="s">
        <v>75</v>
      </c>
      <c r="E860" s="1" t="s">
        <v>116</v>
      </c>
      <c r="F860" s="1" t="s">
        <v>121</v>
      </c>
      <c r="G860" s="1" t="s">
        <v>121</v>
      </c>
      <c r="H860" s="1" t="s">
        <v>303</v>
      </c>
      <c r="I860" s="1" t="s">
        <v>126</v>
      </c>
      <c r="J860" s="1" t="s">
        <v>139</v>
      </c>
      <c r="K860" t="s">
        <v>88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30">
        <v>0</v>
      </c>
      <c r="W860" s="30">
        <v>0</v>
      </c>
      <c r="X860" s="30">
        <v>11885.742252000013</v>
      </c>
      <c r="Y860" s="30">
        <v>5882.9130690076618</v>
      </c>
      <c r="Z860" s="30">
        <v>0</v>
      </c>
      <c r="AA860" s="30">
        <v>0</v>
      </c>
      <c r="AB860" s="34">
        <v>0</v>
      </c>
      <c r="AC860" s="34">
        <v>0</v>
      </c>
      <c r="AD860" s="34">
        <v>0</v>
      </c>
      <c r="AE860" s="34">
        <v>0</v>
      </c>
      <c r="AF860" s="34">
        <v>0</v>
      </c>
      <c r="AG860" s="34">
        <v>0.79999999999999993</v>
      </c>
      <c r="AH860" s="34">
        <v>0</v>
      </c>
      <c r="AI860" s="37">
        <f t="shared" si="127"/>
        <v>0</v>
      </c>
      <c r="AJ860" s="37">
        <f t="shared" si="128"/>
        <v>0</v>
      </c>
      <c r="AK860" s="37">
        <f t="shared" si="129"/>
        <v>0</v>
      </c>
      <c r="AL860" s="37">
        <f t="shared" si="130"/>
        <v>0</v>
      </c>
      <c r="AM860" s="37">
        <f t="shared" si="131"/>
        <v>0</v>
      </c>
      <c r="AN860" s="37">
        <f t="shared" si="132"/>
        <v>9508.5938016000091</v>
      </c>
      <c r="AO860" s="37">
        <f t="shared" si="133"/>
        <v>0</v>
      </c>
    </row>
    <row r="861" spans="1:41" hidden="1" x14ac:dyDescent="0.3">
      <c r="A861" t="str">
        <f t="shared" si="125"/>
        <v>Y-SCREoct</v>
      </c>
      <c r="B861" t="str">
        <f t="shared" si="126"/>
        <v>YUTH SUCRE KIOSCOoct</v>
      </c>
      <c r="C861" s="1" t="s">
        <v>95</v>
      </c>
      <c r="D861" s="1" t="s">
        <v>75</v>
      </c>
      <c r="E861" s="1" t="s">
        <v>116</v>
      </c>
      <c r="F861" s="1" t="s">
        <v>121</v>
      </c>
      <c r="G861" s="1" t="s">
        <v>121</v>
      </c>
      <c r="H861" s="1" t="s">
        <v>303</v>
      </c>
      <c r="I861" s="1" t="s">
        <v>126</v>
      </c>
      <c r="J861" s="1" t="s">
        <v>139</v>
      </c>
      <c r="K861" t="s">
        <v>89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30">
        <v>0</v>
      </c>
      <c r="W861" s="30">
        <v>0</v>
      </c>
      <c r="X861" s="30">
        <v>11567.330999999998</v>
      </c>
      <c r="Y861" s="30">
        <v>5910.3412718537375</v>
      </c>
      <c r="Z861" s="30">
        <v>0</v>
      </c>
      <c r="AA861" s="30">
        <v>0</v>
      </c>
      <c r="AB861" s="34">
        <v>0</v>
      </c>
      <c r="AC861" s="34">
        <v>0</v>
      </c>
      <c r="AD861" s="34">
        <v>0</v>
      </c>
      <c r="AE861" s="34">
        <v>0</v>
      </c>
      <c r="AF861" s="34">
        <v>0</v>
      </c>
      <c r="AG861" s="34">
        <v>0.92</v>
      </c>
      <c r="AH861" s="34">
        <v>0</v>
      </c>
      <c r="AI861" s="37">
        <f t="shared" si="127"/>
        <v>0</v>
      </c>
      <c r="AJ861" s="37">
        <f t="shared" si="128"/>
        <v>0</v>
      </c>
      <c r="AK861" s="37">
        <f t="shared" si="129"/>
        <v>0</v>
      </c>
      <c r="AL861" s="37">
        <f t="shared" si="130"/>
        <v>0</v>
      </c>
      <c r="AM861" s="37">
        <f t="shared" si="131"/>
        <v>0</v>
      </c>
      <c r="AN861" s="37">
        <f t="shared" si="132"/>
        <v>10641.944519999999</v>
      </c>
      <c r="AO861" s="37">
        <f t="shared" si="133"/>
        <v>0</v>
      </c>
    </row>
    <row r="862" spans="1:41" hidden="1" x14ac:dyDescent="0.3">
      <c r="A862" t="str">
        <f t="shared" si="125"/>
        <v>Y-SCREnov</v>
      </c>
      <c r="B862" t="str">
        <f t="shared" si="126"/>
        <v>YUTH SUCRE KIOSCOnov</v>
      </c>
      <c r="C862" s="1" t="s">
        <v>95</v>
      </c>
      <c r="D862" s="1" t="s">
        <v>75</v>
      </c>
      <c r="E862" s="1" t="s">
        <v>116</v>
      </c>
      <c r="F862" s="1" t="s">
        <v>121</v>
      </c>
      <c r="G862" s="1" t="s">
        <v>121</v>
      </c>
      <c r="H862" s="1" t="s">
        <v>303</v>
      </c>
      <c r="I862" s="1" t="s">
        <v>126</v>
      </c>
      <c r="J862" s="1" t="s">
        <v>139</v>
      </c>
      <c r="K862" t="s">
        <v>90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30">
        <v>0</v>
      </c>
      <c r="W862" s="30">
        <v>0</v>
      </c>
      <c r="X862" s="30">
        <v>19702.535750693249</v>
      </c>
      <c r="Y862" s="30">
        <v>9174.0918834117529</v>
      </c>
      <c r="Z862" s="30">
        <v>0</v>
      </c>
      <c r="AA862" s="30">
        <v>0</v>
      </c>
      <c r="AB862" s="34">
        <v>0</v>
      </c>
      <c r="AC862" s="34">
        <v>0</v>
      </c>
      <c r="AD862" s="34">
        <v>0</v>
      </c>
      <c r="AE862" s="34">
        <v>0</v>
      </c>
      <c r="AF862" s="34">
        <v>0</v>
      </c>
      <c r="AG862" s="34">
        <v>0.57999999999999996</v>
      </c>
      <c r="AH862" s="34">
        <v>0</v>
      </c>
      <c r="AI862" s="37">
        <f t="shared" si="127"/>
        <v>0</v>
      </c>
      <c r="AJ862" s="37">
        <f t="shared" si="128"/>
        <v>0</v>
      </c>
      <c r="AK862" s="37">
        <f t="shared" si="129"/>
        <v>0</v>
      </c>
      <c r="AL862" s="37">
        <f t="shared" si="130"/>
        <v>0</v>
      </c>
      <c r="AM862" s="37">
        <f t="shared" si="131"/>
        <v>0</v>
      </c>
      <c r="AN862" s="37">
        <f t="shared" si="132"/>
        <v>11427.470735402083</v>
      </c>
      <c r="AO862" s="37">
        <f t="shared" si="133"/>
        <v>0</v>
      </c>
    </row>
    <row r="863" spans="1:41" hidden="1" x14ac:dyDescent="0.3">
      <c r="A863" t="str">
        <f t="shared" si="125"/>
        <v>Y-SCREdic</v>
      </c>
      <c r="B863" t="str">
        <f t="shared" si="126"/>
        <v>YUTH SUCRE KIOSCOdic</v>
      </c>
      <c r="C863" s="1" t="s">
        <v>95</v>
      </c>
      <c r="D863" s="1" t="s">
        <v>75</v>
      </c>
      <c r="E863" s="1" t="s">
        <v>116</v>
      </c>
      <c r="F863" s="1" t="s">
        <v>121</v>
      </c>
      <c r="G863" s="1" t="s">
        <v>121</v>
      </c>
      <c r="H863" s="1" t="s">
        <v>303</v>
      </c>
      <c r="I863" s="1" t="s">
        <v>126</v>
      </c>
      <c r="J863" s="1" t="s">
        <v>139</v>
      </c>
      <c r="K863" t="s">
        <v>91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30">
        <v>0</v>
      </c>
      <c r="W863" s="30">
        <v>0</v>
      </c>
      <c r="X863" s="30">
        <v>32221.156359599983</v>
      </c>
      <c r="Y863" s="30">
        <v>16291.637423015807</v>
      </c>
      <c r="Z863" s="30">
        <v>0</v>
      </c>
      <c r="AA863" s="30">
        <v>0</v>
      </c>
      <c r="AB863" s="34">
        <v>0</v>
      </c>
      <c r="AC863" s="34">
        <v>0</v>
      </c>
      <c r="AD863" s="34">
        <v>0</v>
      </c>
      <c r="AE863" s="34">
        <v>0</v>
      </c>
      <c r="AF863" s="34">
        <v>0</v>
      </c>
      <c r="AG863" s="34">
        <v>0.88</v>
      </c>
      <c r="AH863" s="34">
        <v>0</v>
      </c>
      <c r="AI863" s="37">
        <f t="shared" si="127"/>
        <v>0</v>
      </c>
      <c r="AJ863" s="37">
        <f t="shared" si="128"/>
        <v>0</v>
      </c>
      <c r="AK863" s="37">
        <f t="shared" si="129"/>
        <v>0</v>
      </c>
      <c r="AL863" s="37">
        <f t="shared" si="130"/>
        <v>0</v>
      </c>
      <c r="AM863" s="37">
        <f t="shared" si="131"/>
        <v>0</v>
      </c>
      <c r="AN863" s="37">
        <f t="shared" si="132"/>
        <v>28354.617596447984</v>
      </c>
      <c r="AO863" s="37">
        <f t="shared" si="133"/>
        <v>0</v>
      </c>
    </row>
    <row r="864" spans="1:41" hidden="1" x14ac:dyDescent="0.3">
      <c r="A864" t="str">
        <f t="shared" si="125"/>
        <v>510ene</v>
      </c>
      <c r="B864" t="str">
        <f t="shared" si="126"/>
        <v>YUTH TARIJAene</v>
      </c>
      <c r="C864" s="1" t="s">
        <v>95</v>
      </c>
      <c r="D864" s="1" t="s">
        <v>76</v>
      </c>
      <c r="E864" s="1">
        <v>510</v>
      </c>
      <c r="F864" s="1" t="s">
        <v>121</v>
      </c>
      <c r="G864" s="1" t="s">
        <v>121</v>
      </c>
      <c r="H864" s="1" t="s">
        <v>121</v>
      </c>
      <c r="I864" s="1" t="s">
        <v>126</v>
      </c>
      <c r="J864" s="1" t="s">
        <v>139</v>
      </c>
      <c r="K864" t="s">
        <v>80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30">
        <v>0</v>
      </c>
      <c r="W864" s="30">
        <v>0</v>
      </c>
      <c r="X864" s="30">
        <v>14759.824820399976</v>
      </c>
      <c r="Y864" s="30">
        <v>7541.5497145660638</v>
      </c>
      <c r="Z864" s="30">
        <v>16309.051724137935</v>
      </c>
      <c r="AA864" s="30">
        <v>8562.3012418935687</v>
      </c>
      <c r="AB864" s="34">
        <v>0</v>
      </c>
      <c r="AC864" s="34">
        <v>0</v>
      </c>
      <c r="AD864" s="34">
        <v>0</v>
      </c>
      <c r="AE864" s="34">
        <v>0</v>
      </c>
      <c r="AF864" s="34">
        <v>0</v>
      </c>
      <c r="AG864" s="34">
        <v>0.92</v>
      </c>
      <c r="AH864" s="34">
        <v>0.92739910669450543</v>
      </c>
      <c r="AI864" s="37">
        <f t="shared" si="127"/>
        <v>0</v>
      </c>
      <c r="AJ864" s="37">
        <f t="shared" si="128"/>
        <v>0</v>
      </c>
      <c r="AK864" s="37">
        <f t="shared" si="129"/>
        <v>0</v>
      </c>
      <c r="AL864" s="37">
        <f t="shared" si="130"/>
        <v>0</v>
      </c>
      <c r="AM864" s="37">
        <f t="shared" si="131"/>
        <v>0</v>
      </c>
      <c r="AN864" s="37">
        <f t="shared" si="132"/>
        <v>13579.038834767978</v>
      </c>
      <c r="AO864" s="37">
        <f t="shared" si="133"/>
        <v>15125.000000000004</v>
      </c>
    </row>
    <row r="865" spans="1:41" hidden="1" x14ac:dyDescent="0.3">
      <c r="A865" t="str">
        <f t="shared" si="125"/>
        <v>510feb</v>
      </c>
      <c r="B865" t="str">
        <f t="shared" si="126"/>
        <v>YUTH TARIJAfeb</v>
      </c>
      <c r="C865" s="1" t="s">
        <v>95</v>
      </c>
      <c r="D865" s="1" t="s">
        <v>76</v>
      </c>
      <c r="E865" s="1">
        <v>510</v>
      </c>
      <c r="F865" s="1" t="s">
        <v>121</v>
      </c>
      <c r="G865" s="1" t="s">
        <v>121</v>
      </c>
      <c r="H865" s="1" t="s">
        <v>121</v>
      </c>
      <c r="I865" s="1" t="s">
        <v>126</v>
      </c>
      <c r="J865" s="1" t="s">
        <v>139</v>
      </c>
      <c r="K865" t="s">
        <v>81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30">
        <v>0</v>
      </c>
      <c r="W865" s="30">
        <v>0</v>
      </c>
      <c r="X865" s="30">
        <v>20516.384173999966</v>
      </c>
      <c r="Y865" s="30">
        <v>9279.5658073458471</v>
      </c>
      <c r="Z865" s="30">
        <v>20067.816091954028</v>
      </c>
      <c r="AA865" s="30">
        <v>7849.0694642715789</v>
      </c>
      <c r="AB865" s="34">
        <v>0</v>
      </c>
      <c r="AC865" s="34">
        <v>0</v>
      </c>
      <c r="AD865" s="34">
        <v>0</v>
      </c>
      <c r="AE865" s="34">
        <v>0</v>
      </c>
      <c r="AF865" s="34">
        <v>0</v>
      </c>
      <c r="AG865" s="34">
        <v>0.48</v>
      </c>
      <c r="AH865" s="34">
        <v>0.54155449911220588</v>
      </c>
      <c r="AI865" s="37">
        <f t="shared" si="127"/>
        <v>0</v>
      </c>
      <c r="AJ865" s="37">
        <f t="shared" si="128"/>
        <v>0</v>
      </c>
      <c r="AK865" s="37">
        <f t="shared" si="129"/>
        <v>0</v>
      </c>
      <c r="AL865" s="37">
        <f t="shared" si="130"/>
        <v>0</v>
      </c>
      <c r="AM865" s="37">
        <f t="shared" si="131"/>
        <v>0</v>
      </c>
      <c r="AN865" s="37">
        <f t="shared" si="132"/>
        <v>9847.8644035199832</v>
      </c>
      <c r="AO865" s="37">
        <f t="shared" si="133"/>
        <v>10867.816091954028</v>
      </c>
    </row>
    <row r="866" spans="1:41" hidden="1" x14ac:dyDescent="0.3">
      <c r="A866" t="str">
        <f t="shared" si="125"/>
        <v>510mar</v>
      </c>
      <c r="B866" t="str">
        <f t="shared" si="126"/>
        <v>YUTH TARIJAmar</v>
      </c>
      <c r="C866" s="1" t="s">
        <v>95</v>
      </c>
      <c r="D866" s="1" t="s">
        <v>76</v>
      </c>
      <c r="E866" s="1">
        <v>510</v>
      </c>
      <c r="F866" s="1" t="s">
        <v>121</v>
      </c>
      <c r="G866" s="1" t="s">
        <v>121</v>
      </c>
      <c r="H866" s="1" t="s">
        <v>121</v>
      </c>
      <c r="I866" s="1" t="s">
        <v>126</v>
      </c>
      <c r="J866" s="1" t="s">
        <v>139</v>
      </c>
      <c r="K866" t="s">
        <v>82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30">
        <v>0</v>
      </c>
      <c r="W866" s="30">
        <v>0</v>
      </c>
      <c r="X866" s="30">
        <v>15525.388439999988</v>
      </c>
      <c r="Y866" s="30">
        <v>7684.3758360759939</v>
      </c>
      <c r="Z866" s="30">
        <v>13121.141724812009</v>
      </c>
      <c r="AA866" s="30">
        <v>6101.3309020375846</v>
      </c>
      <c r="AB866" s="34">
        <v>0</v>
      </c>
      <c r="AC866" s="34">
        <v>0</v>
      </c>
      <c r="AD866" s="34">
        <v>0</v>
      </c>
      <c r="AE866" s="34">
        <v>0</v>
      </c>
      <c r="AF866" s="34">
        <v>0</v>
      </c>
      <c r="AG866" s="34">
        <v>0.8</v>
      </c>
      <c r="AH866" s="34">
        <v>0.81803835685574722</v>
      </c>
      <c r="AI866" s="37">
        <f t="shared" si="127"/>
        <v>0</v>
      </c>
      <c r="AJ866" s="37">
        <f t="shared" si="128"/>
        <v>0</v>
      </c>
      <c r="AK866" s="37">
        <f t="shared" si="129"/>
        <v>0</v>
      </c>
      <c r="AL866" s="37">
        <f t="shared" si="130"/>
        <v>0</v>
      </c>
      <c r="AM866" s="37">
        <f t="shared" si="131"/>
        <v>0</v>
      </c>
      <c r="AN866" s="37">
        <f t="shared" si="132"/>
        <v>12420.31075199999</v>
      </c>
      <c r="AO866" s="37">
        <f t="shared" si="133"/>
        <v>10733.597216636601</v>
      </c>
    </row>
    <row r="867" spans="1:41" hidden="1" x14ac:dyDescent="0.3">
      <c r="A867" t="str">
        <f t="shared" si="125"/>
        <v>510abr</v>
      </c>
      <c r="B867" t="str">
        <f t="shared" si="126"/>
        <v>YUTH TARIJAabr</v>
      </c>
      <c r="C867" s="1" t="s">
        <v>95</v>
      </c>
      <c r="D867" s="1" t="s">
        <v>76</v>
      </c>
      <c r="E867" s="1">
        <v>510</v>
      </c>
      <c r="F867" s="1" t="s">
        <v>121</v>
      </c>
      <c r="G867" s="1" t="s">
        <v>121</v>
      </c>
      <c r="H867" s="1" t="s">
        <v>121</v>
      </c>
      <c r="I867" s="1" t="s">
        <v>126</v>
      </c>
      <c r="J867" s="1" t="s">
        <v>139</v>
      </c>
      <c r="K867" t="s">
        <v>83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30">
        <v>0</v>
      </c>
      <c r="W867" s="30">
        <v>0</v>
      </c>
      <c r="X867" s="30">
        <v>12596.595840000002</v>
      </c>
      <c r="Y867" s="30">
        <v>6436.2453428550734</v>
      </c>
      <c r="Z867" s="30">
        <v>0</v>
      </c>
      <c r="AA867" s="30">
        <v>0</v>
      </c>
      <c r="AB867" s="34">
        <v>0</v>
      </c>
      <c r="AC867" s="34">
        <v>0</v>
      </c>
      <c r="AD867" s="34">
        <v>0</v>
      </c>
      <c r="AE867" s="34">
        <v>0</v>
      </c>
      <c r="AF867" s="34">
        <v>0</v>
      </c>
      <c r="AG867" s="34">
        <v>0.91999999999999993</v>
      </c>
      <c r="AH867" s="34">
        <v>0</v>
      </c>
      <c r="AI867" s="37">
        <f t="shared" si="127"/>
        <v>0</v>
      </c>
      <c r="AJ867" s="37">
        <f t="shared" si="128"/>
        <v>0</v>
      </c>
      <c r="AK867" s="37">
        <f t="shared" si="129"/>
        <v>0</v>
      </c>
      <c r="AL867" s="37">
        <f t="shared" si="130"/>
        <v>0</v>
      </c>
      <c r="AM867" s="37">
        <f t="shared" si="131"/>
        <v>0</v>
      </c>
      <c r="AN867" s="37">
        <f t="shared" si="132"/>
        <v>11588.868172800001</v>
      </c>
      <c r="AO867" s="37">
        <f t="shared" si="133"/>
        <v>0</v>
      </c>
    </row>
    <row r="868" spans="1:41" hidden="1" x14ac:dyDescent="0.3">
      <c r="A868" t="str">
        <f t="shared" si="125"/>
        <v>510may</v>
      </c>
      <c r="B868" t="str">
        <f t="shared" si="126"/>
        <v>YUTH TARIJAmay</v>
      </c>
      <c r="C868" s="1" t="s">
        <v>95</v>
      </c>
      <c r="D868" s="1" t="s">
        <v>76</v>
      </c>
      <c r="E868" s="1">
        <v>510</v>
      </c>
      <c r="F868" s="1" t="s">
        <v>121</v>
      </c>
      <c r="G868" s="1" t="s">
        <v>121</v>
      </c>
      <c r="H868" s="1" t="s">
        <v>121</v>
      </c>
      <c r="I868" s="1" t="s">
        <v>126</v>
      </c>
      <c r="J868" s="1" t="s">
        <v>139</v>
      </c>
      <c r="K868" t="s">
        <v>84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30">
        <v>0</v>
      </c>
      <c r="W868" s="30">
        <v>0</v>
      </c>
      <c r="X868" s="30">
        <v>14703.568416000002</v>
      </c>
      <c r="Y868" s="30">
        <v>7512.8054390948018</v>
      </c>
      <c r="Z868" s="30">
        <v>0</v>
      </c>
      <c r="AA868" s="30">
        <v>0</v>
      </c>
      <c r="AB868" s="34">
        <v>0</v>
      </c>
      <c r="AC868" s="34">
        <v>0</v>
      </c>
      <c r="AD868" s="34">
        <v>0</v>
      </c>
      <c r="AE868" s="34">
        <v>0</v>
      </c>
      <c r="AF868" s="34">
        <v>0</v>
      </c>
      <c r="AG868" s="34">
        <v>0.91999999999999993</v>
      </c>
      <c r="AH868" s="34">
        <v>0</v>
      </c>
      <c r="AI868" s="37">
        <f t="shared" si="127"/>
        <v>0</v>
      </c>
      <c r="AJ868" s="37">
        <f t="shared" si="128"/>
        <v>0</v>
      </c>
      <c r="AK868" s="37">
        <f t="shared" si="129"/>
        <v>0</v>
      </c>
      <c r="AL868" s="37">
        <f t="shared" si="130"/>
        <v>0</v>
      </c>
      <c r="AM868" s="37">
        <f t="shared" si="131"/>
        <v>0</v>
      </c>
      <c r="AN868" s="37">
        <f t="shared" si="132"/>
        <v>13527.282942720001</v>
      </c>
      <c r="AO868" s="37">
        <f t="shared" si="133"/>
        <v>0</v>
      </c>
    </row>
    <row r="869" spans="1:41" hidden="1" x14ac:dyDescent="0.3">
      <c r="A869" t="str">
        <f t="shared" si="125"/>
        <v>510jun</v>
      </c>
      <c r="B869" t="str">
        <f t="shared" si="126"/>
        <v>YUTH TARIJAjun</v>
      </c>
      <c r="C869" s="1" t="s">
        <v>95</v>
      </c>
      <c r="D869" s="1" t="s">
        <v>76</v>
      </c>
      <c r="E869" s="1">
        <v>510</v>
      </c>
      <c r="F869" s="1" t="s">
        <v>121</v>
      </c>
      <c r="G869" s="1" t="s">
        <v>121</v>
      </c>
      <c r="H869" s="1" t="s">
        <v>121</v>
      </c>
      <c r="I869" s="1" t="s">
        <v>126</v>
      </c>
      <c r="J869" s="1" t="s">
        <v>139</v>
      </c>
      <c r="K869" t="s">
        <v>85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30">
        <v>0</v>
      </c>
      <c r="W869" s="30">
        <v>0</v>
      </c>
      <c r="X869" s="30">
        <v>15593.767631999996</v>
      </c>
      <c r="Y869" s="30">
        <v>7967.6537672438453</v>
      </c>
      <c r="Z869" s="30">
        <v>0</v>
      </c>
      <c r="AA869" s="30">
        <v>0</v>
      </c>
      <c r="AB869" s="34">
        <v>0</v>
      </c>
      <c r="AC869" s="34">
        <v>0</v>
      </c>
      <c r="AD869" s="34">
        <v>0</v>
      </c>
      <c r="AE869" s="34">
        <v>0</v>
      </c>
      <c r="AF869" s="34">
        <v>0</v>
      </c>
      <c r="AG869" s="34">
        <v>0.91999999999999993</v>
      </c>
      <c r="AH869" s="34">
        <v>0</v>
      </c>
      <c r="AI869" s="37">
        <f t="shared" si="127"/>
        <v>0</v>
      </c>
      <c r="AJ869" s="37">
        <f t="shared" si="128"/>
        <v>0</v>
      </c>
      <c r="AK869" s="37">
        <f t="shared" si="129"/>
        <v>0</v>
      </c>
      <c r="AL869" s="37">
        <f t="shared" si="130"/>
        <v>0</v>
      </c>
      <c r="AM869" s="37">
        <f t="shared" si="131"/>
        <v>0</v>
      </c>
      <c r="AN869" s="37">
        <f t="shared" si="132"/>
        <v>14346.266221439995</v>
      </c>
      <c r="AO869" s="37">
        <f t="shared" si="133"/>
        <v>0</v>
      </c>
    </row>
    <row r="870" spans="1:41" hidden="1" x14ac:dyDescent="0.3">
      <c r="A870" t="str">
        <f t="shared" si="125"/>
        <v>510jul</v>
      </c>
      <c r="B870" t="str">
        <f t="shared" si="126"/>
        <v>YUTH TARIJAjul</v>
      </c>
      <c r="C870" s="1" t="s">
        <v>95</v>
      </c>
      <c r="D870" s="1" t="s">
        <v>76</v>
      </c>
      <c r="E870" s="1">
        <v>510</v>
      </c>
      <c r="F870" s="1" t="s">
        <v>121</v>
      </c>
      <c r="G870" s="1" t="s">
        <v>121</v>
      </c>
      <c r="H870" s="1" t="s">
        <v>121</v>
      </c>
      <c r="I870" s="1" t="s">
        <v>126</v>
      </c>
      <c r="J870" s="1" t="s">
        <v>139</v>
      </c>
      <c r="K870" t="s">
        <v>86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30">
        <v>0</v>
      </c>
      <c r="W870" s="30">
        <v>0</v>
      </c>
      <c r="X870" s="30">
        <v>15127.616303999986</v>
      </c>
      <c r="Y870" s="30">
        <v>7729.4732022710041</v>
      </c>
      <c r="Z870" s="30">
        <v>0</v>
      </c>
      <c r="AA870" s="30">
        <v>0</v>
      </c>
      <c r="AB870" s="34">
        <v>0</v>
      </c>
      <c r="AC870" s="34">
        <v>0</v>
      </c>
      <c r="AD870" s="34">
        <v>0</v>
      </c>
      <c r="AE870" s="34">
        <v>0</v>
      </c>
      <c r="AF870" s="34">
        <v>0</v>
      </c>
      <c r="AG870" s="34">
        <v>0.91999999999999993</v>
      </c>
      <c r="AH870" s="34">
        <v>0</v>
      </c>
      <c r="AI870" s="37">
        <f t="shared" si="127"/>
        <v>0</v>
      </c>
      <c r="AJ870" s="37">
        <f t="shared" si="128"/>
        <v>0</v>
      </c>
      <c r="AK870" s="37">
        <f t="shared" si="129"/>
        <v>0</v>
      </c>
      <c r="AL870" s="37">
        <f t="shared" si="130"/>
        <v>0</v>
      </c>
      <c r="AM870" s="37">
        <f t="shared" si="131"/>
        <v>0</v>
      </c>
      <c r="AN870" s="37">
        <f t="shared" si="132"/>
        <v>13917.406999679986</v>
      </c>
      <c r="AO870" s="37">
        <f t="shared" si="133"/>
        <v>0</v>
      </c>
    </row>
    <row r="871" spans="1:41" hidden="1" x14ac:dyDescent="0.3">
      <c r="A871" t="str">
        <f t="shared" si="125"/>
        <v>510ago</v>
      </c>
      <c r="B871" t="str">
        <f t="shared" si="126"/>
        <v>YUTH TARIJAago</v>
      </c>
      <c r="C871" s="1" t="s">
        <v>95</v>
      </c>
      <c r="D871" s="1" t="s">
        <v>76</v>
      </c>
      <c r="E871" s="1">
        <v>510</v>
      </c>
      <c r="F871" s="1" t="s">
        <v>121</v>
      </c>
      <c r="G871" s="1" t="s">
        <v>121</v>
      </c>
      <c r="H871" s="1" t="s">
        <v>121</v>
      </c>
      <c r="I871" s="1" t="s">
        <v>126</v>
      </c>
      <c r="J871" s="1" t="s">
        <v>139</v>
      </c>
      <c r="K871" t="s">
        <v>87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30">
        <v>0</v>
      </c>
      <c r="W871" s="30">
        <v>0</v>
      </c>
      <c r="X871" s="30">
        <v>32342.270364000004</v>
      </c>
      <c r="Y871" s="30">
        <v>14628.417154619709</v>
      </c>
      <c r="Z871" s="30">
        <v>0</v>
      </c>
      <c r="AA871" s="30">
        <v>0</v>
      </c>
      <c r="AB871" s="34">
        <v>0</v>
      </c>
      <c r="AC871" s="34">
        <v>0</v>
      </c>
      <c r="AD871" s="34">
        <v>0</v>
      </c>
      <c r="AE871" s="34">
        <v>0</v>
      </c>
      <c r="AF871" s="34">
        <v>0</v>
      </c>
      <c r="AG871" s="34">
        <v>0.47999999999999993</v>
      </c>
      <c r="AH871" s="34">
        <v>0</v>
      </c>
      <c r="AI871" s="37">
        <f t="shared" si="127"/>
        <v>0</v>
      </c>
      <c r="AJ871" s="37">
        <f t="shared" si="128"/>
        <v>0</v>
      </c>
      <c r="AK871" s="37">
        <f t="shared" si="129"/>
        <v>0</v>
      </c>
      <c r="AL871" s="37">
        <f t="shared" si="130"/>
        <v>0</v>
      </c>
      <c r="AM871" s="37">
        <f t="shared" si="131"/>
        <v>0</v>
      </c>
      <c r="AN871" s="37">
        <f t="shared" si="132"/>
        <v>15524.289774719999</v>
      </c>
      <c r="AO871" s="37">
        <f t="shared" si="133"/>
        <v>0</v>
      </c>
    </row>
    <row r="872" spans="1:41" hidden="1" x14ac:dyDescent="0.3">
      <c r="A872" t="str">
        <f t="shared" si="125"/>
        <v>510sep</v>
      </c>
      <c r="B872" t="str">
        <f t="shared" si="126"/>
        <v>YUTH TARIJAsep</v>
      </c>
      <c r="C872" s="1" t="s">
        <v>95</v>
      </c>
      <c r="D872" s="1" t="s">
        <v>76</v>
      </c>
      <c r="E872" s="1">
        <v>510</v>
      </c>
      <c r="F872" s="1" t="s">
        <v>121</v>
      </c>
      <c r="G872" s="1" t="s">
        <v>121</v>
      </c>
      <c r="H872" s="1" t="s">
        <v>121</v>
      </c>
      <c r="I872" s="1" t="s">
        <v>126</v>
      </c>
      <c r="J872" s="1" t="s">
        <v>139</v>
      </c>
      <c r="K872" t="s">
        <v>88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4716</v>
      </c>
      <c r="S872" s="6">
        <v>2329.7040000000002</v>
      </c>
      <c r="T872" s="6">
        <v>0</v>
      </c>
      <c r="U872" s="6">
        <v>0</v>
      </c>
      <c r="V872" s="30">
        <v>0</v>
      </c>
      <c r="W872" s="30">
        <v>0</v>
      </c>
      <c r="X872" s="30">
        <v>11885.742252000013</v>
      </c>
      <c r="Y872" s="30">
        <v>5882.9130690076618</v>
      </c>
      <c r="Z872" s="30">
        <v>0</v>
      </c>
      <c r="AA872" s="30">
        <v>0</v>
      </c>
      <c r="AB872" s="34">
        <v>0</v>
      </c>
      <c r="AC872" s="34">
        <v>0</v>
      </c>
      <c r="AD872" s="34">
        <v>0</v>
      </c>
      <c r="AE872" s="34">
        <v>0.8</v>
      </c>
      <c r="AF872" s="34">
        <v>0.8</v>
      </c>
      <c r="AG872" s="34">
        <v>0.79999999999999993</v>
      </c>
      <c r="AH872" s="34">
        <v>0</v>
      </c>
      <c r="AI872" s="37">
        <f t="shared" si="127"/>
        <v>0</v>
      </c>
      <c r="AJ872" s="37">
        <f t="shared" si="128"/>
        <v>0</v>
      </c>
      <c r="AK872" s="37">
        <f t="shared" si="129"/>
        <v>0</v>
      </c>
      <c r="AL872" s="37">
        <f t="shared" si="130"/>
        <v>3772.8</v>
      </c>
      <c r="AM872" s="37">
        <f t="shared" si="131"/>
        <v>0</v>
      </c>
      <c r="AN872" s="37">
        <f t="shared" si="132"/>
        <v>9508.5938016000091</v>
      </c>
      <c r="AO872" s="37">
        <f t="shared" si="133"/>
        <v>0</v>
      </c>
    </row>
    <row r="873" spans="1:41" hidden="1" x14ac:dyDescent="0.3">
      <c r="A873" t="str">
        <f t="shared" si="125"/>
        <v>510oct</v>
      </c>
      <c r="B873" t="str">
        <f t="shared" si="126"/>
        <v>YUTH TARIJAoct</v>
      </c>
      <c r="C873" s="1" t="s">
        <v>95</v>
      </c>
      <c r="D873" s="1" t="s">
        <v>76</v>
      </c>
      <c r="E873" s="1">
        <v>510</v>
      </c>
      <c r="F873" s="1" t="s">
        <v>121</v>
      </c>
      <c r="G873" s="1" t="s">
        <v>121</v>
      </c>
      <c r="H873" s="1" t="s">
        <v>121</v>
      </c>
      <c r="I873" s="1" t="s">
        <v>126</v>
      </c>
      <c r="J873" s="1" t="s">
        <v>139</v>
      </c>
      <c r="K873" t="s">
        <v>89</v>
      </c>
      <c r="L873" s="6">
        <v>0</v>
      </c>
      <c r="M873" s="6">
        <v>0</v>
      </c>
      <c r="N873" s="6">
        <v>0</v>
      </c>
      <c r="O873" s="6">
        <v>0</v>
      </c>
      <c r="P873" s="6">
        <v>16347.014359000003</v>
      </c>
      <c r="Q873" s="6">
        <v>8679.4865478750016</v>
      </c>
      <c r="R873" s="6">
        <v>5245</v>
      </c>
      <c r="S873" s="6">
        <v>2685.44</v>
      </c>
      <c r="T873" s="6">
        <v>0</v>
      </c>
      <c r="U873" s="6">
        <v>0</v>
      </c>
      <c r="V873" s="30">
        <v>0</v>
      </c>
      <c r="W873" s="30">
        <v>0</v>
      </c>
      <c r="X873" s="30">
        <v>11567.330999999998</v>
      </c>
      <c r="Y873" s="30">
        <v>5910.3412718537375</v>
      </c>
      <c r="Z873" s="30">
        <v>0</v>
      </c>
      <c r="AA873" s="30">
        <v>0</v>
      </c>
      <c r="AB873" s="34">
        <v>0</v>
      </c>
      <c r="AC873" s="34">
        <v>0</v>
      </c>
      <c r="AD873" s="34">
        <v>0</v>
      </c>
      <c r="AE873" s="34">
        <v>0.91999999999999993</v>
      </c>
      <c r="AF873" s="34">
        <v>0.91999999999999993</v>
      </c>
      <c r="AG873" s="34">
        <v>0.92</v>
      </c>
      <c r="AH873" s="34">
        <v>0</v>
      </c>
      <c r="AI873" s="37">
        <f t="shared" si="127"/>
        <v>0</v>
      </c>
      <c r="AJ873" s="37">
        <f t="shared" si="128"/>
        <v>0</v>
      </c>
      <c r="AK873" s="37">
        <f t="shared" si="129"/>
        <v>0</v>
      </c>
      <c r="AL873" s="37">
        <f t="shared" si="130"/>
        <v>4825.3999999999996</v>
      </c>
      <c r="AM873" s="37">
        <f t="shared" si="131"/>
        <v>0</v>
      </c>
      <c r="AN873" s="37">
        <f t="shared" si="132"/>
        <v>10641.944519999999</v>
      </c>
      <c r="AO873" s="37">
        <f t="shared" si="133"/>
        <v>0</v>
      </c>
    </row>
    <row r="874" spans="1:41" hidden="1" x14ac:dyDescent="0.3">
      <c r="A874" t="str">
        <f t="shared" si="125"/>
        <v>510nov</v>
      </c>
      <c r="B874" t="str">
        <f t="shared" si="126"/>
        <v>YUTH TARIJAnov</v>
      </c>
      <c r="C874" s="1" t="s">
        <v>95</v>
      </c>
      <c r="D874" s="1" t="s">
        <v>76</v>
      </c>
      <c r="E874" s="1">
        <v>510</v>
      </c>
      <c r="F874" s="1" t="s">
        <v>121</v>
      </c>
      <c r="G874" s="1" t="s">
        <v>121</v>
      </c>
      <c r="H874" s="1" t="s">
        <v>121</v>
      </c>
      <c r="I874" s="1" t="s">
        <v>126</v>
      </c>
      <c r="J874" s="1" t="s">
        <v>139</v>
      </c>
      <c r="K874" t="s">
        <v>90</v>
      </c>
      <c r="L874" s="6">
        <v>0</v>
      </c>
      <c r="M874" s="6">
        <v>0</v>
      </c>
      <c r="N874" s="6">
        <v>0</v>
      </c>
      <c r="O874" s="6">
        <v>0</v>
      </c>
      <c r="P874" s="6">
        <v>22544.6465985</v>
      </c>
      <c r="Q874" s="6">
        <v>11190.431907525002</v>
      </c>
      <c r="R874" s="6">
        <v>6780.4</v>
      </c>
      <c r="S874" s="6">
        <v>3064.7408000000005</v>
      </c>
      <c r="T874" s="6">
        <v>11229.597701149423</v>
      </c>
      <c r="U874" s="6">
        <v>4429.4314200152203</v>
      </c>
      <c r="V874" s="30">
        <v>11229.597701149423</v>
      </c>
      <c r="W874" s="30">
        <v>5075.7781609195399</v>
      </c>
      <c r="X874" s="30">
        <v>19702.535750693249</v>
      </c>
      <c r="Y874" s="30">
        <v>9174.0918834117529</v>
      </c>
      <c r="Z874" s="30">
        <v>0</v>
      </c>
      <c r="AA874" s="30">
        <v>0</v>
      </c>
      <c r="AB874" s="34">
        <v>0</v>
      </c>
      <c r="AC874" s="34">
        <v>0</v>
      </c>
      <c r="AD874" s="34">
        <v>0.4083864235901622</v>
      </c>
      <c r="AE874" s="34">
        <v>0.6</v>
      </c>
      <c r="AF874" s="34">
        <v>0.6</v>
      </c>
      <c r="AG874" s="34">
        <v>0.57999999999999996</v>
      </c>
      <c r="AH874" s="34">
        <v>0</v>
      </c>
      <c r="AI874" s="37">
        <f t="shared" si="127"/>
        <v>0</v>
      </c>
      <c r="AJ874" s="37">
        <f t="shared" si="128"/>
        <v>0</v>
      </c>
      <c r="AK874" s="37">
        <f t="shared" si="129"/>
        <v>4586.01524352872</v>
      </c>
      <c r="AL874" s="37">
        <f t="shared" si="130"/>
        <v>4068.24</v>
      </c>
      <c r="AM874" s="37">
        <f t="shared" si="131"/>
        <v>6737.758620689654</v>
      </c>
      <c r="AN874" s="37">
        <f t="shared" si="132"/>
        <v>11427.470735402083</v>
      </c>
      <c r="AO874" s="37">
        <f t="shared" si="133"/>
        <v>0</v>
      </c>
    </row>
    <row r="875" spans="1:41" hidden="1" x14ac:dyDescent="0.3">
      <c r="A875" t="str">
        <f t="shared" si="125"/>
        <v>510dic</v>
      </c>
      <c r="B875" t="str">
        <f t="shared" si="126"/>
        <v>YUTH TARIJAdic</v>
      </c>
      <c r="C875" s="2" t="s">
        <v>95</v>
      </c>
      <c r="D875" s="1" t="s">
        <v>76</v>
      </c>
      <c r="E875" s="1">
        <v>510</v>
      </c>
      <c r="F875" s="1" t="s">
        <v>121</v>
      </c>
      <c r="G875" s="1" t="s">
        <v>121</v>
      </c>
      <c r="H875" s="1" t="s">
        <v>121</v>
      </c>
      <c r="I875" s="1" t="s">
        <v>126</v>
      </c>
      <c r="J875" s="1" t="s">
        <v>139</v>
      </c>
      <c r="K875" t="s">
        <v>91</v>
      </c>
      <c r="L875" s="6">
        <v>0</v>
      </c>
      <c r="M875" s="6">
        <v>0</v>
      </c>
      <c r="N875" s="6">
        <v>0</v>
      </c>
      <c r="O875" s="6">
        <v>0</v>
      </c>
      <c r="P875" s="6">
        <v>56799.960262500026</v>
      </c>
      <c r="Q875" s="6">
        <v>28334.172048000011</v>
      </c>
      <c r="R875" s="6">
        <v>12277</v>
      </c>
      <c r="S875" s="6">
        <v>6040.2839999999997</v>
      </c>
      <c r="T875" s="6">
        <v>36304.310344827587</v>
      </c>
      <c r="U875" s="6">
        <v>17394.12769226481</v>
      </c>
      <c r="V875" s="30">
        <v>12277</v>
      </c>
      <c r="W875" s="30">
        <v>6040.2839999999997</v>
      </c>
      <c r="X875" s="30">
        <v>32221.156359599983</v>
      </c>
      <c r="Y875" s="30">
        <v>16291.637423015807</v>
      </c>
      <c r="Z875" s="30">
        <v>0</v>
      </c>
      <c r="AA875" s="30">
        <v>0</v>
      </c>
      <c r="AB875" s="34">
        <v>0</v>
      </c>
      <c r="AC875" s="34">
        <v>0</v>
      </c>
      <c r="AD875" s="34">
        <v>0.81179036608177157</v>
      </c>
      <c r="AE875" s="34">
        <v>0.8</v>
      </c>
      <c r="AF875" s="34">
        <v>0.8</v>
      </c>
      <c r="AG875" s="34">
        <v>0.88</v>
      </c>
      <c r="AH875" s="34">
        <v>0</v>
      </c>
      <c r="AI875" s="37">
        <f t="shared" si="127"/>
        <v>0</v>
      </c>
      <c r="AJ875" s="37">
        <f t="shared" si="128"/>
        <v>0</v>
      </c>
      <c r="AK875" s="37">
        <f t="shared" si="129"/>
        <v>29471.489385173834</v>
      </c>
      <c r="AL875" s="37">
        <f t="shared" si="130"/>
        <v>9821.6</v>
      </c>
      <c r="AM875" s="37">
        <f t="shared" si="131"/>
        <v>9821.6</v>
      </c>
      <c r="AN875" s="37">
        <f t="shared" si="132"/>
        <v>28354.617596447984</v>
      </c>
      <c r="AO875" s="37">
        <f t="shared" si="133"/>
        <v>0</v>
      </c>
    </row>
  </sheetData>
  <autoFilter ref="C3:AQ875" xr:uid="{094F0316-E891-464C-8B88-136B29973441}">
    <filterColumn colId="1">
      <filters>
        <filter val="COLO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EEE1-A7EE-4CB6-90BB-0B616E943413}">
  <dimension ref="A1:AS28"/>
  <sheetViews>
    <sheetView topLeftCell="J1" zoomScaleNormal="100" workbookViewId="0">
      <selection activeCell="AD20" sqref="AD20"/>
    </sheetView>
  </sheetViews>
  <sheetFormatPr baseColWidth="10" defaultRowHeight="14.4" x14ac:dyDescent="0.3"/>
  <cols>
    <col min="1" max="1" width="21.21875" bestFit="1" customWidth="1"/>
    <col min="2" max="2" width="24.88671875" customWidth="1"/>
    <col min="3" max="3" width="20.33203125" hidden="1" customWidth="1"/>
    <col min="4" max="4" width="14.5546875" hidden="1" customWidth="1"/>
    <col min="5" max="5" width="13.21875" hidden="1" customWidth="1"/>
    <col min="6" max="6" width="13.88671875" hidden="1" customWidth="1"/>
    <col min="7" max="7" width="13.44140625" customWidth="1"/>
    <col min="8" max="8" width="13.44140625" hidden="1" customWidth="1"/>
    <col min="9" max="9" width="13.44140625" bestFit="1" customWidth="1"/>
    <col min="10" max="10" width="10.21875" customWidth="1"/>
    <col min="11" max="12" width="9.77734375" hidden="1" customWidth="1"/>
    <col min="13" max="13" width="10.21875" hidden="1" customWidth="1"/>
    <col min="14" max="14" width="11.21875" hidden="1" customWidth="1"/>
    <col min="15" max="15" width="12.5546875" hidden="1" customWidth="1"/>
    <col min="16" max="16" width="14.109375" customWidth="1"/>
    <col min="17" max="17" width="13.44140625" customWidth="1"/>
    <col min="18" max="20" width="12.5546875" hidden="1" customWidth="1"/>
    <col min="21" max="21" width="12.5546875" customWidth="1"/>
    <col min="22" max="22" width="12.5546875" hidden="1" customWidth="1"/>
    <col min="23" max="23" width="9.44140625" customWidth="1"/>
    <col min="24" max="24" width="9" customWidth="1"/>
    <col min="25" max="25" width="9.44140625" hidden="1" customWidth="1"/>
    <col min="26" max="29" width="8.6640625" hidden="1" customWidth="1"/>
    <col min="30" max="30" width="10.33203125" customWidth="1"/>
    <col min="31" max="31" width="9.109375" customWidth="1"/>
    <col min="32" max="34" width="8.109375" hidden="1" customWidth="1"/>
    <col min="35" max="35" width="8.109375" customWidth="1"/>
    <col min="36" max="36" width="8.109375" hidden="1" customWidth="1"/>
    <col min="37" max="37" width="11.5546875" customWidth="1"/>
    <col min="38" max="38" width="10.44140625" customWidth="1"/>
    <col min="39" max="41" width="0" hidden="1" customWidth="1"/>
    <col min="43" max="43" width="0" hidden="1" customWidth="1"/>
    <col min="44" max="44" width="9.109375" customWidth="1"/>
    <col min="45" max="45" width="9" customWidth="1"/>
  </cols>
  <sheetData>
    <row r="1" spans="1:45" s="8" customFormat="1" x14ac:dyDescent="0.3">
      <c r="A1"/>
      <c r="B1"/>
    </row>
    <row r="2" spans="1:45" s="8" customFormat="1" x14ac:dyDescent="0.3">
      <c r="A2"/>
      <c r="B2"/>
    </row>
    <row r="3" spans="1:45" s="8" customFormat="1" ht="12" x14ac:dyDescent="0.25">
      <c r="A3" s="7" t="s">
        <v>117</v>
      </c>
      <c r="B3" s="8" t="s">
        <v>147</v>
      </c>
    </row>
    <row r="4" spans="1:45" s="9" customFormat="1" ht="16.5" customHeight="1" x14ac:dyDescent="0.3">
      <c r="A4" s="7" t="s">
        <v>118</v>
      </c>
      <c r="B4" s="8" t="s">
        <v>147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1:45" s="11" customFormat="1" x14ac:dyDescent="0.3">
      <c r="A5" s="7" t="s">
        <v>294</v>
      </c>
      <c r="B5" s="8" t="s">
        <v>119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t="s">
        <v>288</v>
      </c>
      <c r="AF5"/>
      <c r="AG5"/>
      <c r="AH5"/>
      <c r="AI5"/>
      <c r="AJ5"/>
      <c r="AK5" t="s">
        <v>288</v>
      </c>
    </row>
    <row r="6" spans="1:45" s="11" customFormat="1" x14ac:dyDescent="0.3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 spans="1:45" s="11" customFormat="1" ht="36" x14ac:dyDescent="0.25">
      <c r="A7" s="18" t="s">
        <v>77</v>
      </c>
      <c r="B7" s="7" t="s">
        <v>78</v>
      </c>
      <c r="C7" s="25" t="s">
        <v>148</v>
      </c>
      <c r="D7" s="24" t="s">
        <v>149</v>
      </c>
      <c r="E7" s="24" t="s">
        <v>150</v>
      </c>
      <c r="F7" s="24" t="s">
        <v>151</v>
      </c>
      <c r="G7" s="24" t="s">
        <v>175</v>
      </c>
      <c r="H7" s="24" t="s">
        <v>176</v>
      </c>
      <c r="I7" s="24" t="s">
        <v>163</v>
      </c>
      <c r="J7" s="123" t="s">
        <v>295</v>
      </c>
      <c r="K7" s="24" t="s">
        <v>155</v>
      </c>
      <c r="L7" s="24" t="s">
        <v>154</v>
      </c>
      <c r="M7" s="24" t="s">
        <v>156</v>
      </c>
      <c r="N7" s="24" t="s">
        <v>157</v>
      </c>
      <c r="O7" s="38" t="s">
        <v>197</v>
      </c>
      <c r="P7" s="124" t="s">
        <v>296</v>
      </c>
      <c r="Q7" s="125" t="s">
        <v>297</v>
      </c>
      <c r="R7" s="26" t="s">
        <v>158</v>
      </c>
      <c r="S7" s="26" t="s">
        <v>159</v>
      </c>
      <c r="T7" s="26" t="s">
        <v>177</v>
      </c>
      <c r="U7" s="26" t="s">
        <v>178</v>
      </c>
      <c r="V7" s="26" t="s">
        <v>179</v>
      </c>
      <c r="W7" s="26" t="s">
        <v>172</v>
      </c>
      <c r="X7" s="26" t="s">
        <v>298</v>
      </c>
      <c r="Y7" s="26" t="s">
        <v>164</v>
      </c>
      <c r="Z7" s="26" t="s">
        <v>165</v>
      </c>
      <c r="AA7" s="26" t="s">
        <v>204</v>
      </c>
      <c r="AB7" s="26" t="s">
        <v>167</v>
      </c>
      <c r="AC7" s="128" t="s">
        <v>287</v>
      </c>
      <c r="AD7" s="129" t="s">
        <v>299</v>
      </c>
      <c r="AE7" s="129" t="s">
        <v>300</v>
      </c>
      <c r="AF7" s="28" t="s">
        <v>183</v>
      </c>
      <c r="AG7" s="27" t="s">
        <v>169</v>
      </c>
      <c r="AH7" s="27" t="s">
        <v>180</v>
      </c>
      <c r="AI7" s="27" t="s">
        <v>181</v>
      </c>
      <c r="AJ7" s="27" t="s">
        <v>182</v>
      </c>
      <c r="AK7" s="27" t="s">
        <v>173</v>
      </c>
      <c r="AL7" s="28" t="s">
        <v>301</v>
      </c>
      <c r="AM7" s="40" t="s">
        <v>198</v>
      </c>
      <c r="AN7" s="40" t="s">
        <v>199</v>
      </c>
      <c r="AO7" s="39" t="s">
        <v>200</v>
      </c>
      <c r="AP7" s="39" t="s">
        <v>201</v>
      </c>
      <c r="AQ7" s="39" t="s">
        <v>202</v>
      </c>
      <c r="AR7" s="40" t="s">
        <v>203</v>
      </c>
      <c r="AS7" s="130" t="s">
        <v>302</v>
      </c>
    </row>
    <row r="8" spans="1:45" s="11" customFormat="1" ht="12" x14ac:dyDescent="0.25">
      <c r="A8" s="10" t="s">
        <v>79</v>
      </c>
      <c r="B8" s="10"/>
      <c r="C8" s="10">
        <v>8183480.7099999972</v>
      </c>
      <c r="D8" s="10">
        <v>7769543.04</v>
      </c>
      <c r="E8" s="10">
        <v>7777197.1646743743</v>
      </c>
      <c r="F8" s="10">
        <v>7384625.4600000111</v>
      </c>
      <c r="G8" s="10">
        <v>7384625.4600000074</v>
      </c>
      <c r="H8" s="10">
        <v>8075898.0997168729</v>
      </c>
      <c r="I8" s="10">
        <v>8357709.2888347162</v>
      </c>
      <c r="J8" s="122">
        <v>7127403.0270114494</v>
      </c>
      <c r="K8" s="14">
        <v>0.99999999999999944</v>
      </c>
      <c r="L8" s="14">
        <v>1.0936097089095782</v>
      </c>
      <c r="M8" s="14">
        <v>-4.9541855681642821E-2</v>
      </c>
      <c r="N8" s="14">
        <v>3.4895337414884375E-2</v>
      </c>
      <c r="O8" s="14">
        <v>9.360970890957887E-2</v>
      </c>
      <c r="P8" s="13">
        <v>-3.4832156943076398E-2</v>
      </c>
      <c r="Q8" s="13">
        <v>0.85279384346774711</v>
      </c>
      <c r="R8" s="10">
        <v>3717969.0499999993</v>
      </c>
      <c r="S8" s="10">
        <v>3532922.8899999983</v>
      </c>
      <c r="T8" s="10">
        <v>3410473.2112424676</v>
      </c>
      <c r="U8" s="10">
        <v>3403158.2500000065</v>
      </c>
      <c r="V8" s="10">
        <v>3716682.803978614</v>
      </c>
      <c r="W8" s="10">
        <v>4073947.145524859</v>
      </c>
      <c r="X8" s="122">
        <v>3543807.9694508878</v>
      </c>
      <c r="Y8" s="13">
        <v>0.99785514772016159</v>
      </c>
      <c r="Z8" s="13">
        <v>1.0897850749059517</v>
      </c>
      <c r="AA8" s="14">
        <v>-3.6730108196613265E-2</v>
      </c>
      <c r="AB8" s="14">
        <v>9.6124517584283087E-2</v>
      </c>
      <c r="AC8" s="13">
        <v>9.5745308994667377E-2</v>
      </c>
      <c r="AD8" s="13">
        <v>4.1329173996208057E-2</v>
      </c>
      <c r="AE8" s="13">
        <v>0.86987087531159613</v>
      </c>
      <c r="AF8" s="14">
        <v>0.45432612133572203</v>
      </c>
      <c r="AG8" s="14">
        <v>0.45471437275157928</v>
      </c>
      <c r="AH8" s="14">
        <v>0.46183428390726566</v>
      </c>
      <c r="AI8" s="14">
        <v>0.4608437175905199</v>
      </c>
      <c r="AJ8" s="14">
        <v>0.46021913081207827</v>
      </c>
      <c r="AK8" s="14">
        <v>0.48744781670826387</v>
      </c>
      <c r="AL8" s="14">
        <v>0.49720886499901235</v>
      </c>
      <c r="AM8" s="114">
        <v>0.51894609647097234</v>
      </c>
      <c r="AN8" s="116">
        <v>0.521714727626297</v>
      </c>
      <c r="AO8" s="117">
        <v>0.49896675293626286</v>
      </c>
      <c r="AP8" s="117">
        <v>0.49896675293626319</v>
      </c>
      <c r="AQ8" s="117">
        <v>0.4996724124860405</v>
      </c>
      <c r="AR8" s="117">
        <v>0.64455407057385228</v>
      </c>
      <c r="AS8" s="13">
        <v>0.67665041715572394</v>
      </c>
    </row>
    <row r="9" spans="1:45" s="11" customFormat="1" ht="12" x14ac:dyDescent="0.25">
      <c r="A9" s="10" t="s">
        <v>92</v>
      </c>
      <c r="B9" s="10"/>
      <c r="C9" s="10">
        <v>1449078.72</v>
      </c>
      <c r="D9" s="10">
        <v>1565412.1300000004</v>
      </c>
      <c r="E9" s="10">
        <v>1748216.0448614939</v>
      </c>
      <c r="F9" s="10">
        <v>1745069.03</v>
      </c>
      <c r="G9" s="10">
        <v>1745069.0299999993</v>
      </c>
      <c r="H9" s="10">
        <v>1870636.4692471621</v>
      </c>
      <c r="I9" s="10">
        <v>1809009.2361602634</v>
      </c>
      <c r="J9" s="122">
        <v>1461170.2194722423</v>
      </c>
      <c r="K9" s="14">
        <v>0.99999999999999956</v>
      </c>
      <c r="L9" s="14">
        <v>1.0719555714349949</v>
      </c>
      <c r="M9" s="14">
        <v>0.11476651838643859</v>
      </c>
      <c r="N9" s="14">
        <v>-3.2944526689197118E-2</v>
      </c>
      <c r="O9" s="14">
        <v>7.1955571434995313E-2</v>
      </c>
      <c r="P9" s="13">
        <v>-0.16268629243151322</v>
      </c>
      <c r="Q9" s="13">
        <v>0.80771849599489531</v>
      </c>
      <c r="R9" s="10">
        <v>190784.71000000014</v>
      </c>
      <c r="S9" s="10">
        <v>259070.59000000014</v>
      </c>
      <c r="T9" s="10">
        <v>344048.51528264239</v>
      </c>
      <c r="U9" s="10">
        <v>345990.39999999944</v>
      </c>
      <c r="V9" s="10">
        <v>373928.57976127748</v>
      </c>
      <c r="W9" s="10">
        <v>373155.66763334465</v>
      </c>
      <c r="X9" s="122">
        <v>366604.43997399893</v>
      </c>
      <c r="Y9" s="13">
        <v>1.0056442176934313</v>
      </c>
      <c r="Z9" s="13">
        <v>1.0868484040807096</v>
      </c>
      <c r="AA9" s="14">
        <v>0.33550628035393459</v>
      </c>
      <c r="AB9" s="14">
        <v>-2.0670046895754357E-3</v>
      </c>
      <c r="AC9" s="13">
        <v>0.95589923130288779</v>
      </c>
      <c r="AD9" s="13">
        <v>5.9579803295118916E-2</v>
      </c>
      <c r="AE9" s="13">
        <v>0.98244371390391738</v>
      </c>
      <c r="AF9" s="14">
        <v>0.13165931385701402</v>
      </c>
      <c r="AG9" s="14">
        <v>0.16549673088325953</v>
      </c>
      <c r="AH9" s="14">
        <v>0.19715467375101051</v>
      </c>
      <c r="AI9" s="14">
        <v>0.19826745764893872</v>
      </c>
      <c r="AJ9" s="14">
        <v>0.19989377193729421</v>
      </c>
      <c r="AK9" s="14">
        <v>0.20627626447358066</v>
      </c>
      <c r="AL9" s="14">
        <v>0.25089783181210207</v>
      </c>
      <c r="AM9" s="114">
        <v>2.0843664035036055E-2</v>
      </c>
      <c r="AN9" s="116">
        <v>2.0073414364754384E-2</v>
      </c>
      <c r="AO9" s="117">
        <v>8.6746228795869879E-2</v>
      </c>
      <c r="AP9" s="117">
        <v>8.6746228795869809E-2</v>
      </c>
      <c r="AQ9" s="117">
        <v>8.7019173386059023E-2</v>
      </c>
      <c r="AR9" s="117">
        <v>0.11489429859816827</v>
      </c>
      <c r="AS9" s="13">
        <v>0.16873031647549352</v>
      </c>
    </row>
    <row r="10" spans="1:45" s="11" customFormat="1" ht="12" x14ac:dyDescent="0.25">
      <c r="A10" s="10" t="s">
        <v>95</v>
      </c>
      <c r="B10" s="10"/>
      <c r="C10" s="10">
        <v>0</v>
      </c>
      <c r="D10" s="10">
        <v>526710.91</v>
      </c>
      <c r="E10" s="10">
        <v>775800.38069457805</v>
      </c>
      <c r="F10" s="10">
        <v>707058.28</v>
      </c>
      <c r="G10" s="10">
        <v>707058.28</v>
      </c>
      <c r="H10" s="10">
        <v>753003.55200000084</v>
      </c>
      <c r="I10" s="10">
        <v>778597.95106120082</v>
      </c>
      <c r="J10" s="122">
        <v>673887.76283701672</v>
      </c>
      <c r="K10" s="14">
        <v>1</v>
      </c>
      <c r="L10" s="14">
        <v>1.064980883895456</v>
      </c>
      <c r="M10" s="14">
        <v>0.34240295117486741</v>
      </c>
      <c r="N10" s="14">
        <v>3.3989745457668086E-2</v>
      </c>
      <c r="O10" s="14">
        <v>6.4980883895455976E-2</v>
      </c>
      <c r="P10" s="13">
        <v>-4.6913413082417033E-2</v>
      </c>
      <c r="Q10" s="13">
        <v>0.86551443131661487</v>
      </c>
      <c r="R10" s="10">
        <v>0</v>
      </c>
      <c r="S10" s="10">
        <v>249194.27000000005</v>
      </c>
      <c r="T10" s="10">
        <v>350515.39553677366</v>
      </c>
      <c r="U10" s="10">
        <v>351172.21</v>
      </c>
      <c r="V10" s="10">
        <v>373894.82800000039</v>
      </c>
      <c r="W10" s="10">
        <v>375083.39289368124</v>
      </c>
      <c r="X10" s="122">
        <v>304908.82195468392</v>
      </c>
      <c r="Y10" s="13">
        <v>1.0018738533930029</v>
      </c>
      <c r="Z10" s="13">
        <v>1.0667001585691374</v>
      </c>
      <c r="AA10" s="14">
        <v>0.40923067773588828</v>
      </c>
      <c r="AB10" s="14">
        <v>3.178874925974684E-3</v>
      </c>
      <c r="AC10" s="13">
        <v>0</v>
      </c>
      <c r="AD10" s="13">
        <v>-0.13173988922789792</v>
      </c>
      <c r="AE10" s="13">
        <v>0.81290941622977009</v>
      </c>
      <c r="AF10" s="14">
        <v>0</v>
      </c>
      <c r="AG10" s="14">
        <v>0.47311393265045532</v>
      </c>
      <c r="AH10" s="14">
        <v>0.49573762934616034</v>
      </c>
      <c r="AI10" s="14">
        <v>0.49666656898494987</v>
      </c>
      <c r="AJ10" s="14">
        <v>0.49653793399370311</v>
      </c>
      <c r="AK10" s="14">
        <v>0.48174207546071263</v>
      </c>
      <c r="AL10" s="14">
        <v>0.452462322020867</v>
      </c>
      <c r="AM10" s="114">
        <v>0</v>
      </c>
      <c r="AN10" s="116">
        <v>0.65893868293894431</v>
      </c>
      <c r="AO10" s="117">
        <v>0.74120551486725972</v>
      </c>
      <c r="AP10" s="117">
        <v>0.74120551486725972</v>
      </c>
      <c r="AQ10" s="117">
        <v>0.73926781262888597</v>
      </c>
      <c r="AR10" s="117">
        <v>0.7186150386608513</v>
      </c>
      <c r="AS10" s="13">
        <v>0.7107217292657384</v>
      </c>
    </row>
    <row r="11" spans="1:45" s="11" customFormat="1" ht="12" x14ac:dyDescent="0.25">
      <c r="A11" s="10" t="s">
        <v>94</v>
      </c>
      <c r="B11" s="10"/>
      <c r="C11" s="10">
        <v>0</v>
      </c>
      <c r="D11" s="10">
        <v>0</v>
      </c>
      <c r="E11" s="10">
        <v>724554.26729062491</v>
      </c>
      <c r="F11" s="10">
        <v>503774.39000000025</v>
      </c>
      <c r="G11" s="10">
        <v>503774.39000000025</v>
      </c>
      <c r="H11" s="10">
        <v>549285.21200000111</v>
      </c>
      <c r="I11" s="10">
        <v>586280.29956000112</v>
      </c>
      <c r="J11" s="122">
        <v>571093.10590542224</v>
      </c>
      <c r="K11" s="14">
        <v>1</v>
      </c>
      <c r="L11" s="14">
        <v>1.090339689558258</v>
      </c>
      <c r="M11" s="14">
        <v>0</v>
      </c>
      <c r="N11" s="14">
        <v>6.7351326326986483E-2</v>
      </c>
      <c r="O11" s="14">
        <v>9.0339689558257996E-2</v>
      </c>
      <c r="P11" s="13">
        <v>0.1336286981666972</v>
      </c>
      <c r="Q11" s="13">
        <v>0.97409567801275809</v>
      </c>
      <c r="R11" s="10">
        <v>0</v>
      </c>
      <c r="S11" s="10">
        <v>0</v>
      </c>
      <c r="T11" s="10">
        <v>250768.80107969965</v>
      </c>
      <c r="U11" s="10">
        <v>251284.6800000002</v>
      </c>
      <c r="V11" s="10">
        <v>274102.42338184884</v>
      </c>
      <c r="W11" s="10">
        <v>287703.02709089435</v>
      </c>
      <c r="X11" s="122">
        <v>280119.22889703891</v>
      </c>
      <c r="Y11" s="13">
        <v>1.002057189403464</v>
      </c>
      <c r="Z11" s="13">
        <v>1.093048346531486</v>
      </c>
      <c r="AA11" s="14">
        <v>0</v>
      </c>
      <c r="AB11" s="14">
        <v>4.9618691951871741E-2</v>
      </c>
      <c r="AC11" s="13">
        <v>0</v>
      </c>
      <c r="AD11" s="13">
        <v>0.11474853499639814</v>
      </c>
      <c r="AE11" s="13">
        <v>0.9736401863041243</v>
      </c>
      <c r="AF11" s="14">
        <v>0</v>
      </c>
      <c r="AG11" s="14">
        <v>0</v>
      </c>
      <c r="AH11" s="14">
        <v>0.49777997067238677</v>
      </c>
      <c r="AI11" s="14">
        <v>0.49880399835331063</v>
      </c>
      <c r="AJ11" s="14">
        <v>0.49901657170746533</v>
      </c>
      <c r="AK11" s="14">
        <v>0.4907260696066596</v>
      </c>
      <c r="AL11" s="14">
        <v>0.49049660379445897</v>
      </c>
      <c r="AM11" s="114">
        <v>0</v>
      </c>
      <c r="AN11" s="116">
        <v>0</v>
      </c>
      <c r="AO11" s="117">
        <v>0.66185226593357016</v>
      </c>
      <c r="AP11" s="117">
        <v>0.66185226593357072</v>
      </c>
      <c r="AQ11" s="117">
        <v>0.66285457759996458</v>
      </c>
      <c r="AR11" s="117">
        <v>0.69499713434853405</v>
      </c>
      <c r="AS11" s="13">
        <v>0.77458222476425598</v>
      </c>
    </row>
    <row r="12" spans="1:45" s="11" customFormat="1" ht="12" x14ac:dyDescent="0.25">
      <c r="A12" s="10" t="s">
        <v>93</v>
      </c>
      <c r="B12" s="10"/>
      <c r="C12" s="10">
        <v>0</v>
      </c>
      <c r="D12" s="10">
        <v>107644.53999999998</v>
      </c>
      <c r="E12" s="10">
        <v>232407.56706666673</v>
      </c>
      <c r="F12" s="10">
        <v>148693.68</v>
      </c>
      <c r="G12" s="10">
        <v>148693.68</v>
      </c>
      <c r="H12" s="10">
        <v>201609.51706666668</v>
      </c>
      <c r="I12" s="10">
        <v>241931.42048000003</v>
      </c>
      <c r="J12" s="122">
        <v>253256.90000000002</v>
      </c>
      <c r="K12" s="14">
        <v>1</v>
      </c>
      <c r="L12" s="14">
        <v>1.3558714604861934</v>
      </c>
      <c r="M12" s="14">
        <v>0.381339731676126</v>
      </c>
      <c r="N12" s="14">
        <v>0.19999999999999996</v>
      </c>
      <c r="O12" s="14">
        <v>0.35587146048619345</v>
      </c>
      <c r="P12" s="13">
        <v>0.70321226833581663</v>
      </c>
      <c r="Q12" s="13">
        <v>1.0468127682527961</v>
      </c>
      <c r="R12" s="10">
        <v>0</v>
      </c>
      <c r="S12" s="10">
        <v>59712.079999999994</v>
      </c>
      <c r="T12" s="10">
        <v>88433.289049219675</v>
      </c>
      <c r="U12" s="10">
        <v>88477.420000000013</v>
      </c>
      <c r="V12" s="10">
        <v>118595.62800401488</v>
      </c>
      <c r="W12" s="10">
        <v>125044.44946589583</v>
      </c>
      <c r="X12" s="122">
        <v>143874.65745</v>
      </c>
      <c r="Y12" s="13">
        <v>1.0004990309786599</v>
      </c>
      <c r="Z12" s="13">
        <v>1.3410744899243501</v>
      </c>
      <c r="AA12" s="14">
        <v>0.48173401428990625</v>
      </c>
      <c r="AB12" s="14">
        <v>5.4376553085604629E-2</v>
      </c>
      <c r="AC12" s="13">
        <v>0</v>
      </c>
      <c r="AD12" s="13">
        <v>0.62611723363994987</v>
      </c>
      <c r="AE12" s="13">
        <v>1.1505881153824413</v>
      </c>
      <c r="AF12" s="14">
        <v>0</v>
      </c>
      <c r="AG12" s="14">
        <v>0.55471536224689155</v>
      </c>
      <c r="AH12" s="14">
        <v>0.5947346857594733</v>
      </c>
      <c r="AI12" s="14">
        <v>0.59503147679175072</v>
      </c>
      <c r="AJ12" s="14">
        <v>0.58824419466665656</v>
      </c>
      <c r="AK12" s="14">
        <v>0.51685907195437231</v>
      </c>
      <c r="AL12" s="14">
        <v>0.56809768045806441</v>
      </c>
      <c r="AM12" s="114">
        <v>0</v>
      </c>
      <c r="AN12" s="116">
        <v>1</v>
      </c>
      <c r="AO12" s="117">
        <v>0.94597395717838995</v>
      </c>
      <c r="AP12" s="117">
        <v>0.94581363511885652</v>
      </c>
      <c r="AQ12" s="117">
        <v>0.94052568195548336</v>
      </c>
      <c r="AR12" s="117">
        <v>0.79667888830807565</v>
      </c>
      <c r="AS12" s="13">
        <v>0.82562036809263628</v>
      </c>
    </row>
    <row r="13" spans="1:45" s="11" customFormat="1" ht="12" x14ac:dyDescent="0.25">
      <c r="A13" s="23" t="s">
        <v>146</v>
      </c>
      <c r="B13" s="23"/>
      <c r="C13" s="42">
        <v>9632559.4299999978</v>
      </c>
      <c r="D13" s="42">
        <v>9969310.6199999992</v>
      </c>
      <c r="E13" s="42">
        <v>11258175.42458774</v>
      </c>
      <c r="F13" s="42">
        <v>10489220.840000011</v>
      </c>
      <c r="G13" s="42">
        <v>10489220.840000005</v>
      </c>
      <c r="H13" s="42">
        <v>11450432.850030703</v>
      </c>
      <c r="I13" s="42">
        <v>11773528.196096182</v>
      </c>
      <c r="J13" s="127">
        <v>10086811.015226131</v>
      </c>
      <c r="K13" s="41">
        <v>0.99999999999999944</v>
      </c>
      <c r="L13" s="41">
        <v>1.091638075381649</v>
      </c>
      <c r="M13" s="41">
        <v>5.2151070401697197E-2</v>
      </c>
      <c r="N13" s="41">
        <v>2.8216867457950823E-2</v>
      </c>
      <c r="O13" s="112">
        <v>9.1638075381649475E-2</v>
      </c>
      <c r="P13" s="111">
        <v>-3.836412932019817E-2</v>
      </c>
      <c r="Q13" s="111">
        <v>0.85673647246801299</v>
      </c>
      <c r="R13" s="126">
        <v>3908753.7599999993</v>
      </c>
      <c r="S13" s="42">
        <v>4100899.8299999987</v>
      </c>
      <c r="T13" s="42">
        <v>4444239.2121908031</v>
      </c>
      <c r="U13" s="42">
        <v>4440082.9600000065</v>
      </c>
      <c r="V13" s="42">
        <v>4857204.2631257558</v>
      </c>
      <c r="W13" s="42">
        <v>5234933.6826086752</v>
      </c>
      <c r="X13" s="127">
        <v>4639315.1177266091</v>
      </c>
      <c r="Y13" s="43">
        <v>0.99906480007210241</v>
      </c>
      <c r="Z13" s="43">
        <v>1.0929214273169998</v>
      </c>
      <c r="AA13" s="41">
        <v>8.2709440381528943E-2</v>
      </c>
      <c r="AB13" s="41">
        <v>7.7766838498128044E-2</v>
      </c>
      <c r="AC13" s="111">
        <v>0.33928459146750534</v>
      </c>
      <c r="AD13" s="111">
        <v>4.4871269190565943E-2</v>
      </c>
      <c r="AE13" s="111">
        <v>0.88622232849657523</v>
      </c>
      <c r="AF13" s="112">
        <v>0.40578558465224018</v>
      </c>
      <c r="AG13" s="41">
        <v>0.41135239800563034</v>
      </c>
      <c r="AH13" s="41">
        <v>0.42369583784936299</v>
      </c>
      <c r="AI13" s="41">
        <v>0.42329959753235596</v>
      </c>
      <c r="AJ13" s="41">
        <v>0.42419394329819865</v>
      </c>
      <c r="AK13" s="41">
        <v>0.44463593201776602</v>
      </c>
      <c r="AL13" s="112">
        <v>0.45993873690341996</v>
      </c>
      <c r="AM13" s="112">
        <v>0.44401381700066028</v>
      </c>
      <c r="AN13" s="113">
        <v>0.45535976393886968</v>
      </c>
      <c r="AO13" s="112">
        <v>0.46087511030552386</v>
      </c>
      <c r="AP13" s="112">
        <v>0.46087283760315856</v>
      </c>
      <c r="AQ13" s="112">
        <v>0.46360440952424464</v>
      </c>
      <c r="AR13" s="112">
        <v>0.57370715537202444</v>
      </c>
      <c r="AS13" s="111">
        <v>0.61463461894112725</v>
      </c>
    </row>
    <row r="14" spans="1:45" s="1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s="1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1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 spans="1:45" s="1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 spans="1:45" s="1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 spans="1:45" s="1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</row>
    <row r="20" spans="1:45" s="1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</row>
    <row r="21" spans="1:45" s="1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 spans="1:45" s="1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 spans="1:45" s="1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 spans="1:45" s="1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 spans="1:45" s="1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1:45" s="1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1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1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AF76-F878-42AB-8DC4-4E5383DF4DB7}">
  <dimension ref="A1:F90"/>
  <sheetViews>
    <sheetView workbookViewId="0">
      <selection activeCell="F13" sqref="F13"/>
    </sheetView>
  </sheetViews>
  <sheetFormatPr baseColWidth="10" defaultRowHeight="14.4" x14ac:dyDescent="0.3"/>
  <cols>
    <col min="1" max="1" width="16.21875" bestFit="1" customWidth="1"/>
    <col min="2" max="2" width="29.109375" bestFit="1" customWidth="1"/>
    <col min="3" max="3" width="14.88671875" customWidth="1"/>
    <col min="4" max="6" width="13" customWidth="1"/>
  </cols>
  <sheetData>
    <row r="1" spans="1:6" x14ac:dyDescent="0.3">
      <c r="A1" s="31" t="s">
        <v>117</v>
      </c>
      <c r="B1" t="s">
        <v>147</v>
      </c>
    </row>
    <row r="2" spans="1:6" x14ac:dyDescent="0.3">
      <c r="A2" s="31" t="s">
        <v>118</v>
      </c>
      <c r="B2" t="s">
        <v>147</v>
      </c>
    </row>
    <row r="3" spans="1:6" x14ac:dyDescent="0.3">
      <c r="A3" s="31" t="s">
        <v>78</v>
      </c>
      <c r="B3" t="s">
        <v>147</v>
      </c>
    </row>
    <row r="4" spans="1:6" x14ac:dyDescent="0.3">
      <c r="A4" s="50" t="s">
        <v>77</v>
      </c>
      <c r="B4" t="s">
        <v>147</v>
      </c>
    </row>
    <row r="6" spans="1:6" x14ac:dyDescent="0.3">
      <c r="A6" s="50" t="s">
        <v>211</v>
      </c>
      <c r="B6" s="50"/>
      <c r="C6" s="50" t="s">
        <v>207</v>
      </c>
      <c r="D6" s="50"/>
      <c r="E6" s="50"/>
      <c r="F6" s="50"/>
    </row>
    <row r="7" spans="1:6" x14ac:dyDescent="0.3">
      <c r="A7" s="31" t="s">
        <v>123</v>
      </c>
      <c r="B7" s="50" t="s">
        <v>107</v>
      </c>
      <c r="C7" s="50" t="s">
        <v>208</v>
      </c>
      <c r="D7" s="50" t="s">
        <v>209</v>
      </c>
      <c r="E7" s="50" t="s">
        <v>210</v>
      </c>
      <c r="F7" s="50" t="s">
        <v>146</v>
      </c>
    </row>
    <row r="8" spans="1:6" x14ac:dyDescent="0.3">
      <c r="A8" t="s">
        <v>124</v>
      </c>
      <c r="C8" s="47">
        <v>7.6038692693694454E-2</v>
      </c>
      <c r="D8" s="47">
        <v>0.26733290486809635</v>
      </c>
      <c r="E8" s="47">
        <v>2.5003891433857506E-2</v>
      </c>
      <c r="F8" s="47">
        <v>8.2722659231820872E-2</v>
      </c>
    </row>
    <row r="9" spans="1:6" x14ac:dyDescent="0.3">
      <c r="B9" t="s">
        <v>0</v>
      </c>
      <c r="C9" s="47">
        <v>-8.8926266949947541E-2</v>
      </c>
      <c r="D9" s="47">
        <v>-6.7033845930647096E-2</v>
      </c>
      <c r="E9" s="47">
        <v>-0.11978683925286826</v>
      </c>
      <c r="F9" s="47">
        <v>-9.4731722428644138E-2</v>
      </c>
    </row>
    <row r="10" spans="1:6" x14ac:dyDescent="0.3">
      <c r="B10" t="s">
        <v>1</v>
      </c>
      <c r="C10" s="47">
        <v>0</v>
      </c>
      <c r="D10" s="47">
        <v>0</v>
      </c>
      <c r="E10" s="47">
        <v>0</v>
      </c>
      <c r="F10" s="47">
        <v>0</v>
      </c>
    </row>
    <row r="11" spans="1:6" x14ac:dyDescent="0.3">
      <c r="B11" t="s">
        <v>6</v>
      </c>
      <c r="C11" s="47">
        <v>4.4879953602329214E-2</v>
      </c>
      <c r="D11" s="47">
        <v>0.23221309211083896</v>
      </c>
      <c r="E11" s="47">
        <v>0.13100331170542501</v>
      </c>
      <c r="F11" s="47">
        <v>9.3345266103288527E-2</v>
      </c>
    </row>
    <row r="12" spans="1:6" x14ac:dyDescent="0.3">
      <c r="B12" t="s">
        <v>13</v>
      </c>
      <c r="C12" s="47">
        <v>5.3278256744679897E-3</v>
      </c>
      <c r="D12" s="47">
        <v>0.19189156913404437</v>
      </c>
      <c r="E12" s="47">
        <v>9.7685444349129513E-2</v>
      </c>
      <c r="F12" s="47">
        <v>5.8608790700567681E-2</v>
      </c>
    </row>
    <row r="13" spans="1:6" x14ac:dyDescent="0.3">
      <c r="B13" t="s">
        <v>19</v>
      </c>
      <c r="C13" s="47">
        <v>0.33625483352339258</v>
      </c>
      <c r="D13" s="47">
        <v>0.29274759673723305</v>
      </c>
      <c r="E13" s="47">
        <v>-0.28046279426888632</v>
      </c>
      <c r="F13" s="47">
        <v>0.12134199887204922</v>
      </c>
    </row>
    <row r="14" spans="1:6" x14ac:dyDescent="0.3">
      <c r="B14" t="s">
        <v>21</v>
      </c>
      <c r="C14" s="47">
        <v>0</v>
      </c>
      <c r="D14" s="47">
        <v>0</v>
      </c>
      <c r="E14" s="47">
        <v>0</v>
      </c>
      <c r="F14" s="47">
        <v>0</v>
      </c>
    </row>
    <row r="15" spans="1:6" x14ac:dyDescent="0.3">
      <c r="B15" t="s">
        <v>28</v>
      </c>
      <c r="C15" s="47">
        <v>3.380241733955673</v>
      </c>
      <c r="D15" s="47">
        <v>0.15616097870387158</v>
      </c>
      <c r="E15" s="47">
        <v>5.3162673914785685E-2</v>
      </c>
      <c r="F15" s="47">
        <v>0.81088002557704897</v>
      </c>
    </row>
    <row r="16" spans="1:6" x14ac:dyDescent="0.3">
      <c r="B16" t="s">
        <v>32</v>
      </c>
      <c r="C16" s="47">
        <v>-2.4135343022662847E-2</v>
      </c>
      <c r="D16" s="47">
        <v>0.17756342657393009</v>
      </c>
      <c r="E16" s="47">
        <v>-1.7833675846498198E-2</v>
      </c>
      <c r="F16" s="47">
        <v>4.1352638838665357E-3</v>
      </c>
    </row>
    <row r="17" spans="1:6" x14ac:dyDescent="0.3">
      <c r="B17" t="s">
        <v>48</v>
      </c>
      <c r="C17" s="47">
        <v>0</v>
      </c>
      <c r="D17" s="47">
        <v>0</v>
      </c>
      <c r="E17" s="47">
        <v>0</v>
      </c>
      <c r="F17" s="47">
        <v>0</v>
      </c>
    </row>
    <row r="18" spans="1:6" x14ac:dyDescent="0.3">
      <c r="B18" t="s">
        <v>51</v>
      </c>
      <c r="C18" s="47">
        <v>0.25525505467887699</v>
      </c>
      <c r="D18" s="47">
        <v>0.27872535901356144</v>
      </c>
      <c r="E18" s="47">
        <v>-0.20030750176962431</v>
      </c>
      <c r="F18" s="47">
        <v>0.10006181197463371</v>
      </c>
    </row>
    <row r="19" spans="1:6" x14ac:dyDescent="0.3">
      <c r="B19" t="s">
        <v>52</v>
      </c>
      <c r="C19" s="47">
        <v>-8.7644448655649354E-3</v>
      </c>
      <c r="D19" s="47">
        <v>0.37913569497539101</v>
      </c>
      <c r="E19" s="47">
        <v>0.21112514647119096</v>
      </c>
      <c r="F19" s="47">
        <v>0.10226790130287355</v>
      </c>
    </row>
    <row r="20" spans="1:6" x14ac:dyDescent="0.3">
      <c r="B20" t="s">
        <v>59</v>
      </c>
      <c r="C20" s="47">
        <v>-2.6737030771777581E-2</v>
      </c>
      <c r="D20" s="47">
        <v>0.10827954212321389</v>
      </c>
      <c r="E20" s="47">
        <v>3.3441475222332429E-2</v>
      </c>
      <c r="F20" s="47">
        <v>8.2783306009974744E-3</v>
      </c>
    </row>
    <row r="21" spans="1:6" x14ac:dyDescent="0.3">
      <c r="B21" t="s">
        <v>61</v>
      </c>
      <c r="C21" s="47">
        <v>-0.3335519674512617</v>
      </c>
      <c r="D21" s="47">
        <v>7.3428679128014318E-2</v>
      </c>
      <c r="E21" s="47">
        <v>7.8305307742184915E-2</v>
      </c>
      <c r="F21" s="47">
        <v>-0.18064368183739821</v>
      </c>
    </row>
    <row r="22" spans="1:6" x14ac:dyDescent="0.3">
      <c r="B22" t="s">
        <v>63</v>
      </c>
      <c r="C22" s="47">
        <v>0.57967463135146491</v>
      </c>
      <c r="D22" s="47">
        <v>2.0634770471013955</v>
      </c>
      <c r="E22" s="47">
        <v>0.11719277241235182</v>
      </c>
      <c r="F22" s="47">
        <v>0.54012189625877616</v>
      </c>
    </row>
    <row r="23" spans="1:6" x14ac:dyDescent="0.3">
      <c r="B23" t="s">
        <v>68</v>
      </c>
      <c r="C23" s="47">
        <v>3.9899755047750451E-2</v>
      </c>
      <c r="D23" s="47">
        <v>0.27992015426487016</v>
      </c>
      <c r="E23" s="47">
        <v>-0.17886128952914127</v>
      </c>
      <c r="F23" s="47">
        <v>-1.2591392097433762E-2</v>
      </c>
    </row>
    <row r="24" spans="1:6" x14ac:dyDescent="0.3">
      <c r="A24" t="s">
        <v>93</v>
      </c>
      <c r="C24" s="47">
        <v>1.8019321907985164E-2</v>
      </c>
      <c r="D24" s="47">
        <v>-0.45518075561436733</v>
      </c>
      <c r="E24" s="47">
        <v>0.14297569397678034</v>
      </c>
      <c r="F24" s="47">
        <v>7.1147070972079618E-3</v>
      </c>
    </row>
    <row r="25" spans="1:6" x14ac:dyDescent="0.3">
      <c r="B25" t="s">
        <v>37</v>
      </c>
      <c r="C25" s="47">
        <v>1.8019321907985164E-2</v>
      </c>
      <c r="D25" s="47">
        <v>-0.45518075561436733</v>
      </c>
      <c r="E25" s="47">
        <v>0.14297569397678034</v>
      </c>
      <c r="F25" s="47">
        <v>7.1147070972079618E-3</v>
      </c>
    </row>
    <row r="26" spans="1:6" x14ac:dyDescent="0.3">
      <c r="B26" t="s">
        <v>38</v>
      </c>
      <c r="C26" s="47">
        <v>0</v>
      </c>
      <c r="D26" s="47">
        <v>0</v>
      </c>
      <c r="E26" s="47">
        <v>0</v>
      </c>
      <c r="F26" s="47">
        <v>0</v>
      </c>
    </row>
    <row r="27" spans="1:6" x14ac:dyDescent="0.3">
      <c r="B27" t="s">
        <v>39</v>
      </c>
      <c r="C27" s="47">
        <v>0</v>
      </c>
      <c r="D27" s="47">
        <v>0</v>
      </c>
      <c r="E27" s="47">
        <v>0</v>
      </c>
      <c r="F27" s="47">
        <v>0</v>
      </c>
    </row>
    <row r="28" spans="1:6" x14ac:dyDescent="0.3">
      <c r="A28" t="s">
        <v>125</v>
      </c>
      <c r="C28" s="47">
        <v>3.5752905851984096E-2</v>
      </c>
      <c r="D28" s="47">
        <v>0.40158894175727022</v>
      </c>
      <c r="E28" s="47">
        <v>7.5993499474140469E-2</v>
      </c>
      <c r="F28" s="47">
        <v>8.9851742482972341E-2</v>
      </c>
    </row>
    <row r="29" spans="1:6" x14ac:dyDescent="0.3">
      <c r="B29" t="s">
        <v>2</v>
      </c>
      <c r="C29" s="47">
        <v>0.11359589062934528</v>
      </c>
      <c r="D29" s="47">
        <v>0.2591546798711386</v>
      </c>
      <c r="E29" s="47">
        <v>2.2730445376089259E-2</v>
      </c>
      <c r="F29" s="47">
        <v>0.10387386581281532</v>
      </c>
    </row>
    <row r="30" spans="1:6" x14ac:dyDescent="0.3">
      <c r="B30" t="s">
        <v>4</v>
      </c>
      <c r="C30" s="47">
        <v>-0.39977323336491322</v>
      </c>
      <c r="D30" s="47">
        <v>0.3570507177102975</v>
      </c>
      <c r="E30" s="47">
        <v>-0.11608789266606123</v>
      </c>
      <c r="F30" s="47">
        <v>-0.24294022429138684</v>
      </c>
    </row>
    <row r="31" spans="1:6" x14ac:dyDescent="0.3">
      <c r="B31" t="s">
        <v>7</v>
      </c>
      <c r="C31" s="47">
        <v>0</v>
      </c>
      <c r="D31" s="47">
        <v>0</v>
      </c>
      <c r="E31" s="47">
        <v>0</v>
      </c>
      <c r="F31" s="47">
        <v>0</v>
      </c>
    </row>
    <row r="32" spans="1:6" x14ac:dyDescent="0.3">
      <c r="B32" t="s">
        <v>8</v>
      </c>
      <c r="C32" s="47">
        <v>-7.4118058649260798E-2</v>
      </c>
      <c r="D32" s="47">
        <v>0.31758017226230861</v>
      </c>
      <c r="E32" s="47">
        <v>6.9504775796215723E-2</v>
      </c>
      <c r="F32" s="47">
        <v>1.2367862117445672E-2</v>
      </c>
    </row>
    <row r="33" spans="2:6" x14ac:dyDescent="0.3">
      <c r="B33" t="s">
        <v>17</v>
      </c>
      <c r="C33" s="47">
        <v>8.4656765031741354E-2</v>
      </c>
      <c r="D33" s="47">
        <v>0.53835170956012535</v>
      </c>
      <c r="E33" s="47">
        <v>0.25065085375130836</v>
      </c>
      <c r="F33" s="47">
        <v>0.18205953380269646</v>
      </c>
    </row>
    <row r="34" spans="2:6" x14ac:dyDescent="0.3">
      <c r="B34" t="s">
        <v>18</v>
      </c>
      <c r="C34" s="47">
        <v>0.52256506288526205</v>
      </c>
      <c r="D34" s="47">
        <v>0.33865105796295425</v>
      </c>
      <c r="E34" s="47">
        <v>-5.5692506900257621E-2</v>
      </c>
      <c r="F34" s="47">
        <v>0.26879566583569559</v>
      </c>
    </row>
    <row r="35" spans="2:6" x14ac:dyDescent="0.3">
      <c r="B35" t="s">
        <v>22</v>
      </c>
      <c r="C35" s="47">
        <v>0</v>
      </c>
      <c r="D35" s="47">
        <v>0</v>
      </c>
      <c r="E35" s="47">
        <v>0</v>
      </c>
      <c r="F35" s="47">
        <v>0</v>
      </c>
    </row>
    <row r="36" spans="2:6" x14ac:dyDescent="0.3">
      <c r="B36" t="s">
        <v>23</v>
      </c>
      <c r="C36" s="47">
        <v>0</v>
      </c>
      <c r="D36" s="47">
        <v>0</v>
      </c>
      <c r="E36" s="47">
        <v>0</v>
      </c>
      <c r="F36" s="47">
        <v>0</v>
      </c>
    </row>
    <row r="37" spans="2:6" x14ac:dyDescent="0.3">
      <c r="B37" t="s">
        <v>26</v>
      </c>
      <c r="C37" s="47">
        <v>0</v>
      </c>
      <c r="D37" s="47">
        <v>0</v>
      </c>
      <c r="E37" s="47">
        <v>0</v>
      </c>
      <c r="F37" s="47">
        <v>0</v>
      </c>
    </row>
    <row r="38" spans="2:6" x14ac:dyDescent="0.3">
      <c r="B38" t="s">
        <v>35</v>
      </c>
      <c r="C38" s="47">
        <v>0.42959908189442775</v>
      </c>
      <c r="D38" s="47">
        <v>0.65423860675869383</v>
      </c>
      <c r="E38" s="47">
        <v>-0.83174860578595067</v>
      </c>
      <c r="F38" s="47">
        <v>4.0162090848723242E-3</v>
      </c>
    </row>
    <row r="39" spans="2:6" x14ac:dyDescent="0.3">
      <c r="B39" t="s">
        <v>36</v>
      </c>
      <c r="C39" s="47">
        <v>0.15909542154577472</v>
      </c>
      <c r="D39" s="47">
        <v>0.2585787478500996</v>
      </c>
      <c r="E39" s="47">
        <v>0.53739891677941021</v>
      </c>
      <c r="F39" s="47">
        <v>0.30478491454388124</v>
      </c>
    </row>
    <row r="40" spans="2:6" x14ac:dyDescent="0.3">
      <c r="B40" t="s">
        <v>42</v>
      </c>
      <c r="C40" s="47">
        <v>2.0311502978583862E-2</v>
      </c>
      <c r="D40" s="47">
        <v>0.36171038761116692</v>
      </c>
      <c r="E40" s="47">
        <v>9.0985659888101589E-2</v>
      </c>
      <c r="F40" s="47">
        <v>8.3552732355281156E-2</v>
      </c>
    </row>
    <row r="41" spans="2:6" x14ac:dyDescent="0.3">
      <c r="B41" t="s">
        <v>45</v>
      </c>
      <c r="C41" s="47">
        <v>9.6545863916234653E-2</v>
      </c>
      <c r="D41" s="47">
        <v>0.47519574228083017</v>
      </c>
      <c r="E41" s="47">
        <v>-0.29885970417279417</v>
      </c>
      <c r="F41" s="47">
        <v>1.9792431676710853E-2</v>
      </c>
    </row>
    <row r="42" spans="2:6" x14ac:dyDescent="0.3">
      <c r="B42" t="s">
        <v>46</v>
      </c>
      <c r="C42" s="47">
        <v>1.2062485578099302E-2</v>
      </c>
      <c r="D42" s="47">
        <v>-0.1471076405152969</v>
      </c>
      <c r="E42" s="47">
        <v>-0.29962613654331027</v>
      </c>
      <c r="F42" s="47">
        <v>-0.10080266692477824</v>
      </c>
    </row>
    <row r="43" spans="2:6" x14ac:dyDescent="0.3">
      <c r="B43" t="s">
        <v>49</v>
      </c>
      <c r="C43" s="47">
        <v>0.24706486982131581</v>
      </c>
      <c r="D43" s="47">
        <v>0.54099834207183628</v>
      </c>
      <c r="E43" s="47">
        <v>-0.17103945165964218</v>
      </c>
      <c r="F43" s="47">
        <v>0.13434310401352989</v>
      </c>
    </row>
    <row r="44" spans="2:6" x14ac:dyDescent="0.3">
      <c r="B44" t="s">
        <v>53</v>
      </c>
      <c r="C44" s="47">
        <v>2.4986022935429286E-2</v>
      </c>
      <c r="D44" s="47">
        <v>0.58960678647653197</v>
      </c>
      <c r="E44" s="47">
        <v>0.22989035203959607</v>
      </c>
      <c r="F44" s="47">
        <v>0.1536236301554923</v>
      </c>
    </row>
    <row r="45" spans="2:6" x14ac:dyDescent="0.3">
      <c r="B45" t="s">
        <v>60</v>
      </c>
      <c r="C45" s="47">
        <v>1.8926399203715638E-2</v>
      </c>
      <c r="D45" s="47">
        <v>0.55251156036261628</v>
      </c>
      <c r="E45" s="47">
        <v>1.1059318130423268E-2</v>
      </c>
      <c r="F45" s="47">
        <v>7.16854579343702E-2</v>
      </c>
    </row>
    <row r="46" spans="2:6" x14ac:dyDescent="0.3">
      <c r="B46" t="s">
        <v>62</v>
      </c>
      <c r="C46" s="47">
        <v>9.7933986625317937E-2</v>
      </c>
      <c r="D46" s="47">
        <v>0.78593388899105521</v>
      </c>
      <c r="E46" s="47">
        <v>0.35071285868196633</v>
      </c>
      <c r="F46" s="47">
        <v>0.24651148480600216</v>
      </c>
    </row>
    <row r="47" spans="2:6" x14ac:dyDescent="0.3">
      <c r="B47" t="s">
        <v>64</v>
      </c>
      <c r="C47" s="47">
        <v>0</v>
      </c>
      <c r="D47" s="47">
        <v>0</v>
      </c>
      <c r="E47" s="47">
        <v>0</v>
      </c>
      <c r="F47" s="47">
        <v>0</v>
      </c>
    </row>
    <row r="48" spans="2:6" x14ac:dyDescent="0.3">
      <c r="B48" t="s">
        <v>70</v>
      </c>
      <c r="C48" s="47">
        <v>-6.8210382436359018E-2</v>
      </c>
      <c r="D48" s="47">
        <v>0.55954487889127047</v>
      </c>
      <c r="E48" s="47">
        <v>6.6233386854964271E-2</v>
      </c>
      <c r="F48" s="47">
        <v>3.401452593611265E-2</v>
      </c>
    </row>
    <row r="49" spans="1:6" x14ac:dyDescent="0.3">
      <c r="B49" t="s">
        <v>71</v>
      </c>
      <c r="C49" s="47">
        <v>0</v>
      </c>
      <c r="D49" s="47">
        <v>0</v>
      </c>
      <c r="E49" s="47">
        <v>0</v>
      </c>
      <c r="F49" s="47">
        <v>0</v>
      </c>
    </row>
    <row r="50" spans="1:6" x14ac:dyDescent="0.3">
      <c r="A50" t="s">
        <v>127</v>
      </c>
      <c r="C50" s="47">
        <v>0.16074262525644345</v>
      </c>
      <c r="D50" s="47">
        <v>0.32999061978747735</v>
      </c>
      <c r="E50" s="47">
        <v>3.4838431593503527E-2</v>
      </c>
      <c r="F50" s="47">
        <v>0.14646682602857641</v>
      </c>
    </row>
    <row r="51" spans="1:6" x14ac:dyDescent="0.3">
      <c r="B51" t="s">
        <v>5</v>
      </c>
      <c r="C51" s="47">
        <v>0</v>
      </c>
      <c r="D51" s="47">
        <v>0</v>
      </c>
      <c r="E51" s="47">
        <v>0</v>
      </c>
      <c r="F51" s="47">
        <v>0</v>
      </c>
    </row>
    <row r="52" spans="1:6" x14ac:dyDescent="0.3">
      <c r="B52" t="s">
        <v>9</v>
      </c>
      <c r="C52" s="47">
        <v>-6.8518445545384665E-2</v>
      </c>
      <c r="D52" s="47">
        <v>-5.2868603059171848E-3</v>
      </c>
      <c r="E52" s="47">
        <v>-3.8780041447392999E-2</v>
      </c>
      <c r="F52" s="47">
        <v>-5.0538783545203247E-2</v>
      </c>
    </row>
    <row r="53" spans="1:6" x14ac:dyDescent="0.3">
      <c r="B53" t="s">
        <v>11</v>
      </c>
      <c r="C53" s="47">
        <v>-8.1685824422969788E-2</v>
      </c>
      <c r="D53" s="47">
        <v>0.33085100077466856</v>
      </c>
      <c r="E53" s="47">
        <v>3.5190670842720762E-2</v>
      </c>
      <c r="F53" s="47">
        <v>-1.8281460818386774E-3</v>
      </c>
    </row>
    <row r="54" spans="1:6" x14ac:dyDescent="0.3">
      <c r="B54" t="s">
        <v>12</v>
      </c>
      <c r="C54" s="47">
        <v>-3.404428426254924E-2</v>
      </c>
      <c r="D54" s="47">
        <v>9.1212547680267875E-2</v>
      </c>
      <c r="E54" s="47">
        <v>-2.1005852023567528E-2</v>
      </c>
      <c r="F54" s="47">
        <v>-1.2805133262836832E-2</v>
      </c>
    </row>
    <row r="55" spans="1:6" x14ac:dyDescent="0.3">
      <c r="B55" t="s">
        <v>14</v>
      </c>
      <c r="C55" s="47">
        <v>4.1728050242154202E-2</v>
      </c>
      <c r="D55" s="47">
        <v>0.15303294829828884</v>
      </c>
      <c r="E55" s="47">
        <v>-4.2999578431845542E-2</v>
      </c>
      <c r="F55" s="47">
        <v>3.3862090514511944E-2</v>
      </c>
    </row>
    <row r="56" spans="1:6" x14ac:dyDescent="0.3">
      <c r="B56" t="s">
        <v>15</v>
      </c>
      <c r="C56" s="47">
        <v>-0.36210951804438363</v>
      </c>
      <c r="D56" s="47">
        <v>-0.27870602797820476</v>
      </c>
      <c r="E56" s="47">
        <v>0.32607177409099508</v>
      </c>
      <c r="F56" s="47">
        <v>-0.18387054812539461</v>
      </c>
    </row>
    <row r="57" spans="1:6" x14ac:dyDescent="0.3">
      <c r="B57" t="s">
        <v>16</v>
      </c>
      <c r="C57" s="47">
        <v>0</v>
      </c>
      <c r="D57" s="47">
        <v>0</v>
      </c>
      <c r="E57" s="47">
        <v>0</v>
      </c>
      <c r="F57" s="47">
        <v>0</v>
      </c>
    </row>
    <row r="58" spans="1:6" x14ac:dyDescent="0.3">
      <c r="B58" t="s">
        <v>24</v>
      </c>
      <c r="C58" s="47">
        <v>9.8722621502765193</v>
      </c>
      <c r="D58" s="47">
        <v>0</v>
      </c>
      <c r="E58" s="47">
        <v>-0.10121367054572172</v>
      </c>
      <c r="F58" s="47">
        <v>1.8016696144809177</v>
      </c>
    </row>
    <row r="59" spans="1:6" x14ac:dyDescent="0.3">
      <c r="B59" t="s">
        <v>25</v>
      </c>
      <c r="C59" s="47">
        <v>0</v>
      </c>
      <c r="D59" s="47">
        <v>0</v>
      </c>
      <c r="E59" s="47">
        <v>0</v>
      </c>
      <c r="F59" s="47">
        <v>0</v>
      </c>
    </row>
    <row r="60" spans="1:6" x14ac:dyDescent="0.3">
      <c r="B60" t="s">
        <v>27</v>
      </c>
      <c r="C60" s="47">
        <v>0.91093387185820074</v>
      </c>
      <c r="D60" s="47">
        <v>-0.17349024787852041</v>
      </c>
      <c r="E60" s="47">
        <v>-0.26029612983449102</v>
      </c>
      <c r="F60" s="47">
        <v>0.20061848619083578</v>
      </c>
    </row>
    <row r="61" spans="1:6" x14ac:dyDescent="0.3">
      <c r="B61" t="s">
        <v>31</v>
      </c>
      <c r="C61" s="47">
        <v>0</v>
      </c>
      <c r="D61" s="47">
        <v>0</v>
      </c>
      <c r="E61" s="47">
        <v>29.18085536756108</v>
      </c>
      <c r="F61" s="47">
        <v>101.87104355690929</v>
      </c>
    </row>
    <row r="62" spans="1:6" x14ac:dyDescent="0.3">
      <c r="B62" t="s">
        <v>33</v>
      </c>
      <c r="C62" s="47">
        <v>-1</v>
      </c>
      <c r="D62" s="47">
        <v>0</v>
      </c>
      <c r="E62" s="47">
        <v>0</v>
      </c>
      <c r="F62" s="47">
        <v>-1</v>
      </c>
    </row>
    <row r="63" spans="1:6" x14ac:dyDescent="0.3">
      <c r="B63" t="s">
        <v>34</v>
      </c>
      <c r="C63" s="47">
        <v>-7.3816392657005347E-2</v>
      </c>
      <c r="D63" s="47">
        <v>0.43304665770941697</v>
      </c>
      <c r="E63" s="47">
        <v>1.1767578176126614E-2</v>
      </c>
      <c r="F63" s="47">
        <v>1.3695332420446293E-2</v>
      </c>
    </row>
    <row r="64" spans="1:6" x14ac:dyDescent="0.3">
      <c r="B64" t="s">
        <v>40</v>
      </c>
      <c r="C64" s="47">
        <v>-3.9467120807282208E-2</v>
      </c>
      <c r="D64" s="47">
        <v>1.4304201785531712E-2</v>
      </c>
      <c r="E64" s="47">
        <v>5.8139503015840033E-2</v>
      </c>
      <c r="F64" s="47">
        <v>-8.0917918843872449E-3</v>
      </c>
    </row>
    <row r="65" spans="1:6" x14ac:dyDescent="0.3">
      <c r="B65" t="s">
        <v>41</v>
      </c>
      <c r="C65" s="47">
        <v>0</v>
      </c>
      <c r="D65" s="47">
        <v>0</v>
      </c>
      <c r="E65" s="47">
        <v>0</v>
      </c>
      <c r="F65" s="47">
        <v>0</v>
      </c>
    </row>
    <row r="66" spans="1:6" x14ac:dyDescent="0.3">
      <c r="B66" t="s">
        <v>43</v>
      </c>
      <c r="C66" s="47">
        <v>-0.1142496912713028</v>
      </c>
      <c r="D66" s="47">
        <v>4.2424873207544289E-2</v>
      </c>
      <c r="E66" s="47">
        <v>-0.46497877184390779</v>
      </c>
      <c r="F66" s="47">
        <v>-0.19545655374992554</v>
      </c>
    </row>
    <row r="67" spans="1:6" x14ac:dyDescent="0.3">
      <c r="B67" t="s">
        <v>44</v>
      </c>
      <c r="C67" s="47">
        <v>0</v>
      </c>
      <c r="D67" s="47">
        <v>0</v>
      </c>
      <c r="E67" s="47">
        <v>0</v>
      </c>
      <c r="F67" s="47">
        <v>0</v>
      </c>
    </row>
    <row r="68" spans="1:6" x14ac:dyDescent="0.3">
      <c r="B68" t="s">
        <v>47</v>
      </c>
      <c r="C68" s="47">
        <v>0.13555846911695757</v>
      </c>
      <c r="D68" s="47">
        <v>0.16336293037403959</v>
      </c>
      <c r="E68" s="47">
        <v>-0.40727538181234257</v>
      </c>
      <c r="F68" s="47">
        <v>-2.4892108974155169E-2</v>
      </c>
    </row>
    <row r="69" spans="1:6" x14ac:dyDescent="0.3">
      <c r="B69" t="s">
        <v>54</v>
      </c>
      <c r="C69" s="47">
        <v>-0.21007187999105315</v>
      </c>
      <c r="D69" s="47">
        <v>0.29141759191759276</v>
      </c>
      <c r="E69" s="47">
        <v>0.16288609282330113</v>
      </c>
      <c r="F69" s="47">
        <v>-7.0961896073490349E-2</v>
      </c>
    </row>
    <row r="70" spans="1:6" x14ac:dyDescent="0.3">
      <c r="B70" t="s">
        <v>57</v>
      </c>
      <c r="C70" s="47">
        <v>-0.1587255174565243</v>
      </c>
      <c r="D70" s="47">
        <v>5.2797790732728389E-2</v>
      </c>
      <c r="E70" s="47">
        <v>-0.3110821884636541</v>
      </c>
      <c r="F70" s="47">
        <v>-0.16865344962675954</v>
      </c>
    </row>
    <row r="71" spans="1:6" x14ac:dyDescent="0.3">
      <c r="B71" t="s">
        <v>58</v>
      </c>
      <c r="C71" s="47">
        <v>-0.23779189952995106</v>
      </c>
      <c r="D71" s="47">
        <v>-9.0538725491901895E-2</v>
      </c>
      <c r="E71" s="47">
        <v>-0.24779802326102618</v>
      </c>
      <c r="F71" s="47">
        <v>-0.21573175287013324</v>
      </c>
    </row>
    <row r="72" spans="1:6" x14ac:dyDescent="0.3">
      <c r="B72" t="s">
        <v>65</v>
      </c>
      <c r="C72" s="47">
        <v>9.0538574188281373E-4</v>
      </c>
      <c r="D72" s="47">
        <v>0.19330460729474441</v>
      </c>
      <c r="E72" s="47">
        <v>-9.8744847655349188E-2</v>
      </c>
      <c r="F72" s="47">
        <v>-3.3056210310895562E-3</v>
      </c>
    </row>
    <row r="73" spans="1:6" x14ac:dyDescent="0.3">
      <c r="B73" t="s">
        <v>66</v>
      </c>
      <c r="C73" s="47">
        <v>3.5013521856600782E-2</v>
      </c>
      <c r="D73" s="47">
        <v>0.33019858637847666</v>
      </c>
      <c r="E73" s="47">
        <v>-2.5630745319816794E-2</v>
      </c>
      <c r="F73" s="47">
        <v>7.2519230982586391E-2</v>
      </c>
    </row>
    <row r="74" spans="1:6" x14ac:dyDescent="0.3">
      <c r="B74" t="s">
        <v>69</v>
      </c>
      <c r="C74" s="47">
        <v>-0.36394394822484166</v>
      </c>
      <c r="D74" s="47">
        <v>0.15405919172252713</v>
      </c>
      <c r="E74" s="47">
        <v>-0.18412009896322268</v>
      </c>
      <c r="F74" s="47">
        <v>-0.25707216581128267</v>
      </c>
    </row>
    <row r="75" spans="1:6" x14ac:dyDescent="0.3">
      <c r="B75" t="s">
        <v>72</v>
      </c>
      <c r="C75" s="47">
        <v>0.16586235547941586</v>
      </c>
      <c r="D75" s="47">
        <v>-0.17515219206278243</v>
      </c>
      <c r="E75" s="47">
        <v>-9.2973222228191155E-2</v>
      </c>
      <c r="F75" s="47">
        <v>4.0594800126658281E-2</v>
      </c>
    </row>
    <row r="76" spans="1:6" x14ac:dyDescent="0.3">
      <c r="B76" t="s">
        <v>73</v>
      </c>
      <c r="C76" s="47">
        <v>0.68020812896130467</v>
      </c>
      <c r="D76" s="47">
        <v>0.43966293255023836</v>
      </c>
      <c r="E76" s="47">
        <v>4.6908109295412892E-2</v>
      </c>
      <c r="F76" s="47">
        <v>0.45295392196311535</v>
      </c>
    </row>
    <row r="77" spans="1:6" x14ac:dyDescent="0.3">
      <c r="B77" t="s">
        <v>74</v>
      </c>
      <c r="C77" s="47">
        <v>10.524063560612037</v>
      </c>
      <c r="D77" s="47">
        <v>1.5603474673242093</v>
      </c>
      <c r="E77" s="47">
        <v>-7.7381865223380752E-2</v>
      </c>
      <c r="F77" s="47">
        <v>1.6632962334986434</v>
      </c>
    </row>
    <row r="78" spans="1:6" x14ac:dyDescent="0.3">
      <c r="A78" t="s">
        <v>126</v>
      </c>
      <c r="C78" s="47">
        <v>4.2910834526014741E-2</v>
      </c>
      <c r="D78" s="47">
        <v>0.24768898854057619</v>
      </c>
      <c r="E78" s="47">
        <v>6.3166074242760439E-2</v>
      </c>
      <c r="F78" s="47">
        <v>7.2882301766591384E-2</v>
      </c>
    </row>
    <row r="79" spans="1:6" x14ac:dyDescent="0.3">
      <c r="B79" t="s">
        <v>3</v>
      </c>
      <c r="C79" s="47">
        <v>0.10066977250934905</v>
      </c>
      <c r="D79" s="47">
        <v>0.30349236159769299</v>
      </c>
      <c r="E79" s="47">
        <v>0.17573307263891746</v>
      </c>
      <c r="F79" s="47">
        <v>0.14805686292399467</v>
      </c>
    </row>
    <row r="80" spans="1:6" x14ac:dyDescent="0.3">
      <c r="B80" t="s">
        <v>10</v>
      </c>
      <c r="C80" s="47">
        <v>1.3682338227462232E-2</v>
      </c>
      <c r="D80" s="47">
        <v>0.40182574585923914</v>
      </c>
      <c r="E80" s="47">
        <v>0.12063950924525724</v>
      </c>
      <c r="F80" s="47">
        <v>8.7275893685408557E-2</v>
      </c>
    </row>
    <row r="81" spans="1:6" x14ac:dyDescent="0.3">
      <c r="B81" t="s">
        <v>20</v>
      </c>
      <c r="C81" s="47">
        <v>6.0195259382842981E-2</v>
      </c>
      <c r="D81" s="47">
        <v>0.12792955975209996</v>
      </c>
      <c r="E81" s="47">
        <v>-0.2999649628654022</v>
      </c>
      <c r="F81" s="47">
        <v>-5.1610537852578298E-2</v>
      </c>
    </row>
    <row r="82" spans="1:6" x14ac:dyDescent="0.3">
      <c r="B82" t="s">
        <v>29</v>
      </c>
      <c r="C82" s="47">
        <v>0</v>
      </c>
      <c r="D82" s="47">
        <v>0</v>
      </c>
      <c r="E82" s="47">
        <v>0</v>
      </c>
      <c r="F82" s="47">
        <v>0</v>
      </c>
    </row>
    <row r="83" spans="1:6" x14ac:dyDescent="0.3">
      <c r="B83" t="s">
        <v>30</v>
      </c>
      <c r="C83" s="47">
        <v>0</v>
      </c>
      <c r="D83" s="47">
        <v>0</v>
      </c>
      <c r="E83" s="47">
        <v>0</v>
      </c>
      <c r="F83" s="47">
        <v>0</v>
      </c>
    </row>
    <row r="84" spans="1:6" x14ac:dyDescent="0.3">
      <c r="B84" t="s">
        <v>50</v>
      </c>
      <c r="C84" s="47">
        <v>1.9978241619492687E-2</v>
      </c>
      <c r="D84" s="47">
        <v>-1.8816666395712334E-3</v>
      </c>
      <c r="E84" s="47">
        <v>-0.4158641537425446</v>
      </c>
      <c r="F84" s="47">
        <v>-0.12053197341676247</v>
      </c>
    </row>
    <row r="85" spans="1:6" x14ac:dyDescent="0.3">
      <c r="B85" t="s">
        <v>55</v>
      </c>
      <c r="C85" s="47">
        <v>0</v>
      </c>
      <c r="D85" s="47">
        <v>0</v>
      </c>
      <c r="E85" s="47">
        <v>0</v>
      </c>
      <c r="F85" s="47">
        <v>0</v>
      </c>
    </row>
    <row r="86" spans="1:6" x14ac:dyDescent="0.3">
      <c r="B86" t="s">
        <v>56</v>
      </c>
      <c r="C86" s="47">
        <v>5.5345387823900305E-2</v>
      </c>
      <c r="D86" s="47">
        <v>0.35726692984514741</v>
      </c>
      <c r="E86" s="47">
        <v>0.10826680822948087</v>
      </c>
      <c r="F86" s="47">
        <v>0.10865920701386478</v>
      </c>
    </row>
    <row r="87" spans="1:6" x14ac:dyDescent="0.3">
      <c r="B87" t="s">
        <v>67</v>
      </c>
      <c r="C87" s="47">
        <v>-1.0064234493274871E-2</v>
      </c>
      <c r="D87" s="47">
        <v>0.11619001891428615</v>
      </c>
      <c r="E87" s="47">
        <v>-9.8757482976103983E-2</v>
      </c>
      <c r="F87" s="47">
        <v>-1.9075483217925515E-2</v>
      </c>
    </row>
    <row r="88" spans="1:6" x14ac:dyDescent="0.3">
      <c r="B88" t="s">
        <v>75</v>
      </c>
      <c r="C88" s="47">
        <v>0</v>
      </c>
      <c r="D88" s="47">
        <v>0</v>
      </c>
      <c r="E88" s="47">
        <v>0</v>
      </c>
      <c r="F88" s="47">
        <v>0</v>
      </c>
    </row>
    <row r="89" spans="1:6" x14ac:dyDescent="0.3">
      <c r="B89" t="s">
        <v>76</v>
      </c>
      <c r="C89" s="47">
        <v>0</v>
      </c>
      <c r="D89" s="47">
        <v>0</v>
      </c>
      <c r="E89" s="47">
        <v>0</v>
      </c>
      <c r="F89" s="47">
        <v>0</v>
      </c>
    </row>
    <row r="90" spans="1:6" x14ac:dyDescent="0.3">
      <c r="A90" s="48" t="s">
        <v>146</v>
      </c>
      <c r="B90" s="48"/>
      <c r="C90" s="49">
        <v>8.9909847166638857E-2</v>
      </c>
      <c r="D90" s="49">
        <v>0.31070094564623907</v>
      </c>
      <c r="E90" s="49">
        <v>5.0571881389244622E-2</v>
      </c>
      <c r="F90" s="49">
        <v>0.10431760979651683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D7D8E-C9D4-46C7-9995-0117B2E48C1A}">
  <dimension ref="A2:G52"/>
  <sheetViews>
    <sheetView workbookViewId="0">
      <selection activeCell="A7" sqref="A7:G52"/>
    </sheetView>
  </sheetViews>
  <sheetFormatPr baseColWidth="10" defaultRowHeight="14.4" x14ac:dyDescent="0.3"/>
  <cols>
    <col min="1" max="1" width="18.5546875" bestFit="1" customWidth="1"/>
    <col min="2" max="2" width="40.6640625" bestFit="1" customWidth="1"/>
    <col min="3" max="3" width="29.109375" bestFit="1" customWidth="1"/>
  </cols>
  <sheetData>
    <row r="2" spans="1:7" x14ac:dyDescent="0.3">
      <c r="A2" s="31" t="s">
        <v>117</v>
      </c>
      <c r="B2" t="s">
        <v>147</v>
      </c>
    </row>
    <row r="3" spans="1:7" x14ac:dyDescent="0.3">
      <c r="A3" s="31" t="s">
        <v>118</v>
      </c>
      <c r="B3" t="s">
        <v>147</v>
      </c>
    </row>
    <row r="4" spans="1:7" x14ac:dyDescent="0.3">
      <c r="A4" s="31" t="s">
        <v>78</v>
      </c>
      <c r="B4" t="s">
        <v>147</v>
      </c>
    </row>
    <row r="6" spans="1:7" x14ac:dyDescent="0.3">
      <c r="A6" s="50" t="s">
        <v>211</v>
      </c>
      <c r="B6" s="50"/>
      <c r="C6" s="50"/>
      <c r="D6" s="50" t="s">
        <v>207</v>
      </c>
      <c r="E6" s="50"/>
      <c r="F6" s="50"/>
      <c r="G6" s="50"/>
    </row>
    <row r="7" spans="1:7" x14ac:dyDescent="0.3">
      <c r="A7" s="50" t="s">
        <v>77</v>
      </c>
      <c r="B7" s="31" t="s">
        <v>123</v>
      </c>
      <c r="C7" s="50" t="s">
        <v>107</v>
      </c>
      <c r="D7" s="50" t="s">
        <v>208</v>
      </c>
      <c r="E7" s="50" t="s">
        <v>209</v>
      </c>
      <c r="F7" s="50" t="s">
        <v>210</v>
      </c>
      <c r="G7" s="50" t="s">
        <v>146</v>
      </c>
    </row>
    <row r="8" spans="1:7" x14ac:dyDescent="0.3">
      <c r="A8" t="s">
        <v>79</v>
      </c>
      <c r="B8" t="s">
        <v>124</v>
      </c>
      <c r="C8" t="s">
        <v>0</v>
      </c>
      <c r="D8" s="47">
        <v>-8.8926266949947541E-2</v>
      </c>
      <c r="E8" s="47">
        <v>-6.7033845930647096E-2</v>
      </c>
      <c r="F8" s="47">
        <v>-0.11978683925286815</v>
      </c>
      <c r="G8" s="47">
        <v>-9.4731722428644138E-2</v>
      </c>
    </row>
    <row r="9" spans="1:7" x14ac:dyDescent="0.3">
      <c r="A9" t="s">
        <v>79</v>
      </c>
      <c r="B9" t="s">
        <v>124</v>
      </c>
      <c r="C9" t="s">
        <v>1</v>
      </c>
      <c r="D9" s="47">
        <v>0</v>
      </c>
      <c r="E9" s="47">
        <v>0</v>
      </c>
      <c r="F9" s="47">
        <v>0</v>
      </c>
      <c r="G9" s="47">
        <v>0</v>
      </c>
    </row>
    <row r="10" spans="1:7" x14ac:dyDescent="0.3">
      <c r="A10" t="s">
        <v>79</v>
      </c>
      <c r="B10" t="s">
        <v>124</v>
      </c>
      <c r="C10" t="s">
        <v>6</v>
      </c>
      <c r="D10" s="47">
        <v>4.4879953602329214E-2</v>
      </c>
      <c r="E10" s="47">
        <v>0.23221309211083896</v>
      </c>
      <c r="F10" s="47">
        <v>0.13100331170542501</v>
      </c>
      <c r="G10" s="47">
        <v>9.3345266103288749E-2</v>
      </c>
    </row>
    <row r="11" spans="1:7" x14ac:dyDescent="0.3">
      <c r="A11" t="s">
        <v>79</v>
      </c>
      <c r="B11" t="s">
        <v>124</v>
      </c>
      <c r="C11" t="s">
        <v>13</v>
      </c>
      <c r="D11" s="47">
        <v>5.3278256744679897E-3</v>
      </c>
      <c r="E11" s="47">
        <v>0.19189156913404437</v>
      </c>
      <c r="F11" s="47">
        <v>9.7685444349129513E-2</v>
      </c>
      <c r="G11" s="47">
        <v>5.8608790700567903E-2</v>
      </c>
    </row>
    <row r="12" spans="1:7" x14ac:dyDescent="0.3">
      <c r="A12" t="s">
        <v>79</v>
      </c>
      <c r="B12" t="s">
        <v>124</v>
      </c>
      <c r="C12" t="s">
        <v>32</v>
      </c>
      <c r="D12" s="47">
        <v>-2.4135343022662847E-2</v>
      </c>
      <c r="E12" s="47">
        <v>0.17756342657393009</v>
      </c>
      <c r="F12" s="47">
        <v>-1.7833675846498642E-2</v>
      </c>
      <c r="G12" s="47">
        <v>4.1352638838665357E-3</v>
      </c>
    </row>
    <row r="13" spans="1:7" x14ac:dyDescent="0.3">
      <c r="A13" t="s">
        <v>79</v>
      </c>
      <c r="B13" t="s">
        <v>124</v>
      </c>
      <c r="C13" t="s">
        <v>52</v>
      </c>
      <c r="D13" s="47">
        <v>-8.7644448655649354E-3</v>
      </c>
      <c r="E13" s="47">
        <v>0.37913569497539101</v>
      </c>
      <c r="F13" s="47">
        <v>0.21112514647119096</v>
      </c>
      <c r="G13" s="47">
        <v>0.10226790130287355</v>
      </c>
    </row>
    <row r="14" spans="1:7" x14ac:dyDescent="0.3">
      <c r="A14" t="s">
        <v>79</v>
      </c>
      <c r="B14" t="s">
        <v>124</v>
      </c>
      <c r="C14" t="s">
        <v>59</v>
      </c>
      <c r="D14" s="47">
        <v>-2.6737030771778025E-2</v>
      </c>
      <c r="E14" s="47">
        <v>0.10827954212321389</v>
      </c>
      <c r="F14" s="47">
        <v>3.3441475222332429E-2</v>
      </c>
      <c r="G14" s="47">
        <v>8.2783306009970303E-3</v>
      </c>
    </row>
    <row r="15" spans="1:7" x14ac:dyDescent="0.3">
      <c r="A15" t="s">
        <v>79</v>
      </c>
      <c r="B15" t="s">
        <v>124</v>
      </c>
      <c r="C15" t="s">
        <v>61</v>
      </c>
      <c r="D15" s="47">
        <v>-0.3335519674512617</v>
      </c>
      <c r="E15" s="47">
        <v>7.3428679128014318E-2</v>
      </c>
      <c r="F15" s="47">
        <v>7.8305307742184915E-2</v>
      </c>
      <c r="G15" s="47">
        <v>-0.18064368183739832</v>
      </c>
    </row>
    <row r="16" spans="1:7" x14ac:dyDescent="0.3">
      <c r="A16" t="s">
        <v>79</v>
      </c>
      <c r="B16" t="s">
        <v>124</v>
      </c>
      <c r="C16" t="s">
        <v>63</v>
      </c>
      <c r="D16" s="47">
        <v>0.57967463135146491</v>
      </c>
      <c r="E16" s="47">
        <v>2.0634770471013955</v>
      </c>
      <c r="F16" s="47">
        <v>0.11719277241235182</v>
      </c>
      <c r="G16" s="47">
        <v>0.54012189625877594</v>
      </c>
    </row>
    <row r="17" spans="1:7" x14ac:dyDescent="0.3">
      <c r="A17" t="s">
        <v>79</v>
      </c>
      <c r="B17" t="s">
        <v>125</v>
      </c>
      <c r="C17" t="s">
        <v>2</v>
      </c>
      <c r="D17" s="47">
        <v>0.11359589062934528</v>
      </c>
      <c r="E17" s="47">
        <v>0.2591546798711386</v>
      </c>
      <c r="F17" s="47">
        <v>2.2730445376089259E-2</v>
      </c>
      <c r="G17" s="47">
        <v>0.10387386581281488</v>
      </c>
    </row>
    <row r="18" spans="1:7" x14ac:dyDescent="0.3">
      <c r="A18" t="s">
        <v>79</v>
      </c>
      <c r="B18" t="s">
        <v>125</v>
      </c>
      <c r="C18" t="s">
        <v>4</v>
      </c>
      <c r="D18" s="47">
        <v>-0.39977323336491322</v>
      </c>
      <c r="E18" s="47">
        <v>0.3570507177102975</v>
      </c>
      <c r="F18" s="47">
        <v>-0.11608789266606101</v>
      </c>
      <c r="G18" s="47">
        <v>-0.24294022429138684</v>
      </c>
    </row>
    <row r="19" spans="1:7" x14ac:dyDescent="0.3">
      <c r="A19" t="s">
        <v>79</v>
      </c>
      <c r="B19" t="s">
        <v>125</v>
      </c>
      <c r="C19" t="s">
        <v>7</v>
      </c>
      <c r="D19" s="47">
        <v>0</v>
      </c>
      <c r="E19" s="47">
        <v>0</v>
      </c>
      <c r="F19" s="47">
        <v>0</v>
      </c>
      <c r="G19" s="47">
        <v>0</v>
      </c>
    </row>
    <row r="20" spans="1:7" x14ac:dyDescent="0.3">
      <c r="A20" t="s">
        <v>79</v>
      </c>
      <c r="B20" t="s">
        <v>125</v>
      </c>
      <c r="C20" t="s">
        <v>8</v>
      </c>
      <c r="D20" s="47">
        <v>-7.4118058649260798E-2</v>
      </c>
      <c r="E20" s="47">
        <v>0.31758017226230861</v>
      </c>
      <c r="F20" s="47">
        <v>6.9504775796215723E-2</v>
      </c>
      <c r="G20" s="47">
        <v>1.2367862117445672E-2</v>
      </c>
    </row>
    <row r="21" spans="1:7" x14ac:dyDescent="0.3">
      <c r="A21" t="s">
        <v>79</v>
      </c>
      <c r="B21" t="s">
        <v>125</v>
      </c>
      <c r="C21" t="s">
        <v>17</v>
      </c>
      <c r="D21" s="47">
        <v>8.4656765031741132E-2</v>
      </c>
      <c r="E21" s="47">
        <v>0.53835170956012535</v>
      </c>
      <c r="F21" s="47">
        <v>0.25065085375130836</v>
      </c>
      <c r="G21" s="47">
        <v>0.18205953380269624</v>
      </c>
    </row>
    <row r="22" spans="1:7" x14ac:dyDescent="0.3">
      <c r="A22" t="s">
        <v>79</v>
      </c>
      <c r="B22" t="s">
        <v>125</v>
      </c>
      <c r="C22" t="s">
        <v>18</v>
      </c>
      <c r="D22" s="47">
        <v>0.52256506288526183</v>
      </c>
      <c r="E22" s="47">
        <v>0.33865105796295425</v>
      </c>
      <c r="F22" s="47">
        <v>-5.5692506900257621E-2</v>
      </c>
      <c r="G22" s="47">
        <v>0.26879566583569559</v>
      </c>
    </row>
    <row r="23" spans="1:7" x14ac:dyDescent="0.3">
      <c r="A23" t="s">
        <v>79</v>
      </c>
      <c r="B23" t="s">
        <v>125</v>
      </c>
      <c r="C23" t="s">
        <v>35</v>
      </c>
      <c r="D23" s="47">
        <v>0.42959908189442775</v>
      </c>
      <c r="E23" s="47">
        <v>0.65423860675869383</v>
      </c>
      <c r="F23" s="47">
        <v>-0.83174860578595067</v>
      </c>
      <c r="G23" s="47">
        <v>4.0162090848725462E-3</v>
      </c>
    </row>
    <row r="24" spans="1:7" x14ac:dyDescent="0.3">
      <c r="A24" t="s">
        <v>79</v>
      </c>
      <c r="B24" t="s">
        <v>125</v>
      </c>
      <c r="C24" t="s">
        <v>36</v>
      </c>
      <c r="D24" s="47">
        <v>0.15909542154577472</v>
      </c>
      <c r="E24" s="47">
        <v>0.2585787478500996</v>
      </c>
      <c r="F24" s="47">
        <v>0.53739891677941021</v>
      </c>
      <c r="G24" s="47">
        <v>0.30478491454388101</v>
      </c>
    </row>
    <row r="25" spans="1:7" x14ac:dyDescent="0.3">
      <c r="A25" t="s">
        <v>79</v>
      </c>
      <c r="B25" t="s">
        <v>125</v>
      </c>
      <c r="C25" t="s">
        <v>42</v>
      </c>
      <c r="D25" s="47">
        <v>2.031150297858364E-2</v>
      </c>
      <c r="E25" s="47">
        <v>0.36171038761116692</v>
      </c>
      <c r="F25" s="47">
        <v>9.0985659888101589E-2</v>
      </c>
      <c r="G25" s="47">
        <v>8.3552732355281156E-2</v>
      </c>
    </row>
    <row r="26" spans="1:7" x14ac:dyDescent="0.3">
      <c r="A26" t="s">
        <v>79</v>
      </c>
      <c r="B26" t="s">
        <v>125</v>
      </c>
      <c r="C26" t="s">
        <v>53</v>
      </c>
      <c r="D26" s="47">
        <v>2.4986022935429286E-2</v>
      </c>
      <c r="E26" s="47">
        <v>0.58960678647653197</v>
      </c>
      <c r="F26" s="47">
        <v>0.22989035203959607</v>
      </c>
      <c r="G26" s="47">
        <v>0.15362363015549252</v>
      </c>
    </row>
    <row r="27" spans="1:7" x14ac:dyDescent="0.3">
      <c r="A27" t="s">
        <v>79</v>
      </c>
      <c r="B27" t="s">
        <v>125</v>
      </c>
      <c r="C27" t="s">
        <v>60</v>
      </c>
      <c r="D27" s="47">
        <v>1.8926399203715416E-2</v>
      </c>
      <c r="E27" s="47">
        <v>0.55251156036261628</v>
      </c>
      <c r="F27" s="47">
        <v>1.1059318130423268E-2</v>
      </c>
      <c r="G27" s="47">
        <v>7.1685457934369978E-2</v>
      </c>
    </row>
    <row r="28" spans="1:7" x14ac:dyDescent="0.3">
      <c r="A28" t="s">
        <v>79</v>
      </c>
      <c r="B28" t="s">
        <v>125</v>
      </c>
      <c r="C28" t="s">
        <v>62</v>
      </c>
      <c r="D28" s="47">
        <v>9.7933986625317937E-2</v>
      </c>
      <c r="E28" s="47">
        <v>0.78593388899105521</v>
      </c>
      <c r="F28" s="47">
        <v>0.35071285868196655</v>
      </c>
      <c r="G28" s="47">
        <v>0.24651148480600216</v>
      </c>
    </row>
    <row r="29" spans="1:7" x14ac:dyDescent="0.3">
      <c r="A29" t="s">
        <v>79</v>
      </c>
      <c r="B29" t="s">
        <v>125</v>
      </c>
      <c r="C29" t="s">
        <v>64</v>
      </c>
      <c r="D29" s="47">
        <v>0</v>
      </c>
      <c r="E29" s="47">
        <v>0</v>
      </c>
      <c r="F29" s="47">
        <v>0</v>
      </c>
      <c r="G29" s="47">
        <v>0</v>
      </c>
    </row>
    <row r="30" spans="1:7" x14ac:dyDescent="0.3">
      <c r="A30" t="s">
        <v>79</v>
      </c>
      <c r="B30" t="s">
        <v>127</v>
      </c>
      <c r="C30" t="s">
        <v>5</v>
      </c>
      <c r="D30" s="47">
        <v>0</v>
      </c>
      <c r="E30" s="47">
        <v>0</v>
      </c>
      <c r="F30" s="47">
        <v>0</v>
      </c>
      <c r="G30" s="47">
        <v>0</v>
      </c>
    </row>
    <row r="31" spans="1:7" x14ac:dyDescent="0.3">
      <c r="A31" t="s">
        <v>79</v>
      </c>
      <c r="B31" t="s">
        <v>127</v>
      </c>
      <c r="C31" t="s">
        <v>9</v>
      </c>
      <c r="D31" s="47">
        <v>-6.8518445545384665E-2</v>
      </c>
      <c r="E31" s="47">
        <v>-5.2868603059171848E-3</v>
      </c>
      <c r="F31" s="47">
        <v>-3.8780041447392888E-2</v>
      </c>
      <c r="G31" s="47">
        <v>-5.0538783545203136E-2</v>
      </c>
    </row>
    <row r="32" spans="1:7" x14ac:dyDescent="0.3">
      <c r="A32" t="s">
        <v>79</v>
      </c>
      <c r="B32" t="s">
        <v>127</v>
      </c>
      <c r="C32" t="s">
        <v>11</v>
      </c>
      <c r="D32" s="47">
        <v>-8.1685824422969788E-2</v>
      </c>
      <c r="E32" s="47">
        <v>0.33085100077466856</v>
      </c>
      <c r="F32" s="47">
        <v>3.5190670842720984E-2</v>
      </c>
      <c r="G32" s="47">
        <v>-1.8281460818385664E-3</v>
      </c>
    </row>
    <row r="33" spans="1:7" x14ac:dyDescent="0.3">
      <c r="A33" t="s">
        <v>79</v>
      </c>
      <c r="B33" t="s">
        <v>127</v>
      </c>
      <c r="C33" t="s">
        <v>12</v>
      </c>
      <c r="D33" s="47">
        <v>-3.4044284262549351E-2</v>
      </c>
      <c r="E33" s="47">
        <v>9.1212547680267875E-2</v>
      </c>
      <c r="F33" s="47">
        <v>-2.1005852023567639E-2</v>
      </c>
      <c r="G33" s="47">
        <v>-1.2805133262836943E-2</v>
      </c>
    </row>
    <row r="34" spans="1:7" x14ac:dyDescent="0.3">
      <c r="A34" t="s">
        <v>79</v>
      </c>
      <c r="B34" t="s">
        <v>127</v>
      </c>
      <c r="C34" t="s">
        <v>14</v>
      </c>
      <c r="D34" s="47">
        <v>4.1728050242154202E-2</v>
      </c>
      <c r="E34" s="47">
        <v>0.15303294829828884</v>
      </c>
      <c r="F34" s="47">
        <v>-4.2999578431845542E-2</v>
      </c>
      <c r="G34" s="47">
        <v>3.3862090514511944E-2</v>
      </c>
    </row>
    <row r="35" spans="1:7" x14ac:dyDescent="0.3">
      <c r="A35" t="s">
        <v>79</v>
      </c>
      <c r="B35" t="s">
        <v>127</v>
      </c>
      <c r="C35" t="s">
        <v>15</v>
      </c>
      <c r="D35" s="47">
        <v>-0.36210951804438374</v>
      </c>
      <c r="E35" s="47">
        <v>-0.27870602797820476</v>
      </c>
      <c r="F35" s="47">
        <v>0.3260717740909953</v>
      </c>
      <c r="G35" s="47">
        <v>-0.18387054812539472</v>
      </c>
    </row>
    <row r="36" spans="1:7" x14ac:dyDescent="0.3">
      <c r="A36" t="s">
        <v>79</v>
      </c>
      <c r="B36" t="s">
        <v>127</v>
      </c>
      <c r="C36" t="s">
        <v>16</v>
      </c>
      <c r="D36" s="47">
        <v>0</v>
      </c>
      <c r="E36" s="47">
        <v>0</v>
      </c>
      <c r="F36" s="47">
        <v>0</v>
      </c>
      <c r="G36" s="47">
        <v>0</v>
      </c>
    </row>
    <row r="37" spans="1:7" x14ac:dyDescent="0.3">
      <c r="A37" t="s">
        <v>79</v>
      </c>
      <c r="B37" t="s">
        <v>127</v>
      </c>
      <c r="C37" t="s">
        <v>33</v>
      </c>
      <c r="D37" s="47">
        <v>-1</v>
      </c>
      <c r="E37" s="47">
        <v>0</v>
      </c>
      <c r="F37" s="47">
        <v>0</v>
      </c>
      <c r="G37" s="47">
        <v>-1</v>
      </c>
    </row>
    <row r="38" spans="1:7" x14ac:dyDescent="0.3">
      <c r="A38" t="s">
        <v>79</v>
      </c>
      <c r="B38" t="s">
        <v>127</v>
      </c>
      <c r="C38" t="s">
        <v>34</v>
      </c>
      <c r="D38" s="47">
        <v>-7.3816392657005347E-2</v>
      </c>
      <c r="E38" s="47">
        <v>0.43304665770941697</v>
      </c>
      <c r="F38" s="47">
        <v>1.1767578176126614E-2</v>
      </c>
      <c r="G38" s="47">
        <v>1.3695332420446071E-2</v>
      </c>
    </row>
    <row r="39" spans="1:7" x14ac:dyDescent="0.3">
      <c r="A39" t="s">
        <v>79</v>
      </c>
      <c r="B39" t="s">
        <v>127</v>
      </c>
      <c r="C39" t="s">
        <v>40</v>
      </c>
      <c r="D39" s="47">
        <v>-3.9467120807282208E-2</v>
      </c>
      <c r="E39" s="47">
        <v>1.4304201785531712E-2</v>
      </c>
      <c r="F39" s="47">
        <v>5.8139503015840255E-2</v>
      </c>
      <c r="G39" s="47">
        <v>-8.091791884387467E-3</v>
      </c>
    </row>
    <row r="40" spans="1:7" x14ac:dyDescent="0.3">
      <c r="A40" t="s">
        <v>79</v>
      </c>
      <c r="B40" t="s">
        <v>127</v>
      </c>
      <c r="C40" t="s">
        <v>41</v>
      </c>
      <c r="D40" s="47">
        <v>0</v>
      </c>
      <c r="E40" s="47">
        <v>0</v>
      </c>
      <c r="F40" s="47">
        <v>0</v>
      </c>
      <c r="G40" s="47">
        <v>0</v>
      </c>
    </row>
    <row r="41" spans="1:7" x14ac:dyDescent="0.3">
      <c r="A41" t="s">
        <v>79</v>
      </c>
      <c r="B41" t="s">
        <v>127</v>
      </c>
      <c r="C41" t="s">
        <v>54</v>
      </c>
      <c r="D41" s="47">
        <v>-0.21007187999105315</v>
      </c>
      <c r="E41" s="47">
        <v>0.29141759191759276</v>
      </c>
      <c r="F41" s="47">
        <v>0.16288609282330113</v>
      </c>
      <c r="G41" s="47">
        <v>-7.096189607349046E-2</v>
      </c>
    </row>
    <row r="42" spans="1:7" x14ac:dyDescent="0.3">
      <c r="A42" t="s">
        <v>79</v>
      </c>
      <c r="B42" t="s">
        <v>127</v>
      </c>
      <c r="C42" t="s">
        <v>57</v>
      </c>
      <c r="D42" s="47">
        <v>-0.15872551745652441</v>
      </c>
      <c r="E42" s="47">
        <v>5.2797790732728389E-2</v>
      </c>
      <c r="F42" s="47">
        <v>-0.3110821884636541</v>
      </c>
      <c r="G42" s="47">
        <v>-0.16865344962675954</v>
      </c>
    </row>
    <row r="43" spans="1:7" x14ac:dyDescent="0.3">
      <c r="A43" t="s">
        <v>79</v>
      </c>
      <c r="B43" t="s">
        <v>127</v>
      </c>
      <c r="C43" t="s">
        <v>58</v>
      </c>
      <c r="D43" s="47">
        <v>-0.23779189952995106</v>
      </c>
      <c r="E43" s="47">
        <v>-9.0538725491901895E-2</v>
      </c>
      <c r="F43" s="47">
        <v>-0.24779802326102618</v>
      </c>
      <c r="G43" s="47">
        <v>-0.21573175287013358</v>
      </c>
    </row>
    <row r="44" spans="1:7" x14ac:dyDescent="0.3">
      <c r="A44" t="s">
        <v>79</v>
      </c>
      <c r="B44" t="s">
        <v>127</v>
      </c>
      <c r="C44" t="s">
        <v>65</v>
      </c>
      <c r="D44" s="47">
        <v>9.0538574188259169E-4</v>
      </c>
      <c r="E44" s="47">
        <v>0.19330460729474441</v>
      </c>
      <c r="F44" s="47">
        <v>-9.874484765534941E-2</v>
      </c>
      <c r="G44" s="47">
        <v>-3.3056210310895562E-3</v>
      </c>
    </row>
    <row r="45" spans="1:7" x14ac:dyDescent="0.3">
      <c r="A45" t="s">
        <v>79</v>
      </c>
      <c r="B45" t="s">
        <v>127</v>
      </c>
      <c r="C45" t="s">
        <v>66</v>
      </c>
      <c r="D45" s="47">
        <v>3.5013521856601004E-2</v>
      </c>
      <c r="E45" s="47">
        <v>0.33019858637847666</v>
      </c>
      <c r="F45" s="47">
        <v>-2.5630745319816906E-2</v>
      </c>
      <c r="G45" s="47">
        <v>7.2519230982586613E-2</v>
      </c>
    </row>
    <row r="46" spans="1:7" x14ac:dyDescent="0.3">
      <c r="A46" t="s">
        <v>79</v>
      </c>
      <c r="B46" t="s">
        <v>126</v>
      </c>
      <c r="C46" t="s">
        <v>3</v>
      </c>
      <c r="D46" s="47">
        <v>0.10066977250934905</v>
      </c>
      <c r="E46" s="47">
        <v>0.30349236159769299</v>
      </c>
      <c r="F46" s="47">
        <v>0.17573307263891746</v>
      </c>
      <c r="G46" s="47">
        <v>0.14805686292399445</v>
      </c>
    </row>
    <row r="47" spans="1:7" x14ac:dyDescent="0.3">
      <c r="A47" t="s">
        <v>79</v>
      </c>
      <c r="B47" t="s">
        <v>126</v>
      </c>
      <c r="C47" t="s">
        <v>10</v>
      </c>
      <c r="D47" s="47">
        <v>1.368233822746201E-2</v>
      </c>
      <c r="E47" s="47">
        <v>0.40182574585923914</v>
      </c>
      <c r="F47" s="47">
        <v>0.12063950924525724</v>
      </c>
      <c r="G47" s="47">
        <v>8.7275893685408112E-2</v>
      </c>
    </row>
    <row r="48" spans="1:7" x14ac:dyDescent="0.3">
      <c r="A48" t="s">
        <v>79</v>
      </c>
      <c r="B48" t="s">
        <v>126</v>
      </c>
      <c r="C48" t="s">
        <v>20</v>
      </c>
      <c r="D48" s="47">
        <v>6.0195259382842981E-2</v>
      </c>
      <c r="E48" s="47">
        <v>0.12792955975209996</v>
      </c>
      <c r="F48" s="47">
        <v>-0.2999649628654022</v>
      </c>
      <c r="G48" s="47">
        <v>-5.1610537852578187E-2</v>
      </c>
    </row>
    <row r="49" spans="1:7" x14ac:dyDescent="0.3">
      <c r="A49" t="s">
        <v>79</v>
      </c>
      <c r="B49" t="s">
        <v>126</v>
      </c>
      <c r="C49" t="s">
        <v>55</v>
      </c>
      <c r="D49" s="47">
        <v>0</v>
      </c>
      <c r="E49" s="47">
        <v>0</v>
      </c>
      <c r="F49" s="47">
        <v>0</v>
      </c>
      <c r="G49" s="47">
        <v>0</v>
      </c>
    </row>
    <row r="50" spans="1:7" x14ac:dyDescent="0.3">
      <c r="A50" t="s">
        <v>79</v>
      </c>
      <c r="B50" t="s">
        <v>126</v>
      </c>
      <c r="C50" t="s">
        <v>56</v>
      </c>
      <c r="D50" s="47">
        <v>5.5345387823900305E-2</v>
      </c>
      <c r="E50" s="47">
        <v>0.35726692984514741</v>
      </c>
      <c r="F50" s="47">
        <v>0.10826680822948087</v>
      </c>
      <c r="G50" s="47">
        <v>0.10865920701386478</v>
      </c>
    </row>
    <row r="51" spans="1:7" x14ac:dyDescent="0.3">
      <c r="A51" t="s">
        <v>79</v>
      </c>
      <c r="B51" t="s">
        <v>126</v>
      </c>
      <c r="C51" t="s">
        <v>67</v>
      </c>
      <c r="D51" s="47">
        <v>-1.0064234493275093E-2</v>
      </c>
      <c r="E51" s="47">
        <v>0.11619001891428615</v>
      </c>
      <c r="F51" s="47">
        <v>-9.8757482976103983E-2</v>
      </c>
      <c r="G51" s="47">
        <v>-1.9075483217925626E-2</v>
      </c>
    </row>
    <row r="52" spans="1:7" x14ac:dyDescent="0.3">
      <c r="A52" s="48" t="s">
        <v>146</v>
      </c>
      <c r="B52" s="48"/>
      <c r="C52" s="48"/>
      <c r="D52" s="49">
        <v>-1.6887721132659017E-2</v>
      </c>
      <c r="E52" s="49">
        <v>0.28287737801371526</v>
      </c>
      <c r="F52" s="49">
        <v>5.6758741460311235E-2</v>
      </c>
      <c r="G52" s="49">
        <v>4.0997395778082479E-2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E286-DB17-424D-842F-2813A5AC50B1}">
  <dimension ref="A1:J43"/>
  <sheetViews>
    <sheetView zoomScale="115" zoomScaleNormal="115" workbookViewId="0">
      <selection activeCell="I2" sqref="I2"/>
    </sheetView>
  </sheetViews>
  <sheetFormatPr baseColWidth="10" defaultRowHeight="14.4" x14ac:dyDescent="0.3"/>
  <cols>
    <col min="2" max="2" width="13.44140625" bestFit="1" customWidth="1"/>
    <col min="3" max="3" width="29.109375" bestFit="1" customWidth="1"/>
    <col min="4" max="4" width="11" customWidth="1"/>
    <col min="5" max="7" width="8.77734375" customWidth="1"/>
    <col min="9" max="9" width="135.44140625" bestFit="1" customWidth="1"/>
  </cols>
  <sheetData>
    <row r="1" spans="1:10" x14ac:dyDescent="0.3">
      <c r="A1" s="51" t="s">
        <v>77</v>
      </c>
      <c r="B1" s="32" t="s">
        <v>123</v>
      </c>
      <c r="C1" s="51" t="s">
        <v>107</v>
      </c>
      <c r="D1" s="51" t="s">
        <v>128</v>
      </c>
      <c r="E1" s="51" t="s">
        <v>208</v>
      </c>
      <c r="F1" s="51" t="s">
        <v>209</v>
      </c>
      <c r="G1" s="51" t="s">
        <v>210</v>
      </c>
      <c r="H1" s="51" t="s">
        <v>146</v>
      </c>
      <c r="I1" s="51" t="s">
        <v>212</v>
      </c>
    </row>
    <row r="2" spans="1:10" x14ac:dyDescent="0.3">
      <c r="A2" s="1" t="s">
        <v>79</v>
      </c>
      <c r="B2" s="1" t="s">
        <v>124</v>
      </c>
      <c r="C2" t="s">
        <v>0</v>
      </c>
      <c r="D2" t="s">
        <v>129</v>
      </c>
      <c r="E2" s="47">
        <v>-8.8926266949947541E-2</v>
      </c>
      <c r="F2" s="47">
        <v>-6.7033845930647096E-2</v>
      </c>
      <c r="G2" s="47">
        <v>-0.11978683925286815</v>
      </c>
      <c r="H2" s="47">
        <v>-9.4731722428644138E-2</v>
      </c>
      <c r="I2" s="55" t="s">
        <v>214</v>
      </c>
    </row>
    <row r="3" spans="1:10" x14ac:dyDescent="0.3">
      <c r="A3" s="1" t="s">
        <v>79</v>
      </c>
      <c r="B3" s="1" t="s">
        <v>124</v>
      </c>
      <c r="C3" t="s">
        <v>6</v>
      </c>
      <c r="D3" t="s">
        <v>130</v>
      </c>
      <c r="E3" s="47">
        <v>4.4879953602329214E-2</v>
      </c>
      <c r="F3" s="47">
        <v>0.23221309211083896</v>
      </c>
      <c r="G3" s="47">
        <v>0.13100331170542501</v>
      </c>
      <c r="H3" s="47">
        <v>9.3345266103288749E-2</v>
      </c>
      <c r="I3" t="s">
        <v>268</v>
      </c>
    </row>
    <row r="4" spans="1:10" x14ac:dyDescent="0.3">
      <c r="A4" s="1" t="s">
        <v>79</v>
      </c>
      <c r="B4" s="1" t="s">
        <v>124</v>
      </c>
      <c r="C4" t="s">
        <v>13</v>
      </c>
      <c r="D4" t="s">
        <v>129</v>
      </c>
      <c r="E4" s="47">
        <v>5.3278256744679897E-3</v>
      </c>
      <c r="F4" s="93">
        <v>0.19189156913404437</v>
      </c>
      <c r="G4" s="93">
        <v>9.7685444349129513E-2</v>
      </c>
      <c r="H4" s="47">
        <v>5.8608790700567903E-2</v>
      </c>
      <c r="I4" t="s">
        <v>245</v>
      </c>
      <c r="J4" t="s">
        <v>243</v>
      </c>
    </row>
    <row r="5" spans="1:10" x14ac:dyDescent="0.3">
      <c r="A5" s="1" t="s">
        <v>79</v>
      </c>
      <c r="B5" s="1" t="s">
        <v>124</v>
      </c>
      <c r="C5" t="s">
        <v>32</v>
      </c>
      <c r="D5" t="s">
        <v>134</v>
      </c>
      <c r="E5" s="47">
        <v>-2.4135343022662847E-2</v>
      </c>
      <c r="F5" s="47">
        <v>0.17756342657393009</v>
      </c>
      <c r="G5" s="47">
        <v>-1.7833675846498642E-2</v>
      </c>
      <c r="H5" s="47">
        <v>4.1352638838665357E-3</v>
      </c>
      <c r="I5" t="s">
        <v>260</v>
      </c>
    </row>
    <row r="6" spans="1:10" x14ac:dyDescent="0.3">
      <c r="A6" s="1" t="s">
        <v>79</v>
      </c>
      <c r="B6" s="1" t="s">
        <v>124</v>
      </c>
      <c r="C6" t="s">
        <v>52</v>
      </c>
      <c r="D6" t="s">
        <v>131</v>
      </c>
      <c r="E6" s="47">
        <v>-8.7644448655649354E-3</v>
      </c>
      <c r="F6" s="47">
        <v>0.37913569497539101</v>
      </c>
      <c r="G6" s="47">
        <v>0.21112514647119096</v>
      </c>
      <c r="H6" s="47">
        <v>0.10226790130287355</v>
      </c>
      <c r="I6" t="s">
        <v>274</v>
      </c>
    </row>
    <row r="7" spans="1:10" x14ac:dyDescent="0.3">
      <c r="A7" s="1" t="s">
        <v>79</v>
      </c>
      <c r="B7" s="1" t="s">
        <v>124</v>
      </c>
      <c r="C7" t="s">
        <v>59</v>
      </c>
      <c r="D7" t="s">
        <v>129</v>
      </c>
      <c r="E7" s="47">
        <v>-2.6737030771778025E-2</v>
      </c>
      <c r="F7" s="47">
        <v>0.10827954212321389</v>
      </c>
      <c r="G7" s="47">
        <v>3.3441475222332429E-2</v>
      </c>
      <c r="H7" s="47">
        <v>8.2783306009970303E-3</v>
      </c>
      <c r="I7" t="s">
        <v>246</v>
      </c>
    </row>
    <row r="8" spans="1:10" x14ac:dyDescent="0.3">
      <c r="A8" s="1" t="s">
        <v>79</v>
      </c>
      <c r="B8" s="1" t="s">
        <v>124</v>
      </c>
      <c r="C8" t="s">
        <v>61</v>
      </c>
      <c r="D8" t="s">
        <v>129</v>
      </c>
      <c r="E8" s="47">
        <v>-0.3335519674512617</v>
      </c>
      <c r="F8" s="93">
        <v>7.3428679128014318E-2</v>
      </c>
      <c r="G8" s="93">
        <v>7.8305307742184915E-2</v>
      </c>
      <c r="H8" s="47">
        <v>-0.18064368183739832</v>
      </c>
      <c r="I8" s="56" t="s">
        <v>247</v>
      </c>
    </row>
    <row r="9" spans="1:10" x14ac:dyDescent="0.3">
      <c r="A9" s="1" t="s">
        <v>79</v>
      </c>
      <c r="B9" s="1" t="s">
        <v>124</v>
      </c>
      <c r="C9" t="s">
        <v>63</v>
      </c>
      <c r="D9" t="s">
        <v>129</v>
      </c>
      <c r="E9" s="47">
        <v>0.57967463135146491</v>
      </c>
      <c r="F9" s="47">
        <v>2.0634770471013955</v>
      </c>
      <c r="G9" s="47">
        <v>0.11719277241235182</v>
      </c>
      <c r="H9" s="47">
        <v>0.54012189625877594</v>
      </c>
      <c r="I9" t="s">
        <v>253</v>
      </c>
    </row>
    <row r="10" spans="1:10" x14ac:dyDescent="0.3">
      <c r="A10" s="1" t="s">
        <v>79</v>
      </c>
      <c r="B10" s="1" t="s">
        <v>125</v>
      </c>
      <c r="C10" t="s">
        <v>2</v>
      </c>
      <c r="D10" t="s">
        <v>129</v>
      </c>
      <c r="E10" s="47">
        <v>0.11359589062934528</v>
      </c>
      <c r="F10" s="47">
        <v>0.2591546798711386</v>
      </c>
      <c r="G10" s="47">
        <v>2.2730445376089259E-2</v>
      </c>
      <c r="H10" s="47">
        <v>0.10387386581281488</v>
      </c>
      <c r="I10" t="s">
        <v>257</v>
      </c>
    </row>
    <row r="11" spans="1:10" x14ac:dyDescent="0.3">
      <c r="A11" s="1" t="s">
        <v>79</v>
      </c>
      <c r="B11" s="1" t="s">
        <v>125</v>
      </c>
      <c r="C11" t="s">
        <v>4</v>
      </c>
      <c r="D11" t="s">
        <v>129</v>
      </c>
      <c r="E11" s="47">
        <v>-0.39977323336491322</v>
      </c>
      <c r="F11" s="47">
        <v>0.3570507177102975</v>
      </c>
      <c r="G11" s="47">
        <v>-0.11608789266606101</v>
      </c>
      <c r="H11" s="47">
        <v>-0.24294022429138684</v>
      </c>
      <c r="I11" s="56" t="s">
        <v>258</v>
      </c>
    </row>
    <row r="12" spans="1:10" x14ac:dyDescent="0.3">
      <c r="A12" s="1" t="s">
        <v>79</v>
      </c>
      <c r="B12" s="1" t="s">
        <v>125</v>
      </c>
      <c r="C12" t="s">
        <v>8</v>
      </c>
      <c r="D12" t="s">
        <v>131</v>
      </c>
      <c r="E12" s="47">
        <v>-7.4118058649260798E-2</v>
      </c>
      <c r="F12" s="47">
        <v>0.31758017226230861</v>
      </c>
      <c r="G12" s="47">
        <v>6.9504775796215723E-2</v>
      </c>
      <c r="H12" s="47">
        <v>1.2367862117445672E-2</v>
      </c>
      <c r="I12" t="s">
        <v>275</v>
      </c>
    </row>
    <row r="13" spans="1:10" x14ac:dyDescent="0.3">
      <c r="A13" s="1" t="s">
        <v>79</v>
      </c>
      <c r="B13" s="1" t="s">
        <v>125</v>
      </c>
      <c r="C13" t="s">
        <v>17</v>
      </c>
      <c r="D13" t="s">
        <v>134</v>
      </c>
      <c r="E13" s="47">
        <v>8.4656765031741132E-2</v>
      </c>
      <c r="F13" s="47">
        <v>0.53835170956012535</v>
      </c>
      <c r="G13" s="47">
        <v>0.25065085375130836</v>
      </c>
      <c r="H13" s="47">
        <v>0.18205953380269624</v>
      </c>
      <c r="I13" t="s">
        <v>238</v>
      </c>
    </row>
    <row r="14" spans="1:10" x14ac:dyDescent="0.3">
      <c r="A14" s="1" t="s">
        <v>79</v>
      </c>
      <c r="B14" s="1" t="s">
        <v>125</v>
      </c>
      <c r="C14" t="s">
        <v>18</v>
      </c>
      <c r="D14" t="s">
        <v>134</v>
      </c>
      <c r="E14" s="47">
        <v>0.52256506288526183</v>
      </c>
      <c r="F14" s="47">
        <v>0.33865105796295425</v>
      </c>
      <c r="G14" s="47">
        <v>-5.5692506900257621E-2</v>
      </c>
      <c r="H14" s="47">
        <v>0.26879566583569559</v>
      </c>
      <c r="I14" t="s">
        <v>261</v>
      </c>
    </row>
    <row r="15" spans="1:10" x14ac:dyDescent="0.3">
      <c r="A15" s="1" t="s">
        <v>79</v>
      </c>
      <c r="B15" s="1" t="s">
        <v>125</v>
      </c>
      <c r="C15" t="s">
        <v>35</v>
      </c>
      <c r="D15" t="s">
        <v>133</v>
      </c>
      <c r="E15" s="47">
        <v>0.42959908189442775</v>
      </c>
      <c r="F15" s="47">
        <v>0.65423860675869383</v>
      </c>
      <c r="G15" s="47">
        <v>-0.83174860578595067</v>
      </c>
      <c r="H15" s="47">
        <v>4.0162090848725462E-3</v>
      </c>
      <c r="I15" t="s">
        <v>241</v>
      </c>
    </row>
    <row r="16" spans="1:10" x14ac:dyDescent="0.3">
      <c r="A16" s="1" t="s">
        <v>79</v>
      </c>
      <c r="B16" s="1" t="s">
        <v>125</v>
      </c>
      <c r="C16" t="s">
        <v>36</v>
      </c>
      <c r="D16" t="s">
        <v>133</v>
      </c>
      <c r="E16" s="47">
        <v>0.15909542154577472</v>
      </c>
      <c r="F16" s="47">
        <v>0.2585787478500996</v>
      </c>
      <c r="G16" s="47">
        <v>0.53739891677941021</v>
      </c>
      <c r="H16" s="47">
        <v>0.30478491454388101</v>
      </c>
      <c r="I16" t="s">
        <v>242</v>
      </c>
    </row>
    <row r="17" spans="1:10" x14ac:dyDescent="0.3">
      <c r="A17" s="1" t="s">
        <v>79</v>
      </c>
      <c r="B17" s="1" t="s">
        <v>125</v>
      </c>
      <c r="C17" t="s">
        <v>42</v>
      </c>
      <c r="D17" t="s">
        <v>134</v>
      </c>
      <c r="E17" s="47">
        <v>2.031150297858364E-2</v>
      </c>
      <c r="F17" s="47">
        <v>0.36171038761116692</v>
      </c>
      <c r="G17" s="47">
        <v>9.0985659888101589E-2</v>
      </c>
      <c r="H17" s="47">
        <v>8.3552732355281156E-2</v>
      </c>
      <c r="I17" t="s">
        <v>262</v>
      </c>
    </row>
    <row r="18" spans="1:10" x14ac:dyDescent="0.3">
      <c r="A18" s="1" t="s">
        <v>79</v>
      </c>
      <c r="B18" s="1" t="s">
        <v>125</v>
      </c>
      <c r="C18" t="s">
        <v>53</v>
      </c>
      <c r="D18" t="s">
        <v>130</v>
      </c>
      <c r="E18" s="47">
        <v>2.4986022935429286E-2</v>
      </c>
      <c r="F18" s="47">
        <v>0.58960678647653197</v>
      </c>
      <c r="G18" s="47">
        <v>0.22989035203959607</v>
      </c>
      <c r="H18" s="47">
        <v>0.15362363015549252</v>
      </c>
      <c r="I18" t="s">
        <v>270</v>
      </c>
    </row>
    <row r="19" spans="1:10" x14ac:dyDescent="0.3">
      <c r="A19" s="1" t="s">
        <v>79</v>
      </c>
      <c r="B19" s="1" t="s">
        <v>125</v>
      </c>
      <c r="C19" t="s">
        <v>60</v>
      </c>
      <c r="D19" t="s">
        <v>133</v>
      </c>
      <c r="E19" s="47">
        <v>1.8926399203715416E-2</v>
      </c>
      <c r="F19" s="47">
        <v>0.55251156036261628</v>
      </c>
      <c r="G19" s="47">
        <v>1.1059318130423268E-2</v>
      </c>
      <c r="H19" s="47">
        <v>7.1685457934369978E-2</v>
      </c>
      <c r="I19" t="s">
        <v>264</v>
      </c>
    </row>
    <row r="20" spans="1:10" x14ac:dyDescent="0.3">
      <c r="A20" s="1" t="s">
        <v>79</v>
      </c>
      <c r="B20" s="1" t="s">
        <v>125</v>
      </c>
      <c r="C20" t="s">
        <v>62</v>
      </c>
      <c r="D20" t="s">
        <v>133</v>
      </c>
      <c r="E20" s="47">
        <v>9.7933986625317937E-2</v>
      </c>
      <c r="F20" s="47">
        <v>0.78593388899105521</v>
      </c>
      <c r="G20" s="47">
        <v>0.35071285868196655</v>
      </c>
      <c r="H20" s="47">
        <v>0.24651148480600216</v>
      </c>
      <c r="I20" t="s">
        <v>265</v>
      </c>
    </row>
    <row r="21" spans="1:10" x14ac:dyDescent="0.3">
      <c r="A21" s="1" t="s">
        <v>79</v>
      </c>
      <c r="B21" s="1" t="s">
        <v>125</v>
      </c>
      <c r="C21" t="s">
        <v>64</v>
      </c>
      <c r="D21" t="s">
        <v>129</v>
      </c>
      <c r="E21" s="47">
        <v>0</v>
      </c>
      <c r="F21" s="47">
        <v>0</v>
      </c>
      <c r="G21" s="47">
        <v>0</v>
      </c>
      <c r="H21" s="47">
        <v>0</v>
      </c>
      <c r="I21" s="55" t="s">
        <v>214</v>
      </c>
    </row>
    <row r="22" spans="1:10" x14ac:dyDescent="0.3">
      <c r="A22" s="1" t="s">
        <v>79</v>
      </c>
      <c r="B22" s="1" t="s">
        <v>127</v>
      </c>
      <c r="C22" t="s">
        <v>9</v>
      </c>
      <c r="D22" t="s">
        <v>132</v>
      </c>
      <c r="E22" s="47">
        <v>-6.8518445545384665E-2</v>
      </c>
      <c r="F22" s="47">
        <v>-5.2868603059171848E-3</v>
      </c>
      <c r="G22" s="47">
        <v>-3.8780041447392888E-2</v>
      </c>
      <c r="H22" s="47">
        <v>-5.0538783545203136E-2</v>
      </c>
      <c r="I22" s="55" t="s">
        <v>214</v>
      </c>
    </row>
    <row r="23" spans="1:10" x14ac:dyDescent="0.3">
      <c r="A23" s="1" t="s">
        <v>79</v>
      </c>
      <c r="B23" s="1" t="s">
        <v>127</v>
      </c>
      <c r="C23" t="s">
        <v>11</v>
      </c>
      <c r="D23" t="s">
        <v>133</v>
      </c>
      <c r="E23" s="47">
        <v>-8.1685824422969788E-2</v>
      </c>
      <c r="F23" s="47">
        <v>0.33085100077466856</v>
      </c>
      <c r="G23" s="47">
        <v>3.5190670842720984E-2</v>
      </c>
      <c r="H23" s="47">
        <v>-1.8281460818385664E-3</v>
      </c>
      <c r="I23" t="s">
        <v>266</v>
      </c>
    </row>
    <row r="24" spans="1:10" x14ac:dyDescent="0.3">
      <c r="A24" s="1" t="s">
        <v>79</v>
      </c>
      <c r="B24" s="1" t="s">
        <v>127</v>
      </c>
      <c r="C24" t="s">
        <v>12</v>
      </c>
      <c r="D24" t="s">
        <v>134</v>
      </c>
      <c r="E24" s="47">
        <v>-3.4044284262549351E-2</v>
      </c>
      <c r="F24" s="47">
        <v>9.1212547680267875E-2</v>
      </c>
      <c r="G24" s="47">
        <v>-2.1005852023567639E-2</v>
      </c>
      <c r="H24" s="47">
        <v>-1.2805133262836943E-2</v>
      </c>
      <c r="I24" t="s">
        <v>240</v>
      </c>
    </row>
    <row r="25" spans="1:10" x14ac:dyDescent="0.3">
      <c r="A25" s="1" t="s">
        <v>79</v>
      </c>
      <c r="B25" s="1" t="s">
        <v>127</v>
      </c>
      <c r="C25" t="s">
        <v>14</v>
      </c>
      <c r="D25" t="s">
        <v>130</v>
      </c>
      <c r="E25" s="47">
        <v>4.1728050242154202E-2</v>
      </c>
      <c r="F25" s="47">
        <v>0.15303294829828884</v>
      </c>
      <c r="G25" s="47">
        <v>-4.2999578431845542E-2</v>
      </c>
      <c r="H25" s="47">
        <v>3.3862090514511944E-2</v>
      </c>
      <c r="I25" t="s">
        <v>269</v>
      </c>
    </row>
    <row r="26" spans="1:10" x14ac:dyDescent="0.3">
      <c r="A26" s="1" t="s">
        <v>79</v>
      </c>
      <c r="B26" s="1" t="s">
        <v>127</v>
      </c>
      <c r="C26" t="s">
        <v>15</v>
      </c>
      <c r="D26" t="s">
        <v>133</v>
      </c>
      <c r="E26" s="47">
        <v>-0.36210951804438374</v>
      </c>
      <c r="F26" s="47">
        <v>-0.27870602797820476</v>
      </c>
      <c r="G26" s="47">
        <v>0.3260717740909953</v>
      </c>
      <c r="H26" s="47">
        <v>-0.18387054812539472</v>
      </c>
      <c r="I26" t="s">
        <v>267</v>
      </c>
    </row>
    <row r="27" spans="1:10" x14ac:dyDescent="0.3">
      <c r="A27" s="1" t="s">
        <v>79</v>
      </c>
      <c r="B27" s="1" t="s">
        <v>127</v>
      </c>
      <c r="C27" t="s">
        <v>16</v>
      </c>
      <c r="D27" t="s">
        <v>135</v>
      </c>
      <c r="E27" s="47">
        <v>0</v>
      </c>
      <c r="F27" s="47">
        <v>0</v>
      </c>
      <c r="G27" s="47">
        <v>0</v>
      </c>
      <c r="H27" s="47">
        <v>0</v>
      </c>
      <c r="I27" t="s">
        <v>16</v>
      </c>
    </row>
    <row r="28" spans="1:10" x14ac:dyDescent="0.3">
      <c r="A28" s="1" t="s">
        <v>79</v>
      </c>
      <c r="B28" s="1" t="s">
        <v>127</v>
      </c>
      <c r="C28" t="s">
        <v>33</v>
      </c>
      <c r="D28" t="s">
        <v>122</v>
      </c>
      <c r="E28" s="47">
        <v>-1</v>
      </c>
      <c r="F28" s="47">
        <v>0</v>
      </c>
      <c r="G28" s="47">
        <v>0</v>
      </c>
      <c r="H28" s="47">
        <v>-1</v>
      </c>
      <c r="I28" t="s">
        <v>122</v>
      </c>
    </row>
    <row r="29" spans="1:10" x14ac:dyDescent="0.3">
      <c r="A29" s="1" t="s">
        <v>79</v>
      </c>
      <c r="B29" s="1" t="s">
        <v>127</v>
      </c>
      <c r="C29" t="s">
        <v>34</v>
      </c>
      <c r="D29" t="s">
        <v>130</v>
      </c>
      <c r="E29" s="47">
        <v>-7.3816392657005347E-2</v>
      </c>
      <c r="F29" s="47">
        <v>0.43304665770941697</v>
      </c>
      <c r="G29" s="47">
        <v>1.1767578176126614E-2</v>
      </c>
      <c r="H29" s="47">
        <v>1.3695332420446071E-2</v>
      </c>
      <c r="I29" t="s">
        <v>271</v>
      </c>
    </row>
    <row r="30" spans="1:10" x14ac:dyDescent="0.3">
      <c r="A30" s="1" t="s">
        <v>79</v>
      </c>
      <c r="B30" s="1" t="s">
        <v>127</v>
      </c>
      <c r="C30" t="s">
        <v>40</v>
      </c>
      <c r="D30" t="s">
        <v>132</v>
      </c>
      <c r="E30" s="47">
        <v>-3.9467120807282208E-2</v>
      </c>
      <c r="F30" s="47">
        <v>1.4304201785531712E-2</v>
      </c>
      <c r="G30" s="47">
        <v>5.8139503015840255E-2</v>
      </c>
      <c r="H30" s="47">
        <v>-8.091791884387467E-3</v>
      </c>
      <c r="I30" t="s">
        <v>213</v>
      </c>
      <c r="J30" t="s">
        <v>243</v>
      </c>
    </row>
    <row r="31" spans="1:10" x14ac:dyDescent="0.3">
      <c r="A31" s="1" t="s">
        <v>79</v>
      </c>
      <c r="B31" s="1" t="s">
        <v>127</v>
      </c>
      <c r="C31" t="s">
        <v>41</v>
      </c>
      <c r="D31" t="s">
        <v>129</v>
      </c>
      <c r="E31" s="47">
        <v>0</v>
      </c>
      <c r="F31" s="47">
        <v>0</v>
      </c>
      <c r="G31" s="47">
        <v>0</v>
      </c>
      <c r="H31" s="47">
        <v>0</v>
      </c>
      <c r="I31" s="55" t="s">
        <v>214</v>
      </c>
    </row>
    <row r="32" spans="1:10" x14ac:dyDescent="0.3">
      <c r="A32" s="1" t="s">
        <v>79</v>
      </c>
      <c r="B32" s="1" t="s">
        <v>127</v>
      </c>
      <c r="C32" t="s">
        <v>54</v>
      </c>
      <c r="D32" t="s">
        <v>131</v>
      </c>
      <c r="E32" s="47">
        <v>-0.21007187999105315</v>
      </c>
      <c r="F32" s="47">
        <v>0.29141759191759276</v>
      </c>
      <c r="G32" s="47">
        <v>0.16288609282330113</v>
      </c>
      <c r="H32" s="47">
        <v>-7.096189607349046E-2</v>
      </c>
      <c r="I32" t="s">
        <v>276</v>
      </c>
    </row>
    <row r="33" spans="1:9" x14ac:dyDescent="0.3">
      <c r="A33" s="1" t="s">
        <v>79</v>
      </c>
      <c r="B33" s="1" t="s">
        <v>127</v>
      </c>
      <c r="C33" t="s">
        <v>57</v>
      </c>
      <c r="D33" t="s">
        <v>132</v>
      </c>
      <c r="E33" s="47">
        <v>-0.15872551745652441</v>
      </c>
      <c r="F33" s="47">
        <v>5.2797790732728389E-2</v>
      </c>
      <c r="G33" s="47">
        <v>-0.3110821884636541</v>
      </c>
      <c r="H33" s="47">
        <v>-0.16865344962675954</v>
      </c>
      <c r="I33" s="55" t="s">
        <v>214</v>
      </c>
    </row>
    <row r="34" spans="1:9" x14ac:dyDescent="0.3">
      <c r="A34" s="1" t="s">
        <v>79</v>
      </c>
      <c r="B34" s="1" t="s">
        <v>127</v>
      </c>
      <c r="C34" t="s">
        <v>58</v>
      </c>
      <c r="D34" t="s">
        <v>129</v>
      </c>
      <c r="E34" s="47">
        <v>-0.23779189952995106</v>
      </c>
      <c r="F34" s="47">
        <v>-9.0538725491901895E-2</v>
      </c>
      <c r="G34" s="47">
        <v>-0.24779802326102618</v>
      </c>
      <c r="H34" s="47">
        <v>-0.21573175287013358</v>
      </c>
      <c r="I34" t="s">
        <v>259</v>
      </c>
    </row>
    <row r="35" spans="1:9" x14ac:dyDescent="0.3">
      <c r="A35" s="1" t="s">
        <v>79</v>
      </c>
      <c r="B35" s="1" t="s">
        <v>127</v>
      </c>
      <c r="C35" t="s">
        <v>65</v>
      </c>
      <c r="D35" t="s">
        <v>135</v>
      </c>
      <c r="E35" s="47">
        <v>9.0538574188259169E-4</v>
      </c>
      <c r="F35" s="47">
        <v>0.19330460729474441</v>
      </c>
      <c r="G35" s="47">
        <v>-9.874484765534941E-2</v>
      </c>
      <c r="H35" s="47">
        <v>-3.3056210310895562E-3</v>
      </c>
      <c r="I35" t="s">
        <v>65</v>
      </c>
    </row>
    <row r="36" spans="1:9" x14ac:dyDescent="0.3">
      <c r="A36" s="1" t="s">
        <v>79</v>
      </c>
      <c r="B36" s="1" t="s">
        <v>127</v>
      </c>
      <c r="C36" t="s">
        <v>66</v>
      </c>
      <c r="D36" t="s">
        <v>132</v>
      </c>
      <c r="E36" s="47">
        <v>3.5013521856601004E-2</v>
      </c>
      <c r="F36" s="47">
        <v>0.33019858637847666</v>
      </c>
      <c r="G36" s="47">
        <v>-2.5630745319816906E-2</v>
      </c>
      <c r="H36" s="47">
        <v>7.2519230982586613E-2</v>
      </c>
      <c r="I36" s="55" t="s">
        <v>214</v>
      </c>
    </row>
    <row r="37" spans="1:9" x14ac:dyDescent="0.3">
      <c r="A37" s="1" t="s">
        <v>79</v>
      </c>
      <c r="B37" s="1" t="s">
        <v>126</v>
      </c>
      <c r="C37" s="55" t="s">
        <v>3</v>
      </c>
      <c r="D37" t="s">
        <v>130</v>
      </c>
      <c r="E37" s="104">
        <v>0.10066977250934905</v>
      </c>
      <c r="F37" s="47">
        <v>0.30349236159769299</v>
      </c>
      <c r="G37" s="47">
        <v>0.17573307263891746</v>
      </c>
      <c r="H37" s="47">
        <v>0.14805686292399445</v>
      </c>
      <c r="I37" t="s">
        <v>272</v>
      </c>
    </row>
    <row r="38" spans="1:9" x14ac:dyDescent="0.3">
      <c r="A38" s="1" t="s">
        <v>79</v>
      </c>
      <c r="B38" s="1" t="s">
        <v>126</v>
      </c>
      <c r="C38" t="s">
        <v>10</v>
      </c>
      <c r="D38" t="s">
        <v>130</v>
      </c>
      <c r="E38" s="47">
        <v>1.368233822746201E-2</v>
      </c>
      <c r="F38" s="47">
        <v>0.40182574585923914</v>
      </c>
      <c r="G38" s="47">
        <v>0.12063950924525724</v>
      </c>
      <c r="H38" s="47">
        <v>8.7275893685408112E-2</v>
      </c>
      <c r="I38" t="s">
        <v>273</v>
      </c>
    </row>
    <row r="39" spans="1:9" x14ac:dyDescent="0.3">
      <c r="A39" s="1" t="s">
        <v>79</v>
      </c>
      <c r="B39" s="1" t="s">
        <v>126</v>
      </c>
      <c r="C39" t="s">
        <v>20</v>
      </c>
      <c r="D39" t="s">
        <v>132</v>
      </c>
      <c r="E39" s="47">
        <v>6.0195259382842981E-2</v>
      </c>
      <c r="F39" s="47">
        <v>0.12792955975209996</v>
      </c>
      <c r="G39" s="47">
        <v>-0.2999649628654022</v>
      </c>
      <c r="H39" s="47">
        <v>-5.1610537852578187E-2</v>
      </c>
      <c r="I39" t="s">
        <v>244</v>
      </c>
    </row>
    <row r="40" spans="1:9" x14ac:dyDescent="0.3">
      <c r="A40" s="1" t="s">
        <v>79</v>
      </c>
      <c r="B40" s="1" t="s">
        <v>126</v>
      </c>
      <c r="C40" t="s">
        <v>55</v>
      </c>
      <c r="D40" t="s">
        <v>122</v>
      </c>
      <c r="E40" s="47">
        <v>0</v>
      </c>
      <c r="F40" s="47">
        <v>0</v>
      </c>
      <c r="G40" s="47">
        <v>0</v>
      </c>
      <c r="H40" s="47">
        <v>0</v>
      </c>
      <c r="I40" t="s">
        <v>122</v>
      </c>
    </row>
    <row r="41" spans="1:9" x14ac:dyDescent="0.3">
      <c r="A41" s="1" t="s">
        <v>79</v>
      </c>
      <c r="B41" s="1" t="s">
        <v>126</v>
      </c>
      <c r="C41" t="s">
        <v>56</v>
      </c>
      <c r="D41" t="s">
        <v>134</v>
      </c>
      <c r="E41" s="47">
        <v>5.5345387823900305E-2</v>
      </c>
      <c r="F41" s="47">
        <v>0.35726692984514741</v>
      </c>
      <c r="G41" s="47">
        <v>0.10826680822948087</v>
      </c>
      <c r="H41" s="47">
        <v>0.10865920701386478</v>
      </c>
      <c r="I41" t="s">
        <v>263</v>
      </c>
    </row>
    <row r="42" spans="1:9" x14ac:dyDescent="0.3">
      <c r="A42" s="2" t="s">
        <v>79</v>
      </c>
      <c r="B42" s="1" t="s">
        <v>126</v>
      </c>
      <c r="C42" t="s">
        <v>67</v>
      </c>
      <c r="D42" t="s">
        <v>129</v>
      </c>
      <c r="E42" s="47">
        <v>-1.0064234493275093E-2</v>
      </c>
      <c r="F42" s="47">
        <v>0.11619001891428615</v>
      </c>
      <c r="G42" s="47">
        <v>-9.8757482976103983E-2</v>
      </c>
      <c r="H42" s="47">
        <v>-1.9075483217925626E-2</v>
      </c>
      <c r="I42" t="s">
        <v>237</v>
      </c>
    </row>
    <row r="43" spans="1:9" x14ac:dyDescent="0.3">
      <c r="A43" s="52" t="s">
        <v>146</v>
      </c>
      <c r="B43" s="52"/>
      <c r="C43" s="52"/>
      <c r="D43" s="52"/>
      <c r="E43" s="53">
        <v>-1.6887721132659017E-2</v>
      </c>
      <c r="F43" s="53">
        <v>0.28287737801371526</v>
      </c>
      <c r="G43" s="53">
        <v>5.6758741460311235E-2</v>
      </c>
      <c r="H43" s="53">
        <v>4.0997395778082479E-2</v>
      </c>
      <c r="I43" s="52"/>
    </row>
  </sheetData>
  <autoFilter ref="A1:I43" xr:uid="{59B5E286-DB17-424D-842F-2813A5AC50B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F87C-35E8-477C-9FF5-66B493A9D5F7}">
  <dimension ref="A1:H12"/>
  <sheetViews>
    <sheetView tabSelected="1" topLeftCell="D1" zoomScale="160" zoomScaleNormal="160" workbookViewId="0">
      <selection activeCell="H11" sqref="H11"/>
    </sheetView>
  </sheetViews>
  <sheetFormatPr baseColWidth="10" defaultRowHeight="14.4" x14ac:dyDescent="0.3"/>
  <cols>
    <col min="1" max="1" width="16.5546875" bestFit="1" customWidth="1"/>
    <col min="2" max="2" width="13.44140625" bestFit="1" customWidth="1"/>
    <col min="3" max="3" width="21.21875" bestFit="1" customWidth="1"/>
    <col min="4" max="4" width="10.21875" customWidth="1"/>
    <col min="5" max="5" width="5.109375" bestFit="1" customWidth="1"/>
    <col min="6" max="6" width="8" bestFit="1" customWidth="1"/>
    <col min="7" max="7" width="11.88671875" bestFit="1" customWidth="1"/>
    <col min="8" max="8" width="87.5546875" bestFit="1" customWidth="1"/>
  </cols>
  <sheetData>
    <row r="1" spans="1:8" x14ac:dyDescent="0.3">
      <c r="A1" s="51" t="s">
        <v>77</v>
      </c>
      <c r="B1" s="32" t="s">
        <v>123</v>
      </c>
      <c r="C1" s="51" t="s">
        <v>107</v>
      </c>
      <c r="D1" s="51" t="s">
        <v>208</v>
      </c>
      <c r="E1" s="51" t="s">
        <v>209</v>
      </c>
      <c r="F1" s="51" t="s">
        <v>210</v>
      </c>
      <c r="G1" s="51" t="s">
        <v>146</v>
      </c>
      <c r="H1" s="51" t="s">
        <v>212</v>
      </c>
    </row>
    <row r="2" spans="1:8" x14ac:dyDescent="0.3">
      <c r="A2" s="1" t="s">
        <v>92</v>
      </c>
      <c r="B2" s="1" t="s">
        <v>124</v>
      </c>
      <c r="C2" t="s">
        <v>19</v>
      </c>
      <c r="D2" s="93">
        <v>0.3362548335233928</v>
      </c>
      <c r="E2" s="47">
        <v>0.29274759673723305</v>
      </c>
      <c r="F2" s="47">
        <v>-0.28046279426888643</v>
      </c>
      <c r="G2" s="47">
        <v>0.12134199887204922</v>
      </c>
      <c r="H2" s="55" t="s">
        <v>277</v>
      </c>
    </row>
    <row r="3" spans="1:8" x14ac:dyDescent="0.3">
      <c r="A3" s="1" t="s">
        <v>92</v>
      </c>
      <c r="B3" s="1" t="s">
        <v>124</v>
      </c>
      <c r="C3" t="s">
        <v>48</v>
      </c>
      <c r="D3" s="47">
        <v>0</v>
      </c>
      <c r="E3" s="47">
        <v>0</v>
      </c>
      <c r="F3" s="47">
        <v>0</v>
      </c>
      <c r="G3" s="47">
        <v>0</v>
      </c>
      <c r="H3" s="55" t="s">
        <v>214</v>
      </c>
    </row>
    <row r="4" spans="1:8" x14ac:dyDescent="0.3">
      <c r="A4" s="1" t="s">
        <v>92</v>
      </c>
      <c r="B4" s="1" t="s">
        <v>124</v>
      </c>
      <c r="C4" t="s">
        <v>51</v>
      </c>
      <c r="D4" s="47">
        <v>0.25525505467887677</v>
      </c>
      <c r="E4" s="47">
        <v>0.27872535901356144</v>
      </c>
      <c r="F4" s="47">
        <v>-0.20030750176962442</v>
      </c>
      <c r="G4" s="47">
        <v>0.10006181197463393</v>
      </c>
      <c r="H4" t="s">
        <v>278</v>
      </c>
    </row>
    <row r="5" spans="1:8" x14ac:dyDescent="0.3">
      <c r="A5" s="1" t="s">
        <v>92</v>
      </c>
      <c r="B5" s="1" t="s">
        <v>125</v>
      </c>
      <c r="C5" t="s">
        <v>45</v>
      </c>
      <c r="D5" s="47">
        <v>9.6545863916234653E-2</v>
      </c>
      <c r="E5" s="47">
        <v>0.47519574228083017</v>
      </c>
      <c r="F5" s="47">
        <v>-0.29885970417279417</v>
      </c>
      <c r="G5" s="47">
        <v>1.9792431676710853E-2</v>
      </c>
      <c r="H5" t="s">
        <v>279</v>
      </c>
    </row>
    <row r="6" spans="1:8" x14ac:dyDescent="0.3">
      <c r="A6" s="1" t="s">
        <v>92</v>
      </c>
      <c r="B6" s="1" t="s">
        <v>125</v>
      </c>
      <c r="C6" t="s">
        <v>46</v>
      </c>
      <c r="D6" s="47">
        <v>1.2062485578098858E-2</v>
      </c>
      <c r="E6" s="47">
        <v>-0.1471076405152969</v>
      </c>
      <c r="F6" s="47">
        <v>-0.29962613654331027</v>
      </c>
      <c r="G6" s="47">
        <v>-0.10080266692477835</v>
      </c>
      <c r="H6" t="s">
        <v>280</v>
      </c>
    </row>
    <row r="7" spans="1:8" x14ac:dyDescent="0.3">
      <c r="A7" s="1" t="s">
        <v>92</v>
      </c>
      <c r="B7" s="1" t="s">
        <v>125</v>
      </c>
      <c r="C7" t="s">
        <v>49</v>
      </c>
      <c r="D7" s="47">
        <v>0.24706486982131581</v>
      </c>
      <c r="E7" s="47">
        <v>0.54099834207183628</v>
      </c>
      <c r="F7" s="47">
        <v>-0.17103945165964218</v>
      </c>
      <c r="G7" s="47">
        <v>0.13434310401352967</v>
      </c>
      <c r="H7" s="55" t="s">
        <v>214</v>
      </c>
    </row>
    <row r="8" spans="1:8" x14ac:dyDescent="0.3">
      <c r="A8" s="1" t="s">
        <v>92</v>
      </c>
      <c r="B8" s="1" t="s">
        <v>127</v>
      </c>
      <c r="C8" t="s">
        <v>43</v>
      </c>
      <c r="D8" s="47">
        <v>-0.11424969127130269</v>
      </c>
      <c r="E8" s="47">
        <v>4.2424873207544289E-2</v>
      </c>
      <c r="F8" s="47">
        <v>-0.46497877184390779</v>
      </c>
      <c r="G8" s="47">
        <v>-0.19545655374992554</v>
      </c>
      <c r="H8" s="55" t="s">
        <v>281</v>
      </c>
    </row>
    <row r="9" spans="1:8" x14ac:dyDescent="0.3">
      <c r="A9" s="1" t="s">
        <v>92</v>
      </c>
      <c r="B9" s="1" t="s">
        <v>127</v>
      </c>
      <c r="C9" t="s">
        <v>44</v>
      </c>
      <c r="D9" s="47">
        <v>0</v>
      </c>
      <c r="E9" s="47">
        <v>0</v>
      </c>
      <c r="F9" s="47">
        <v>0</v>
      </c>
      <c r="G9" s="47">
        <v>0</v>
      </c>
      <c r="H9" t="s">
        <v>285</v>
      </c>
    </row>
    <row r="10" spans="1:8" x14ac:dyDescent="0.3">
      <c r="A10" s="1" t="s">
        <v>92</v>
      </c>
      <c r="B10" s="1" t="s">
        <v>127</v>
      </c>
      <c r="C10" t="s">
        <v>47</v>
      </c>
      <c r="D10" s="47">
        <v>0.13555846911695757</v>
      </c>
      <c r="E10" s="47">
        <v>0.16336293037403959</v>
      </c>
      <c r="F10" s="47">
        <v>-0.40727538181234257</v>
      </c>
      <c r="G10" s="47">
        <v>-2.489210897415528E-2</v>
      </c>
      <c r="H10" s="55" t="s">
        <v>214</v>
      </c>
    </row>
    <row r="11" spans="1:8" x14ac:dyDescent="0.3">
      <c r="A11" s="2" t="s">
        <v>92</v>
      </c>
      <c r="B11" s="1" t="s">
        <v>126</v>
      </c>
      <c r="C11" t="s">
        <v>50</v>
      </c>
      <c r="D11" s="47">
        <v>1.9978241619492909E-2</v>
      </c>
      <c r="E11" s="47">
        <v>-1.8816666395712334E-3</v>
      </c>
      <c r="F11" s="47">
        <v>-0.4158641537425446</v>
      </c>
      <c r="G11" s="47">
        <v>-0.12053197341676225</v>
      </c>
      <c r="H11" t="s">
        <v>286</v>
      </c>
    </row>
    <row r="12" spans="1:8" x14ac:dyDescent="0.3">
      <c r="A12" s="52" t="s">
        <v>146</v>
      </c>
      <c r="B12" s="52"/>
      <c r="C12" s="52"/>
      <c r="D12" s="53">
        <v>0.24579621090057313</v>
      </c>
      <c r="E12" s="53">
        <v>0.37060096076705196</v>
      </c>
      <c r="F12" s="53">
        <v>-0.21028949117811391</v>
      </c>
      <c r="G12" s="53">
        <v>0.11740886041126397</v>
      </c>
      <c r="H12" s="5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8855-3757-4E05-BBC9-5C1F1AF409BF}">
  <dimension ref="A1:W144"/>
  <sheetViews>
    <sheetView zoomScale="70" zoomScaleNormal="70" workbookViewId="0">
      <selection activeCell="L14" sqref="L14"/>
    </sheetView>
  </sheetViews>
  <sheetFormatPr baseColWidth="10" defaultRowHeight="14.4" x14ac:dyDescent="0.3"/>
  <cols>
    <col min="1" max="1" width="41.33203125" bestFit="1" customWidth="1"/>
    <col min="5" max="5" width="12.44140625" customWidth="1"/>
    <col min="8" max="8" width="20.5546875" bestFit="1" customWidth="1"/>
    <col min="11" max="11" width="13.33203125" customWidth="1"/>
    <col min="12" max="12" width="22.44140625" customWidth="1"/>
    <col min="13" max="13" width="18.6640625" customWidth="1"/>
  </cols>
  <sheetData>
    <row r="1" spans="1:13" ht="42" thickBot="1" x14ac:dyDescent="0.35">
      <c r="A1" s="57" t="s">
        <v>215</v>
      </c>
      <c r="B1" s="57" t="s">
        <v>216</v>
      </c>
      <c r="C1" s="57" t="s">
        <v>217</v>
      </c>
      <c r="D1" s="58" t="s">
        <v>218</v>
      </c>
      <c r="E1" s="59" t="s">
        <v>219</v>
      </c>
      <c r="F1" s="60" t="s">
        <v>220</v>
      </c>
      <c r="G1" s="59" t="s">
        <v>221</v>
      </c>
      <c r="H1" s="57" t="s">
        <v>215</v>
      </c>
      <c r="I1" s="57" t="s">
        <v>222</v>
      </c>
      <c r="J1" s="61" t="s">
        <v>223</v>
      </c>
      <c r="K1" s="62" t="s">
        <v>224</v>
      </c>
    </row>
    <row r="2" spans="1:13" x14ac:dyDescent="0.3">
      <c r="A2" s="63" t="s">
        <v>79</v>
      </c>
      <c r="B2" s="63">
        <v>310</v>
      </c>
      <c r="C2" s="63" t="s">
        <v>124</v>
      </c>
      <c r="D2" s="63" t="s">
        <v>129</v>
      </c>
      <c r="E2" s="63" t="s">
        <v>120</v>
      </c>
      <c r="F2" s="63" t="s">
        <v>120</v>
      </c>
      <c r="G2" s="64" t="s">
        <v>119</v>
      </c>
      <c r="H2" s="63" t="s">
        <v>63</v>
      </c>
      <c r="I2" s="65">
        <v>2019</v>
      </c>
      <c r="J2" s="65"/>
      <c r="K2" s="66">
        <v>340907.08000000042</v>
      </c>
      <c r="L2" s="37">
        <f>K2*1.45</f>
        <v>494315.26600000059</v>
      </c>
    </row>
    <row r="3" spans="1:13" x14ac:dyDescent="0.3">
      <c r="A3" s="63" t="s">
        <v>79</v>
      </c>
      <c r="B3" s="63">
        <v>310</v>
      </c>
      <c r="C3" s="63" t="s">
        <v>124</v>
      </c>
      <c r="D3" s="63" t="s">
        <v>129</v>
      </c>
      <c r="E3" s="63" t="s">
        <v>120</v>
      </c>
      <c r="F3" s="63" t="s">
        <v>120</v>
      </c>
      <c r="G3" s="64" t="s">
        <v>119</v>
      </c>
      <c r="H3" s="63" t="s">
        <v>63</v>
      </c>
      <c r="I3" s="65">
        <v>2020</v>
      </c>
      <c r="J3" s="65"/>
      <c r="K3" s="66">
        <v>242410.78000000003</v>
      </c>
    </row>
    <row r="4" spans="1:13" x14ac:dyDescent="0.3">
      <c r="A4" s="63" t="s">
        <v>79</v>
      </c>
      <c r="B4" s="63">
        <v>310</v>
      </c>
      <c r="C4" s="63" t="s">
        <v>124</v>
      </c>
      <c r="D4" s="63" t="s">
        <v>129</v>
      </c>
      <c r="E4" s="63" t="s">
        <v>120</v>
      </c>
      <c r="F4" s="63" t="s">
        <v>120</v>
      </c>
      <c r="G4" s="64" t="s">
        <v>119</v>
      </c>
      <c r="H4" s="63" t="s">
        <v>63</v>
      </c>
      <c r="I4" s="65">
        <v>2021</v>
      </c>
      <c r="J4" s="65"/>
      <c r="K4" s="66">
        <v>245548.03000000012</v>
      </c>
      <c r="L4" s="81" t="s">
        <v>228</v>
      </c>
    </row>
    <row r="5" spans="1:13" x14ac:dyDescent="0.3">
      <c r="A5" s="67" t="s">
        <v>79</v>
      </c>
      <c r="B5" s="67">
        <v>310</v>
      </c>
      <c r="C5" s="67" t="s">
        <v>124</v>
      </c>
      <c r="D5" s="67" t="s">
        <v>129</v>
      </c>
      <c r="E5" s="67" t="s">
        <v>120</v>
      </c>
      <c r="F5" s="67" t="s">
        <v>120</v>
      </c>
      <c r="G5" s="68" t="s">
        <v>119</v>
      </c>
      <c r="H5" s="69" t="s">
        <v>63</v>
      </c>
      <c r="I5" s="70">
        <v>2022</v>
      </c>
      <c r="J5" s="71"/>
      <c r="K5" s="71">
        <v>366715.08603103447</v>
      </c>
    </row>
    <row r="6" spans="1:13" x14ac:dyDescent="0.3">
      <c r="A6" s="67" t="s">
        <v>79</v>
      </c>
      <c r="B6" s="67">
        <v>310</v>
      </c>
      <c r="C6" s="67" t="s">
        <v>124</v>
      </c>
      <c r="D6" s="67" t="s">
        <v>129</v>
      </c>
      <c r="E6" s="67" t="s">
        <v>120</v>
      </c>
      <c r="F6" s="67" t="s">
        <v>120</v>
      </c>
      <c r="G6" s="68" t="s">
        <v>119</v>
      </c>
      <c r="H6" s="69" t="s">
        <v>63</v>
      </c>
      <c r="I6" s="72" t="s">
        <v>225</v>
      </c>
      <c r="J6" s="73">
        <v>268252.15000000026</v>
      </c>
      <c r="K6" s="73">
        <v>378173.89758620714</v>
      </c>
      <c r="L6" s="37">
        <f>K6/12</f>
        <v>31514.491465517262</v>
      </c>
    </row>
    <row r="7" spans="1:13" x14ac:dyDescent="0.3">
      <c r="A7" s="67" t="s">
        <v>79</v>
      </c>
      <c r="B7" s="67">
        <v>310</v>
      </c>
      <c r="C7" s="67" t="s">
        <v>124</v>
      </c>
      <c r="D7" s="67" t="s">
        <v>129</v>
      </c>
      <c r="E7" s="67" t="s">
        <v>120</v>
      </c>
      <c r="F7" s="67" t="s">
        <v>120</v>
      </c>
      <c r="G7" s="68" t="s">
        <v>119</v>
      </c>
      <c r="H7" s="69" t="s">
        <v>63</v>
      </c>
      <c r="I7" s="70" t="s">
        <v>226</v>
      </c>
      <c r="J7" s="74">
        <v>367552.46806849109</v>
      </c>
      <c r="K7" s="71">
        <v>367552.46806849109</v>
      </c>
    </row>
    <row r="8" spans="1:13" x14ac:dyDescent="0.3">
      <c r="A8" s="67" t="s">
        <v>79</v>
      </c>
      <c r="B8" s="67">
        <v>310</v>
      </c>
      <c r="C8" s="67" t="s">
        <v>124</v>
      </c>
      <c r="D8" s="67" t="s">
        <v>129</v>
      </c>
      <c r="E8" s="67" t="s">
        <v>120</v>
      </c>
      <c r="F8" s="67" t="s">
        <v>120</v>
      </c>
      <c r="G8" s="68" t="s">
        <v>119</v>
      </c>
      <c r="H8" s="69" t="s">
        <v>63</v>
      </c>
      <c r="I8" s="70">
        <v>2023</v>
      </c>
      <c r="J8" s="70"/>
      <c r="K8" s="71">
        <v>413552.11994349858</v>
      </c>
      <c r="L8" s="80">
        <f>(K8/K9)-1</f>
        <v>5.4568608631008875E-2</v>
      </c>
      <c r="M8" t="s">
        <v>230</v>
      </c>
    </row>
    <row r="9" spans="1:13" x14ac:dyDescent="0.3">
      <c r="A9" s="75" t="s">
        <v>79</v>
      </c>
      <c r="B9" s="75">
        <v>310</v>
      </c>
      <c r="C9" s="75" t="s">
        <v>124</v>
      </c>
      <c r="D9" s="75" t="s">
        <v>129</v>
      </c>
      <c r="E9" s="75" t="s">
        <v>120</v>
      </c>
      <c r="F9" s="75" t="s">
        <v>120</v>
      </c>
      <c r="G9" s="76" t="s">
        <v>119</v>
      </c>
      <c r="H9" s="77" t="s">
        <v>63</v>
      </c>
      <c r="I9" s="78" t="s">
        <v>227</v>
      </c>
      <c r="J9" s="78"/>
      <c r="K9" s="92">
        <v>392152.88276061282</v>
      </c>
      <c r="L9" s="80">
        <f>(K9/K2)-1</f>
        <v>0.15032190812995827</v>
      </c>
      <c r="M9" t="s">
        <v>248</v>
      </c>
    </row>
    <row r="12" spans="1:13" x14ac:dyDescent="0.3">
      <c r="B12" s="81" t="s">
        <v>252</v>
      </c>
      <c r="F12" t="s">
        <v>251</v>
      </c>
    </row>
    <row r="13" spans="1:13" x14ac:dyDescent="0.3">
      <c r="B13" t="s">
        <v>229</v>
      </c>
      <c r="C13" t="s">
        <v>249</v>
      </c>
      <c r="E13" t="s">
        <v>250</v>
      </c>
    </row>
    <row r="14" spans="1:13" x14ac:dyDescent="0.3">
      <c r="A14" t="s">
        <v>231</v>
      </c>
      <c r="B14">
        <v>199</v>
      </c>
      <c r="C14">
        <v>290</v>
      </c>
      <c r="D14" s="34">
        <f>(C14/B14)-1</f>
        <v>0.45728643216080411</v>
      </c>
      <c r="E14" s="37">
        <v>290</v>
      </c>
      <c r="F14">
        <v>290</v>
      </c>
    </row>
    <row r="15" spans="1:13" x14ac:dyDescent="0.3">
      <c r="A15" t="s">
        <v>232</v>
      </c>
      <c r="B15" s="37">
        <f>K2/12</f>
        <v>28408.923333333369</v>
      </c>
      <c r="C15" s="37">
        <f>K6/12</f>
        <v>31514.491465517262</v>
      </c>
      <c r="D15" s="34">
        <f>(C15/B15)-1</f>
        <v>0.10931664307531141</v>
      </c>
      <c r="E15" s="92">
        <f>K9/12</f>
        <v>32679.406896717734</v>
      </c>
      <c r="F15">
        <f>F14*F16</f>
        <v>34800</v>
      </c>
      <c r="G15" s="97">
        <f>(F15/B15)-1</f>
        <v>0.22496722567334038</v>
      </c>
      <c r="H15" s="37"/>
    </row>
    <row r="16" spans="1:13" x14ac:dyDescent="0.3">
      <c r="A16" t="s">
        <v>233</v>
      </c>
      <c r="B16" s="95">
        <f>B15/B14</f>
        <v>142.75840871021794</v>
      </c>
      <c r="C16" s="95">
        <f>C15/C14</f>
        <v>108.67066022592159</v>
      </c>
      <c r="E16" s="95">
        <f>E15/E14</f>
        <v>112.68760998868184</v>
      </c>
      <c r="F16" s="81">
        <v>120</v>
      </c>
    </row>
    <row r="32" spans="1:11" ht="42" thickBot="1" x14ac:dyDescent="0.35">
      <c r="A32" s="57" t="s">
        <v>215</v>
      </c>
      <c r="B32" s="57" t="s">
        <v>216</v>
      </c>
      <c r="C32" s="57" t="s">
        <v>217</v>
      </c>
      <c r="D32" s="58" t="s">
        <v>218</v>
      </c>
      <c r="E32" s="59" t="s">
        <v>219</v>
      </c>
      <c r="F32" s="60" t="s">
        <v>220</v>
      </c>
      <c r="G32" s="59" t="s">
        <v>221</v>
      </c>
      <c r="H32" s="57" t="s">
        <v>215</v>
      </c>
      <c r="I32" s="57" t="s">
        <v>222</v>
      </c>
      <c r="J32" s="61" t="s">
        <v>223</v>
      </c>
      <c r="K32" s="62" t="s">
        <v>224</v>
      </c>
    </row>
    <row r="33" spans="1:13" x14ac:dyDescent="0.3">
      <c r="A33" s="63" t="s">
        <v>79</v>
      </c>
      <c r="B33" s="63">
        <v>304</v>
      </c>
      <c r="C33" s="63" t="s">
        <v>124</v>
      </c>
      <c r="D33" s="63" t="s">
        <v>129</v>
      </c>
      <c r="E33" s="63" t="s">
        <v>120</v>
      </c>
      <c r="F33" s="63" t="s">
        <v>120</v>
      </c>
      <c r="G33" s="63" t="s">
        <v>120</v>
      </c>
      <c r="H33" s="63" t="s">
        <v>61</v>
      </c>
      <c r="I33" s="65">
        <v>2019</v>
      </c>
      <c r="J33" s="65"/>
      <c r="K33" s="66">
        <v>732997.27000000118</v>
      </c>
      <c r="M33" s="37">
        <f>K33/12</f>
        <v>61083.105833333429</v>
      </c>
    </row>
    <row r="34" spans="1:13" x14ac:dyDescent="0.3">
      <c r="A34" s="63" t="s">
        <v>79</v>
      </c>
      <c r="B34" s="63">
        <v>304</v>
      </c>
      <c r="C34" s="63" t="s">
        <v>124</v>
      </c>
      <c r="D34" s="63" t="s">
        <v>129</v>
      </c>
      <c r="E34" s="63" t="s">
        <v>120</v>
      </c>
      <c r="F34" s="63" t="s">
        <v>120</v>
      </c>
      <c r="G34" s="63" t="s">
        <v>120</v>
      </c>
      <c r="H34" s="63" t="s">
        <v>61</v>
      </c>
      <c r="I34" s="65">
        <v>2020</v>
      </c>
      <c r="J34" s="65"/>
      <c r="K34" s="66">
        <v>562433.52000000118</v>
      </c>
      <c r="M34" s="37">
        <f>K34/12</f>
        <v>46869.460000000101</v>
      </c>
    </row>
    <row r="35" spans="1:13" x14ac:dyDescent="0.3">
      <c r="A35" s="63" t="s">
        <v>79</v>
      </c>
      <c r="B35" s="63">
        <v>304</v>
      </c>
      <c r="C35" s="63" t="s">
        <v>124</v>
      </c>
      <c r="D35" s="63" t="s">
        <v>129</v>
      </c>
      <c r="E35" s="63" t="s">
        <v>120</v>
      </c>
      <c r="F35" s="63" t="s">
        <v>120</v>
      </c>
      <c r="G35" s="63" t="s">
        <v>120</v>
      </c>
      <c r="H35" s="63" t="s">
        <v>61</v>
      </c>
      <c r="I35" s="65">
        <v>2021</v>
      </c>
      <c r="J35" s="65"/>
      <c r="K35" s="66">
        <v>588894.29000000097</v>
      </c>
      <c r="M35" s="94">
        <f>K35/12</f>
        <v>49074.52416666675</v>
      </c>
    </row>
    <row r="36" spans="1:13" x14ac:dyDescent="0.3">
      <c r="A36" s="67" t="s">
        <v>79</v>
      </c>
      <c r="B36" s="67">
        <v>304</v>
      </c>
      <c r="C36" s="67" t="s">
        <v>124</v>
      </c>
      <c r="D36" s="67" t="s">
        <v>129</v>
      </c>
      <c r="E36" s="67" t="s">
        <v>120</v>
      </c>
      <c r="F36" s="67" t="s">
        <v>120</v>
      </c>
      <c r="G36" s="67" t="s">
        <v>120</v>
      </c>
      <c r="H36" s="69" t="s">
        <v>61</v>
      </c>
      <c r="I36" s="70">
        <v>2022</v>
      </c>
      <c r="J36" s="71"/>
      <c r="K36" s="71">
        <v>566757.90028333326</v>
      </c>
    </row>
    <row r="37" spans="1:13" x14ac:dyDescent="0.3">
      <c r="A37" s="67" t="s">
        <v>79</v>
      </c>
      <c r="B37" s="67">
        <v>304</v>
      </c>
      <c r="C37" s="67" t="s">
        <v>124</v>
      </c>
      <c r="D37" s="67" t="s">
        <v>129</v>
      </c>
      <c r="E37" s="67" t="s">
        <v>120</v>
      </c>
      <c r="F37" s="67" t="s">
        <v>120</v>
      </c>
      <c r="G37" s="67" t="s">
        <v>120</v>
      </c>
      <c r="H37" s="69" t="s">
        <v>61</v>
      </c>
      <c r="I37" s="72" t="s">
        <v>225</v>
      </c>
      <c r="J37" s="73">
        <v>321299.30000000016</v>
      </c>
      <c r="K37" s="73">
        <v>482514.25724137947</v>
      </c>
      <c r="L37" s="81" t="s">
        <v>234</v>
      </c>
    </row>
    <row r="38" spans="1:13" x14ac:dyDescent="0.3">
      <c r="A38" s="67" t="s">
        <v>79</v>
      </c>
      <c r="B38" s="67">
        <v>304</v>
      </c>
      <c r="C38" s="67" t="s">
        <v>124</v>
      </c>
      <c r="D38" s="67" t="s">
        <v>129</v>
      </c>
      <c r="E38" s="67" t="s">
        <v>120</v>
      </c>
      <c r="F38" s="67" t="s">
        <v>120</v>
      </c>
      <c r="G38" s="67" t="s">
        <v>120</v>
      </c>
      <c r="H38" s="69" t="s">
        <v>61</v>
      </c>
      <c r="I38" s="70" t="s">
        <v>226</v>
      </c>
      <c r="J38" s="74">
        <v>502925.23917807802</v>
      </c>
      <c r="K38" s="71">
        <v>502925.23917807802</v>
      </c>
    </row>
    <row r="39" spans="1:13" x14ac:dyDescent="0.3">
      <c r="A39" s="67" t="s">
        <v>79</v>
      </c>
      <c r="B39" s="67">
        <v>304</v>
      </c>
      <c r="C39" s="67" t="s">
        <v>124</v>
      </c>
      <c r="D39" s="67" t="s">
        <v>129</v>
      </c>
      <c r="E39" s="67" t="s">
        <v>120</v>
      </c>
      <c r="F39" s="67" t="s">
        <v>120</v>
      </c>
      <c r="G39" s="67" t="s">
        <v>120</v>
      </c>
      <c r="H39" s="69" t="s">
        <v>61</v>
      </c>
      <c r="I39" s="70">
        <v>2023</v>
      </c>
      <c r="J39" s="70"/>
      <c r="K39" s="71">
        <v>646383.33829839528</v>
      </c>
    </row>
    <row r="40" spans="1:13" x14ac:dyDescent="0.3">
      <c r="A40" s="75" t="s">
        <v>79</v>
      </c>
      <c r="B40" s="75">
        <v>304</v>
      </c>
      <c r="C40" s="75" t="s">
        <v>124</v>
      </c>
      <c r="D40" s="75" t="s">
        <v>129</v>
      </c>
      <c r="E40" s="75" t="s">
        <v>120</v>
      </c>
      <c r="F40" s="75" t="s">
        <v>120</v>
      </c>
      <c r="G40" s="75" t="s">
        <v>120</v>
      </c>
      <c r="H40" s="77" t="s">
        <v>61</v>
      </c>
      <c r="I40" s="78" t="s">
        <v>227</v>
      </c>
      <c r="J40" s="78"/>
      <c r="K40" s="79">
        <v>601708.70417507261</v>
      </c>
      <c r="L40" s="80"/>
    </row>
    <row r="44" spans="1:13" x14ac:dyDescent="0.3">
      <c r="A44" t="s">
        <v>235</v>
      </c>
    </row>
    <row r="45" spans="1:13" x14ac:dyDescent="0.3">
      <c r="A45" t="s">
        <v>236</v>
      </c>
    </row>
    <row r="55" spans="1:23" ht="42" thickBot="1" x14ac:dyDescent="0.35">
      <c r="A55" s="57" t="s">
        <v>215</v>
      </c>
      <c r="B55" s="57" t="s">
        <v>216</v>
      </c>
      <c r="C55" s="57" t="s">
        <v>217</v>
      </c>
      <c r="D55" s="58" t="s">
        <v>218</v>
      </c>
      <c r="E55" s="59" t="s">
        <v>219</v>
      </c>
      <c r="F55" s="60" t="s">
        <v>220</v>
      </c>
      <c r="G55" s="59" t="s">
        <v>221</v>
      </c>
      <c r="H55" s="57" t="s">
        <v>215</v>
      </c>
      <c r="I55" s="57" t="s">
        <v>222</v>
      </c>
      <c r="J55" s="61" t="s">
        <v>223</v>
      </c>
      <c r="K55" s="82" t="s">
        <v>224</v>
      </c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</row>
    <row r="56" spans="1:23" x14ac:dyDescent="0.3">
      <c r="A56" s="63" t="s">
        <v>79</v>
      </c>
      <c r="B56" s="63">
        <v>206</v>
      </c>
      <c r="C56" s="63" t="s">
        <v>125</v>
      </c>
      <c r="D56" s="63" t="s">
        <v>134</v>
      </c>
      <c r="E56" s="63" t="s">
        <v>120</v>
      </c>
      <c r="F56" s="63" t="s">
        <v>120</v>
      </c>
      <c r="G56" s="63" t="s">
        <v>119</v>
      </c>
      <c r="H56" s="63" t="s">
        <v>18</v>
      </c>
      <c r="I56" s="65">
        <v>2019</v>
      </c>
      <c r="J56" s="65"/>
      <c r="K56" s="83">
        <v>865405.80000000214</v>
      </c>
      <c r="L56" s="88"/>
      <c r="M56" s="37">
        <f t="shared" ref="M56:M63" si="0">K56/12</f>
        <v>72117.150000000183</v>
      </c>
      <c r="N56" s="88"/>
      <c r="O56" s="88"/>
      <c r="P56" s="88"/>
      <c r="Q56" s="88"/>
      <c r="R56" s="88"/>
      <c r="S56" s="88"/>
      <c r="T56" s="88"/>
      <c r="U56" s="88"/>
      <c r="V56" s="88"/>
      <c r="W56" s="88"/>
    </row>
    <row r="57" spans="1:23" x14ac:dyDescent="0.3">
      <c r="A57" s="63" t="s">
        <v>79</v>
      </c>
      <c r="B57" s="63">
        <v>206</v>
      </c>
      <c r="C57" s="63" t="s">
        <v>125</v>
      </c>
      <c r="D57" s="63" t="s">
        <v>134</v>
      </c>
      <c r="E57" s="63" t="s">
        <v>120</v>
      </c>
      <c r="F57" s="63" t="s">
        <v>120</v>
      </c>
      <c r="G57" s="63" t="s">
        <v>119</v>
      </c>
      <c r="H57" s="63" t="s">
        <v>18</v>
      </c>
      <c r="I57" s="65">
        <v>2020</v>
      </c>
      <c r="J57" s="65"/>
      <c r="K57" s="83">
        <v>744501.76000000141</v>
      </c>
      <c r="L57" s="88"/>
      <c r="M57" s="37">
        <f t="shared" si="0"/>
        <v>62041.813333333448</v>
      </c>
      <c r="N57" s="88"/>
      <c r="O57" s="88"/>
      <c r="P57" s="88"/>
      <c r="Q57" s="88"/>
      <c r="R57" s="88"/>
      <c r="S57" s="88"/>
      <c r="T57" s="88"/>
      <c r="U57" s="88"/>
      <c r="V57" s="88"/>
      <c r="W57" s="88"/>
    </row>
    <row r="58" spans="1:23" x14ac:dyDescent="0.3">
      <c r="A58" s="63" t="s">
        <v>79</v>
      </c>
      <c r="B58" s="63">
        <v>206</v>
      </c>
      <c r="C58" s="63" t="s">
        <v>125</v>
      </c>
      <c r="D58" s="63" t="s">
        <v>134</v>
      </c>
      <c r="E58" s="63" t="s">
        <v>120</v>
      </c>
      <c r="F58" s="63" t="s">
        <v>120</v>
      </c>
      <c r="G58" s="63" t="s">
        <v>119</v>
      </c>
      <c r="H58" s="63" t="s">
        <v>18</v>
      </c>
      <c r="I58" s="65">
        <v>2021</v>
      </c>
      <c r="J58" s="65"/>
      <c r="K58" s="83">
        <v>703527.18000000133</v>
      </c>
      <c r="L58" s="91" t="s">
        <v>239</v>
      </c>
      <c r="M58" s="101">
        <f t="shared" si="0"/>
        <v>58627.265000000109</v>
      </c>
      <c r="N58" s="88"/>
      <c r="O58" s="88"/>
      <c r="P58" s="88"/>
      <c r="Q58" s="88"/>
      <c r="R58" s="88"/>
      <c r="S58" s="88"/>
      <c r="T58" s="88"/>
      <c r="U58" s="88"/>
      <c r="V58" s="88"/>
      <c r="W58" s="88"/>
    </row>
    <row r="59" spans="1:23" x14ac:dyDescent="0.3">
      <c r="A59" s="67" t="s">
        <v>79</v>
      </c>
      <c r="B59" s="67">
        <v>206</v>
      </c>
      <c r="C59" s="67" t="s">
        <v>125</v>
      </c>
      <c r="D59" s="67" t="s">
        <v>134</v>
      </c>
      <c r="E59" s="67" t="s">
        <v>120</v>
      </c>
      <c r="F59" s="67" t="s">
        <v>120</v>
      </c>
      <c r="G59" s="67" t="s">
        <v>119</v>
      </c>
      <c r="H59" s="69" t="s">
        <v>18</v>
      </c>
      <c r="I59" s="70">
        <v>2022</v>
      </c>
      <c r="J59" s="71"/>
      <c r="K59" s="84">
        <v>855668.67437600018</v>
      </c>
      <c r="L59" s="88"/>
      <c r="M59" s="37">
        <f t="shared" si="0"/>
        <v>71305.722864666677</v>
      </c>
      <c r="N59" s="88"/>
      <c r="O59" s="88"/>
      <c r="P59" s="88"/>
      <c r="Q59" s="88"/>
      <c r="R59" s="88"/>
      <c r="S59" s="88"/>
      <c r="T59" s="88"/>
      <c r="U59" s="88"/>
      <c r="V59" s="88"/>
      <c r="W59" s="88"/>
    </row>
    <row r="60" spans="1:23" x14ac:dyDescent="0.3">
      <c r="A60" s="67" t="s">
        <v>79</v>
      </c>
      <c r="B60" s="67">
        <v>206</v>
      </c>
      <c r="C60" s="67" t="s">
        <v>125</v>
      </c>
      <c r="D60" s="67" t="s">
        <v>134</v>
      </c>
      <c r="E60" s="67" t="s">
        <v>120</v>
      </c>
      <c r="F60" s="67" t="s">
        <v>120</v>
      </c>
      <c r="G60" s="67" t="s">
        <v>119</v>
      </c>
      <c r="H60" s="69" t="s">
        <v>18</v>
      </c>
      <c r="I60" s="72" t="s">
        <v>225</v>
      </c>
      <c r="J60" s="73">
        <v>632630.20000000054</v>
      </c>
      <c r="K60" s="85">
        <v>892632.23678160971</v>
      </c>
      <c r="L60" s="89"/>
      <c r="M60" s="37">
        <f t="shared" si="0"/>
        <v>74386.019731800814</v>
      </c>
      <c r="N60" s="102">
        <f>(M60/M56)-1</f>
        <v>3.1460890118378604E-2</v>
      </c>
      <c r="O60" s="89"/>
      <c r="P60" s="89"/>
      <c r="Q60" s="89"/>
      <c r="R60" s="89"/>
      <c r="S60" s="89"/>
      <c r="T60" s="89"/>
      <c r="U60" s="89"/>
      <c r="V60" s="88"/>
      <c r="W60" s="88"/>
    </row>
    <row r="61" spans="1:23" x14ac:dyDescent="0.3">
      <c r="A61" s="67" t="s">
        <v>79</v>
      </c>
      <c r="B61" s="67">
        <v>206</v>
      </c>
      <c r="C61" s="67" t="s">
        <v>125</v>
      </c>
      <c r="D61" s="67" t="s">
        <v>134</v>
      </c>
      <c r="E61" s="67" t="s">
        <v>120</v>
      </c>
      <c r="F61" s="67" t="s">
        <v>120</v>
      </c>
      <c r="G61" s="67" t="s">
        <v>119</v>
      </c>
      <c r="H61" s="69" t="s">
        <v>18</v>
      </c>
      <c r="I61" s="70" t="s">
        <v>226</v>
      </c>
      <c r="J61" s="74">
        <v>875472.6051770777</v>
      </c>
      <c r="K61" s="84">
        <v>875472.6051770777</v>
      </c>
      <c r="L61" s="88"/>
      <c r="M61" s="37">
        <f t="shared" si="0"/>
        <v>72956.050431423137</v>
      </c>
      <c r="N61" s="103"/>
      <c r="O61" s="88"/>
      <c r="P61" s="88"/>
      <c r="Q61" s="88"/>
      <c r="R61" s="88"/>
      <c r="S61" s="88"/>
      <c r="T61" s="88"/>
      <c r="U61" s="88"/>
      <c r="V61" s="88"/>
      <c r="W61" s="88"/>
    </row>
    <row r="62" spans="1:23" x14ac:dyDescent="0.3">
      <c r="A62" s="67" t="s">
        <v>79</v>
      </c>
      <c r="B62" s="67">
        <v>206</v>
      </c>
      <c r="C62" s="67" t="s">
        <v>125</v>
      </c>
      <c r="D62" s="67" t="s">
        <v>134</v>
      </c>
      <c r="E62" s="67" t="s">
        <v>120</v>
      </c>
      <c r="F62" s="67" t="s">
        <v>120</v>
      </c>
      <c r="G62" s="67" t="s">
        <v>119</v>
      </c>
      <c r="H62" s="69" t="s">
        <v>18</v>
      </c>
      <c r="I62" s="70">
        <v>2023</v>
      </c>
      <c r="J62" s="70"/>
      <c r="K62" s="84">
        <v>944166.63997051003</v>
      </c>
      <c r="L62" s="90"/>
      <c r="M62" s="37">
        <f t="shared" si="0"/>
        <v>78680.553330875831</v>
      </c>
      <c r="N62" s="102">
        <f>(M62/M56)-1</f>
        <v>9.1010298256040789E-2</v>
      </c>
      <c r="O62" s="90"/>
      <c r="P62" s="90"/>
      <c r="Q62" s="90"/>
      <c r="R62" s="90"/>
      <c r="S62" s="90"/>
      <c r="T62" s="90"/>
      <c r="U62" s="90"/>
      <c r="V62" s="90"/>
      <c r="W62" s="90"/>
    </row>
    <row r="63" spans="1:23" x14ac:dyDescent="0.3">
      <c r="A63" s="75" t="s">
        <v>79</v>
      </c>
      <c r="B63" s="75">
        <v>206</v>
      </c>
      <c r="C63" s="75" t="s">
        <v>125</v>
      </c>
      <c r="D63" s="75" t="s">
        <v>134</v>
      </c>
      <c r="E63" s="75" t="s">
        <v>120</v>
      </c>
      <c r="F63" s="75" t="s">
        <v>120</v>
      </c>
      <c r="G63" s="75" t="s">
        <v>119</v>
      </c>
      <c r="H63" s="77" t="s">
        <v>18</v>
      </c>
      <c r="I63" s="78" t="s">
        <v>227</v>
      </c>
      <c r="J63" s="78"/>
      <c r="K63" s="86">
        <v>903054.30507689621</v>
      </c>
      <c r="L63" s="90"/>
      <c r="M63" s="37">
        <f t="shared" si="0"/>
        <v>75254.52542307468</v>
      </c>
      <c r="N63" s="102">
        <f>(M63/M56)-1</f>
        <v>4.350387422512525E-2</v>
      </c>
      <c r="O63" s="90"/>
      <c r="P63" s="90"/>
      <c r="Q63" s="90"/>
      <c r="R63" s="90"/>
      <c r="S63" s="90"/>
      <c r="T63" s="90"/>
      <c r="U63" s="90"/>
      <c r="V63" s="90"/>
      <c r="W63" s="90"/>
    </row>
    <row r="66" spans="1:4" x14ac:dyDescent="0.3">
      <c r="C66" s="100">
        <f>(C68/B68)-1</f>
        <v>0.43312101910828016</v>
      </c>
    </row>
    <row r="67" spans="1:4" x14ac:dyDescent="0.3">
      <c r="B67" t="s">
        <v>229</v>
      </c>
      <c r="C67" t="s">
        <v>249</v>
      </c>
      <c r="D67">
        <v>2023</v>
      </c>
    </row>
    <row r="68" spans="1:4" x14ac:dyDescent="0.3">
      <c r="A68" t="s">
        <v>231</v>
      </c>
      <c r="B68">
        <v>157</v>
      </c>
      <c r="C68">
        <v>225</v>
      </c>
      <c r="D68">
        <v>225</v>
      </c>
    </row>
    <row r="69" spans="1:4" x14ac:dyDescent="0.3">
      <c r="A69" t="s">
        <v>232</v>
      </c>
      <c r="B69" s="37">
        <f>M57</f>
        <v>62041.813333333448</v>
      </c>
      <c r="C69" s="37">
        <f>M60</f>
        <v>74386.019731800814</v>
      </c>
      <c r="D69" s="37">
        <f>M62</f>
        <v>78680.553330875831</v>
      </c>
    </row>
    <row r="70" spans="1:4" x14ac:dyDescent="0.3">
      <c r="A70" t="s">
        <v>233</v>
      </c>
      <c r="B70" s="95">
        <f>B69/B68</f>
        <v>395.17078556263345</v>
      </c>
      <c r="C70" s="95">
        <f>C69/C68</f>
        <v>330.60453214133696</v>
      </c>
      <c r="D70" s="95">
        <f>D69/D68</f>
        <v>349.69134813722593</v>
      </c>
    </row>
    <row r="71" spans="1:4" x14ac:dyDescent="0.3">
      <c r="C71" s="98">
        <f>(C70/B70)-1</f>
        <v>-0.16338822549690457</v>
      </c>
      <c r="D71" s="98">
        <f>(D70/B70)-1</f>
        <v>-0.11508805581529802</v>
      </c>
    </row>
    <row r="73" spans="1:4" x14ac:dyDescent="0.3">
      <c r="C73" s="99">
        <f>(C69/B69)-1</f>
        <v>0.19896591887386283</v>
      </c>
      <c r="D73" s="99">
        <f>(D69/B69)-1</f>
        <v>0.26818590727106972</v>
      </c>
    </row>
    <row r="78" spans="1:4" x14ac:dyDescent="0.3">
      <c r="A78" s="1" t="s">
        <v>256</v>
      </c>
    </row>
    <row r="81" spans="1:14" ht="42" thickBot="1" x14ac:dyDescent="0.35">
      <c r="A81" s="57" t="s">
        <v>215</v>
      </c>
      <c r="B81" s="57" t="s">
        <v>216</v>
      </c>
      <c r="C81" s="57" t="s">
        <v>217</v>
      </c>
      <c r="D81" s="58" t="s">
        <v>218</v>
      </c>
      <c r="E81" s="59" t="s">
        <v>219</v>
      </c>
      <c r="F81" s="60" t="s">
        <v>220</v>
      </c>
      <c r="G81" s="59" t="s">
        <v>221</v>
      </c>
      <c r="H81" s="57" t="s">
        <v>215</v>
      </c>
      <c r="I81" s="57" t="s">
        <v>222</v>
      </c>
      <c r="J81" s="61" t="s">
        <v>223</v>
      </c>
      <c r="K81" s="62" t="s">
        <v>224</v>
      </c>
      <c r="L81" t="s">
        <v>254</v>
      </c>
    </row>
    <row r="82" spans="1:14" x14ac:dyDescent="0.3">
      <c r="A82" s="63" t="s">
        <v>79</v>
      </c>
      <c r="B82" s="63">
        <v>210</v>
      </c>
      <c r="C82" s="63" t="s">
        <v>125</v>
      </c>
      <c r="D82" s="63" t="s">
        <v>129</v>
      </c>
      <c r="E82" s="63" t="s">
        <v>120</v>
      </c>
      <c r="F82" s="63" t="s">
        <v>120</v>
      </c>
      <c r="G82" s="64" t="s">
        <v>119</v>
      </c>
      <c r="H82" s="63" t="s">
        <v>2</v>
      </c>
      <c r="I82" s="65">
        <v>2019</v>
      </c>
      <c r="J82" s="65"/>
      <c r="K82" s="66">
        <v>607341.30000000086</v>
      </c>
      <c r="L82" s="37">
        <f>K82/12</f>
        <v>50611.775000000074</v>
      </c>
    </row>
    <row r="83" spans="1:14" x14ac:dyDescent="0.3">
      <c r="A83" s="63" t="s">
        <v>79</v>
      </c>
      <c r="B83" s="63">
        <v>210</v>
      </c>
      <c r="C83" s="63" t="s">
        <v>125</v>
      </c>
      <c r="D83" s="63" t="s">
        <v>129</v>
      </c>
      <c r="E83" s="63" t="s">
        <v>120</v>
      </c>
      <c r="F83" s="63" t="s">
        <v>120</v>
      </c>
      <c r="G83" s="64" t="s">
        <v>119</v>
      </c>
      <c r="H83" s="63" t="s">
        <v>2</v>
      </c>
      <c r="I83" s="65">
        <v>2020</v>
      </c>
      <c r="J83" s="65"/>
      <c r="K83" s="66">
        <v>432522.66000000044</v>
      </c>
      <c r="L83" s="37">
        <f>K83/12</f>
        <v>36043.555000000037</v>
      </c>
    </row>
    <row r="84" spans="1:14" x14ac:dyDescent="0.3">
      <c r="A84" s="63" t="s">
        <v>79</v>
      </c>
      <c r="B84" s="63">
        <v>210</v>
      </c>
      <c r="C84" s="63" t="s">
        <v>125</v>
      </c>
      <c r="D84" s="63" t="s">
        <v>129</v>
      </c>
      <c r="E84" s="63" t="s">
        <v>120</v>
      </c>
      <c r="F84" s="63" t="s">
        <v>120</v>
      </c>
      <c r="G84" s="64" t="s">
        <v>119</v>
      </c>
      <c r="H84" s="63" t="s">
        <v>2</v>
      </c>
      <c r="I84" s="65">
        <v>2021</v>
      </c>
      <c r="J84" s="65"/>
      <c r="K84" s="66">
        <v>486470.36000000028</v>
      </c>
      <c r="L84" s="37">
        <f>K84/12</f>
        <v>40539.196666666692</v>
      </c>
      <c r="N84" t="s">
        <v>255</v>
      </c>
    </row>
    <row r="85" spans="1:14" x14ac:dyDescent="0.3">
      <c r="A85" s="67" t="s">
        <v>79</v>
      </c>
      <c r="B85" s="67">
        <v>210</v>
      </c>
      <c r="C85" s="67" t="s">
        <v>125</v>
      </c>
      <c r="D85" s="67" t="s">
        <v>129</v>
      </c>
      <c r="E85" s="67" t="s">
        <v>120</v>
      </c>
      <c r="F85" s="67" t="s">
        <v>120</v>
      </c>
      <c r="G85" s="68" t="s">
        <v>119</v>
      </c>
      <c r="H85" s="69" t="s">
        <v>2</v>
      </c>
      <c r="I85" s="70">
        <v>2022</v>
      </c>
      <c r="J85" s="71"/>
      <c r="K85" s="71">
        <v>498616.31779999973</v>
      </c>
      <c r="L85" s="37"/>
    </row>
    <row r="86" spans="1:14" x14ac:dyDescent="0.3">
      <c r="A86" s="67" t="s">
        <v>79</v>
      </c>
      <c r="B86" s="67">
        <v>210</v>
      </c>
      <c r="C86" s="67" t="s">
        <v>125</v>
      </c>
      <c r="D86" s="67" t="s">
        <v>129</v>
      </c>
      <c r="E86" s="67" t="s">
        <v>120</v>
      </c>
      <c r="F86" s="67" t="s">
        <v>120</v>
      </c>
      <c r="G86" s="68" t="s">
        <v>119</v>
      </c>
      <c r="H86" s="69" t="s">
        <v>2</v>
      </c>
      <c r="I86" s="72" t="s">
        <v>225</v>
      </c>
      <c r="J86" s="73">
        <v>391915.31000000029</v>
      </c>
      <c r="K86" s="73">
        <v>537001.91689655208</v>
      </c>
      <c r="L86" s="37">
        <f>K86/12</f>
        <v>44750.159741379342</v>
      </c>
      <c r="M86">
        <f>L86/L84</f>
        <v>1.1038738658128149</v>
      </c>
    </row>
    <row r="87" spans="1:14" x14ac:dyDescent="0.3">
      <c r="A87" s="67" t="s">
        <v>79</v>
      </c>
      <c r="B87" s="67">
        <v>210</v>
      </c>
      <c r="C87" s="67" t="s">
        <v>125</v>
      </c>
      <c r="D87" s="67" t="s">
        <v>129</v>
      </c>
      <c r="E87" s="67" t="s">
        <v>120</v>
      </c>
      <c r="F87" s="67" t="s">
        <v>120</v>
      </c>
      <c r="G87" s="68" t="s">
        <v>119</v>
      </c>
      <c r="H87" s="69" t="s">
        <v>2</v>
      </c>
      <c r="I87" s="70" t="s">
        <v>226</v>
      </c>
      <c r="J87" s="74">
        <v>546370.24930351262</v>
      </c>
      <c r="K87" s="71">
        <v>546370.24930351262</v>
      </c>
      <c r="L87" s="37"/>
    </row>
    <row r="88" spans="1:14" x14ac:dyDescent="0.3">
      <c r="A88" s="67" t="s">
        <v>79</v>
      </c>
      <c r="B88" s="67">
        <v>210</v>
      </c>
      <c r="C88" s="67" t="s">
        <v>125</v>
      </c>
      <c r="D88" s="67" t="s">
        <v>129</v>
      </c>
      <c r="E88" s="67" t="s">
        <v>120</v>
      </c>
      <c r="F88" s="67" t="s">
        <v>120</v>
      </c>
      <c r="G88" s="68" t="s">
        <v>119</v>
      </c>
      <c r="H88" s="69" t="s">
        <v>2</v>
      </c>
      <c r="I88" s="70">
        <v>2023</v>
      </c>
      <c r="J88" s="70"/>
      <c r="K88" s="71">
        <v>591720.93611085846</v>
      </c>
      <c r="L88" s="37">
        <f>K88/12</f>
        <v>49310.078009238205</v>
      </c>
    </row>
    <row r="89" spans="1:14" x14ac:dyDescent="0.3">
      <c r="A89" s="75" t="s">
        <v>79</v>
      </c>
      <c r="B89" s="75">
        <v>210</v>
      </c>
      <c r="C89" s="75" t="s">
        <v>125</v>
      </c>
      <c r="D89" s="75" t="s">
        <v>129</v>
      </c>
      <c r="E89" s="75" t="s">
        <v>120</v>
      </c>
      <c r="F89" s="75" t="s">
        <v>120</v>
      </c>
      <c r="G89" s="76" t="s">
        <v>119</v>
      </c>
      <c r="H89" s="77" t="s">
        <v>2</v>
      </c>
      <c r="I89" s="78" t="s">
        <v>227</v>
      </c>
      <c r="J89" s="78"/>
      <c r="K89" s="79">
        <v>555562.9323385458</v>
      </c>
      <c r="L89" s="37">
        <f>K89/12</f>
        <v>46296.911028212147</v>
      </c>
    </row>
    <row r="93" spans="1:14" x14ac:dyDescent="0.3">
      <c r="C93" s="100">
        <f>(C95/B95)-1</f>
        <v>0.19277108433734935</v>
      </c>
      <c r="D93" s="98"/>
    </row>
    <row r="94" spans="1:14" x14ac:dyDescent="0.3">
      <c r="B94" t="s">
        <v>229</v>
      </c>
      <c r="C94">
        <v>2021</v>
      </c>
      <c r="D94">
        <v>2022</v>
      </c>
      <c r="E94">
        <v>2023</v>
      </c>
    </row>
    <row r="95" spans="1:14" x14ac:dyDescent="0.3">
      <c r="A95" t="s">
        <v>231</v>
      </c>
      <c r="B95">
        <v>166</v>
      </c>
      <c r="C95">
        <v>198</v>
      </c>
      <c r="D95">
        <v>198</v>
      </c>
      <c r="E95">
        <v>198</v>
      </c>
    </row>
    <row r="96" spans="1:14" x14ac:dyDescent="0.3">
      <c r="A96" t="s">
        <v>232</v>
      </c>
      <c r="B96" s="37">
        <f>K83/12</f>
        <v>36043.555000000037</v>
      </c>
      <c r="C96" s="37">
        <f>K84/12</f>
        <v>40539.196666666692</v>
      </c>
      <c r="D96" s="37">
        <f>K86/12</f>
        <v>44750.159741379342</v>
      </c>
      <c r="E96" s="37">
        <f>K88/12</f>
        <v>49310.078009238205</v>
      </c>
    </row>
    <row r="97" spans="1:11" x14ac:dyDescent="0.3">
      <c r="A97" t="s">
        <v>233</v>
      </c>
      <c r="B97" s="95">
        <f>B96/B95</f>
        <v>217.12984939759059</v>
      </c>
      <c r="C97" s="95">
        <f>C96/C95</f>
        <v>204.74341750841765</v>
      </c>
      <c r="D97" s="95">
        <f>D96/D95</f>
        <v>226.01090778474415</v>
      </c>
      <c r="E97" s="95">
        <f>E96/E95</f>
        <v>249.04079802645558</v>
      </c>
    </row>
    <row r="98" spans="1:11" x14ac:dyDescent="0.3">
      <c r="C98" s="98">
        <f>(C97/B97)-1</f>
        <v>-5.7046195737426753E-2</v>
      </c>
      <c r="D98" s="98">
        <f>(D97/B97)-1</f>
        <v>4.0902061194227013E-2</v>
      </c>
      <c r="E98" s="100">
        <f>(E97/B97)-1</f>
        <v>0.14696711998557244</v>
      </c>
    </row>
    <row r="112" spans="1:11" ht="42" thickBot="1" x14ac:dyDescent="0.35">
      <c r="A112" s="57" t="s">
        <v>215</v>
      </c>
      <c r="B112" s="57" t="s">
        <v>216</v>
      </c>
      <c r="C112" s="57" t="s">
        <v>217</v>
      </c>
      <c r="D112" s="58" t="s">
        <v>218</v>
      </c>
      <c r="E112" s="59" t="s">
        <v>219</v>
      </c>
      <c r="F112" s="60" t="s">
        <v>220</v>
      </c>
      <c r="G112" s="59" t="s">
        <v>221</v>
      </c>
      <c r="H112" s="57" t="s">
        <v>215</v>
      </c>
      <c r="I112" s="57" t="s">
        <v>222</v>
      </c>
      <c r="J112" s="61" t="s">
        <v>223</v>
      </c>
      <c r="K112" s="62" t="s">
        <v>224</v>
      </c>
    </row>
    <row r="113" spans="1:11" x14ac:dyDescent="0.3">
      <c r="A113" s="63" t="s">
        <v>92</v>
      </c>
      <c r="B113" s="63">
        <v>411</v>
      </c>
      <c r="C113" s="63" t="s">
        <v>127</v>
      </c>
      <c r="D113" s="63" t="s">
        <v>136</v>
      </c>
      <c r="E113" s="63" t="s">
        <v>120</v>
      </c>
      <c r="F113" s="63" t="s">
        <v>120</v>
      </c>
      <c r="G113" s="64" t="s">
        <v>122</v>
      </c>
      <c r="H113" s="63" t="s">
        <v>43</v>
      </c>
      <c r="I113" s="65">
        <v>2019</v>
      </c>
      <c r="J113" s="65"/>
      <c r="K113" s="66">
        <v>1189882.810000001</v>
      </c>
    </row>
    <row r="114" spans="1:11" x14ac:dyDescent="0.3">
      <c r="A114" s="63" t="s">
        <v>92</v>
      </c>
      <c r="B114" s="63">
        <v>411</v>
      </c>
      <c r="C114" s="63" t="s">
        <v>127</v>
      </c>
      <c r="D114" s="63" t="s">
        <v>136</v>
      </c>
      <c r="E114" s="63" t="s">
        <v>120</v>
      </c>
      <c r="F114" s="63" t="s">
        <v>120</v>
      </c>
      <c r="G114" s="64" t="s">
        <v>122</v>
      </c>
      <c r="H114" s="63" t="s">
        <v>43</v>
      </c>
      <c r="I114" s="65">
        <v>2020</v>
      </c>
      <c r="J114" s="65"/>
      <c r="K114" s="66">
        <v>1008657.4500000023</v>
      </c>
    </row>
    <row r="115" spans="1:11" x14ac:dyDescent="0.3">
      <c r="A115" s="63" t="s">
        <v>92</v>
      </c>
      <c r="B115" s="63">
        <v>411</v>
      </c>
      <c r="C115" s="63" t="s">
        <v>127</v>
      </c>
      <c r="D115" s="63" t="s">
        <v>136</v>
      </c>
      <c r="E115" s="63" t="s">
        <v>120</v>
      </c>
      <c r="F115" s="63" t="s">
        <v>120</v>
      </c>
      <c r="G115" s="64" t="s">
        <v>122</v>
      </c>
      <c r="H115" s="63" t="s">
        <v>43</v>
      </c>
      <c r="I115" s="65">
        <v>2021</v>
      </c>
      <c r="J115" s="65"/>
      <c r="K115" s="66">
        <v>1272861.3700000022</v>
      </c>
    </row>
    <row r="116" spans="1:11" x14ac:dyDescent="0.3">
      <c r="A116" s="67" t="s">
        <v>92</v>
      </c>
      <c r="B116" s="67">
        <v>411</v>
      </c>
      <c r="C116" s="67" t="s">
        <v>127</v>
      </c>
      <c r="D116" s="67" t="s">
        <v>136</v>
      </c>
      <c r="E116" s="67" t="s">
        <v>120</v>
      </c>
      <c r="F116" s="67" t="s">
        <v>120</v>
      </c>
      <c r="G116" s="64" t="s">
        <v>122</v>
      </c>
      <c r="H116" s="69" t="s">
        <v>43</v>
      </c>
      <c r="I116" s="70">
        <v>2022</v>
      </c>
      <c r="J116" s="71"/>
      <c r="K116" s="71">
        <v>1362350.5513333329</v>
      </c>
    </row>
    <row r="117" spans="1:11" x14ac:dyDescent="0.3">
      <c r="A117" s="67" t="s">
        <v>92</v>
      </c>
      <c r="B117" s="67">
        <v>411</v>
      </c>
      <c r="C117" s="67" t="s">
        <v>127</v>
      </c>
      <c r="D117" s="67" t="s">
        <v>136</v>
      </c>
      <c r="E117" s="67" t="s">
        <v>120</v>
      </c>
      <c r="F117" s="67" t="s">
        <v>120</v>
      </c>
      <c r="G117" s="64" t="s">
        <v>122</v>
      </c>
      <c r="H117" s="69" t="s">
        <v>43</v>
      </c>
      <c r="I117" s="72" t="s">
        <v>225</v>
      </c>
      <c r="J117" s="73">
        <v>837138.3600000015</v>
      </c>
      <c r="K117" s="73">
        <v>1024072.2732183924</v>
      </c>
    </row>
    <row r="118" spans="1:11" x14ac:dyDescent="0.3">
      <c r="A118" s="67" t="s">
        <v>92</v>
      </c>
      <c r="B118" s="67">
        <v>411</v>
      </c>
      <c r="C118" s="67" t="s">
        <v>127</v>
      </c>
      <c r="D118" s="67" t="s">
        <v>136</v>
      </c>
      <c r="E118" s="67" t="s">
        <v>120</v>
      </c>
      <c r="F118" s="67" t="s">
        <v>120</v>
      </c>
      <c r="G118" s="64" t="s">
        <v>122</v>
      </c>
      <c r="H118" s="69" t="s">
        <v>43</v>
      </c>
      <c r="I118" s="70" t="s">
        <v>226</v>
      </c>
      <c r="J118" s="74">
        <v>1181730.580795648</v>
      </c>
      <c r="K118" s="71">
        <v>1181730.580795648</v>
      </c>
    </row>
    <row r="119" spans="1:11" x14ac:dyDescent="0.3">
      <c r="A119" s="67" t="s">
        <v>92</v>
      </c>
      <c r="B119" s="67">
        <v>411</v>
      </c>
      <c r="C119" s="67" t="s">
        <v>127</v>
      </c>
      <c r="D119" s="67" t="s">
        <v>136</v>
      </c>
      <c r="E119" s="67" t="s">
        <v>120</v>
      </c>
      <c r="F119" s="67" t="s">
        <v>120</v>
      </c>
      <c r="G119" s="64" t="s">
        <v>122</v>
      </c>
      <c r="H119" s="69" t="s">
        <v>43</v>
      </c>
      <c r="I119" s="70">
        <v>2023</v>
      </c>
      <c r="J119" s="70"/>
      <c r="K119" s="71">
        <v>361799.32490000088</v>
      </c>
    </row>
    <row r="120" spans="1:11" x14ac:dyDescent="0.3">
      <c r="A120" s="105" t="s">
        <v>92</v>
      </c>
      <c r="B120" s="105">
        <v>411</v>
      </c>
      <c r="C120" s="105" t="s">
        <v>127</v>
      </c>
      <c r="D120" s="105" t="s">
        <v>136</v>
      </c>
      <c r="E120" s="105" t="s">
        <v>120</v>
      </c>
      <c r="F120" s="105" t="s">
        <v>120</v>
      </c>
      <c r="G120" s="106" t="s">
        <v>122</v>
      </c>
      <c r="H120" s="107" t="s">
        <v>43</v>
      </c>
      <c r="I120" s="108" t="s">
        <v>227</v>
      </c>
      <c r="J120" s="108"/>
      <c r="K120" s="109">
        <v>1221127.7174124017</v>
      </c>
    </row>
    <row r="121" spans="1:11" x14ac:dyDescent="0.3">
      <c r="A121" s="63" t="s">
        <v>92</v>
      </c>
      <c r="B121" s="63">
        <v>415</v>
      </c>
      <c r="C121" s="63" t="s">
        <v>127</v>
      </c>
      <c r="D121" s="63" t="s">
        <v>136</v>
      </c>
      <c r="E121" s="63" t="s">
        <v>119</v>
      </c>
      <c r="F121" s="63" t="s">
        <v>119</v>
      </c>
      <c r="G121" s="64" t="s">
        <v>120</v>
      </c>
      <c r="H121" s="63" t="s">
        <v>47</v>
      </c>
      <c r="I121" s="65">
        <v>2019</v>
      </c>
      <c r="J121" s="65"/>
      <c r="K121" s="66">
        <v>688298.70999999915</v>
      </c>
    </row>
    <row r="122" spans="1:11" x14ac:dyDescent="0.3">
      <c r="A122" s="63" t="s">
        <v>92</v>
      </c>
      <c r="B122" s="63">
        <v>415</v>
      </c>
      <c r="C122" s="63" t="s">
        <v>127</v>
      </c>
      <c r="D122" s="63" t="s">
        <v>136</v>
      </c>
      <c r="E122" s="63" t="s">
        <v>119</v>
      </c>
      <c r="F122" s="63" t="s">
        <v>119</v>
      </c>
      <c r="G122" s="64" t="s">
        <v>120</v>
      </c>
      <c r="H122" s="63" t="s">
        <v>47</v>
      </c>
      <c r="I122" s="65">
        <v>2020</v>
      </c>
      <c r="J122" s="65"/>
      <c r="K122" s="66">
        <v>564441.50000000012</v>
      </c>
    </row>
    <row r="123" spans="1:11" x14ac:dyDescent="0.3">
      <c r="A123" s="63" t="s">
        <v>92</v>
      </c>
      <c r="B123" s="63">
        <v>415</v>
      </c>
      <c r="C123" s="63" t="s">
        <v>127</v>
      </c>
      <c r="D123" s="63" t="s">
        <v>136</v>
      </c>
      <c r="E123" s="63" t="s">
        <v>119</v>
      </c>
      <c r="F123" s="63" t="s">
        <v>119</v>
      </c>
      <c r="G123" s="64" t="s">
        <v>120</v>
      </c>
      <c r="H123" s="63" t="s">
        <v>47</v>
      </c>
      <c r="I123" s="65">
        <v>2021</v>
      </c>
      <c r="J123" s="65"/>
      <c r="K123" s="66">
        <v>850861.17000000027</v>
      </c>
    </row>
    <row r="124" spans="1:11" x14ac:dyDescent="0.3">
      <c r="A124" s="67" t="s">
        <v>92</v>
      </c>
      <c r="B124" s="67">
        <v>415</v>
      </c>
      <c r="C124" s="67" t="s">
        <v>127</v>
      </c>
      <c r="D124" s="67" t="s">
        <v>136</v>
      </c>
      <c r="E124" s="67" t="s">
        <v>119</v>
      </c>
      <c r="F124" s="67" t="s">
        <v>119</v>
      </c>
      <c r="G124" s="68" t="s">
        <v>120</v>
      </c>
      <c r="H124" s="69" t="s">
        <v>47</v>
      </c>
      <c r="I124" s="70">
        <v>2022</v>
      </c>
      <c r="J124" s="71"/>
      <c r="K124" s="71">
        <v>918313.40894482762</v>
      </c>
    </row>
    <row r="125" spans="1:11" x14ac:dyDescent="0.3">
      <c r="A125" s="67" t="s">
        <v>92</v>
      </c>
      <c r="B125" s="67">
        <v>415</v>
      </c>
      <c r="C125" s="67" t="s">
        <v>127</v>
      </c>
      <c r="D125" s="67" t="s">
        <v>136</v>
      </c>
      <c r="E125" s="67" t="s">
        <v>119</v>
      </c>
      <c r="F125" s="67" t="s">
        <v>119</v>
      </c>
      <c r="G125" s="68" t="s">
        <v>120</v>
      </c>
      <c r="H125" s="69" t="s">
        <v>47</v>
      </c>
      <c r="I125" s="72" t="s">
        <v>225</v>
      </c>
      <c r="J125" s="73">
        <v>677508.7900000005</v>
      </c>
      <c r="K125" s="73">
        <v>829681.44103448337</v>
      </c>
    </row>
    <row r="126" spans="1:11" x14ac:dyDescent="0.3">
      <c r="A126" s="67" t="s">
        <v>92</v>
      </c>
      <c r="B126" s="67">
        <v>415</v>
      </c>
      <c r="C126" s="67" t="s">
        <v>127</v>
      </c>
      <c r="D126" s="67" t="s">
        <v>136</v>
      </c>
      <c r="E126" s="67" t="s">
        <v>119</v>
      </c>
      <c r="F126" s="67" t="s">
        <v>119</v>
      </c>
      <c r="G126" s="68" t="s">
        <v>120</v>
      </c>
      <c r="H126" s="69" t="s">
        <v>47</v>
      </c>
      <c r="I126" s="70" t="s">
        <v>226</v>
      </c>
      <c r="J126" s="74">
        <v>985261.14858944318</v>
      </c>
      <c r="K126" s="71">
        <v>985261.14858944318</v>
      </c>
    </row>
    <row r="127" spans="1:11" x14ac:dyDescent="0.3">
      <c r="A127" s="67" t="s">
        <v>92</v>
      </c>
      <c r="B127" s="67">
        <v>415</v>
      </c>
      <c r="C127" s="67" t="s">
        <v>127</v>
      </c>
      <c r="D127" s="67" t="s">
        <v>136</v>
      </c>
      <c r="E127" s="67" t="s">
        <v>119</v>
      </c>
      <c r="F127" s="67" t="s">
        <v>119</v>
      </c>
      <c r="G127" s="68" t="s">
        <v>120</v>
      </c>
      <c r="H127" s="69" t="s">
        <v>47</v>
      </c>
      <c r="I127" s="70">
        <v>2023</v>
      </c>
      <c r="J127" s="70"/>
      <c r="K127" s="71">
        <v>989738.6572958933</v>
      </c>
    </row>
    <row r="128" spans="1:11" x14ac:dyDescent="0.3">
      <c r="A128" s="105" t="s">
        <v>92</v>
      </c>
      <c r="B128" s="105">
        <v>415</v>
      </c>
      <c r="C128" s="105" t="s">
        <v>127</v>
      </c>
      <c r="D128" s="105" t="s">
        <v>136</v>
      </c>
      <c r="E128" s="105" t="s">
        <v>119</v>
      </c>
      <c r="F128" s="105" t="s">
        <v>119</v>
      </c>
      <c r="G128" s="106" t="s">
        <v>120</v>
      </c>
      <c r="H128" s="107" t="s">
        <v>47</v>
      </c>
      <c r="I128" s="108" t="s">
        <v>227</v>
      </c>
      <c r="J128" s="108"/>
      <c r="K128" s="109">
        <v>990680.07212672778</v>
      </c>
    </row>
    <row r="129" spans="1:12" x14ac:dyDescent="0.3">
      <c r="A129" s="63" t="s">
        <v>92</v>
      </c>
      <c r="B129" s="63">
        <v>418</v>
      </c>
      <c r="C129" s="63" t="s">
        <v>127</v>
      </c>
      <c r="D129" s="63" t="s">
        <v>136</v>
      </c>
      <c r="E129" s="63" t="s">
        <v>121</v>
      </c>
      <c r="F129" s="63" t="s">
        <v>121</v>
      </c>
      <c r="G129" s="63" t="s">
        <v>121</v>
      </c>
      <c r="H129" s="63" t="s">
        <v>282</v>
      </c>
      <c r="I129" s="65">
        <v>2019</v>
      </c>
      <c r="J129" s="65"/>
      <c r="K129" s="66">
        <v>0</v>
      </c>
    </row>
    <row r="130" spans="1:12" x14ac:dyDescent="0.3">
      <c r="A130" s="63" t="s">
        <v>92</v>
      </c>
      <c r="B130" s="63">
        <v>418</v>
      </c>
      <c r="C130" s="63" t="s">
        <v>127</v>
      </c>
      <c r="D130" s="63" t="s">
        <v>136</v>
      </c>
      <c r="E130" s="63" t="s">
        <v>121</v>
      </c>
      <c r="F130" s="63" t="s">
        <v>121</v>
      </c>
      <c r="G130" s="63" t="s">
        <v>121</v>
      </c>
      <c r="H130" s="63" t="s">
        <v>282</v>
      </c>
      <c r="I130" s="65">
        <v>2020</v>
      </c>
      <c r="J130" s="65"/>
      <c r="K130" s="66">
        <v>0</v>
      </c>
    </row>
    <row r="131" spans="1:12" x14ac:dyDescent="0.3">
      <c r="A131" s="63" t="s">
        <v>92</v>
      </c>
      <c r="B131" s="63">
        <v>418</v>
      </c>
      <c r="C131" s="63" t="s">
        <v>127</v>
      </c>
      <c r="D131" s="63" t="s">
        <v>136</v>
      </c>
      <c r="E131" s="63" t="s">
        <v>121</v>
      </c>
      <c r="F131" s="63" t="s">
        <v>121</v>
      </c>
      <c r="G131" s="63" t="s">
        <v>121</v>
      </c>
      <c r="H131" s="63" t="s">
        <v>282</v>
      </c>
      <c r="I131" s="65">
        <v>2021</v>
      </c>
      <c r="J131" s="65"/>
      <c r="K131" s="66">
        <v>0</v>
      </c>
    </row>
    <row r="132" spans="1:12" x14ac:dyDescent="0.3">
      <c r="A132" s="67" t="s">
        <v>92</v>
      </c>
      <c r="B132" s="67">
        <v>418</v>
      </c>
      <c r="C132" s="67" t="s">
        <v>127</v>
      </c>
      <c r="D132" s="67" t="s">
        <v>136</v>
      </c>
      <c r="E132" s="67" t="s">
        <v>121</v>
      </c>
      <c r="F132" s="67" t="s">
        <v>121</v>
      </c>
      <c r="G132" s="67" t="s">
        <v>121</v>
      </c>
      <c r="H132" s="69" t="s">
        <v>282</v>
      </c>
      <c r="I132" s="70">
        <v>2022</v>
      </c>
      <c r="J132" s="71"/>
      <c r="K132" s="71">
        <v>1390618.2485674997</v>
      </c>
    </row>
    <row r="133" spans="1:12" x14ac:dyDescent="0.3">
      <c r="A133" s="67" t="s">
        <v>92</v>
      </c>
      <c r="B133" s="67">
        <v>418</v>
      </c>
      <c r="C133" s="67" t="s">
        <v>127</v>
      </c>
      <c r="D133" s="67" t="s">
        <v>136</v>
      </c>
      <c r="E133" s="67" t="s">
        <v>121</v>
      </c>
      <c r="F133" s="67" t="s">
        <v>121</v>
      </c>
      <c r="G133" s="67" t="s">
        <v>121</v>
      </c>
      <c r="H133" s="69" t="s">
        <v>282</v>
      </c>
      <c r="I133" s="72" t="s">
        <v>225</v>
      </c>
      <c r="J133" s="73">
        <v>757658.86000000057</v>
      </c>
      <c r="K133" s="73">
        <v>1008633.7596551731</v>
      </c>
    </row>
    <row r="134" spans="1:12" x14ac:dyDescent="0.3">
      <c r="A134" s="67" t="s">
        <v>92</v>
      </c>
      <c r="B134" s="67">
        <v>418</v>
      </c>
      <c r="C134" s="67" t="s">
        <v>127</v>
      </c>
      <c r="D134" s="67" t="s">
        <v>136</v>
      </c>
      <c r="E134" s="67" t="s">
        <v>121</v>
      </c>
      <c r="F134" s="67" t="s">
        <v>121</v>
      </c>
      <c r="G134" s="67" t="s">
        <v>121</v>
      </c>
      <c r="H134" s="69" t="s">
        <v>282</v>
      </c>
      <c r="I134" s="70" t="s">
        <v>226</v>
      </c>
      <c r="J134" s="74">
        <v>1276771.2183055507</v>
      </c>
      <c r="K134" s="71">
        <v>1276771.2183055507</v>
      </c>
    </row>
    <row r="135" spans="1:12" x14ac:dyDescent="0.3">
      <c r="A135" s="67" t="s">
        <v>92</v>
      </c>
      <c r="B135" s="67">
        <v>418</v>
      </c>
      <c r="C135" s="67" t="s">
        <v>127</v>
      </c>
      <c r="D135" s="67" t="s">
        <v>136</v>
      </c>
      <c r="E135" s="67" t="s">
        <v>121</v>
      </c>
      <c r="F135" s="67" t="s">
        <v>121</v>
      </c>
      <c r="G135" s="67" t="s">
        <v>121</v>
      </c>
      <c r="H135" s="69" t="s">
        <v>282</v>
      </c>
      <c r="I135" s="70">
        <v>2023</v>
      </c>
      <c r="J135" s="70"/>
      <c r="K135" s="71">
        <v>1869194.8272314824</v>
      </c>
    </row>
    <row r="136" spans="1:12" x14ac:dyDescent="0.3">
      <c r="A136" s="105" t="s">
        <v>92</v>
      </c>
      <c r="B136" s="105">
        <v>418</v>
      </c>
      <c r="C136" s="105" t="s">
        <v>127</v>
      </c>
      <c r="D136" s="105" t="s">
        <v>136</v>
      </c>
      <c r="E136" s="105" t="s">
        <v>121</v>
      </c>
      <c r="F136" s="105" t="s">
        <v>121</v>
      </c>
      <c r="G136" s="105" t="s">
        <v>121</v>
      </c>
      <c r="H136" s="107" t="s">
        <v>282</v>
      </c>
      <c r="I136" s="108" t="s">
        <v>227</v>
      </c>
      <c r="J136" s="108"/>
      <c r="K136" s="109">
        <v>1528518.8901780634</v>
      </c>
    </row>
    <row r="141" spans="1:12" x14ac:dyDescent="0.3">
      <c r="I141" t="s">
        <v>283</v>
      </c>
      <c r="K141" s="96">
        <f>K115+K124</f>
        <v>2191174.7789448299</v>
      </c>
    </row>
    <row r="144" spans="1:12" x14ac:dyDescent="0.3">
      <c r="I144" t="s">
        <v>284</v>
      </c>
      <c r="K144" s="96">
        <f>K135+K127</f>
        <v>2858933.4845273755</v>
      </c>
      <c r="L144" s="34">
        <f>(K144/K141)-1</f>
        <v>0.30474917473452656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7048-9311-4A23-A115-26534D0DCB22}">
  <dimension ref="B4:AO18"/>
  <sheetViews>
    <sheetView zoomScale="85" zoomScaleNormal="85" workbookViewId="0">
      <selection activeCell="B40" sqref="B40"/>
    </sheetView>
  </sheetViews>
  <sheetFormatPr baseColWidth="10" defaultRowHeight="14.4" x14ac:dyDescent="0.3"/>
  <cols>
    <col min="15" max="39" width="0" hidden="1" customWidth="1"/>
  </cols>
  <sheetData>
    <row r="4" spans="2:41" ht="24.6" x14ac:dyDescent="0.3">
      <c r="B4" s="18" t="s">
        <v>77</v>
      </c>
      <c r="C4" s="8" t="s">
        <v>78</v>
      </c>
      <c r="D4" s="25" t="s">
        <v>148</v>
      </c>
      <c r="E4" s="24" t="s">
        <v>149</v>
      </c>
      <c r="F4" s="24" t="s">
        <v>150</v>
      </c>
      <c r="G4" s="24" t="s">
        <v>151</v>
      </c>
      <c r="H4" s="24" t="s">
        <v>175</v>
      </c>
      <c r="I4" s="24" t="s">
        <v>176</v>
      </c>
      <c r="J4" s="24" t="s">
        <v>163</v>
      </c>
      <c r="K4" s="24" t="s">
        <v>155</v>
      </c>
      <c r="L4" s="24" t="s">
        <v>154</v>
      </c>
      <c r="M4" s="24" t="s">
        <v>156</v>
      </c>
      <c r="N4" s="24" t="s">
        <v>157</v>
      </c>
      <c r="O4" s="38" t="s">
        <v>197</v>
      </c>
      <c r="P4" s="26" t="s">
        <v>158</v>
      </c>
      <c r="Q4" s="26" t="s">
        <v>159</v>
      </c>
      <c r="R4" s="26" t="s">
        <v>177</v>
      </c>
      <c r="S4" s="26" t="s">
        <v>178</v>
      </c>
      <c r="T4" s="26" t="s">
        <v>179</v>
      </c>
      <c r="U4" s="26" t="s">
        <v>172</v>
      </c>
      <c r="V4" s="26" t="s">
        <v>164</v>
      </c>
      <c r="W4" s="26" t="s">
        <v>165</v>
      </c>
      <c r="X4" s="26" t="s">
        <v>204</v>
      </c>
      <c r="Y4" s="26" t="s">
        <v>167</v>
      </c>
      <c r="Z4" s="110" t="s">
        <v>287</v>
      </c>
      <c r="AA4" s="28" t="s">
        <v>183</v>
      </c>
      <c r="AB4" s="27" t="s">
        <v>169</v>
      </c>
      <c r="AC4" s="27" t="s">
        <v>180</v>
      </c>
      <c r="AD4" s="27" t="s">
        <v>181</v>
      </c>
      <c r="AE4" s="27" t="s">
        <v>182</v>
      </c>
      <c r="AF4" s="27" t="s">
        <v>173</v>
      </c>
      <c r="AG4" s="40" t="s">
        <v>198</v>
      </c>
      <c r="AH4" s="40" t="s">
        <v>199</v>
      </c>
      <c r="AI4" s="39" t="s">
        <v>200</v>
      </c>
      <c r="AJ4" s="39" t="s">
        <v>201</v>
      </c>
      <c r="AK4" s="39" t="s">
        <v>202</v>
      </c>
      <c r="AL4" s="39" t="s">
        <v>203</v>
      </c>
      <c r="AM4" s="39" t="s">
        <v>243</v>
      </c>
      <c r="AO4" s="11"/>
    </row>
    <row r="5" spans="2:41" x14ac:dyDescent="0.3">
      <c r="B5" s="10" t="s">
        <v>79</v>
      </c>
      <c r="C5" s="8" t="s">
        <v>80</v>
      </c>
      <c r="D5" s="10">
        <v>2782592.209999999</v>
      </c>
      <c r="E5" s="10">
        <v>2097705.1800000002</v>
      </c>
      <c r="F5" s="10">
        <v>2272750.2123143682</v>
      </c>
      <c r="G5" s="10">
        <v>1942292.3300000024</v>
      </c>
      <c r="H5" s="10">
        <v>1942292.3300000024</v>
      </c>
      <c r="I5" s="10">
        <v>2317196.3766395012</v>
      </c>
      <c r="J5" s="10">
        <v>2415809.2964642774</v>
      </c>
      <c r="K5" s="14">
        <v>1</v>
      </c>
      <c r="L5" s="14">
        <v>1.1930214318662826</v>
      </c>
      <c r="M5" s="14">
        <v>-7.4087079291093594E-2</v>
      </c>
      <c r="N5" s="14">
        <v>4.255699724845452E-2</v>
      </c>
      <c r="O5" s="14">
        <v>0.19302143186628262</v>
      </c>
      <c r="P5" s="10">
        <v>1421484.3899999997</v>
      </c>
      <c r="Q5" s="10">
        <v>1055227.7999999996</v>
      </c>
      <c r="R5" s="10">
        <v>986887.05048884277</v>
      </c>
      <c r="S5" s="10">
        <v>987251.59000000218</v>
      </c>
      <c r="T5" s="10">
        <v>1175495.604056255</v>
      </c>
      <c r="U5" s="10">
        <v>1261226.7378933867</v>
      </c>
      <c r="V5" s="13">
        <v>1.0003693832146028</v>
      </c>
      <c r="W5" s="13">
        <v>1.1911146300622621</v>
      </c>
      <c r="X5" s="14">
        <v>-6.4418517025420896E-2</v>
      </c>
      <c r="Y5" s="14">
        <v>7.2931905097136429E-2</v>
      </c>
      <c r="Z5" s="13">
        <v>-0.11273964964653105</v>
      </c>
      <c r="AA5" s="14">
        <v>0.51084897919699135</v>
      </c>
      <c r="AB5" s="14">
        <v>0.50303913536600964</v>
      </c>
      <c r="AC5" s="14">
        <v>0.50810428237073946</v>
      </c>
      <c r="AD5" s="14">
        <v>0.50829196756391504</v>
      </c>
      <c r="AE5" s="14">
        <v>0.50729218114910468</v>
      </c>
      <c r="AF5" s="14">
        <v>0.52207214358322451</v>
      </c>
      <c r="AG5" s="114">
        <v>0.7427736597604695</v>
      </c>
      <c r="AH5" s="116">
        <v>0.72281083649648914</v>
      </c>
      <c r="AI5" s="117">
        <v>0.78544083697808231</v>
      </c>
      <c r="AJ5" s="117">
        <v>0.78544083697808276</v>
      </c>
      <c r="AK5" s="117">
        <v>0.78248406698777195</v>
      </c>
      <c r="AL5" s="117">
        <v>0.85392414267490835</v>
      </c>
      <c r="AM5" s="98">
        <v>0.24379284165956339</v>
      </c>
      <c r="AN5" s="98">
        <v>4.255699724845452E-2</v>
      </c>
      <c r="AO5" s="118">
        <v>0.19302143186628262</v>
      </c>
    </row>
    <row r="6" spans="2:41" x14ac:dyDescent="0.3">
      <c r="B6" s="10" t="s">
        <v>79</v>
      </c>
      <c r="C6" s="8" t="s">
        <v>81</v>
      </c>
      <c r="D6" s="10">
        <v>4084326.8800000004</v>
      </c>
      <c r="E6" s="10">
        <v>2623042.1000000006</v>
      </c>
      <c r="F6" s="10">
        <v>3596312.6027500033</v>
      </c>
      <c r="G6" s="10">
        <v>3280743.8700000034</v>
      </c>
      <c r="H6" s="10">
        <v>3280743.8700000029</v>
      </c>
      <c r="I6" s="10">
        <v>3715638.608039204</v>
      </c>
      <c r="J6" s="10">
        <v>3816460.1998355668</v>
      </c>
      <c r="K6" s="14">
        <v>0.99999999999999989</v>
      </c>
      <c r="L6" s="14">
        <v>1.1325597959706621</v>
      </c>
      <c r="M6" s="14">
        <v>0.25074007390121644</v>
      </c>
      <c r="N6" s="14">
        <v>2.7134391266745883E-2</v>
      </c>
      <c r="O6" s="14">
        <v>0.13255979597066214</v>
      </c>
      <c r="P6" s="10">
        <v>1655015.1999999995</v>
      </c>
      <c r="Q6" s="10">
        <v>1167617.9199999995</v>
      </c>
      <c r="R6" s="10">
        <v>1372519.9224234978</v>
      </c>
      <c r="S6" s="10">
        <v>1370254.8500000029</v>
      </c>
      <c r="T6" s="10">
        <v>1546825.5748511977</v>
      </c>
      <c r="U6" s="10">
        <v>1694816.6096506021</v>
      </c>
      <c r="V6" s="13">
        <v>0.99834969796322126</v>
      </c>
      <c r="W6" s="13">
        <v>1.1269968104506078</v>
      </c>
      <c r="X6" s="14">
        <v>0.17354729362153298</v>
      </c>
      <c r="Y6" s="14">
        <v>9.5674028930922583E-2</v>
      </c>
      <c r="Z6" s="13">
        <v>2.4048969248501528E-2</v>
      </c>
      <c r="AA6" s="14">
        <v>0.4052112498889901</v>
      </c>
      <c r="AB6" s="14">
        <v>0.44513884089012495</v>
      </c>
      <c r="AC6" s="14">
        <v>0.41835631698475029</v>
      </c>
      <c r="AD6" s="14">
        <v>0.41766590270273113</v>
      </c>
      <c r="AE6" s="14">
        <v>0.41630140549849648</v>
      </c>
      <c r="AF6" s="14">
        <v>0.44408077666409929</v>
      </c>
      <c r="AG6" s="114">
        <v>0.35625337256155637</v>
      </c>
      <c r="AH6" s="115">
        <v>0.49058487408509077</v>
      </c>
      <c r="AI6" s="14">
        <v>0.27278154496989848</v>
      </c>
      <c r="AJ6" s="14">
        <v>0.27278154496989865</v>
      </c>
      <c r="AK6" s="14">
        <v>0.27077300612383715</v>
      </c>
      <c r="AL6" s="14">
        <v>0.39343855368201963</v>
      </c>
      <c r="AM6" s="98">
        <v>0.16329111660751594</v>
      </c>
      <c r="AN6" s="98">
        <v>2.7134391266745883E-2</v>
      </c>
      <c r="AO6" s="118">
        <v>0.13255979597066214</v>
      </c>
    </row>
    <row r="7" spans="2:41" x14ac:dyDescent="0.3">
      <c r="B7" s="10" t="s">
        <v>79</v>
      </c>
      <c r="C7" s="8" t="s">
        <v>82</v>
      </c>
      <c r="D7" s="10">
        <v>2990628.9999999986</v>
      </c>
      <c r="E7" s="10">
        <v>3718902.3299999996</v>
      </c>
      <c r="F7" s="10">
        <v>2514913.1523566674</v>
      </c>
      <c r="G7" s="10">
        <v>2705700.3500000038</v>
      </c>
      <c r="H7" s="10">
        <v>2705700.350000002</v>
      </c>
      <c r="I7" s="10">
        <v>2734188.5077000028</v>
      </c>
      <c r="J7" s="10">
        <v>2770836.078515003</v>
      </c>
      <c r="K7" s="14">
        <v>0.99999999999999933</v>
      </c>
      <c r="L7" s="14">
        <v>1.0105289403906086</v>
      </c>
      <c r="M7" s="14">
        <v>-0.27244651515222718</v>
      </c>
      <c r="N7" s="14">
        <v>1.3403454338204446E-2</v>
      </c>
      <c r="O7" s="14">
        <v>1.0528940390609254E-2</v>
      </c>
      <c r="P7" s="10">
        <v>1402175.3599999996</v>
      </c>
      <c r="Q7" s="10">
        <v>1593118.7499999993</v>
      </c>
      <c r="R7" s="10">
        <v>1297169.1658850154</v>
      </c>
      <c r="S7" s="10">
        <v>1289889.2500000026</v>
      </c>
      <c r="T7" s="10">
        <v>1303968.1539804179</v>
      </c>
      <c r="U7" s="10">
        <v>1423652.5568228653</v>
      </c>
      <c r="V7" s="13">
        <v>0.99438784387073675</v>
      </c>
      <c r="W7" s="13">
        <v>1.005241404339706</v>
      </c>
      <c r="X7" s="14">
        <v>-0.19033703545325598</v>
      </c>
      <c r="Y7" s="14">
        <v>9.1784759065707044E-2</v>
      </c>
      <c r="Z7" s="13">
        <v>1.5317054796103236E-2</v>
      </c>
      <c r="AA7" s="14">
        <v>0.46885633757982026</v>
      </c>
      <c r="AB7" s="14">
        <v>0.42838413290622757</v>
      </c>
      <c r="AC7" s="14">
        <v>0.47942085156806574</v>
      </c>
      <c r="AD7" s="14">
        <v>0.4767302668974418</v>
      </c>
      <c r="AE7" s="14">
        <v>0.47691230882881402</v>
      </c>
      <c r="AF7" s="14">
        <v>0.51379890996144928</v>
      </c>
      <c r="AG7" s="114">
        <v>0.51705108273724776</v>
      </c>
      <c r="AH7" s="115">
        <v>0.40908780351043844</v>
      </c>
      <c r="AI7" s="14">
        <v>0.55859925703529878</v>
      </c>
      <c r="AJ7" s="14">
        <v>0.55859925703529945</v>
      </c>
      <c r="AK7" s="14">
        <v>0.55900740856374298</v>
      </c>
      <c r="AL7" s="14">
        <v>0.80085381065758232</v>
      </c>
      <c r="AM7" s="98">
        <v>2.4073518900568969E-2</v>
      </c>
      <c r="AN7" s="98">
        <v>1.3403454338204446E-2</v>
      </c>
      <c r="AO7" s="118">
        <v>1.0528940390609254E-2</v>
      </c>
    </row>
    <row r="8" spans="2:41" x14ac:dyDescent="0.3">
      <c r="B8" s="10" t="s">
        <v>79</v>
      </c>
      <c r="C8" s="8" t="s">
        <v>83</v>
      </c>
      <c r="D8" s="10">
        <v>2342112.64</v>
      </c>
      <c r="E8" s="10">
        <v>2140540.9499999993</v>
      </c>
      <c r="F8" s="10">
        <v>2136576.9172210027</v>
      </c>
      <c r="G8" s="10">
        <v>2310045.5400000028</v>
      </c>
      <c r="H8" s="10">
        <v>2310045.5400000019</v>
      </c>
      <c r="I8" s="10">
        <v>2391506.0399000021</v>
      </c>
      <c r="J8" s="10">
        <v>2471740.7221000022</v>
      </c>
      <c r="K8" s="14">
        <v>0.99999999999999956</v>
      </c>
      <c r="L8" s="14">
        <v>1.0352635904744973</v>
      </c>
      <c r="M8" s="14">
        <v>7.9187735231135203E-2</v>
      </c>
      <c r="N8" s="14">
        <v>3.3549855556022301E-2</v>
      </c>
      <c r="O8" s="14">
        <v>3.5263590474497786E-2</v>
      </c>
      <c r="P8" s="10">
        <v>1214198.3099999998</v>
      </c>
      <c r="Q8" s="10">
        <v>1107011.0999999999</v>
      </c>
      <c r="R8" s="10">
        <v>1200598.0332168664</v>
      </c>
      <c r="S8" s="10">
        <v>1192963.7300000011</v>
      </c>
      <c r="T8" s="10">
        <v>1210448.8898130367</v>
      </c>
      <c r="U8" s="10">
        <v>1284841.4904579807</v>
      </c>
      <c r="V8" s="13">
        <v>0.99364124960590683</v>
      </c>
      <c r="W8" s="13">
        <v>1.0082049581322201</v>
      </c>
      <c r="X8" s="14">
        <v>7.7643873670283359E-2</v>
      </c>
      <c r="Y8" s="14">
        <v>6.1458687988416028E-2</v>
      </c>
      <c r="Z8" s="13">
        <v>5.8180924710709681E-2</v>
      </c>
      <c r="AA8" s="14">
        <v>0.51842011748845684</v>
      </c>
      <c r="AB8" s="14">
        <v>0.51716417758791311</v>
      </c>
      <c r="AC8" s="14">
        <v>0.51972916222979093</v>
      </c>
      <c r="AD8" s="14">
        <v>0.51642433421464073</v>
      </c>
      <c r="AE8" s="14">
        <v>0.50614502728316346</v>
      </c>
      <c r="AF8" s="14">
        <v>0.51981240547203245</v>
      </c>
      <c r="AG8" s="114">
        <v>0.75477683975029441</v>
      </c>
      <c r="AH8" s="115">
        <v>0.77217332263943061</v>
      </c>
      <c r="AI8" s="14">
        <v>0.79411317642269841</v>
      </c>
      <c r="AJ8" s="14">
        <v>0.79411317642269885</v>
      </c>
      <c r="AK8" s="14">
        <v>0.78615974771651731</v>
      </c>
      <c r="AL8" s="14">
        <v>0.83802062240422093</v>
      </c>
      <c r="AM8" s="98">
        <v>6.9996534397326338E-2</v>
      </c>
      <c r="AN8" s="120">
        <v>3.3549855556022301E-2</v>
      </c>
      <c r="AO8" s="118">
        <v>3.5263590474497786E-2</v>
      </c>
    </row>
    <row r="9" spans="2:41" x14ac:dyDescent="0.3">
      <c r="B9" s="10" t="s">
        <v>79</v>
      </c>
      <c r="C9" s="8" t="s">
        <v>84</v>
      </c>
      <c r="D9" s="10">
        <v>2538596.85</v>
      </c>
      <c r="E9" s="10">
        <v>2172521.9499999997</v>
      </c>
      <c r="F9" s="10">
        <v>2332484.3369800015</v>
      </c>
      <c r="G9" s="10">
        <v>2294636.0200000037</v>
      </c>
      <c r="H9" s="10">
        <v>2294636.0200000023</v>
      </c>
      <c r="I9" s="10">
        <v>2359494.6352000032</v>
      </c>
      <c r="J9" s="10">
        <v>2241505.3105598176</v>
      </c>
      <c r="K9" s="14">
        <v>0.99999999999999944</v>
      </c>
      <c r="L9" s="14">
        <v>1.0282653173029155</v>
      </c>
      <c r="M9" s="14">
        <v>5.6208440149478234E-2</v>
      </c>
      <c r="N9" s="14">
        <v>-5.0006184748194626E-2</v>
      </c>
      <c r="O9" s="14">
        <v>2.8265317302916149E-2</v>
      </c>
      <c r="P9" s="10">
        <v>1323597.72</v>
      </c>
      <c r="Q9" s="10">
        <v>1132413.0399999998</v>
      </c>
      <c r="R9" s="10">
        <v>1227856.9544656042</v>
      </c>
      <c r="S9" s="10">
        <v>1220951.0300000028</v>
      </c>
      <c r="T9" s="10">
        <v>1254879.8912794497</v>
      </c>
      <c r="U9" s="10">
        <v>1166177.3456675028</v>
      </c>
      <c r="V9" s="13">
        <v>0.99437562784452604</v>
      </c>
      <c r="W9" s="13">
        <v>1.0220082125328733</v>
      </c>
      <c r="X9" s="14">
        <v>7.8185244140250409E-2</v>
      </c>
      <c r="Y9" s="14">
        <v>-7.0686084165001328E-2</v>
      </c>
      <c r="Z9" s="13">
        <v>-0.11893370013700022</v>
      </c>
      <c r="AA9" s="14">
        <v>0.52138949120653011</v>
      </c>
      <c r="AB9" s="14">
        <v>0.52124354370734893</v>
      </c>
      <c r="AC9" s="14">
        <v>0.53509878855017801</v>
      </c>
      <c r="AD9" s="14">
        <v>0.5320891938234289</v>
      </c>
      <c r="AE9" s="14">
        <v>0.53184265501543704</v>
      </c>
      <c r="AF9" s="14">
        <v>0.52026526110538152</v>
      </c>
      <c r="AG9" s="114">
        <v>0.75380053367225996</v>
      </c>
      <c r="AH9" s="115">
        <v>0.80094790325791232</v>
      </c>
      <c r="AI9" s="14">
        <v>0.86889945753798814</v>
      </c>
      <c r="AJ9" s="14">
        <v>0.86889945753798847</v>
      </c>
      <c r="AK9" s="14">
        <v>0.86805969119813975</v>
      </c>
      <c r="AL9" s="14">
        <v>0.84715579579277478</v>
      </c>
      <c r="AM9" s="98">
        <v>-2.315430812429442E-2</v>
      </c>
      <c r="AN9" s="120">
        <v>-5.0006184748194626E-2</v>
      </c>
      <c r="AO9" s="118">
        <v>2.8265317302916149E-2</v>
      </c>
    </row>
    <row r="10" spans="2:41" x14ac:dyDescent="0.3">
      <c r="B10" s="10" t="s">
        <v>79</v>
      </c>
      <c r="C10" s="8" t="s">
        <v>85</v>
      </c>
      <c r="D10" s="10">
        <v>2328138.36</v>
      </c>
      <c r="E10" s="10">
        <v>1889848.74</v>
      </c>
      <c r="F10" s="10">
        <v>2113077.5733000007</v>
      </c>
      <c r="G10" s="10">
        <v>2096544.9300000016</v>
      </c>
      <c r="H10" s="10">
        <v>2096544.9300000013</v>
      </c>
      <c r="I10" s="10">
        <v>2242820.5547740012</v>
      </c>
      <c r="J10" s="10">
        <v>2212272.175620174</v>
      </c>
      <c r="K10" s="14">
        <v>0.99999999999999989</v>
      </c>
      <c r="L10" s="14">
        <v>1.0697698497565704</v>
      </c>
      <c r="M10" s="14">
        <v>0.10937181670952212</v>
      </c>
      <c r="N10" s="14">
        <v>-1.3620518631685785E-2</v>
      </c>
      <c r="O10" s="119">
        <v>6.9769849756570634E-2</v>
      </c>
      <c r="P10" s="10">
        <v>1211233.0799999998</v>
      </c>
      <c r="Q10" s="10">
        <v>989424.66</v>
      </c>
      <c r="R10" s="10">
        <v>1123052.0675838676</v>
      </c>
      <c r="S10" s="10">
        <v>1123035.4000000006</v>
      </c>
      <c r="T10" s="10">
        <v>1189944.8320068487</v>
      </c>
      <c r="U10" s="10">
        <v>1150506.4032990767</v>
      </c>
      <c r="V10" s="13">
        <v>0.99998515867220406</v>
      </c>
      <c r="W10" s="13">
        <v>1.0595633687464678</v>
      </c>
      <c r="X10" s="14">
        <v>0.13503882145003399</v>
      </c>
      <c r="Y10" s="14">
        <v>-3.314307323076382E-2</v>
      </c>
      <c r="Z10" s="13">
        <v>-5.013624355514068E-2</v>
      </c>
      <c r="AA10" s="14">
        <v>0.52025820321091221</v>
      </c>
      <c r="AB10" s="14">
        <v>0.52354701149257055</v>
      </c>
      <c r="AC10" s="14">
        <v>0.53566801813489717</v>
      </c>
      <c r="AD10" s="14">
        <v>0.53566006811025024</v>
      </c>
      <c r="AE10" s="14">
        <v>0.53055730627845699</v>
      </c>
      <c r="AF10" s="14">
        <v>0.52005644512368887</v>
      </c>
      <c r="AG10" s="114">
        <v>0.7636009244846006</v>
      </c>
      <c r="AH10" s="115">
        <v>0.8152668248832512</v>
      </c>
      <c r="AI10" s="14">
        <v>0.88059422877885207</v>
      </c>
      <c r="AJ10" s="14">
        <v>0.88059422877885185</v>
      </c>
      <c r="AK10" s="14">
        <v>0.87304321994150202</v>
      </c>
      <c r="AL10" s="14">
        <v>0.84493486566556952</v>
      </c>
      <c r="AM10" s="98">
        <v>5.5199029586345594E-2</v>
      </c>
      <c r="AN10" s="120">
        <v>-1.3620518631685785E-2</v>
      </c>
      <c r="AO10" s="118">
        <v>6.9769849756570634E-2</v>
      </c>
    </row>
    <row r="11" spans="2:41" x14ac:dyDescent="0.3">
      <c r="B11" s="10" t="s">
        <v>79</v>
      </c>
      <c r="C11" s="8" t="s">
        <v>86</v>
      </c>
      <c r="D11" s="10">
        <v>2580498.2200000002</v>
      </c>
      <c r="E11" s="10">
        <v>2340836.0899999994</v>
      </c>
      <c r="F11" s="10">
        <v>2240083.7854100014</v>
      </c>
      <c r="G11" s="10">
        <v>2240659.2800000012</v>
      </c>
      <c r="H11" s="10">
        <v>2240686.5700000022</v>
      </c>
      <c r="I11" s="10">
        <v>2322588.4294000026</v>
      </c>
      <c r="J11" s="10">
        <v>2605113.961406976</v>
      </c>
      <c r="K11" s="14">
        <v>1.0000121794510413</v>
      </c>
      <c r="L11" s="14">
        <v>1.0365647513351524</v>
      </c>
      <c r="M11" s="14">
        <v>-4.2783653425301216E-2</v>
      </c>
      <c r="N11" s="14">
        <v>0.1216425297012087</v>
      </c>
      <c r="O11" s="14">
        <v>3.6552126699273435E-2</v>
      </c>
      <c r="P11" s="10">
        <v>1354197.3999999994</v>
      </c>
      <c r="Q11" s="10">
        <v>1226574.8999999999</v>
      </c>
      <c r="R11" s="10">
        <v>1199871.8457810201</v>
      </c>
      <c r="S11" s="10">
        <v>1199890.9600000023</v>
      </c>
      <c r="T11" s="10">
        <v>1226803.4479268428</v>
      </c>
      <c r="U11" s="10">
        <v>1359658.0933461012</v>
      </c>
      <c r="V11" s="13">
        <v>1.000015930217089</v>
      </c>
      <c r="W11" s="13">
        <v>1.0224453988486515</v>
      </c>
      <c r="X11" s="14">
        <v>-2.1754839431328388E-2</v>
      </c>
      <c r="Y11" s="14">
        <v>0.1082933420539105</v>
      </c>
      <c r="Z11" s="13">
        <v>4.0324204920949569E-3</v>
      </c>
      <c r="AA11" s="14">
        <v>0.52478137342020692</v>
      </c>
      <c r="AB11" s="14">
        <v>0.52399008424378835</v>
      </c>
      <c r="AC11" s="14">
        <v>0.53549946504183332</v>
      </c>
      <c r="AD11" s="14">
        <v>0.53550147355058286</v>
      </c>
      <c r="AE11" s="14">
        <v>0.52820526977470761</v>
      </c>
      <c r="AF11" s="14">
        <v>0.52191885402655247</v>
      </c>
      <c r="AG11" s="114">
        <v>0.80409844762773197</v>
      </c>
      <c r="AH11" s="115">
        <v>0.82493078631238792</v>
      </c>
      <c r="AI11" s="14">
        <v>0.87427255509930746</v>
      </c>
      <c r="AJ11" s="14">
        <v>0.87426401080737048</v>
      </c>
      <c r="AK11" s="14">
        <v>0.86169167256737889</v>
      </c>
      <c r="AL11" s="14">
        <v>0.85209929582053712</v>
      </c>
      <c r="AM11" s="98">
        <v>0.16264094955814068</v>
      </c>
      <c r="AN11" s="120">
        <v>0.1216425297012087</v>
      </c>
      <c r="AO11" s="118">
        <v>3.6552126699273435E-2</v>
      </c>
    </row>
    <row r="12" spans="2:41" x14ac:dyDescent="0.3">
      <c r="B12" s="10" t="s">
        <v>79</v>
      </c>
      <c r="C12" s="8" t="s">
        <v>87</v>
      </c>
      <c r="D12" s="10">
        <v>6490178.6999999983</v>
      </c>
      <c r="E12" s="10">
        <v>3975059.0799999991</v>
      </c>
      <c r="F12" s="10">
        <v>4241203.8727430049</v>
      </c>
      <c r="G12" s="10">
        <v>3930075.0384979174</v>
      </c>
      <c r="H12" s="10">
        <v>5099513.3700000094</v>
      </c>
      <c r="I12" s="10">
        <v>5121982.2953000059</v>
      </c>
      <c r="J12" s="10">
        <v>5509364.6596753718</v>
      </c>
      <c r="K12" s="14">
        <v>1.2975613239051673</v>
      </c>
      <c r="L12" s="14">
        <v>1.3032784985341241</v>
      </c>
      <c r="M12" s="14">
        <v>0.28287737801371504</v>
      </c>
      <c r="N12" s="14">
        <v>7.5631336080726586E-2</v>
      </c>
      <c r="O12" s="14">
        <v>4.4060920463859787E-3</v>
      </c>
      <c r="P12" s="10">
        <v>2248154.6399999992</v>
      </c>
      <c r="Q12" s="10">
        <v>1572737.1499999994</v>
      </c>
      <c r="R12" s="10">
        <v>1697770.2348337648</v>
      </c>
      <c r="S12" s="10">
        <v>2185584.6000000103</v>
      </c>
      <c r="T12" s="10">
        <v>2212686.3952166759</v>
      </c>
      <c r="U12" s="10">
        <v>2455864.1185563053</v>
      </c>
      <c r="V12" s="13">
        <v>1.2873264916285974</v>
      </c>
      <c r="W12" s="13">
        <v>1.3032896618271368</v>
      </c>
      <c r="X12" s="14">
        <v>0.38966934175873646</v>
      </c>
      <c r="Y12" s="14">
        <v>0.10990157659274447</v>
      </c>
      <c r="Z12" s="13">
        <v>9.2391099286793787E-2</v>
      </c>
      <c r="AA12" s="14">
        <v>0.34639333428523311</v>
      </c>
      <c r="AB12" s="14">
        <v>0.39565126413165153</v>
      </c>
      <c r="AC12" s="14">
        <v>0.43199435588452684</v>
      </c>
      <c r="AD12" s="14">
        <v>0.42858689475305883</v>
      </c>
      <c r="AE12" s="14">
        <v>0.43199805615241277</v>
      </c>
      <c r="AF12" s="14">
        <v>0.44576176569532289</v>
      </c>
      <c r="AG12" s="114">
        <v>0.26607970748170656</v>
      </c>
      <c r="AH12" s="115">
        <v>0.32764625623492233</v>
      </c>
      <c r="AI12" s="14">
        <v>0.33947226844497808</v>
      </c>
      <c r="AJ12" s="14">
        <v>0.3783265682683839</v>
      </c>
      <c r="AK12" s="14">
        <v>0.33567929458125856</v>
      </c>
      <c r="AL12" s="14">
        <v>0.40727096583866457</v>
      </c>
      <c r="AM12" s="98">
        <v>8.0370666755475551E-2</v>
      </c>
      <c r="AN12" s="121">
        <v>7.5631336080726586E-2</v>
      </c>
      <c r="AO12" s="118">
        <v>4.4060920463859787E-3</v>
      </c>
    </row>
    <row r="13" spans="2:41" x14ac:dyDescent="0.3">
      <c r="B13" s="10" t="s">
        <v>79</v>
      </c>
      <c r="C13" s="8" t="s">
        <v>88</v>
      </c>
      <c r="D13" s="10">
        <v>2017064.3999999994</v>
      </c>
      <c r="E13" s="10">
        <v>2261365.0199999996</v>
      </c>
      <c r="F13" s="10">
        <v>2177665.5381345008</v>
      </c>
      <c r="G13" s="10">
        <v>2213884.5615301789</v>
      </c>
      <c r="H13" s="10">
        <v>2049112.5700000022</v>
      </c>
      <c r="I13" s="10">
        <v>2123080.0546000027</v>
      </c>
      <c r="J13" s="10">
        <v>2377064.6141804033</v>
      </c>
      <c r="K13" s="14">
        <v>0.92557335897573145</v>
      </c>
      <c r="L13" s="14">
        <v>0.95898408231935339</v>
      </c>
      <c r="M13" s="14">
        <v>-9.3860322470185498E-2</v>
      </c>
      <c r="N13" s="14">
        <v>0.11963023204428924</v>
      </c>
      <c r="O13" s="14">
        <v>3.6097326073208702E-2</v>
      </c>
      <c r="P13" s="10">
        <v>997338.75999999966</v>
      </c>
      <c r="Q13" s="10">
        <v>1079614.7399999998</v>
      </c>
      <c r="R13" s="10">
        <v>1132980.4085624053</v>
      </c>
      <c r="S13" s="10">
        <v>1072944.0700000026</v>
      </c>
      <c r="T13" s="10">
        <v>1112269.2425839563</v>
      </c>
      <c r="U13" s="10">
        <v>1221944.9951013583</v>
      </c>
      <c r="V13" s="13">
        <v>0.94701025886353996</v>
      </c>
      <c r="W13" s="13">
        <v>0.98171974923668048</v>
      </c>
      <c r="X13" s="14">
        <v>-6.1787503938647292E-3</v>
      </c>
      <c r="Y13" s="14">
        <v>9.8605399051231446E-2</v>
      </c>
      <c r="Z13" s="13">
        <v>0.22520556114891055</v>
      </c>
      <c r="AA13" s="14">
        <v>0.49445062834880232</v>
      </c>
      <c r="AB13" s="14">
        <v>0.47741728135513478</v>
      </c>
      <c r="AC13" s="14">
        <v>0.51176128523129449</v>
      </c>
      <c r="AD13" s="14">
        <v>0.52361401989740441</v>
      </c>
      <c r="AE13" s="14">
        <v>0.52389416036104797</v>
      </c>
      <c r="AF13" s="14">
        <v>0.51405628093230316</v>
      </c>
      <c r="AG13" s="114">
        <v>0.67164587803939302</v>
      </c>
      <c r="AH13" s="115">
        <v>0.62729474854668277</v>
      </c>
      <c r="AI13" s="14">
        <v>0.7394430039583787</v>
      </c>
      <c r="AJ13" s="14">
        <v>0.83645100083496238</v>
      </c>
      <c r="AK13" s="14">
        <v>0.74429622941972329</v>
      </c>
      <c r="AL13" s="14">
        <v>0.8051900977973192</v>
      </c>
      <c r="AM13" s="98">
        <v>0.16004588961181421</v>
      </c>
      <c r="AN13" s="120">
        <v>0.11963023204428924</v>
      </c>
      <c r="AO13" s="118">
        <v>3.6097326073208702E-2</v>
      </c>
    </row>
    <row r="14" spans="2:41" x14ac:dyDescent="0.3">
      <c r="B14" s="10" t="s">
        <v>79</v>
      </c>
      <c r="C14" s="8" t="s">
        <v>89</v>
      </c>
      <c r="D14" s="10">
        <v>1489046.7899999998</v>
      </c>
      <c r="E14" s="10">
        <v>2081007.4299999995</v>
      </c>
      <c r="F14" s="10">
        <v>2303990.8286525006</v>
      </c>
      <c r="G14" s="10">
        <v>2322691.1044941996</v>
      </c>
      <c r="H14" s="10">
        <v>2066127.3300000043</v>
      </c>
      <c r="I14" s="10">
        <v>2501103.4103955436</v>
      </c>
      <c r="J14" s="10">
        <v>2709411.5131836291</v>
      </c>
      <c r="K14" s="14">
        <v>0.88954029487702113</v>
      </c>
      <c r="L14" s="14">
        <v>1.0768127563566814</v>
      </c>
      <c r="M14" s="14">
        <v>-7.1504309813997802E-3</v>
      </c>
      <c r="N14" s="14">
        <v>8.3286481447459204E-2</v>
      </c>
      <c r="O14" s="119">
        <v>0.21052723812309204</v>
      </c>
      <c r="P14" s="10">
        <v>756200.95000000007</v>
      </c>
      <c r="Q14" s="10">
        <v>1068011.3699999996</v>
      </c>
      <c r="R14" s="10">
        <v>1227834.1158906166</v>
      </c>
      <c r="S14" s="10">
        <v>1071201.4900000051</v>
      </c>
      <c r="T14" s="10">
        <v>1323623.7539385692</v>
      </c>
      <c r="U14" s="10">
        <v>1414665.0433868899</v>
      </c>
      <c r="V14" s="13">
        <v>0.87243176919139676</v>
      </c>
      <c r="W14" s="13">
        <v>1.0780151299008915</v>
      </c>
      <c r="X14" s="14">
        <v>2.9869719458188726E-3</v>
      </c>
      <c r="Y14" s="14">
        <v>6.8781849205575618E-2</v>
      </c>
      <c r="Z14" s="13">
        <v>0.87075279842863162</v>
      </c>
      <c r="AA14" s="14">
        <v>0.50784230225565996</v>
      </c>
      <c r="AB14" s="14">
        <v>0.51321843190151417</v>
      </c>
      <c r="AC14" s="14">
        <v>0.52862565905335723</v>
      </c>
      <c r="AD14" s="14">
        <v>0.51845860342014971</v>
      </c>
      <c r="AE14" s="14">
        <v>0.5292159246343362</v>
      </c>
      <c r="AF14" s="14">
        <v>0.52213000369390972</v>
      </c>
      <c r="AG14" s="114">
        <v>0.74345538866512095</v>
      </c>
      <c r="AH14" s="115">
        <v>0.76732553763311862</v>
      </c>
      <c r="AI14" s="14">
        <v>0.83759041132898715</v>
      </c>
      <c r="AJ14" s="14">
        <v>0.72231506661305389</v>
      </c>
      <c r="AK14" s="14">
        <v>0.83757306430828038</v>
      </c>
      <c r="AL14" s="14">
        <v>0.85319545249167961</v>
      </c>
      <c r="AM14" s="98">
        <v>0.31134779248267508</v>
      </c>
      <c r="AN14" s="120">
        <v>8.3286481447459204E-2</v>
      </c>
      <c r="AO14" s="118">
        <v>0.21052723812309204</v>
      </c>
    </row>
    <row r="15" spans="2:41" x14ac:dyDescent="0.3">
      <c r="B15" s="10" t="s">
        <v>79</v>
      </c>
      <c r="C15" s="8" t="s">
        <v>90</v>
      </c>
      <c r="D15" s="10">
        <v>2382494.3199999994</v>
      </c>
      <c r="E15" s="10">
        <v>2387698.5799999996</v>
      </c>
      <c r="F15" s="10">
        <v>3053922.1153500015</v>
      </c>
      <c r="G15" s="10">
        <v>3150580.4747701022</v>
      </c>
      <c r="H15" s="10">
        <v>2914369.5114942538</v>
      </c>
      <c r="I15" s="10">
        <v>3467663.1784288734</v>
      </c>
      <c r="J15" s="10">
        <v>4118789.1703878045</v>
      </c>
      <c r="K15" s="14">
        <v>0.92502620860903906</v>
      </c>
      <c r="L15" s="14">
        <v>1.1006426295719074</v>
      </c>
      <c r="M15" s="14">
        <v>0.22057680810542446</v>
      </c>
      <c r="N15" s="14">
        <v>0.18777082964959213</v>
      </c>
      <c r="O15" s="119">
        <v>0.18985021108422706</v>
      </c>
      <c r="P15" s="10">
        <v>1091918.2999999996</v>
      </c>
      <c r="Q15" s="10">
        <v>1186600.1499999997</v>
      </c>
      <c r="R15" s="10">
        <v>1494013.9880253312</v>
      </c>
      <c r="S15" s="10">
        <v>1191740.9703493295</v>
      </c>
      <c r="T15" s="10">
        <v>1650497.2931189463</v>
      </c>
      <c r="U15" s="10">
        <v>1991420.6046174972</v>
      </c>
      <c r="V15" s="13">
        <v>0.79767725061562367</v>
      </c>
      <c r="W15" s="13">
        <v>1.1047401874064393</v>
      </c>
      <c r="X15" s="14">
        <v>4.3323948251059452E-3</v>
      </c>
      <c r="Y15" s="14">
        <v>0.20655793433887304</v>
      </c>
      <c r="Z15" s="13">
        <v>0.82378169192465944</v>
      </c>
      <c r="AA15" s="14">
        <v>0.45830887857058977</v>
      </c>
      <c r="AB15" s="14">
        <v>0.49696396351670147</v>
      </c>
      <c r="AC15" s="14">
        <v>0.4742027699306266</v>
      </c>
      <c r="AD15" s="14">
        <v>0.40891896708674419</v>
      </c>
      <c r="AE15" s="14">
        <v>0.47596816881931203</v>
      </c>
      <c r="AF15" s="14">
        <v>0.48349661083283729</v>
      </c>
      <c r="AG15" s="114">
        <v>0.43712986480488281</v>
      </c>
      <c r="AH15" s="115">
        <v>0.59017329992488943</v>
      </c>
      <c r="AI15" s="14">
        <v>0.52887285880809298</v>
      </c>
      <c r="AJ15" s="14">
        <v>0.38948797894435461</v>
      </c>
      <c r="AK15" s="14">
        <v>0.53370749368561188</v>
      </c>
      <c r="AL15" s="14">
        <v>0.61690242473022394</v>
      </c>
      <c r="AM15" s="98">
        <v>0.41326937237825456</v>
      </c>
      <c r="AN15" s="120">
        <v>0.18777082964959213</v>
      </c>
      <c r="AO15" s="118">
        <v>0.18985021108422706</v>
      </c>
    </row>
    <row r="16" spans="2:41" x14ac:dyDescent="0.3">
      <c r="B16" s="10" t="s">
        <v>79</v>
      </c>
      <c r="C16" s="8" t="s">
        <v>91</v>
      </c>
      <c r="D16" s="10">
        <v>5545189.0299999975</v>
      </c>
      <c r="E16" s="10">
        <v>5206743.1899999995</v>
      </c>
      <c r="F16" s="10">
        <v>5399286.3723250059</v>
      </c>
      <c r="G16" s="10">
        <v>5621221.7493566778</v>
      </c>
      <c r="H16" s="10">
        <v>5244118.6781609207</v>
      </c>
      <c r="I16" s="10">
        <v>5521305.966363945</v>
      </c>
      <c r="J16" s="10">
        <v>6692654.7877467889</v>
      </c>
      <c r="K16" s="14">
        <v>0.9329143933453764</v>
      </c>
      <c r="L16" s="14">
        <v>0.98222525503389591</v>
      </c>
      <c r="M16" s="14">
        <v>7.1782853113830924E-3</v>
      </c>
      <c r="N16" s="14">
        <v>0.21215068111036706</v>
      </c>
      <c r="O16" s="14">
        <v>5.2856791620175869E-2</v>
      </c>
      <c r="P16" s="10">
        <v>2587685.4599999995</v>
      </c>
      <c r="Q16" s="10">
        <v>2693145.44</v>
      </c>
      <c r="R16" s="10">
        <v>2871050.0873620952</v>
      </c>
      <c r="S16" s="10">
        <v>2549956.5040866304</v>
      </c>
      <c r="T16" s="10">
        <v>2821498.2640113835</v>
      </c>
      <c r="U16" s="10">
        <v>3449158.6019213405</v>
      </c>
      <c r="V16" s="13">
        <v>0.88816162257535403</v>
      </c>
      <c r="W16" s="13">
        <v>0.98274087116458508</v>
      </c>
      <c r="X16" s="14">
        <v>-5.3167917999025538E-2</v>
      </c>
      <c r="Y16" s="14">
        <v>0.22245639698448683</v>
      </c>
      <c r="Z16" s="13">
        <v>0.33291261833706054</v>
      </c>
      <c r="AA16" s="14">
        <v>0.46665414758638096</v>
      </c>
      <c r="AB16" s="14">
        <v>0.51724184230411419</v>
      </c>
      <c r="AC16" s="14">
        <v>0.51075197090217506</v>
      </c>
      <c r="AD16" s="14">
        <v>0.48625072401696373</v>
      </c>
      <c r="AE16" s="14">
        <v>0.51102008858050674</v>
      </c>
      <c r="AF16" s="14">
        <v>0.51536478591966439</v>
      </c>
      <c r="AG16" s="114">
        <v>0.45385596710668008</v>
      </c>
      <c r="AH16" s="115">
        <v>0.74754433271216536</v>
      </c>
      <c r="AI16" s="14">
        <v>0.73843310792757444</v>
      </c>
      <c r="AJ16" s="14">
        <v>0.56314775820862073</v>
      </c>
      <c r="AK16" s="14">
        <v>0.73987538283530385</v>
      </c>
      <c r="AL16" s="14">
        <v>0.81019877718220568</v>
      </c>
      <c r="AM16" s="98">
        <v>0.27622107707407206</v>
      </c>
      <c r="AN16" s="120">
        <v>0.21215068111036706</v>
      </c>
      <c r="AO16" s="118">
        <v>5.2856791620175869E-2</v>
      </c>
    </row>
    <row r="17" spans="2:41" x14ac:dyDescent="0.3">
      <c r="B17" s="8" t="s">
        <v>289</v>
      </c>
      <c r="C17" s="8"/>
      <c r="D17" s="10">
        <v>37570867.399999991</v>
      </c>
      <c r="E17" s="10">
        <v>32895270.639999993</v>
      </c>
      <c r="F17" s="10">
        <v>34382267.307537057</v>
      </c>
      <c r="G17" s="10">
        <v>34109075.248649098</v>
      </c>
      <c r="H17" s="10">
        <v>34243891.06965521</v>
      </c>
      <c r="I17" s="10">
        <v>36818568.056741089</v>
      </c>
      <c r="J17" s="10">
        <v>39941022.489675812</v>
      </c>
      <c r="K17" s="14">
        <v>1.0039524912365214</v>
      </c>
      <c r="L17" s="14">
        <v>1.0794361262608336</v>
      </c>
      <c r="M17" s="14">
        <v>4.0997395778083368E-2</v>
      </c>
      <c r="N17" s="14">
        <v>8.4806514694509172E-2</v>
      </c>
      <c r="O17" s="14">
        <v>7.5186461195332566E-2</v>
      </c>
      <c r="P17" s="10">
        <v>17263199.569999993</v>
      </c>
      <c r="Q17" s="10">
        <v>15871497.019999996</v>
      </c>
      <c r="R17" s="10">
        <v>16831603.874518927</v>
      </c>
      <c r="S17" s="10">
        <v>16455664.444435993</v>
      </c>
      <c r="T17" s="10">
        <v>18028941.342783578</v>
      </c>
      <c r="U17" s="10">
        <v>19873932.600720905</v>
      </c>
      <c r="V17" s="13">
        <v>0.97766466981485589</v>
      </c>
      <c r="W17" s="13">
        <v>1.0711362670599252</v>
      </c>
      <c r="X17" s="14">
        <v>3.6806069629089944E-2</v>
      </c>
      <c r="Y17" s="14">
        <v>0.10233497479738718</v>
      </c>
      <c r="Z17" s="13">
        <v>0.15123112144621564</v>
      </c>
      <c r="AA17" s="14">
        <v>0.45948365754259851</v>
      </c>
      <c r="AB17" s="14">
        <v>0.48248567989285901</v>
      </c>
      <c r="AC17" s="14">
        <v>0.49346409282044562</v>
      </c>
      <c r="AD17" s="14">
        <v>0.48054306711125994</v>
      </c>
      <c r="AE17" s="14">
        <v>0.48966981320401187</v>
      </c>
      <c r="AF17" s="14">
        <v>0.49758196866036741</v>
      </c>
      <c r="AG17" s="114">
        <v>0.54162137580835401</v>
      </c>
      <c r="AH17" s="115">
        <v>0.63256277688760321</v>
      </c>
      <c r="AI17" s="14">
        <v>0.65375831791382222</v>
      </c>
      <c r="AJ17" s="14">
        <v>0.60709429799052339</v>
      </c>
      <c r="AK17" s="14">
        <v>0.64004702065640662</v>
      </c>
      <c r="AL17" s="14">
        <v>0.70793213094789664</v>
      </c>
      <c r="AM17" s="98">
        <v>0.16636927761603126</v>
      </c>
      <c r="AN17" s="98">
        <v>8.4806514694507174E-2</v>
      </c>
      <c r="AO17" s="118">
        <v>7.518646119533412E-2</v>
      </c>
    </row>
    <row r="18" spans="2:41" x14ac:dyDescent="0.3">
      <c r="B18" s="23" t="s">
        <v>146</v>
      </c>
      <c r="C18" s="23"/>
      <c r="D18" s="42">
        <v>37570867.399999991</v>
      </c>
      <c r="E18" s="42">
        <v>32895270.639999993</v>
      </c>
      <c r="F18" s="42">
        <v>34382267.307537057</v>
      </c>
      <c r="G18" s="42">
        <v>34109075.248649098</v>
      </c>
      <c r="H18" s="42">
        <v>34243891.06965521</v>
      </c>
      <c r="I18" s="42">
        <v>36818568.056741089</v>
      </c>
      <c r="J18" s="42">
        <v>39941022.489675812</v>
      </c>
      <c r="K18" s="41">
        <v>1.0039524912365214</v>
      </c>
      <c r="L18" s="41">
        <v>1.0794361262608336</v>
      </c>
      <c r="M18" s="41">
        <v>4.0997395778083368E-2</v>
      </c>
      <c r="N18" s="41">
        <v>8.4806514694509172E-2</v>
      </c>
      <c r="O18" s="41">
        <v>7.5186461195332566E-2</v>
      </c>
      <c r="P18" s="42">
        <v>17263199.569999993</v>
      </c>
      <c r="Q18" s="42">
        <v>15871497.019999996</v>
      </c>
      <c r="R18" s="42">
        <v>16831603.874518927</v>
      </c>
      <c r="S18" s="42">
        <v>16455664.444435993</v>
      </c>
      <c r="T18" s="42">
        <v>18028941.342783578</v>
      </c>
      <c r="U18" s="42">
        <v>19873932.600720905</v>
      </c>
      <c r="V18" s="43">
        <v>0.97766466981485589</v>
      </c>
      <c r="W18" s="43">
        <v>1.0711362670599252</v>
      </c>
      <c r="X18" s="41">
        <v>3.6806069629089944E-2</v>
      </c>
      <c r="Y18" s="41">
        <v>0.10233497479738718</v>
      </c>
      <c r="Z18" s="111">
        <v>0.15123112144621564</v>
      </c>
      <c r="AA18" s="41">
        <v>0.45948365754259851</v>
      </c>
      <c r="AB18" s="41">
        <v>0.48248567989285901</v>
      </c>
      <c r="AC18" s="41">
        <v>0.49346409282044562</v>
      </c>
      <c r="AD18" s="41">
        <v>0.48054306711125994</v>
      </c>
      <c r="AE18" s="41">
        <v>0.48966981320401187</v>
      </c>
      <c r="AF18" s="41">
        <v>0.49758196866036741</v>
      </c>
      <c r="AG18" s="112">
        <v>0.54162137580835401</v>
      </c>
      <c r="AH18" s="113">
        <v>0.63256277688760321</v>
      </c>
      <c r="AI18" s="112">
        <v>0.65375831791382222</v>
      </c>
      <c r="AJ18" s="112">
        <v>0.60709429799052339</v>
      </c>
      <c r="AK18" s="112">
        <v>0.64004702065640662</v>
      </c>
      <c r="AL18" s="112">
        <v>0.70793213094789664</v>
      </c>
      <c r="AO18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D68E-12C6-471C-A94D-16826272A2F1}">
  <dimension ref="A1:AN1127"/>
  <sheetViews>
    <sheetView workbookViewId="0">
      <pane xSplit="1" ySplit="4" topLeftCell="O5" activePane="bottomRight" state="frozen"/>
      <selection activeCell="D6" sqref="D6"/>
      <selection pane="topRight" activeCell="D6" sqref="D6"/>
      <selection pane="bottomLeft" activeCell="D6" sqref="D6"/>
      <selection pane="bottomRight" activeCell="H12" sqref="H12"/>
    </sheetView>
  </sheetViews>
  <sheetFormatPr baseColWidth="10" defaultRowHeight="14.4" x14ac:dyDescent="0.3"/>
  <cols>
    <col min="3" max="3" width="10.88671875" customWidth="1"/>
    <col min="4" max="4" width="9.5546875" customWidth="1"/>
    <col min="5" max="5" width="9.88671875" customWidth="1"/>
    <col min="6" max="7" width="9.5546875" customWidth="1"/>
    <col min="8" max="8" width="10.33203125" customWidth="1"/>
    <col min="9" max="9" width="9" customWidth="1"/>
    <col min="10" max="10" width="7.6640625" customWidth="1"/>
    <col min="11" max="11" width="7.33203125" customWidth="1"/>
    <col min="12" max="12" width="7.88671875" customWidth="1"/>
    <col min="13" max="13" width="8.88671875" customWidth="1"/>
    <col min="14" max="14" width="9.44140625" customWidth="1"/>
    <col min="15" max="15" width="9.88671875" customWidth="1"/>
    <col min="16" max="17" width="9.109375" customWidth="1"/>
    <col min="18" max="18" width="9.44140625" customWidth="1"/>
    <col min="19" max="19" width="5.88671875" customWidth="1"/>
    <col min="20" max="20" width="8.109375" customWidth="1"/>
    <col min="21" max="21" width="7.44140625" customWidth="1"/>
    <col min="22" max="22" width="8" customWidth="1"/>
    <col min="23" max="27" width="7.44140625" customWidth="1"/>
  </cols>
  <sheetData>
    <row r="1" spans="1:40" s="8" customFormat="1" ht="12" x14ac:dyDescent="0.25">
      <c r="A1" s="7" t="s">
        <v>117</v>
      </c>
      <c r="B1" s="8" t="s">
        <v>147</v>
      </c>
    </row>
    <row r="2" spans="1:40" s="8" customFormat="1" ht="12" x14ac:dyDescent="0.25">
      <c r="A2" s="7" t="s">
        <v>118</v>
      </c>
      <c r="B2" s="8" t="s">
        <v>147</v>
      </c>
    </row>
    <row r="3" spans="1:40" s="8" customFormat="1" ht="12" x14ac:dyDescent="0.25">
      <c r="A3" s="18" t="s">
        <v>77</v>
      </c>
      <c r="B3" s="10" t="s">
        <v>79</v>
      </c>
    </row>
    <row r="4" spans="1:40" s="9" customFormat="1" ht="16.5" customHeight="1" x14ac:dyDescent="0.3">
      <c r="A4" s="7" t="s">
        <v>107</v>
      </c>
      <c r="B4" s="8" t="s">
        <v>147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1:40" s="11" customFormat="1" x14ac:dyDescent="0.3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1:40" s="11" customFormat="1" ht="48" x14ac:dyDescent="0.25">
      <c r="A6" s="7" t="s">
        <v>145</v>
      </c>
      <c r="B6" s="25" t="s">
        <v>148</v>
      </c>
      <c r="C6" s="24" t="s">
        <v>149</v>
      </c>
      <c r="D6" s="24" t="s">
        <v>150</v>
      </c>
      <c r="E6" s="24" t="s">
        <v>151</v>
      </c>
      <c r="F6" s="24" t="s">
        <v>175</v>
      </c>
      <c r="G6" s="24" t="s">
        <v>176</v>
      </c>
      <c r="H6" s="24" t="s">
        <v>163</v>
      </c>
      <c r="I6" s="24" t="s">
        <v>155</v>
      </c>
      <c r="J6" s="24" t="s">
        <v>154</v>
      </c>
      <c r="K6" s="24" t="s">
        <v>156</v>
      </c>
      <c r="L6" s="24" t="s">
        <v>157</v>
      </c>
      <c r="M6" s="26" t="s">
        <v>158</v>
      </c>
      <c r="N6" s="26" t="s">
        <v>159</v>
      </c>
      <c r="O6" s="26" t="s">
        <v>177</v>
      </c>
      <c r="P6" s="26" t="s">
        <v>178</v>
      </c>
      <c r="Q6" s="26" t="s">
        <v>179</v>
      </c>
      <c r="R6" s="26" t="s">
        <v>172</v>
      </c>
      <c r="S6" s="26" t="s">
        <v>164</v>
      </c>
      <c r="T6" s="26" t="s">
        <v>165</v>
      </c>
      <c r="U6" s="26" t="s">
        <v>166</v>
      </c>
      <c r="V6" s="26" t="s">
        <v>167</v>
      </c>
      <c r="W6" s="27" t="s">
        <v>169</v>
      </c>
      <c r="X6" s="27" t="s">
        <v>180</v>
      </c>
      <c r="Y6" s="27" t="s">
        <v>181</v>
      </c>
      <c r="Z6" s="27" t="s">
        <v>182</v>
      </c>
      <c r="AA6" s="27" t="s">
        <v>173</v>
      </c>
      <c r="AJ6" s="44"/>
      <c r="AK6" s="44"/>
      <c r="AL6" s="44"/>
      <c r="AM6" s="44"/>
      <c r="AN6" s="44"/>
    </row>
    <row r="7" spans="1:40" s="11" customFormat="1" ht="12" x14ac:dyDescent="0.25">
      <c r="A7" s="12" t="s">
        <v>80</v>
      </c>
      <c r="B7" s="10">
        <v>2782592.209999999</v>
      </c>
      <c r="C7" s="10">
        <v>2097705.1800000002</v>
      </c>
      <c r="D7" s="10">
        <v>2272750.2123143682</v>
      </c>
      <c r="E7" s="10">
        <v>1942292.3300000024</v>
      </c>
      <c r="F7" s="10">
        <v>1942292.3300000024</v>
      </c>
      <c r="G7" s="10">
        <v>2317196.3766395012</v>
      </c>
      <c r="H7" s="10">
        <v>2415809.2964642774</v>
      </c>
      <c r="I7" s="14">
        <v>1</v>
      </c>
      <c r="J7" s="14">
        <v>1.1930214318662826</v>
      </c>
      <c r="K7" s="14">
        <v>-7.4087079291093594E-2</v>
      </c>
      <c r="L7" s="14">
        <v>4.255699724845452E-2</v>
      </c>
      <c r="M7" s="10">
        <v>1421484.3899999997</v>
      </c>
      <c r="N7" s="10">
        <v>1055227.7999999996</v>
      </c>
      <c r="O7" s="10">
        <v>986887.05048884277</v>
      </c>
      <c r="P7" s="10">
        <v>987251.59000000218</v>
      </c>
      <c r="Q7" s="10">
        <v>1175495.604056255</v>
      </c>
      <c r="R7" s="10">
        <v>1261226.7378933867</v>
      </c>
      <c r="S7" s="13">
        <v>1.0003693832146028</v>
      </c>
      <c r="T7" s="13">
        <v>1.1911146300622621</v>
      </c>
      <c r="U7" s="14">
        <v>-6.4418517025420896E-2</v>
      </c>
      <c r="V7" s="14">
        <v>7.2931905097136429E-2</v>
      </c>
      <c r="W7" s="14">
        <v>0.50303913536600964</v>
      </c>
      <c r="X7" s="14">
        <v>0.50810428237073946</v>
      </c>
      <c r="Y7" s="14">
        <v>0.50829196756391504</v>
      </c>
      <c r="Z7" s="14">
        <v>0.50729218114910468</v>
      </c>
      <c r="AA7" s="14">
        <v>0.52207214358322451</v>
      </c>
      <c r="AJ7" s="44"/>
      <c r="AK7" s="44"/>
      <c r="AL7" s="44"/>
      <c r="AM7" s="44"/>
      <c r="AN7" s="44"/>
    </row>
    <row r="8" spans="1:40" s="11" customFormat="1" ht="12" x14ac:dyDescent="0.25">
      <c r="A8" s="12" t="s">
        <v>81</v>
      </c>
      <c r="B8" s="10">
        <v>4084326.8800000004</v>
      </c>
      <c r="C8" s="10">
        <v>2623042.1000000006</v>
      </c>
      <c r="D8" s="10">
        <v>3596312.6027500033</v>
      </c>
      <c r="E8" s="10">
        <v>3280743.8700000034</v>
      </c>
      <c r="F8" s="10">
        <v>3280743.8700000029</v>
      </c>
      <c r="G8" s="10">
        <v>3715638.608039204</v>
      </c>
      <c r="H8" s="10">
        <v>3816460.1998355668</v>
      </c>
      <c r="I8" s="14">
        <v>0.99999999999999989</v>
      </c>
      <c r="J8" s="14">
        <v>1.1325597959706621</v>
      </c>
      <c r="K8" s="14">
        <v>0.25074007390121644</v>
      </c>
      <c r="L8" s="14">
        <v>2.7134391266745883E-2</v>
      </c>
      <c r="M8" s="10">
        <v>1655015.1999999995</v>
      </c>
      <c r="N8" s="10">
        <v>1167617.9199999995</v>
      </c>
      <c r="O8" s="10">
        <v>1372519.9224234978</v>
      </c>
      <c r="P8" s="10">
        <v>1370254.8500000029</v>
      </c>
      <c r="Q8" s="10">
        <v>1546825.5748511977</v>
      </c>
      <c r="R8" s="10">
        <v>1694816.6096506021</v>
      </c>
      <c r="S8" s="13">
        <v>0.99834969796322126</v>
      </c>
      <c r="T8" s="13">
        <v>1.1269968104506078</v>
      </c>
      <c r="U8" s="14">
        <v>0.17354729362153298</v>
      </c>
      <c r="V8" s="14">
        <v>9.5674028930922583E-2</v>
      </c>
      <c r="W8" s="14">
        <v>0.44513884089012495</v>
      </c>
      <c r="X8" s="14">
        <v>0.41835631698475029</v>
      </c>
      <c r="Y8" s="14">
        <v>0.41766590270273113</v>
      </c>
      <c r="Z8" s="14">
        <v>0.41630140549849648</v>
      </c>
      <c r="AA8" s="14">
        <v>0.44408077666409929</v>
      </c>
      <c r="AJ8" s="44"/>
      <c r="AK8" s="44"/>
      <c r="AL8" s="44"/>
      <c r="AM8" s="44"/>
      <c r="AN8" s="44"/>
    </row>
    <row r="9" spans="1:40" s="11" customFormat="1" ht="12" x14ac:dyDescent="0.25">
      <c r="A9" s="12" t="s">
        <v>82</v>
      </c>
      <c r="B9" s="10">
        <v>2990628.9999999986</v>
      </c>
      <c r="C9" s="10">
        <v>3718902.3299999996</v>
      </c>
      <c r="D9" s="10">
        <v>2514913.1523566674</v>
      </c>
      <c r="E9" s="10">
        <v>2705700.3500000038</v>
      </c>
      <c r="F9" s="10">
        <v>2705700.350000002</v>
      </c>
      <c r="G9" s="10">
        <v>2734188.5077000028</v>
      </c>
      <c r="H9" s="10">
        <v>2770836.078515003</v>
      </c>
      <c r="I9" s="14">
        <v>0.99999999999999933</v>
      </c>
      <c r="J9" s="14">
        <v>1.0105289403906086</v>
      </c>
      <c r="K9" s="14">
        <v>-0.27244651515222718</v>
      </c>
      <c r="L9" s="14">
        <v>1.3403454338204446E-2</v>
      </c>
      <c r="M9" s="10">
        <v>1402175.3599999996</v>
      </c>
      <c r="N9" s="10">
        <v>1593118.7499999993</v>
      </c>
      <c r="O9" s="10">
        <v>1297169.1658850154</v>
      </c>
      <c r="P9" s="10">
        <v>1289889.2500000026</v>
      </c>
      <c r="Q9" s="10">
        <v>1303968.1539804179</v>
      </c>
      <c r="R9" s="10">
        <v>1423652.5568228653</v>
      </c>
      <c r="S9" s="13">
        <v>0.99438784387073675</v>
      </c>
      <c r="T9" s="13">
        <v>1.005241404339706</v>
      </c>
      <c r="U9" s="14">
        <v>-0.19033703545325598</v>
      </c>
      <c r="V9" s="14">
        <v>9.1784759065707044E-2</v>
      </c>
      <c r="W9" s="14">
        <v>0.42838413290622757</v>
      </c>
      <c r="X9" s="14">
        <v>0.47942085156806574</v>
      </c>
      <c r="Y9" s="14">
        <v>0.4767302668974418</v>
      </c>
      <c r="Z9" s="14">
        <v>0.47691230882881402</v>
      </c>
      <c r="AA9" s="14">
        <v>0.51379890996144928</v>
      </c>
      <c r="AJ9" s="44"/>
      <c r="AK9" s="44"/>
      <c r="AL9" s="44"/>
      <c r="AM9" s="44"/>
      <c r="AN9" s="44"/>
    </row>
    <row r="10" spans="1:40" s="11" customFormat="1" ht="12" x14ac:dyDescent="0.25">
      <c r="A10" s="12" t="s">
        <v>83</v>
      </c>
      <c r="B10" s="10">
        <v>2342112.64</v>
      </c>
      <c r="C10" s="10">
        <v>2140540.9499999993</v>
      </c>
      <c r="D10" s="10">
        <v>2136576.9172210027</v>
      </c>
      <c r="E10" s="10">
        <v>2310045.5400000028</v>
      </c>
      <c r="F10" s="10">
        <v>2310045.5400000019</v>
      </c>
      <c r="G10" s="10">
        <v>2391506.0399000021</v>
      </c>
      <c r="H10" s="10">
        <v>2471740.7221000022</v>
      </c>
      <c r="I10" s="14">
        <v>0.99999999999999956</v>
      </c>
      <c r="J10" s="14">
        <v>1.0352635904744973</v>
      </c>
      <c r="K10" s="14">
        <v>7.9187735231135203E-2</v>
      </c>
      <c r="L10" s="14">
        <v>3.3549855556022301E-2</v>
      </c>
      <c r="M10" s="10">
        <v>1214198.3099999998</v>
      </c>
      <c r="N10" s="10">
        <v>1107011.0999999999</v>
      </c>
      <c r="O10" s="10">
        <v>1200598.0332168664</v>
      </c>
      <c r="P10" s="10">
        <v>1192963.7300000011</v>
      </c>
      <c r="Q10" s="10">
        <v>1210448.8898130367</v>
      </c>
      <c r="R10" s="10">
        <v>1284841.4904579807</v>
      </c>
      <c r="S10" s="13">
        <v>0.99364124960590683</v>
      </c>
      <c r="T10" s="13">
        <v>1.0082049581322201</v>
      </c>
      <c r="U10" s="14">
        <v>7.7643873670283359E-2</v>
      </c>
      <c r="V10" s="14">
        <v>6.1458687988416028E-2</v>
      </c>
      <c r="W10" s="14">
        <v>0.51716417758791311</v>
      </c>
      <c r="X10" s="14">
        <v>0.51972916222979093</v>
      </c>
      <c r="Y10" s="14">
        <v>0.51642433421464073</v>
      </c>
      <c r="Z10" s="14">
        <v>0.50614502728316346</v>
      </c>
      <c r="AA10" s="14">
        <v>0.51981240547203245</v>
      </c>
      <c r="AJ10" s="44"/>
      <c r="AK10" s="44"/>
      <c r="AL10" s="44"/>
      <c r="AM10" s="44"/>
      <c r="AN10" s="44"/>
    </row>
    <row r="11" spans="1:40" s="11" customFormat="1" ht="12" x14ac:dyDescent="0.25">
      <c r="A11" s="12" t="s">
        <v>84</v>
      </c>
      <c r="B11" s="10">
        <v>2538596.85</v>
      </c>
      <c r="C11" s="10">
        <v>2172521.9499999997</v>
      </c>
      <c r="D11" s="10">
        <v>2332484.3369800015</v>
      </c>
      <c r="E11" s="10">
        <v>2294636.0200000037</v>
      </c>
      <c r="F11" s="10">
        <v>2294636.0200000023</v>
      </c>
      <c r="G11" s="10">
        <v>2359494.6352000032</v>
      </c>
      <c r="H11" s="10">
        <v>2241505.3105598176</v>
      </c>
      <c r="I11" s="14">
        <v>0.99999999999999944</v>
      </c>
      <c r="J11" s="14">
        <v>1.0282653173029155</v>
      </c>
      <c r="K11" s="14">
        <v>5.6208440149478234E-2</v>
      </c>
      <c r="L11" s="14">
        <v>-5.0006184748194626E-2</v>
      </c>
      <c r="M11" s="10">
        <v>1323597.72</v>
      </c>
      <c r="N11" s="10">
        <v>1132413.0399999998</v>
      </c>
      <c r="O11" s="10">
        <v>1227856.9544656042</v>
      </c>
      <c r="P11" s="10">
        <v>1220951.0300000028</v>
      </c>
      <c r="Q11" s="10">
        <v>1254879.8912794497</v>
      </c>
      <c r="R11" s="10">
        <v>1166177.3456675028</v>
      </c>
      <c r="S11" s="13">
        <v>0.99437562784452604</v>
      </c>
      <c r="T11" s="13">
        <v>1.0220082125328733</v>
      </c>
      <c r="U11" s="14">
        <v>7.8185244140250409E-2</v>
      </c>
      <c r="V11" s="14">
        <v>-7.0686084165001328E-2</v>
      </c>
      <c r="W11" s="14">
        <v>0.52124354370734893</v>
      </c>
      <c r="X11" s="14">
        <v>0.53509878855017801</v>
      </c>
      <c r="Y11" s="14">
        <v>0.5320891938234289</v>
      </c>
      <c r="Z11" s="14">
        <v>0.53184265501543704</v>
      </c>
      <c r="AA11" s="14">
        <v>0.52026526110538152</v>
      </c>
      <c r="AJ11" s="44"/>
      <c r="AK11" s="44"/>
      <c r="AL11" s="44"/>
      <c r="AM11" s="44"/>
      <c r="AN11" s="44"/>
    </row>
    <row r="12" spans="1:40" s="11" customFormat="1" ht="12" x14ac:dyDescent="0.25">
      <c r="A12" s="12" t="s">
        <v>85</v>
      </c>
      <c r="B12" s="10">
        <v>2328138.36</v>
      </c>
      <c r="C12" s="10">
        <v>1889848.74</v>
      </c>
      <c r="D12" s="10">
        <v>2113077.5733000007</v>
      </c>
      <c r="E12" s="10">
        <v>2096544.9300000016</v>
      </c>
      <c r="F12" s="10">
        <v>2096544.9300000013</v>
      </c>
      <c r="G12" s="10">
        <v>2242820.5547740012</v>
      </c>
      <c r="H12" s="10">
        <v>2212272.175620174</v>
      </c>
      <c r="I12" s="14">
        <v>0.99999999999999989</v>
      </c>
      <c r="J12" s="14">
        <v>1.0697698497565704</v>
      </c>
      <c r="K12" s="14">
        <v>0.10937181670952212</v>
      </c>
      <c r="L12" s="14">
        <v>-1.3620518631685785E-2</v>
      </c>
      <c r="M12" s="10">
        <v>1211233.0799999998</v>
      </c>
      <c r="N12" s="10">
        <v>989424.66</v>
      </c>
      <c r="O12" s="10">
        <v>1123052.0675838676</v>
      </c>
      <c r="P12" s="10">
        <v>1123035.4000000006</v>
      </c>
      <c r="Q12" s="10">
        <v>1189944.8320068487</v>
      </c>
      <c r="R12" s="10">
        <v>1150506.4032990767</v>
      </c>
      <c r="S12" s="13">
        <v>0.99998515867220406</v>
      </c>
      <c r="T12" s="13">
        <v>1.0595633687464678</v>
      </c>
      <c r="U12" s="14">
        <v>0.13503882145003399</v>
      </c>
      <c r="V12" s="14">
        <v>-3.314307323076382E-2</v>
      </c>
      <c r="W12" s="14">
        <v>0.52354701149257055</v>
      </c>
      <c r="X12" s="14">
        <v>0.53566801813489717</v>
      </c>
      <c r="Y12" s="14">
        <v>0.53566006811025024</v>
      </c>
      <c r="Z12" s="14">
        <v>0.53055730627845699</v>
      </c>
      <c r="AA12" s="14">
        <v>0.52005644512368887</v>
      </c>
      <c r="AJ12" s="44"/>
      <c r="AK12" s="44"/>
      <c r="AL12" s="44"/>
      <c r="AM12" s="44"/>
      <c r="AN12" s="44"/>
    </row>
    <row r="13" spans="1:40" s="11" customFormat="1" ht="12" x14ac:dyDescent="0.25">
      <c r="A13" s="12" t="s">
        <v>86</v>
      </c>
      <c r="B13" s="10">
        <v>2580498.2200000002</v>
      </c>
      <c r="C13" s="10">
        <v>2340836.0899999994</v>
      </c>
      <c r="D13" s="10">
        <v>2240083.7854100014</v>
      </c>
      <c r="E13" s="10">
        <v>2240659.2800000012</v>
      </c>
      <c r="F13" s="10">
        <v>2240686.5700000022</v>
      </c>
      <c r="G13" s="10">
        <v>2322588.4294000026</v>
      </c>
      <c r="H13" s="10">
        <v>2605113.961406976</v>
      </c>
      <c r="I13" s="14">
        <v>1.0000121794510413</v>
      </c>
      <c r="J13" s="14">
        <v>1.0365647513351524</v>
      </c>
      <c r="K13" s="14">
        <v>-4.2783653425301216E-2</v>
      </c>
      <c r="L13" s="14">
        <v>0.1216425297012087</v>
      </c>
      <c r="M13" s="10">
        <v>1354197.3999999994</v>
      </c>
      <c r="N13" s="10">
        <v>1226574.8999999999</v>
      </c>
      <c r="O13" s="10">
        <v>1199871.8457810201</v>
      </c>
      <c r="P13" s="10">
        <v>1199890.9600000023</v>
      </c>
      <c r="Q13" s="10">
        <v>1226803.4479268428</v>
      </c>
      <c r="R13" s="10">
        <v>1359658.0933461012</v>
      </c>
      <c r="S13" s="13">
        <v>1.000015930217089</v>
      </c>
      <c r="T13" s="13">
        <v>1.0224453988486515</v>
      </c>
      <c r="U13" s="14">
        <v>-2.1754839431328388E-2</v>
      </c>
      <c r="V13" s="14">
        <v>0.1082933420539105</v>
      </c>
      <c r="W13" s="14">
        <v>0.52399008424378835</v>
      </c>
      <c r="X13" s="14">
        <v>0.53549946504183332</v>
      </c>
      <c r="Y13" s="14">
        <v>0.53550147355058286</v>
      </c>
      <c r="Z13" s="14">
        <v>0.52820526977470761</v>
      </c>
      <c r="AA13" s="14">
        <v>0.52191885402655247</v>
      </c>
      <c r="AJ13" s="44"/>
      <c r="AK13" s="44"/>
      <c r="AL13" s="44"/>
      <c r="AM13" s="44"/>
      <c r="AN13" s="44"/>
    </row>
    <row r="14" spans="1:40" s="11" customFormat="1" ht="12" x14ac:dyDescent="0.25">
      <c r="A14" s="12" t="s">
        <v>87</v>
      </c>
      <c r="B14" s="10">
        <v>6490178.6999999983</v>
      </c>
      <c r="C14" s="10">
        <v>3975059.0799999991</v>
      </c>
      <c r="D14" s="10">
        <v>4241203.8727430049</v>
      </c>
      <c r="E14" s="10">
        <v>3930075.0384979174</v>
      </c>
      <c r="F14" s="10">
        <v>5099513.3700000094</v>
      </c>
      <c r="G14" s="10">
        <v>5121982.2953000059</v>
      </c>
      <c r="H14" s="10">
        <v>5509364.6596753718</v>
      </c>
      <c r="I14" s="14">
        <v>1.2975613239051673</v>
      </c>
      <c r="J14" s="14">
        <v>1.3032784985341241</v>
      </c>
      <c r="K14" s="14">
        <v>0.28287737801371504</v>
      </c>
      <c r="L14" s="14">
        <v>7.5631336080726586E-2</v>
      </c>
      <c r="M14" s="10">
        <v>2248154.6399999992</v>
      </c>
      <c r="N14" s="10">
        <v>1572737.1499999994</v>
      </c>
      <c r="O14" s="10">
        <v>1697770.2348337648</v>
      </c>
      <c r="P14" s="10">
        <v>2185584.6000000103</v>
      </c>
      <c r="Q14" s="10">
        <v>2212686.3952166759</v>
      </c>
      <c r="R14" s="10">
        <v>2455864.1185563053</v>
      </c>
      <c r="S14" s="13">
        <v>1.2873264916285974</v>
      </c>
      <c r="T14" s="13">
        <v>1.3032896618271368</v>
      </c>
      <c r="U14" s="14">
        <v>0.38966934175873646</v>
      </c>
      <c r="V14" s="14">
        <v>0.10990157659274447</v>
      </c>
      <c r="W14" s="14">
        <v>0.39565126413165153</v>
      </c>
      <c r="X14" s="14">
        <v>0.43199435588452684</v>
      </c>
      <c r="Y14" s="14">
        <v>0.42858689475305883</v>
      </c>
      <c r="Z14" s="14">
        <v>0.43199805615241277</v>
      </c>
      <c r="AA14" s="14">
        <v>0.44576176569532289</v>
      </c>
      <c r="AJ14" s="44"/>
      <c r="AK14" s="44"/>
      <c r="AL14" s="44"/>
      <c r="AM14" s="44"/>
      <c r="AN14" s="44"/>
    </row>
    <row r="15" spans="1:40" s="11" customFormat="1" ht="12" x14ac:dyDescent="0.25">
      <c r="A15" s="12" t="s">
        <v>88</v>
      </c>
      <c r="B15" s="10">
        <v>2017064.3999999994</v>
      </c>
      <c r="C15" s="10">
        <v>2261365.0199999996</v>
      </c>
      <c r="D15" s="10">
        <v>2177665.5381345008</v>
      </c>
      <c r="E15" s="10">
        <v>2213884.5615301789</v>
      </c>
      <c r="F15" s="10">
        <v>2049112.5700000022</v>
      </c>
      <c r="G15" s="10">
        <v>2123080.0546000027</v>
      </c>
      <c r="H15" s="10">
        <v>2377064.6141804033</v>
      </c>
      <c r="I15" s="14">
        <v>0.92557335897573145</v>
      </c>
      <c r="J15" s="14">
        <v>0.95898408231935339</v>
      </c>
      <c r="K15" s="14">
        <v>-9.3860322470185498E-2</v>
      </c>
      <c r="L15" s="14">
        <v>0.11963023204428924</v>
      </c>
      <c r="M15" s="10">
        <v>997338.75999999966</v>
      </c>
      <c r="N15" s="10">
        <v>1079614.7399999998</v>
      </c>
      <c r="O15" s="10">
        <v>1132980.4085624053</v>
      </c>
      <c r="P15" s="10">
        <v>1072944.0700000026</v>
      </c>
      <c r="Q15" s="10">
        <v>1112269.2425839563</v>
      </c>
      <c r="R15" s="10">
        <v>1221944.9951013583</v>
      </c>
      <c r="S15" s="13">
        <v>0.94701025886353996</v>
      </c>
      <c r="T15" s="13">
        <v>0.98171974923668048</v>
      </c>
      <c r="U15" s="14">
        <v>-6.1787503938647292E-3</v>
      </c>
      <c r="V15" s="14">
        <v>9.8605399051231446E-2</v>
      </c>
      <c r="W15" s="14">
        <v>0.47741728135513478</v>
      </c>
      <c r="X15" s="14">
        <v>0.51176128523129449</v>
      </c>
      <c r="Y15" s="14">
        <v>0.52361401989740441</v>
      </c>
      <c r="Z15" s="14">
        <v>0.52389416036104797</v>
      </c>
      <c r="AA15" s="14">
        <v>0.51405628093230316</v>
      </c>
      <c r="AJ15" s="44"/>
      <c r="AK15" s="44"/>
      <c r="AL15" s="44"/>
      <c r="AM15" s="44"/>
      <c r="AN15" s="44"/>
    </row>
    <row r="16" spans="1:40" s="11" customFormat="1" ht="12" x14ac:dyDescent="0.25">
      <c r="A16" s="12" t="s">
        <v>89</v>
      </c>
      <c r="B16" s="10">
        <v>1489046.7899999998</v>
      </c>
      <c r="C16" s="10">
        <v>2081007.4299999995</v>
      </c>
      <c r="D16" s="10">
        <v>2303990.8286525006</v>
      </c>
      <c r="E16" s="10">
        <v>2322691.1044941996</v>
      </c>
      <c r="F16" s="10">
        <v>2066127.3300000043</v>
      </c>
      <c r="G16" s="10">
        <v>2501103.4103955436</v>
      </c>
      <c r="H16" s="10">
        <v>2709411.5131836291</v>
      </c>
      <c r="I16" s="14">
        <v>0.88954029487702113</v>
      </c>
      <c r="J16" s="14">
        <v>1.0768127563566814</v>
      </c>
      <c r="K16" s="14">
        <v>-7.1504309813997802E-3</v>
      </c>
      <c r="L16" s="14">
        <v>8.3286481447459204E-2</v>
      </c>
      <c r="M16" s="10">
        <v>756200.95000000007</v>
      </c>
      <c r="N16" s="10">
        <v>1068011.3699999996</v>
      </c>
      <c r="O16" s="10">
        <v>1227834.1158906166</v>
      </c>
      <c r="P16" s="10">
        <v>1071201.4900000051</v>
      </c>
      <c r="Q16" s="10">
        <v>1323623.7539385692</v>
      </c>
      <c r="R16" s="10">
        <v>1414665.0433868899</v>
      </c>
      <c r="S16" s="13">
        <v>0.87243176919139676</v>
      </c>
      <c r="T16" s="13">
        <v>1.0780151299008915</v>
      </c>
      <c r="U16" s="14">
        <v>2.9869719458188726E-3</v>
      </c>
      <c r="V16" s="14">
        <v>6.8781849205575618E-2</v>
      </c>
      <c r="W16" s="14">
        <v>0.51321843190151417</v>
      </c>
      <c r="X16" s="14">
        <v>0.52862565905335723</v>
      </c>
      <c r="Y16" s="14">
        <v>0.51845860342014971</v>
      </c>
      <c r="Z16" s="14">
        <v>0.5292159246343362</v>
      </c>
      <c r="AA16" s="14">
        <v>0.52213000369390972</v>
      </c>
      <c r="AJ16" s="44"/>
      <c r="AK16" s="44"/>
      <c r="AL16" s="44"/>
      <c r="AM16" s="44"/>
      <c r="AN16" s="44"/>
    </row>
    <row r="17" spans="1:40" s="11" customFormat="1" ht="12" x14ac:dyDescent="0.25">
      <c r="A17" s="12" t="s">
        <v>90</v>
      </c>
      <c r="B17" s="10">
        <v>2382494.3199999994</v>
      </c>
      <c r="C17" s="10">
        <v>2387698.5799999996</v>
      </c>
      <c r="D17" s="10">
        <v>3053922.1153500015</v>
      </c>
      <c r="E17" s="10">
        <v>3150580.4747701022</v>
      </c>
      <c r="F17" s="10">
        <v>2914369.5114942538</v>
      </c>
      <c r="G17" s="10">
        <v>3467663.1784288734</v>
      </c>
      <c r="H17" s="10">
        <v>4118789.1703878045</v>
      </c>
      <c r="I17" s="14">
        <v>0.92502620860903906</v>
      </c>
      <c r="J17" s="14">
        <v>1.1006426295719074</v>
      </c>
      <c r="K17" s="14">
        <v>0.22057680810542446</v>
      </c>
      <c r="L17" s="14">
        <v>0.18777082964959213</v>
      </c>
      <c r="M17" s="10">
        <v>1091918.2999999996</v>
      </c>
      <c r="N17" s="10">
        <v>1186600.1499999997</v>
      </c>
      <c r="O17" s="10">
        <v>1494013.9880253312</v>
      </c>
      <c r="P17" s="10">
        <v>1191740.9703493295</v>
      </c>
      <c r="Q17" s="10">
        <v>1650497.2931189463</v>
      </c>
      <c r="R17" s="10">
        <v>1991420.6046174972</v>
      </c>
      <c r="S17" s="13">
        <v>0.79767725061562367</v>
      </c>
      <c r="T17" s="13">
        <v>1.1047401874064393</v>
      </c>
      <c r="U17" s="14">
        <v>4.3323948251059452E-3</v>
      </c>
      <c r="V17" s="14">
        <v>0.20655793433887304</v>
      </c>
      <c r="W17" s="14">
        <v>0.49696396351670147</v>
      </c>
      <c r="X17" s="14">
        <v>0.4742027699306266</v>
      </c>
      <c r="Y17" s="14">
        <v>0.40891896708674419</v>
      </c>
      <c r="Z17" s="14">
        <v>0.47596816881931203</v>
      </c>
      <c r="AA17" s="14">
        <v>0.48349661083283729</v>
      </c>
      <c r="AJ17" s="44"/>
      <c r="AK17" s="44"/>
      <c r="AL17" s="44"/>
      <c r="AM17" s="44"/>
      <c r="AN17" s="44"/>
    </row>
    <row r="18" spans="1:40" s="11" customFormat="1" ht="12" x14ac:dyDescent="0.25">
      <c r="A18" s="12" t="s">
        <v>91</v>
      </c>
      <c r="B18" s="10">
        <v>5545189.0299999975</v>
      </c>
      <c r="C18" s="10">
        <v>5206743.1899999995</v>
      </c>
      <c r="D18" s="10">
        <v>5399286.3723250059</v>
      </c>
      <c r="E18" s="10">
        <v>5621221.7493566778</v>
      </c>
      <c r="F18" s="10">
        <v>5244118.6781609207</v>
      </c>
      <c r="G18" s="10">
        <v>5521305.966363945</v>
      </c>
      <c r="H18" s="10">
        <v>6692654.7877467889</v>
      </c>
      <c r="I18" s="14">
        <v>0.9329143933453764</v>
      </c>
      <c r="J18" s="14">
        <v>0.98222525503389591</v>
      </c>
      <c r="K18" s="14">
        <v>7.1782853113830924E-3</v>
      </c>
      <c r="L18" s="14">
        <v>0.21215068111036706</v>
      </c>
      <c r="M18" s="10">
        <v>2587685.4599999995</v>
      </c>
      <c r="N18" s="10">
        <v>2693145.44</v>
      </c>
      <c r="O18" s="10">
        <v>2871050.0873620952</v>
      </c>
      <c r="P18" s="10">
        <v>2549956.5040866304</v>
      </c>
      <c r="Q18" s="10">
        <v>2821498.2640113835</v>
      </c>
      <c r="R18" s="10">
        <v>3449158.6019213405</v>
      </c>
      <c r="S18" s="13">
        <v>0.88816162257535403</v>
      </c>
      <c r="T18" s="13">
        <v>0.98274087116458508</v>
      </c>
      <c r="U18" s="14">
        <v>-5.3167917999025538E-2</v>
      </c>
      <c r="V18" s="14">
        <v>0.22245639698448683</v>
      </c>
      <c r="W18" s="14">
        <v>0.51724184230411419</v>
      </c>
      <c r="X18" s="14">
        <v>0.51075197090217506</v>
      </c>
      <c r="Y18" s="14">
        <v>0.48625072401696373</v>
      </c>
      <c r="Z18" s="14">
        <v>0.51102008858050674</v>
      </c>
      <c r="AA18" s="14">
        <v>0.51536478591966439</v>
      </c>
      <c r="AJ18" s="44"/>
      <c r="AK18" s="44"/>
      <c r="AL18" s="44"/>
      <c r="AM18" s="44"/>
      <c r="AN18" s="44"/>
    </row>
    <row r="19" spans="1:40" s="8" customFormat="1" ht="12" x14ac:dyDescent="0.25">
      <c r="A19" s="19" t="s">
        <v>146</v>
      </c>
      <c r="B19" s="20">
        <v>37570867.399999991</v>
      </c>
      <c r="C19" s="20">
        <v>32895270.639999993</v>
      </c>
      <c r="D19" s="20">
        <v>34382267.307537057</v>
      </c>
      <c r="E19" s="20">
        <v>34109075.248649098</v>
      </c>
      <c r="F19" s="20">
        <v>34243891.06965521</v>
      </c>
      <c r="G19" s="20">
        <v>36818568.056741089</v>
      </c>
      <c r="H19" s="20">
        <v>39941022.489675812</v>
      </c>
      <c r="I19" s="21">
        <v>1.0039524912365214</v>
      </c>
      <c r="J19" s="21">
        <v>1.0794361262608336</v>
      </c>
      <c r="K19" s="21">
        <v>4.0997395778083368E-2</v>
      </c>
      <c r="L19" s="21">
        <v>8.4806514694509172E-2</v>
      </c>
      <c r="M19" s="20">
        <v>17263199.569999993</v>
      </c>
      <c r="N19" s="20">
        <v>15871497.019999996</v>
      </c>
      <c r="O19" s="20">
        <v>16831603.874518927</v>
      </c>
      <c r="P19" s="20">
        <v>16455664.444435993</v>
      </c>
      <c r="Q19" s="20">
        <v>18028941.342783578</v>
      </c>
      <c r="R19" s="20">
        <v>19873932.600720905</v>
      </c>
      <c r="S19" s="22">
        <v>0.97766466981485589</v>
      </c>
      <c r="T19" s="22">
        <v>1.0711362670599252</v>
      </c>
      <c r="U19" s="21">
        <v>3.6806069629089944E-2</v>
      </c>
      <c r="V19" s="21">
        <v>0.10233497479738718</v>
      </c>
      <c r="W19" s="21">
        <v>0.48248567989285901</v>
      </c>
      <c r="X19" s="21">
        <v>0.49346409282044562</v>
      </c>
      <c r="Y19" s="21">
        <v>0.48054306711125994</v>
      </c>
      <c r="Z19" s="21">
        <v>0.48966981320401187</v>
      </c>
      <c r="AA19" s="21">
        <v>0.49758196866036741</v>
      </c>
      <c r="AJ19" s="45"/>
      <c r="AK19" s="45"/>
      <c r="AL19" s="45"/>
      <c r="AM19" s="45"/>
      <c r="AN19" s="45"/>
    </row>
    <row r="20" spans="1:40" x14ac:dyDescent="0.3">
      <c r="AJ20" s="46"/>
      <c r="AK20" s="46"/>
      <c r="AL20" s="46"/>
      <c r="AM20" s="46"/>
      <c r="AN20" s="46"/>
    </row>
    <row r="21" spans="1:40" x14ac:dyDescent="0.3">
      <c r="AJ21" s="46"/>
      <c r="AK21" s="46"/>
      <c r="AL21" s="46"/>
      <c r="AM21" s="46"/>
      <c r="AN21" s="46"/>
    </row>
    <row r="22" spans="1:40" x14ac:dyDescent="0.3">
      <c r="AJ22" s="46"/>
      <c r="AK22" s="46"/>
      <c r="AL22" s="46"/>
      <c r="AM22" s="46"/>
      <c r="AN22" s="46"/>
    </row>
    <row r="23" spans="1:40" x14ac:dyDescent="0.3">
      <c r="AJ23" s="46"/>
      <c r="AK23" s="46"/>
      <c r="AL23" s="46"/>
      <c r="AM23" s="46"/>
      <c r="AN23" s="46"/>
    </row>
    <row r="24" spans="1:40" x14ac:dyDescent="0.3">
      <c r="AJ24" s="46"/>
      <c r="AK24" s="46"/>
      <c r="AL24" s="46"/>
      <c r="AM24" s="46"/>
      <c r="AN24" s="46"/>
    </row>
    <row r="25" spans="1:40" x14ac:dyDescent="0.3">
      <c r="AJ25" s="46"/>
      <c r="AK25" s="46"/>
      <c r="AL25" s="46"/>
      <c r="AM25" s="46"/>
      <c r="AN25" s="46"/>
    </row>
    <row r="26" spans="1:40" x14ac:dyDescent="0.3">
      <c r="AJ26" s="46"/>
      <c r="AK26" s="46"/>
      <c r="AL26" s="46"/>
      <c r="AM26" s="46"/>
      <c r="AN26" s="46"/>
    </row>
    <row r="27" spans="1:40" x14ac:dyDescent="0.3">
      <c r="AJ27" s="46"/>
      <c r="AK27" s="46"/>
      <c r="AL27" s="46"/>
      <c r="AM27" s="46"/>
      <c r="AN27" s="46"/>
    </row>
    <row r="28" spans="1:40" x14ac:dyDescent="0.3">
      <c r="AJ28" s="46"/>
      <c r="AK28" s="46"/>
      <c r="AL28" s="46"/>
      <c r="AM28" s="46"/>
      <c r="AN28" s="46"/>
    </row>
    <row r="29" spans="1:40" x14ac:dyDescent="0.3">
      <c r="AJ29" s="46"/>
      <c r="AK29" s="46"/>
      <c r="AL29" s="46"/>
      <c r="AM29" s="46"/>
      <c r="AN29" s="46"/>
    </row>
    <row r="30" spans="1:40" x14ac:dyDescent="0.3">
      <c r="AJ30" s="46"/>
      <c r="AK30" s="46"/>
      <c r="AL30" s="46"/>
      <c r="AM30" s="46"/>
      <c r="AN30" s="46"/>
    </row>
    <row r="31" spans="1:40" x14ac:dyDescent="0.3">
      <c r="AJ31" s="46"/>
      <c r="AK31" s="46"/>
      <c r="AL31" s="46"/>
      <c r="AM31" s="46"/>
      <c r="AN31" s="46"/>
    </row>
    <row r="32" spans="1:40" x14ac:dyDescent="0.3">
      <c r="AJ32" s="46"/>
      <c r="AK32" s="46"/>
      <c r="AL32" s="46"/>
      <c r="AM32" s="46"/>
      <c r="AN32" s="46"/>
    </row>
    <row r="33" spans="36:40" x14ac:dyDescent="0.3">
      <c r="AJ33" s="46"/>
      <c r="AK33" s="46"/>
      <c r="AL33" s="46"/>
      <c r="AM33" s="46"/>
      <c r="AN33" s="46"/>
    </row>
    <row r="34" spans="36:40" x14ac:dyDescent="0.3">
      <c r="AJ34" s="46"/>
      <c r="AK34" s="46"/>
      <c r="AL34" s="46"/>
      <c r="AM34" s="46"/>
      <c r="AN34" s="46"/>
    </row>
    <row r="35" spans="36:40" x14ac:dyDescent="0.3">
      <c r="AJ35" s="46"/>
      <c r="AK35" s="46"/>
      <c r="AL35" s="46"/>
      <c r="AM35" s="46"/>
      <c r="AN35" s="46"/>
    </row>
    <row r="36" spans="36:40" x14ac:dyDescent="0.3">
      <c r="AJ36" s="46"/>
      <c r="AK36" s="46"/>
      <c r="AL36" s="46"/>
      <c r="AM36" s="46"/>
      <c r="AN36" s="46"/>
    </row>
    <row r="37" spans="36:40" x14ac:dyDescent="0.3">
      <c r="AJ37" s="46"/>
      <c r="AK37" s="46"/>
      <c r="AL37" s="46"/>
      <c r="AM37" s="46"/>
      <c r="AN37" s="46"/>
    </row>
    <row r="38" spans="36:40" x14ac:dyDescent="0.3">
      <c r="AJ38" s="46"/>
      <c r="AK38" s="46"/>
      <c r="AL38" s="46"/>
      <c r="AM38" s="46"/>
      <c r="AN38" s="46"/>
    </row>
    <row r="39" spans="36:40" x14ac:dyDescent="0.3">
      <c r="AJ39" s="46"/>
      <c r="AK39" s="46"/>
      <c r="AL39" s="46"/>
      <c r="AM39" s="46"/>
      <c r="AN39" s="46"/>
    </row>
    <row r="40" spans="36:40" x14ac:dyDescent="0.3">
      <c r="AJ40" s="46"/>
      <c r="AK40" s="46"/>
      <c r="AL40" s="46"/>
      <c r="AM40" s="46"/>
      <c r="AN40" s="46"/>
    </row>
    <row r="41" spans="36:40" x14ac:dyDescent="0.3">
      <c r="AJ41" s="46"/>
      <c r="AK41" s="46"/>
      <c r="AL41" s="46"/>
      <c r="AM41" s="46"/>
      <c r="AN41" s="46"/>
    </row>
    <row r="42" spans="36:40" x14ac:dyDescent="0.3">
      <c r="AJ42" s="46"/>
      <c r="AK42" s="46"/>
      <c r="AL42" s="46"/>
      <c r="AM42" s="46"/>
      <c r="AN42" s="46"/>
    </row>
    <row r="43" spans="36:40" x14ac:dyDescent="0.3">
      <c r="AJ43" s="46"/>
      <c r="AK43" s="46"/>
      <c r="AL43" s="46"/>
      <c r="AM43" s="46"/>
      <c r="AN43" s="46"/>
    </row>
    <row r="44" spans="36:40" x14ac:dyDescent="0.3">
      <c r="AJ44" s="46"/>
      <c r="AK44" s="46"/>
      <c r="AL44" s="46"/>
      <c r="AM44" s="46"/>
      <c r="AN44" s="46"/>
    </row>
    <row r="45" spans="36:40" x14ac:dyDescent="0.3">
      <c r="AJ45" s="46"/>
      <c r="AK45" s="46"/>
      <c r="AL45" s="46"/>
      <c r="AM45" s="46"/>
      <c r="AN45" s="46"/>
    </row>
    <row r="46" spans="36:40" x14ac:dyDescent="0.3">
      <c r="AJ46" s="46"/>
      <c r="AK46" s="46"/>
      <c r="AL46" s="46"/>
      <c r="AM46" s="46"/>
      <c r="AN46" s="46"/>
    </row>
    <row r="47" spans="36:40" x14ac:dyDescent="0.3">
      <c r="AJ47" s="46"/>
      <c r="AK47" s="46"/>
      <c r="AL47" s="46"/>
      <c r="AM47" s="46"/>
      <c r="AN47" s="46"/>
    </row>
    <row r="48" spans="36:40" x14ac:dyDescent="0.3">
      <c r="AJ48" s="46"/>
      <c r="AK48" s="46"/>
      <c r="AL48" s="46"/>
      <c r="AM48" s="46"/>
      <c r="AN48" s="46"/>
    </row>
    <row r="49" spans="36:40" x14ac:dyDescent="0.3">
      <c r="AJ49" s="46"/>
      <c r="AK49" s="46"/>
      <c r="AL49" s="46"/>
      <c r="AM49" s="46"/>
      <c r="AN49" s="46"/>
    </row>
    <row r="50" spans="36:40" x14ac:dyDescent="0.3">
      <c r="AJ50" s="46"/>
      <c r="AK50" s="46"/>
      <c r="AL50" s="46"/>
      <c r="AM50" s="46"/>
      <c r="AN50" s="46"/>
    </row>
    <row r="51" spans="36:40" x14ac:dyDescent="0.3">
      <c r="AJ51" s="46"/>
      <c r="AK51" s="46"/>
      <c r="AL51" s="46"/>
      <c r="AM51" s="46"/>
      <c r="AN51" s="46"/>
    </row>
    <row r="52" spans="36:40" x14ac:dyDescent="0.3">
      <c r="AJ52" s="46"/>
      <c r="AK52" s="46"/>
      <c r="AL52" s="46"/>
      <c r="AM52" s="46"/>
      <c r="AN52" s="46"/>
    </row>
    <row r="53" spans="36:40" x14ac:dyDescent="0.3">
      <c r="AJ53" s="46"/>
      <c r="AK53" s="46"/>
      <c r="AL53" s="46"/>
      <c r="AM53" s="46"/>
      <c r="AN53" s="46"/>
    </row>
    <row r="54" spans="36:40" x14ac:dyDescent="0.3">
      <c r="AJ54" s="46"/>
      <c r="AK54" s="46"/>
      <c r="AL54" s="46"/>
      <c r="AM54" s="46"/>
      <c r="AN54" s="46"/>
    </row>
    <row r="55" spans="36:40" x14ac:dyDescent="0.3">
      <c r="AJ55" s="46"/>
      <c r="AK55" s="46"/>
      <c r="AL55" s="46"/>
      <c r="AM55" s="46"/>
      <c r="AN55" s="46"/>
    </row>
    <row r="56" spans="36:40" x14ac:dyDescent="0.3">
      <c r="AJ56" s="46"/>
      <c r="AK56" s="46"/>
      <c r="AL56" s="46"/>
      <c r="AM56" s="46"/>
      <c r="AN56" s="46"/>
    </row>
    <row r="57" spans="36:40" x14ac:dyDescent="0.3">
      <c r="AJ57" s="46"/>
      <c r="AK57" s="46"/>
      <c r="AL57" s="46"/>
      <c r="AM57" s="46"/>
      <c r="AN57" s="46"/>
    </row>
    <row r="58" spans="36:40" x14ac:dyDescent="0.3">
      <c r="AJ58" s="46"/>
      <c r="AK58" s="46"/>
      <c r="AL58" s="46"/>
      <c r="AM58" s="46"/>
      <c r="AN58" s="46"/>
    </row>
    <row r="59" spans="36:40" x14ac:dyDescent="0.3">
      <c r="AJ59" s="46"/>
      <c r="AK59" s="46"/>
      <c r="AL59" s="46"/>
      <c r="AM59" s="46"/>
      <c r="AN59" s="46"/>
    </row>
    <row r="60" spans="36:40" x14ac:dyDescent="0.3">
      <c r="AJ60" s="46"/>
      <c r="AK60" s="46"/>
      <c r="AL60" s="46"/>
      <c r="AM60" s="46"/>
      <c r="AN60" s="46"/>
    </row>
    <row r="61" spans="36:40" x14ac:dyDescent="0.3">
      <c r="AJ61" s="46"/>
      <c r="AK61" s="46"/>
      <c r="AL61" s="46"/>
      <c r="AM61" s="46"/>
      <c r="AN61" s="46"/>
    </row>
    <row r="62" spans="36:40" x14ac:dyDescent="0.3">
      <c r="AJ62" s="46"/>
      <c r="AK62" s="46"/>
      <c r="AL62" s="46"/>
      <c r="AM62" s="46"/>
      <c r="AN62" s="46"/>
    </row>
    <row r="63" spans="36:40" x14ac:dyDescent="0.3">
      <c r="AJ63" s="46"/>
      <c r="AK63" s="46"/>
      <c r="AL63" s="46"/>
      <c r="AM63" s="46"/>
      <c r="AN63" s="46"/>
    </row>
    <row r="64" spans="36:40" x14ac:dyDescent="0.3">
      <c r="AJ64" s="46"/>
      <c r="AK64" s="46"/>
      <c r="AL64" s="46"/>
      <c r="AM64" s="46"/>
      <c r="AN64" s="46"/>
    </row>
    <row r="65" spans="36:40" x14ac:dyDescent="0.3">
      <c r="AJ65" s="46"/>
      <c r="AK65" s="46"/>
      <c r="AL65" s="46"/>
      <c r="AM65" s="46"/>
      <c r="AN65" s="46"/>
    </row>
    <row r="66" spans="36:40" x14ac:dyDescent="0.3">
      <c r="AJ66" s="46"/>
      <c r="AK66" s="46"/>
      <c r="AL66" s="46"/>
      <c r="AM66" s="46"/>
      <c r="AN66" s="46"/>
    </row>
    <row r="67" spans="36:40" x14ac:dyDescent="0.3">
      <c r="AJ67" s="46"/>
      <c r="AK67" s="46"/>
      <c r="AL67" s="46"/>
      <c r="AM67" s="46"/>
      <c r="AN67" s="46"/>
    </row>
    <row r="68" spans="36:40" x14ac:dyDescent="0.3">
      <c r="AJ68" s="46"/>
      <c r="AK68" s="46"/>
      <c r="AL68" s="46"/>
      <c r="AM68" s="46"/>
      <c r="AN68" s="46"/>
    </row>
    <row r="69" spans="36:40" x14ac:dyDescent="0.3">
      <c r="AJ69" s="46"/>
      <c r="AK69" s="46"/>
      <c r="AL69" s="46"/>
      <c r="AM69" s="46"/>
      <c r="AN69" s="46"/>
    </row>
    <row r="70" spans="36:40" x14ac:dyDescent="0.3">
      <c r="AJ70" s="46"/>
      <c r="AK70" s="46"/>
      <c r="AL70" s="46"/>
      <c r="AM70" s="46"/>
      <c r="AN70" s="46"/>
    </row>
    <row r="71" spans="36:40" x14ac:dyDescent="0.3">
      <c r="AJ71" s="46"/>
      <c r="AK71" s="46"/>
      <c r="AL71" s="46"/>
      <c r="AM71" s="46"/>
      <c r="AN71" s="46"/>
    </row>
    <row r="72" spans="36:40" x14ac:dyDescent="0.3">
      <c r="AJ72" s="46"/>
      <c r="AK72" s="46"/>
      <c r="AL72" s="46"/>
      <c r="AM72" s="46"/>
      <c r="AN72" s="46"/>
    </row>
    <row r="73" spans="36:40" x14ac:dyDescent="0.3">
      <c r="AJ73" s="46"/>
      <c r="AK73" s="46"/>
      <c r="AL73" s="46"/>
      <c r="AM73" s="46"/>
      <c r="AN73" s="46"/>
    </row>
    <row r="74" spans="36:40" x14ac:dyDescent="0.3">
      <c r="AJ74" s="46"/>
      <c r="AK74" s="46"/>
      <c r="AL74" s="46"/>
      <c r="AM74" s="46"/>
      <c r="AN74" s="46"/>
    </row>
    <row r="75" spans="36:40" x14ac:dyDescent="0.3">
      <c r="AJ75" s="46"/>
      <c r="AK75" s="46"/>
      <c r="AL75" s="46"/>
      <c r="AM75" s="46"/>
      <c r="AN75" s="46"/>
    </row>
    <row r="76" spans="36:40" x14ac:dyDescent="0.3">
      <c r="AJ76" s="46"/>
      <c r="AK76" s="46"/>
      <c r="AL76" s="46"/>
      <c r="AM76" s="46"/>
      <c r="AN76" s="46"/>
    </row>
    <row r="77" spans="36:40" x14ac:dyDescent="0.3">
      <c r="AJ77" s="46"/>
      <c r="AK77" s="46"/>
      <c r="AL77" s="46"/>
      <c r="AM77" s="46"/>
      <c r="AN77" s="46"/>
    </row>
    <row r="78" spans="36:40" x14ac:dyDescent="0.3">
      <c r="AJ78" s="46"/>
      <c r="AK78" s="46"/>
      <c r="AL78" s="46"/>
      <c r="AM78" s="46"/>
      <c r="AN78" s="46"/>
    </row>
    <row r="79" spans="36:40" x14ac:dyDescent="0.3">
      <c r="AJ79" s="46"/>
      <c r="AK79" s="46"/>
      <c r="AL79" s="46"/>
      <c r="AM79" s="46"/>
      <c r="AN79" s="46"/>
    </row>
    <row r="80" spans="36:40" x14ac:dyDescent="0.3">
      <c r="AJ80" s="46"/>
      <c r="AK80" s="46"/>
      <c r="AL80" s="46"/>
      <c r="AM80" s="46"/>
      <c r="AN80" s="46"/>
    </row>
    <row r="81" spans="36:40" x14ac:dyDescent="0.3">
      <c r="AJ81" s="46"/>
      <c r="AK81" s="46"/>
      <c r="AL81" s="46"/>
      <c r="AM81" s="46"/>
      <c r="AN81" s="46"/>
    </row>
    <row r="82" spans="36:40" x14ac:dyDescent="0.3">
      <c r="AJ82" s="46"/>
      <c r="AK82" s="46"/>
      <c r="AL82" s="46"/>
      <c r="AM82" s="46"/>
      <c r="AN82" s="46"/>
    </row>
    <row r="83" spans="36:40" x14ac:dyDescent="0.3">
      <c r="AJ83" s="46"/>
      <c r="AK83" s="46"/>
      <c r="AL83" s="46"/>
      <c r="AM83" s="46"/>
      <c r="AN83" s="46"/>
    </row>
    <row r="84" spans="36:40" x14ac:dyDescent="0.3">
      <c r="AJ84" s="46"/>
      <c r="AK84" s="46"/>
      <c r="AL84" s="46"/>
      <c r="AM84" s="46"/>
      <c r="AN84" s="46"/>
    </row>
    <row r="85" spans="36:40" x14ac:dyDescent="0.3">
      <c r="AJ85" s="46"/>
      <c r="AK85" s="46"/>
      <c r="AL85" s="46"/>
      <c r="AM85" s="46"/>
      <c r="AN85" s="46"/>
    </row>
    <row r="86" spans="36:40" x14ac:dyDescent="0.3">
      <c r="AJ86" s="46"/>
      <c r="AK86" s="46"/>
      <c r="AL86" s="46"/>
      <c r="AM86" s="46"/>
      <c r="AN86" s="46"/>
    </row>
    <row r="87" spans="36:40" x14ac:dyDescent="0.3">
      <c r="AJ87" s="46"/>
      <c r="AK87" s="46"/>
      <c r="AL87" s="46"/>
      <c r="AM87" s="46"/>
      <c r="AN87" s="46"/>
    </row>
    <row r="88" spans="36:40" x14ac:dyDescent="0.3">
      <c r="AJ88" s="46"/>
      <c r="AK88" s="46"/>
      <c r="AL88" s="46"/>
      <c r="AM88" s="46"/>
      <c r="AN88" s="46"/>
    </row>
    <row r="89" spans="36:40" x14ac:dyDescent="0.3">
      <c r="AJ89" s="46"/>
      <c r="AK89" s="46"/>
      <c r="AL89" s="46"/>
      <c r="AM89" s="46"/>
      <c r="AN89" s="46"/>
    </row>
    <row r="90" spans="36:40" x14ac:dyDescent="0.3">
      <c r="AJ90" s="46"/>
      <c r="AK90" s="46"/>
      <c r="AL90" s="46"/>
      <c r="AM90" s="46"/>
      <c r="AN90" s="46"/>
    </row>
    <row r="91" spans="36:40" x14ac:dyDescent="0.3">
      <c r="AJ91" s="46"/>
      <c r="AK91" s="46"/>
      <c r="AL91" s="46"/>
      <c r="AM91" s="46"/>
      <c r="AN91" s="46"/>
    </row>
    <row r="92" spans="36:40" x14ac:dyDescent="0.3">
      <c r="AJ92" s="46"/>
      <c r="AK92" s="46"/>
      <c r="AL92" s="46"/>
      <c r="AM92" s="46"/>
      <c r="AN92" s="46"/>
    </row>
    <row r="93" spans="36:40" x14ac:dyDescent="0.3">
      <c r="AJ93" s="46"/>
      <c r="AK93" s="46"/>
      <c r="AL93" s="46"/>
      <c r="AM93" s="46"/>
      <c r="AN93" s="46"/>
    </row>
    <row r="94" spans="36:40" x14ac:dyDescent="0.3">
      <c r="AJ94" s="46"/>
      <c r="AK94" s="46"/>
      <c r="AL94" s="46"/>
      <c r="AM94" s="46"/>
      <c r="AN94" s="46"/>
    </row>
    <row r="95" spans="36:40" x14ac:dyDescent="0.3">
      <c r="AJ95" s="46"/>
      <c r="AK95" s="46"/>
      <c r="AL95" s="46"/>
      <c r="AM95" s="46"/>
      <c r="AN95" s="46"/>
    </row>
    <row r="96" spans="36:40" x14ac:dyDescent="0.3">
      <c r="AJ96" s="46"/>
      <c r="AK96" s="46"/>
      <c r="AL96" s="46"/>
      <c r="AM96" s="46"/>
      <c r="AN96" s="46"/>
    </row>
    <row r="97" spans="36:40" x14ac:dyDescent="0.3">
      <c r="AJ97" s="46"/>
      <c r="AK97" s="46"/>
      <c r="AL97" s="46"/>
      <c r="AM97" s="46"/>
      <c r="AN97" s="46"/>
    </row>
    <row r="98" spans="36:40" x14ac:dyDescent="0.3">
      <c r="AJ98" s="46"/>
      <c r="AK98" s="46"/>
      <c r="AL98" s="46"/>
      <c r="AM98" s="46"/>
      <c r="AN98" s="46"/>
    </row>
    <row r="99" spans="36:40" x14ac:dyDescent="0.3">
      <c r="AJ99" s="46"/>
      <c r="AK99" s="46"/>
      <c r="AL99" s="46"/>
      <c r="AM99" s="46"/>
      <c r="AN99" s="46"/>
    </row>
    <row r="100" spans="36:40" x14ac:dyDescent="0.3">
      <c r="AJ100" s="46"/>
      <c r="AK100" s="46"/>
      <c r="AL100" s="46"/>
      <c r="AM100" s="46"/>
      <c r="AN100" s="46"/>
    </row>
    <row r="101" spans="36:40" x14ac:dyDescent="0.3">
      <c r="AJ101" s="46"/>
      <c r="AK101" s="46"/>
      <c r="AL101" s="46"/>
      <c r="AM101" s="46"/>
      <c r="AN101" s="46"/>
    </row>
    <row r="102" spans="36:40" x14ac:dyDescent="0.3">
      <c r="AJ102" s="46"/>
      <c r="AK102" s="46"/>
      <c r="AL102" s="46"/>
      <c r="AM102" s="46"/>
      <c r="AN102" s="46"/>
    </row>
    <row r="103" spans="36:40" x14ac:dyDescent="0.3">
      <c r="AJ103" s="46"/>
      <c r="AK103" s="46"/>
      <c r="AL103" s="46"/>
      <c r="AM103" s="46"/>
      <c r="AN103" s="46"/>
    </row>
    <row r="104" spans="36:40" x14ac:dyDescent="0.3">
      <c r="AJ104" s="46"/>
      <c r="AK104" s="46"/>
      <c r="AL104" s="46"/>
      <c r="AM104" s="46"/>
      <c r="AN104" s="46"/>
    </row>
    <row r="105" spans="36:40" x14ac:dyDescent="0.3">
      <c r="AJ105" s="46"/>
      <c r="AK105" s="46"/>
      <c r="AL105" s="46"/>
      <c r="AM105" s="46"/>
      <c r="AN105" s="46"/>
    </row>
    <row r="106" spans="36:40" x14ac:dyDescent="0.3">
      <c r="AJ106" s="46"/>
      <c r="AK106" s="46"/>
      <c r="AL106" s="46"/>
      <c r="AM106" s="46"/>
      <c r="AN106" s="46"/>
    </row>
    <row r="107" spans="36:40" x14ac:dyDescent="0.3">
      <c r="AJ107" s="46"/>
      <c r="AK107" s="46"/>
      <c r="AL107" s="46"/>
      <c r="AM107" s="46"/>
      <c r="AN107" s="46"/>
    </row>
    <row r="108" spans="36:40" x14ac:dyDescent="0.3">
      <c r="AJ108" s="46"/>
      <c r="AK108" s="46"/>
      <c r="AL108" s="46"/>
      <c r="AM108" s="46"/>
      <c r="AN108" s="46"/>
    </row>
    <row r="109" spans="36:40" x14ac:dyDescent="0.3">
      <c r="AJ109" s="46"/>
      <c r="AK109" s="46"/>
      <c r="AL109" s="46"/>
      <c r="AM109" s="46"/>
      <c r="AN109" s="46"/>
    </row>
    <row r="110" spans="36:40" x14ac:dyDescent="0.3">
      <c r="AJ110" s="46"/>
      <c r="AK110" s="46"/>
      <c r="AL110" s="46"/>
      <c r="AM110" s="46"/>
      <c r="AN110" s="46"/>
    </row>
    <row r="111" spans="36:40" x14ac:dyDescent="0.3">
      <c r="AJ111" s="46"/>
      <c r="AK111" s="46"/>
      <c r="AL111" s="46"/>
      <c r="AM111" s="46"/>
      <c r="AN111" s="46"/>
    </row>
    <row r="112" spans="36:40" x14ac:dyDescent="0.3">
      <c r="AJ112" s="46"/>
      <c r="AK112" s="46"/>
      <c r="AL112" s="46"/>
      <c r="AM112" s="46"/>
      <c r="AN112" s="46"/>
    </row>
    <row r="113" spans="36:40" x14ac:dyDescent="0.3">
      <c r="AJ113" s="46"/>
      <c r="AK113" s="46"/>
      <c r="AL113" s="46"/>
      <c r="AM113" s="46"/>
      <c r="AN113" s="46"/>
    </row>
    <row r="114" spans="36:40" x14ac:dyDescent="0.3">
      <c r="AJ114" s="46"/>
      <c r="AK114" s="46"/>
      <c r="AL114" s="46"/>
      <c r="AM114" s="46"/>
      <c r="AN114" s="46"/>
    </row>
    <row r="115" spans="36:40" x14ac:dyDescent="0.3">
      <c r="AJ115" s="46"/>
      <c r="AK115" s="46"/>
      <c r="AL115" s="46"/>
      <c r="AM115" s="46"/>
      <c r="AN115" s="46"/>
    </row>
    <row r="116" spans="36:40" x14ac:dyDescent="0.3">
      <c r="AJ116" s="46"/>
      <c r="AK116" s="46"/>
      <c r="AL116" s="46"/>
      <c r="AM116" s="46"/>
      <c r="AN116" s="46"/>
    </row>
    <row r="117" spans="36:40" x14ac:dyDescent="0.3">
      <c r="AJ117" s="46"/>
      <c r="AK117" s="46"/>
      <c r="AL117" s="46"/>
      <c r="AM117" s="46"/>
      <c r="AN117" s="46"/>
    </row>
    <row r="118" spans="36:40" x14ac:dyDescent="0.3">
      <c r="AJ118" s="46"/>
      <c r="AK118" s="46"/>
      <c r="AL118" s="46"/>
      <c r="AM118" s="46"/>
      <c r="AN118" s="46"/>
    </row>
    <row r="119" spans="36:40" x14ac:dyDescent="0.3">
      <c r="AJ119" s="46"/>
      <c r="AK119" s="46"/>
      <c r="AL119" s="46"/>
      <c r="AM119" s="46"/>
      <c r="AN119" s="46"/>
    </row>
    <row r="120" spans="36:40" x14ac:dyDescent="0.3">
      <c r="AJ120" s="46"/>
      <c r="AK120" s="46"/>
      <c r="AL120" s="46"/>
      <c r="AM120" s="46"/>
      <c r="AN120" s="46"/>
    </row>
    <row r="121" spans="36:40" x14ac:dyDescent="0.3">
      <c r="AJ121" s="46"/>
      <c r="AK121" s="46"/>
      <c r="AL121" s="46"/>
      <c r="AM121" s="46"/>
      <c r="AN121" s="46"/>
    </row>
    <row r="122" spans="36:40" x14ac:dyDescent="0.3">
      <c r="AJ122" s="46"/>
      <c r="AK122" s="46"/>
      <c r="AL122" s="46"/>
      <c r="AM122" s="46"/>
      <c r="AN122" s="46"/>
    </row>
    <row r="123" spans="36:40" x14ac:dyDescent="0.3">
      <c r="AJ123" s="46"/>
      <c r="AK123" s="46"/>
      <c r="AL123" s="46"/>
      <c r="AM123" s="46"/>
      <c r="AN123" s="46"/>
    </row>
    <row r="124" spans="36:40" x14ac:dyDescent="0.3">
      <c r="AJ124" s="46"/>
      <c r="AK124" s="46"/>
      <c r="AL124" s="46"/>
      <c r="AM124" s="46"/>
      <c r="AN124" s="46"/>
    </row>
    <row r="125" spans="36:40" x14ac:dyDescent="0.3">
      <c r="AJ125" s="46"/>
      <c r="AK125" s="46"/>
      <c r="AL125" s="46"/>
      <c r="AM125" s="46"/>
      <c r="AN125" s="46"/>
    </row>
    <row r="126" spans="36:40" x14ac:dyDescent="0.3">
      <c r="AJ126" s="46"/>
      <c r="AK126" s="46"/>
      <c r="AL126" s="46"/>
      <c r="AM126" s="46"/>
      <c r="AN126" s="46"/>
    </row>
    <row r="127" spans="36:40" x14ac:dyDescent="0.3">
      <c r="AJ127" s="46"/>
      <c r="AK127" s="46"/>
      <c r="AL127" s="46"/>
      <c r="AM127" s="46"/>
      <c r="AN127" s="46"/>
    </row>
    <row r="128" spans="36:40" x14ac:dyDescent="0.3">
      <c r="AJ128" s="46"/>
      <c r="AK128" s="46"/>
      <c r="AL128" s="46"/>
      <c r="AM128" s="46"/>
      <c r="AN128" s="46"/>
    </row>
    <row r="129" spans="36:40" x14ac:dyDescent="0.3">
      <c r="AJ129" s="46"/>
      <c r="AK129" s="46"/>
      <c r="AL129" s="46"/>
      <c r="AM129" s="46"/>
      <c r="AN129" s="46"/>
    </row>
    <row r="130" spans="36:40" x14ac:dyDescent="0.3">
      <c r="AJ130" s="46"/>
      <c r="AK130" s="46"/>
      <c r="AL130" s="46"/>
      <c r="AM130" s="46"/>
      <c r="AN130" s="46"/>
    </row>
    <row r="131" spans="36:40" x14ac:dyDescent="0.3">
      <c r="AJ131" s="46"/>
      <c r="AK131" s="46"/>
      <c r="AL131" s="46"/>
      <c r="AM131" s="46"/>
      <c r="AN131" s="46"/>
    </row>
    <row r="132" spans="36:40" x14ac:dyDescent="0.3">
      <c r="AJ132" s="46"/>
      <c r="AK132" s="46"/>
      <c r="AL132" s="46"/>
      <c r="AM132" s="46"/>
      <c r="AN132" s="46"/>
    </row>
    <row r="133" spans="36:40" x14ac:dyDescent="0.3">
      <c r="AJ133" s="46"/>
      <c r="AK133" s="46"/>
      <c r="AL133" s="46"/>
      <c r="AM133" s="46"/>
      <c r="AN133" s="46"/>
    </row>
    <row r="134" spans="36:40" x14ac:dyDescent="0.3">
      <c r="AJ134" s="46"/>
      <c r="AK134" s="46"/>
      <c r="AL134" s="46"/>
      <c r="AM134" s="46"/>
      <c r="AN134" s="46"/>
    </row>
    <row r="135" spans="36:40" x14ac:dyDescent="0.3">
      <c r="AJ135" s="46"/>
      <c r="AK135" s="46"/>
      <c r="AL135" s="46"/>
      <c r="AM135" s="46"/>
      <c r="AN135" s="46"/>
    </row>
    <row r="136" spans="36:40" x14ac:dyDescent="0.3">
      <c r="AJ136" s="46"/>
      <c r="AK136" s="46"/>
      <c r="AL136" s="46"/>
      <c r="AM136" s="46"/>
      <c r="AN136" s="46"/>
    </row>
    <row r="137" spans="36:40" x14ac:dyDescent="0.3">
      <c r="AJ137" s="46"/>
      <c r="AK137" s="46"/>
      <c r="AL137" s="46"/>
      <c r="AM137" s="46"/>
      <c r="AN137" s="46"/>
    </row>
    <row r="138" spans="36:40" x14ac:dyDescent="0.3">
      <c r="AJ138" s="46"/>
      <c r="AK138" s="46"/>
      <c r="AL138" s="46"/>
      <c r="AM138" s="46"/>
      <c r="AN138" s="46"/>
    </row>
    <row r="139" spans="36:40" x14ac:dyDescent="0.3">
      <c r="AJ139" s="46"/>
      <c r="AK139" s="46"/>
      <c r="AL139" s="46"/>
      <c r="AM139" s="46"/>
      <c r="AN139" s="46"/>
    </row>
    <row r="140" spans="36:40" x14ac:dyDescent="0.3">
      <c r="AJ140" s="46"/>
      <c r="AK140" s="46"/>
      <c r="AL140" s="46"/>
      <c r="AM140" s="46"/>
      <c r="AN140" s="46"/>
    </row>
    <row r="141" spans="36:40" x14ac:dyDescent="0.3">
      <c r="AJ141" s="46"/>
      <c r="AK141" s="46"/>
      <c r="AL141" s="46"/>
      <c r="AM141" s="46"/>
      <c r="AN141" s="46"/>
    </row>
    <row r="142" spans="36:40" x14ac:dyDescent="0.3">
      <c r="AJ142" s="46"/>
      <c r="AK142" s="46"/>
      <c r="AL142" s="46"/>
      <c r="AM142" s="46"/>
      <c r="AN142" s="46"/>
    </row>
    <row r="143" spans="36:40" x14ac:dyDescent="0.3">
      <c r="AJ143" s="46"/>
      <c r="AK143" s="46"/>
      <c r="AL143" s="46"/>
      <c r="AM143" s="46"/>
      <c r="AN143" s="46"/>
    </row>
    <row r="144" spans="36:40" x14ac:dyDescent="0.3">
      <c r="AJ144" s="46"/>
      <c r="AK144" s="46"/>
      <c r="AL144" s="46"/>
      <c r="AM144" s="46"/>
      <c r="AN144" s="46"/>
    </row>
    <row r="145" spans="36:40" x14ac:dyDescent="0.3">
      <c r="AJ145" s="46"/>
      <c r="AK145" s="46"/>
      <c r="AL145" s="46"/>
      <c r="AM145" s="46"/>
      <c r="AN145" s="46"/>
    </row>
    <row r="146" spans="36:40" x14ac:dyDescent="0.3">
      <c r="AJ146" s="46"/>
      <c r="AK146" s="46"/>
      <c r="AL146" s="46"/>
      <c r="AM146" s="46"/>
      <c r="AN146" s="46"/>
    </row>
    <row r="147" spans="36:40" x14ac:dyDescent="0.3">
      <c r="AJ147" s="46"/>
      <c r="AK147" s="46"/>
      <c r="AL147" s="46"/>
      <c r="AM147" s="46"/>
      <c r="AN147" s="46"/>
    </row>
    <row r="148" spans="36:40" x14ac:dyDescent="0.3">
      <c r="AJ148" s="46"/>
      <c r="AK148" s="46"/>
      <c r="AL148" s="46"/>
      <c r="AM148" s="46"/>
      <c r="AN148" s="46"/>
    </row>
    <row r="149" spans="36:40" x14ac:dyDescent="0.3">
      <c r="AJ149" s="46"/>
      <c r="AK149" s="46"/>
      <c r="AL149" s="46"/>
      <c r="AM149" s="46"/>
      <c r="AN149" s="46"/>
    </row>
    <row r="150" spans="36:40" x14ac:dyDescent="0.3">
      <c r="AJ150" s="46"/>
      <c r="AK150" s="46"/>
      <c r="AL150" s="46"/>
      <c r="AM150" s="46"/>
      <c r="AN150" s="46"/>
    </row>
    <row r="151" spans="36:40" x14ac:dyDescent="0.3">
      <c r="AJ151" s="46"/>
      <c r="AK151" s="46"/>
      <c r="AL151" s="46"/>
      <c r="AM151" s="46"/>
      <c r="AN151" s="46"/>
    </row>
    <row r="152" spans="36:40" x14ac:dyDescent="0.3">
      <c r="AJ152" s="46"/>
      <c r="AK152" s="46"/>
      <c r="AL152" s="46"/>
      <c r="AM152" s="46"/>
      <c r="AN152" s="46"/>
    </row>
    <row r="153" spans="36:40" x14ac:dyDescent="0.3">
      <c r="AJ153" s="46"/>
      <c r="AK153" s="46"/>
      <c r="AL153" s="46"/>
      <c r="AM153" s="46"/>
      <c r="AN153" s="46"/>
    </row>
    <row r="154" spans="36:40" x14ac:dyDescent="0.3">
      <c r="AJ154" s="46"/>
      <c r="AK154" s="46"/>
      <c r="AL154" s="46"/>
      <c r="AM154" s="46"/>
      <c r="AN154" s="46"/>
    </row>
    <row r="155" spans="36:40" x14ac:dyDescent="0.3">
      <c r="AJ155" s="46"/>
      <c r="AK155" s="46"/>
      <c r="AL155" s="46"/>
      <c r="AM155" s="46"/>
      <c r="AN155" s="46"/>
    </row>
    <row r="156" spans="36:40" x14ac:dyDescent="0.3">
      <c r="AJ156" s="46"/>
      <c r="AK156" s="46"/>
      <c r="AL156" s="46"/>
      <c r="AM156" s="46"/>
      <c r="AN156" s="46"/>
    </row>
    <row r="157" spans="36:40" x14ac:dyDescent="0.3">
      <c r="AJ157" s="46"/>
      <c r="AK157" s="46"/>
      <c r="AL157" s="46"/>
      <c r="AM157" s="46"/>
      <c r="AN157" s="46"/>
    </row>
    <row r="158" spans="36:40" x14ac:dyDescent="0.3">
      <c r="AJ158" s="46"/>
      <c r="AK158" s="46"/>
      <c r="AL158" s="46"/>
      <c r="AM158" s="46"/>
      <c r="AN158" s="46"/>
    </row>
    <row r="159" spans="36:40" x14ac:dyDescent="0.3">
      <c r="AJ159" s="46"/>
      <c r="AK159" s="46"/>
      <c r="AL159" s="46"/>
      <c r="AM159" s="46"/>
      <c r="AN159" s="46"/>
    </row>
    <row r="160" spans="36:40" x14ac:dyDescent="0.3">
      <c r="AJ160" s="46"/>
      <c r="AK160" s="46"/>
      <c r="AL160" s="46"/>
      <c r="AM160" s="46"/>
      <c r="AN160" s="46"/>
    </row>
    <row r="161" spans="36:40" x14ac:dyDescent="0.3">
      <c r="AJ161" s="46"/>
      <c r="AK161" s="46"/>
      <c r="AL161" s="46"/>
      <c r="AM161" s="46"/>
      <c r="AN161" s="46"/>
    </row>
    <row r="162" spans="36:40" x14ac:dyDescent="0.3">
      <c r="AJ162" s="46"/>
      <c r="AK162" s="46"/>
      <c r="AL162" s="46"/>
      <c r="AM162" s="46"/>
      <c r="AN162" s="46"/>
    </row>
    <row r="163" spans="36:40" x14ac:dyDescent="0.3">
      <c r="AJ163" s="46"/>
      <c r="AK163" s="46"/>
      <c r="AL163" s="46"/>
      <c r="AM163" s="46"/>
      <c r="AN163" s="46"/>
    </row>
    <row r="164" spans="36:40" x14ac:dyDescent="0.3">
      <c r="AJ164" s="46"/>
      <c r="AK164" s="46"/>
      <c r="AL164" s="46"/>
      <c r="AM164" s="46"/>
      <c r="AN164" s="46"/>
    </row>
    <row r="165" spans="36:40" x14ac:dyDescent="0.3">
      <c r="AJ165" s="46"/>
      <c r="AK165" s="46"/>
      <c r="AL165" s="46"/>
      <c r="AM165" s="46"/>
      <c r="AN165" s="46"/>
    </row>
    <row r="166" spans="36:40" x14ac:dyDescent="0.3">
      <c r="AJ166" s="46"/>
      <c r="AK166" s="46"/>
      <c r="AL166" s="46"/>
      <c r="AM166" s="46"/>
      <c r="AN166" s="46"/>
    </row>
    <row r="167" spans="36:40" x14ac:dyDescent="0.3">
      <c r="AJ167" s="46"/>
      <c r="AK167" s="46"/>
      <c r="AL167" s="46"/>
      <c r="AM167" s="46"/>
      <c r="AN167" s="46"/>
    </row>
    <row r="168" spans="36:40" x14ac:dyDescent="0.3">
      <c r="AJ168" s="46"/>
      <c r="AK168" s="46"/>
      <c r="AL168" s="46"/>
      <c r="AM168" s="46"/>
      <c r="AN168" s="46"/>
    </row>
    <row r="169" spans="36:40" x14ac:dyDescent="0.3">
      <c r="AJ169" s="46"/>
      <c r="AK169" s="46"/>
      <c r="AL169" s="46"/>
      <c r="AM169" s="46"/>
      <c r="AN169" s="46"/>
    </row>
    <row r="170" spans="36:40" x14ac:dyDescent="0.3">
      <c r="AJ170" s="46"/>
      <c r="AK170" s="46"/>
      <c r="AL170" s="46"/>
      <c r="AM170" s="46"/>
      <c r="AN170" s="46"/>
    </row>
    <row r="171" spans="36:40" x14ac:dyDescent="0.3">
      <c r="AJ171" s="46"/>
      <c r="AK171" s="46"/>
      <c r="AL171" s="46"/>
      <c r="AM171" s="46"/>
      <c r="AN171" s="46"/>
    </row>
    <row r="172" spans="36:40" x14ac:dyDescent="0.3">
      <c r="AJ172" s="46"/>
      <c r="AK172" s="46"/>
      <c r="AL172" s="46"/>
      <c r="AM172" s="46"/>
      <c r="AN172" s="46"/>
    </row>
    <row r="173" spans="36:40" x14ac:dyDescent="0.3">
      <c r="AJ173" s="46"/>
      <c r="AK173" s="46"/>
      <c r="AL173" s="46"/>
      <c r="AM173" s="46"/>
      <c r="AN173" s="46"/>
    </row>
    <row r="174" spans="36:40" x14ac:dyDescent="0.3">
      <c r="AJ174" s="46"/>
      <c r="AK174" s="46"/>
      <c r="AL174" s="46"/>
      <c r="AM174" s="46"/>
      <c r="AN174" s="46"/>
    </row>
    <row r="175" spans="36:40" x14ac:dyDescent="0.3">
      <c r="AJ175" s="46"/>
      <c r="AK175" s="46"/>
      <c r="AL175" s="46"/>
      <c r="AM175" s="46"/>
      <c r="AN175" s="46"/>
    </row>
    <row r="176" spans="36:40" x14ac:dyDescent="0.3">
      <c r="AJ176" s="46"/>
      <c r="AK176" s="46"/>
      <c r="AL176" s="46"/>
      <c r="AM176" s="46"/>
      <c r="AN176" s="46"/>
    </row>
    <row r="177" spans="36:40" x14ac:dyDescent="0.3">
      <c r="AJ177" s="46"/>
      <c r="AK177" s="46"/>
      <c r="AL177" s="46"/>
      <c r="AM177" s="46"/>
      <c r="AN177" s="46"/>
    </row>
    <row r="178" spans="36:40" x14ac:dyDescent="0.3">
      <c r="AJ178" s="46"/>
      <c r="AK178" s="46"/>
      <c r="AL178" s="46"/>
      <c r="AM178" s="46"/>
      <c r="AN178" s="46"/>
    </row>
    <row r="179" spans="36:40" x14ac:dyDescent="0.3">
      <c r="AJ179" s="46"/>
      <c r="AK179" s="46"/>
      <c r="AL179" s="46"/>
      <c r="AM179" s="46"/>
      <c r="AN179" s="46"/>
    </row>
    <row r="180" spans="36:40" x14ac:dyDescent="0.3">
      <c r="AJ180" s="46"/>
      <c r="AK180" s="46"/>
      <c r="AL180" s="46"/>
      <c r="AM180" s="46"/>
      <c r="AN180" s="46"/>
    </row>
    <row r="181" spans="36:40" x14ac:dyDescent="0.3">
      <c r="AJ181" s="46"/>
      <c r="AK181" s="46"/>
      <c r="AL181" s="46"/>
      <c r="AM181" s="46"/>
      <c r="AN181" s="46"/>
    </row>
    <row r="182" spans="36:40" x14ac:dyDescent="0.3">
      <c r="AJ182" s="46"/>
      <c r="AK182" s="46"/>
      <c r="AL182" s="46"/>
      <c r="AM182" s="46"/>
      <c r="AN182" s="46"/>
    </row>
    <row r="183" spans="36:40" x14ac:dyDescent="0.3">
      <c r="AJ183" s="46"/>
      <c r="AK183" s="46"/>
      <c r="AL183" s="46"/>
      <c r="AM183" s="46"/>
      <c r="AN183" s="46"/>
    </row>
    <row r="184" spans="36:40" x14ac:dyDescent="0.3">
      <c r="AJ184" s="46"/>
      <c r="AK184" s="46"/>
      <c r="AL184" s="46"/>
      <c r="AM184" s="46"/>
      <c r="AN184" s="46"/>
    </row>
    <row r="185" spans="36:40" x14ac:dyDescent="0.3">
      <c r="AJ185" s="46"/>
      <c r="AK185" s="46"/>
      <c r="AL185" s="46"/>
      <c r="AM185" s="46"/>
      <c r="AN185" s="46"/>
    </row>
    <row r="186" spans="36:40" x14ac:dyDescent="0.3">
      <c r="AJ186" s="46"/>
      <c r="AK186" s="46"/>
      <c r="AL186" s="46"/>
      <c r="AM186" s="46"/>
      <c r="AN186" s="46"/>
    </row>
    <row r="187" spans="36:40" x14ac:dyDescent="0.3">
      <c r="AJ187" s="46"/>
      <c r="AK187" s="46"/>
      <c r="AL187" s="46"/>
      <c r="AM187" s="46"/>
      <c r="AN187" s="46"/>
    </row>
    <row r="188" spans="36:40" x14ac:dyDescent="0.3">
      <c r="AJ188" s="46"/>
      <c r="AK188" s="46"/>
      <c r="AL188" s="46"/>
      <c r="AM188" s="46"/>
      <c r="AN188" s="46"/>
    </row>
    <row r="189" spans="36:40" x14ac:dyDescent="0.3">
      <c r="AJ189" s="46"/>
      <c r="AK189" s="46"/>
      <c r="AL189" s="46"/>
      <c r="AM189" s="46"/>
      <c r="AN189" s="46"/>
    </row>
    <row r="190" spans="36:40" x14ac:dyDescent="0.3">
      <c r="AJ190" s="46"/>
      <c r="AK190" s="46"/>
      <c r="AL190" s="46"/>
      <c r="AM190" s="46"/>
      <c r="AN190" s="46"/>
    </row>
    <row r="191" spans="36:40" x14ac:dyDescent="0.3">
      <c r="AJ191" s="46"/>
      <c r="AK191" s="46"/>
      <c r="AL191" s="46"/>
      <c r="AM191" s="46"/>
      <c r="AN191" s="46"/>
    </row>
    <row r="192" spans="36:40" x14ac:dyDescent="0.3">
      <c r="AJ192" s="46"/>
      <c r="AK192" s="46"/>
      <c r="AL192" s="46"/>
      <c r="AM192" s="46"/>
      <c r="AN192" s="46"/>
    </row>
    <row r="193" spans="36:40" x14ac:dyDescent="0.3">
      <c r="AJ193" s="46"/>
      <c r="AK193" s="46"/>
      <c r="AL193" s="46"/>
      <c r="AM193" s="46"/>
      <c r="AN193" s="46"/>
    </row>
    <row r="194" spans="36:40" x14ac:dyDescent="0.3">
      <c r="AJ194" s="46"/>
      <c r="AK194" s="46"/>
      <c r="AL194" s="46"/>
      <c r="AM194" s="46"/>
      <c r="AN194" s="46"/>
    </row>
    <row r="195" spans="36:40" x14ac:dyDescent="0.3">
      <c r="AJ195" s="46"/>
      <c r="AK195" s="46"/>
      <c r="AL195" s="46"/>
      <c r="AM195" s="46"/>
      <c r="AN195" s="46"/>
    </row>
    <row r="196" spans="36:40" x14ac:dyDescent="0.3">
      <c r="AJ196" s="46"/>
      <c r="AK196" s="46"/>
      <c r="AL196" s="46"/>
      <c r="AM196" s="46"/>
      <c r="AN196" s="46"/>
    </row>
    <row r="197" spans="36:40" x14ac:dyDescent="0.3">
      <c r="AJ197" s="46"/>
      <c r="AK197" s="46"/>
      <c r="AL197" s="46"/>
      <c r="AM197" s="46"/>
      <c r="AN197" s="46"/>
    </row>
    <row r="198" spans="36:40" x14ac:dyDescent="0.3">
      <c r="AJ198" s="46"/>
      <c r="AK198" s="46"/>
      <c r="AL198" s="46"/>
      <c r="AM198" s="46"/>
      <c r="AN198" s="46"/>
    </row>
    <row r="199" spans="36:40" x14ac:dyDescent="0.3">
      <c r="AJ199" s="46"/>
      <c r="AK199" s="46"/>
      <c r="AL199" s="46"/>
      <c r="AM199" s="46"/>
      <c r="AN199" s="46"/>
    </row>
    <row r="200" spans="36:40" x14ac:dyDescent="0.3">
      <c r="AJ200" s="46"/>
      <c r="AK200" s="46"/>
      <c r="AL200" s="46"/>
      <c r="AM200" s="46"/>
      <c r="AN200" s="46"/>
    </row>
    <row r="201" spans="36:40" x14ac:dyDescent="0.3">
      <c r="AJ201" s="46"/>
      <c r="AK201" s="46"/>
      <c r="AL201" s="46"/>
      <c r="AM201" s="46"/>
      <c r="AN201" s="46"/>
    </row>
    <row r="202" spans="36:40" x14ac:dyDescent="0.3">
      <c r="AJ202" s="46"/>
      <c r="AK202" s="46"/>
      <c r="AL202" s="46"/>
      <c r="AM202" s="46"/>
      <c r="AN202" s="46"/>
    </row>
    <row r="203" spans="36:40" x14ac:dyDescent="0.3">
      <c r="AJ203" s="46"/>
      <c r="AK203" s="46"/>
      <c r="AL203" s="46"/>
      <c r="AM203" s="46"/>
      <c r="AN203" s="46"/>
    </row>
    <row r="204" spans="36:40" x14ac:dyDescent="0.3">
      <c r="AJ204" s="46"/>
      <c r="AK204" s="46"/>
      <c r="AL204" s="46"/>
      <c r="AM204" s="46"/>
      <c r="AN204" s="46"/>
    </row>
    <row r="205" spans="36:40" x14ac:dyDescent="0.3">
      <c r="AJ205" s="46"/>
      <c r="AK205" s="46"/>
      <c r="AL205" s="46"/>
      <c r="AM205" s="46"/>
      <c r="AN205" s="46"/>
    </row>
    <row r="206" spans="36:40" x14ac:dyDescent="0.3">
      <c r="AJ206" s="46"/>
      <c r="AK206" s="46"/>
      <c r="AL206" s="46"/>
      <c r="AM206" s="46"/>
      <c r="AN206" s="46"/>
    </row>
    <row r="207" spans="36:40" x14ac:dyDescent="0.3">
      <c r="AJ207" s="46"/>
      <c r="AK207" s="46"/>
      <c r="AL207" s="46"/>
      <c r="AM207" s="46"/>
      <c r="AN207" s="46"/>
    </row>
    <row r="208" spans="36:40" x14ac:dyDescent="0.3">
      <c r="AJ208" s="46"/>
      <c r="AK208" s="46"/>
      <c r="AL208" s="46"/>
      <c r="AM208" s="46"/>
      <c r="AN208" s="46"/>
    </row>
    <row r="209" spans="36:40" x14ac:dyDescent="0.3">
      <c r="AJ209" s="46"/>
      <c r="AK209" s="46"/>
      <c r="AL209" s="46"/>
      <c r="AM209" s="46"/>
      <c r="AN209" s="46"/>
    </row>
    <row r="210" spans="36:40" x14ac:dyDescent="0.3">
      <c r="AJ210" s="46"/>
      <c r="AK210" s="46"/>
      <c r="AL210" s="46"/>
      <c r="AM210" s="46"/>
      <c r="AN210" s="46"/>
    </row>
    <row r="211" spans="36:40" x14ac:dyDescent="0.3">
      <c r="AJ211" s="46"/>
      <c r="AK211" s="46"/>
      <c r="AL211" s="46"/>
      <c r="AM211" s="46"/>
      <c r="AN211" s="46"/>
    </row>
    <row r="212" spans="36:40" x14ac:dyDescent="0.3">
      <c r="AJ212" s="46"/>
      <c r="AK212" s="46"/>
      <c r="AL212" s="46"/>
      <c r="AM212" s="46"/>
      <c r="AN212" s="46"/>
    </row>
    <row r="213" spans="36:40" x14ac:dyDescent="0.3">
      <c r="AJ213" s="46"/>
      <c r="AK213" s="46"/>
      <c r="AL213" s="46"/>
      <c r="AM213" s="46"/>
      <c r="AN213" s="46"/>
    </row>
    <row r="214" spans="36:40" x14ac:dyDescent="0.3">
      <c r="AJ214" s="46"/>
      <c r="AK214" s="46"/>
      <c r="AL214" s="46"/>
      <c r="AM214" s="46"/>
      <c r="AN214" s="46"/>
    </row>
    <row r="215" spans="36:40" x14ac:dyDescent="0.3">
      <c r="AJ215" s="46"/>
      <c r="AK215" s="46"/>
      <c r="AL215" s="46"/>
      <c r="AM215" s="46"/>
      <c r="AN215" s="46"/>
    </row>
    <row r="216" spans="36:40" x14ac:dyDescent="0.3">
      <c r="AJ216" s="46"/>
      <c r="AK216" s="46"/>
      <c r="AL216" s="46"/>
      <c r="AM216" s="46"/>
      <c r="AN216" s="46"/>
    </row>
    <row r="217" spans="36:40" x14ac:dyDescent="0.3">
      <c r="AJ217" s="46"/>
      <c r="AK217" s="46"/>
      <c r="AL217" s="46"/>
      <c r="AM217" s="46"/>
      <c r="AN217" s="46"/>
    </row>
    <row r="218" spans="36:40" x14ac:dyDescent="0.3">
      <c r="AJ218" s="46"/>
      <c r="AK218" s="46"/>
      <c r="AL218" s="46"/>
      <c r="AM218" s="46"/>
      <c r="AN218" s="46"/>
    </row>
    <row r="219" spans="36:40" x14ac:dyDescent="0.3">
      <c r="AJ219" s="46"/>
      <c r="AK219" s="46"/>
      <c r="AL219" s="46"/>
      <c r="AM219" s="46"/>
      <c r="AN219" s="46"/>
    </row>
    <row r="220" spans="36:40" x14ac:dyDescent="0.3">
      <c r="AJ220" s="46"/>
      <c r="AK220" s="46"/>
      <c r="AL220" s="46"/>
      <c r="AM220" s="46"/>
      <c r="AN220" s="46"/>
    </row>
    <row r="221" spans="36:40" x14ac:dyDescent="0.3">
      <c r="AJ221" s="46"/>
      <c r="AK221" s="46"/>
      <c r="AL221" s="46"/>
      <c r="AM221" s="46"/>
      <c r="AN221" s="46"/>
    </row>
    <row r="222" spans="36:40" x14ac:dyDescent="0.3">
      <c r="AJ222" s="46"/>
      <c r="AK222" s="46"/>
      <c r="AL222" s="46"/>
      <c r="AM222" s="46"/>
      <c r="AN222" s="46"/>
    </row>
    <row r="223" spans="36:40" x14ac:dyDescent="0.3">
      <c r="AJ223" s="46"/>
      <c r="AK223" s="46"/>
      <c r="AL223" s="46"/>
      <c r="AM223" s="46"/>
      <c r="AN223" s="46"/>
    </row>
    <row r="224" spans="36:40" x14ac:dyDescent="0.3">
      <c r="AJ224" s="46"/>
      <c r="AK224" s="46"/>
      <c r="AL224" s="46"/>
      <c r="AM224" s="46"/>
      <c r="AN224" s="46"/>
    </row>
    <row r="225" spans="36:40" x14ac:dyDescent="0.3">
      <c r="AJ225" s="46"/>
      <c r="AK225" s="46"/>
      <c r="AL225" s="46"/>
      <c r="AM225" s="46"/>
      <c r="AN225" s="46"/>
    </row>
    <row r="226" spans="36:40" x14ac:dyDescent="0.3">
      <c r="AJ226" s="46"/>
      <c r="AK226" s="46"/>
      <c r="AL226" s="46"/>
      <c r="AM226" s="46"/>
      <c r="AN226" s="46"/>
    </row>
    <row r="227" spans="36:40" x14ac:dyDescent="0.3">
      <c r="AJ227" s="46"/>
      <c r="AK227" s="46"/>
      <c r="AL227" s="46"/>
      <c r="AM227" s="46"/>
      <c r="AN227" s="46"/>
    </row>
    <row r="228" spans="36:40" x14ac:dyDescent="0.3">
      <c r="AJ228" s="46"/>
      <c r="AK228" s="46"/>
      <c r="AL228" s="46"/>
      <c r="AM228" s="46"/>
      <c r="AN228" s="46"/>
    </row>
    <row r="229" spans="36:40" x14ac:dyDescent="0.3">
      <c r="AJ229" s="46"/>
      <c r="AK229" s="46"/>
      <c r="AL229" s="46"/>
      <c r="AM229" s="46"/>
      <c r="AN229" s="46"/>
    </row>
    <row r="230" spans="36:40" x14ac:dyDescent="0.3">
      <c r="AJ230" s="46"/>
      <c r="AK230" s="46"/>
      <c r="AL230" s="46"/>
      <c r="AM230" s="46"/>
      <c r="AN230" s="46"/>
    </row>
    <row r="231" spans="36:40" x14ac:dyDescent="0.3">
      <c r="AJ231" s="46"/>
      <c r="AK231" s="46"/>
      <c r="AL231" s="46"/>
      <c r="AM231" s="46"/>
      <c r="AN231" s="46"/>
    </row>
    <row r="232" spans="36:40" x14ac:dyDescent="0.3">
      <c r="AJ232" s="46"/>
      <c r="AK232" s="46"/>
      <c r="AL232" s="46"/>
      <c r="AM232" s="46"/>
      <c r="AN232" s="46"/>
    </row>
    <row r="233" spans="36:40" x14ac:dyDescent="0.3">
      <c r="AJ233" s="46"/>
      <c r="AK233" s="46"/>
      <c r="AL233" s="46"/>
      <c r="AM233" s="46"/>
      <c r="AN233" s="46"/>
    </row>
    <row r="234" spans="36:40" x14ac:dyDescent="0.3">
      <c r="AJ234" s="46"/>
      <c r="AK234" s="46"/>
      <c r="AL234" s="46"/>
      <c r="AM234" s="46"/>
      <c r="AN234" s="46"/>
    </row>
    <row r="235" spans="36:40" x14ac:dyDescent="0.3">
      <c r="AJ235" s="46"/>
      <c r="AK235" s="46"/>
      <c r="AL235" s="46"/>
      <c r="AM235" s="46"/>
      <c r="AN235" s="46"/>
    </row>
    <row r="236" spans="36:40" x14ac:dyDescent="0.3">
      <c r="AJ236" s="46"/>
      <c r="AK236" s="46"/>
      <c r="AL236" s="46"/>
      <c r="AM236" s="46"/>
      <c r="AN236" s="46"/>
    </row>
    <row r="237" spans="36:40" x14ac:dyDescent="0.3">
      <c r="AJ237" s="46"/>
      <c r="AK237" s="46"/>
      <c r="AL237" s="46"/>
      <c r="AM237" s="46"/>
      <c r="AN237" s="46"/>
    </row>
    <row r="238" spans="36:40" x14ac:dyDescent="0.3">
      <c r="AJ238" s="46"/>
      <c r="AK238" s="46"/>
      <c r="AL238" s="46"/>
      <c r="AM238" s="46"/>
      <c r="AN238" s="46"/>
    </row>
    <row r="239" spans="36:40" x14ac:dyDescent="0.3">
      <c r="AJ239" s="46"/>
      <c r="AK239" s="46"/>
      <c r="AL239" s="46"/>
      <c r="AM239" s="46"/>
      <c r="AN239" s="46"/>
    </row>
    <row r="240" spans="36:40" x14ac:dyDescent="0.3">
      <c r="AJ240" s="46"/>
      <c r="AK240" s="46"/>
      <c r="AL240" s="46"/>
      <c r="AM240" s="46"/>
      <c r="AN240" s="46"/>
    </row>
    <row r="241" spans="36:40" x14ac:dyDescent="0.3">
      <c r="AJ241" s="46"/>
      <c r="AK241" s="46"/>
      <c r="AL241" s="46"/>
      <c r="AM241" s="46"/>
      <c r="AN241" s="46"/>
    </row>
    <row r="242" spans="36:40" x14ac:dyDescent="0.3">
      <c r="AJ242" s="46"/>
      <c r="AK242" s="46"/>
      <c r="AL242" s="46"/>
      <c r="AM242" s="46"/>
      <c r="AN242" s="46"/>
    </row>
    <row r="243" spans="36:40" x14ac:dyDescent="0.3">
      <c r="AJ243" s="46"/>
      <c r="AK243" s="46"/>
      <c r="AL243" s="46"/>
      <c r="AM243" s="46"/>
      <c r="AN243" s="46"/>
    </row>
    <row r="244" spans="36:40" x14ac:dyDescent="0.3">
      <c r="AJ244" s="46"/>
      <c r="AK244" s="46"/>
      <c r="AL244" s="46"/>
      <c r="AM244" s="46"/>
      <c r="AN244" s="46"/>
    </row>
    <row r="245" spans="36:40" x14ac:dyDescent="0.3">
      <c r="AJ245" s="46"/>
      <c r="AK245" s="46"/>
      <c r="AL245" s="46"/>
      <c r="AM245" s="46"/>
      <c r="AN245" s="46"/>
    </row>
    <row r="246" spans="36:40" x14ac:dyDescent="0.3">
      <c r="AJ246" s="46"/>
      <c r="AK246" s="46"/>
      <c r="AL246" s="46"/>
      <c r="AM246" s="46"/>
      <c r="AN246" s="46"/>
    </row>
    <row r="247" spans="36:40" x14ac:dyDescent="0.3">
      <c r="AJ247" s="46"/>
      <c r="AK247" s="46"/>
      <c r="AL247" s="46"/>
      <c r="AM247" s="46"/>
      <c r="AN247" s="46"/>
    </row>
    <row r="248" spans="36:40" x14ac:dyDescent="0.3">
      <c r="AJ248" s="46"/>
      <c r="AK248" s="46"/>
      <c r="AL248" s="46"/>
      <c r="AM248" s="46"/>
      <c r="AN248" s="46"/>
    </row>
    <row r="249" spans="36:40" x14ac:dyDescent="0.3">
      <c r="AJ249" s="46"/>
      <c r="AK249" s="46"/>
      <c r="AL249" s="46"/>
      <c r="AM249" s="46"/>
      <c r="AN249" s="46"/>
    </row>
    <row r="250" spans="36:40" x14ac:dyDescent="0.3">
      <c r="AJ250" s="46"/>
      <c r="AK250" s="46"/>
      <c r="AL250" s="46"/>
      <c r="AM250" s="46"/>
      <c r="AN250" s="46"/>
    </row>
    <row r="251" spans="36:40" x14ac:dyDescent="0.3">
      <c r="AJ251" s="46"/>
      <c r="AK251" s="46"/>
      <c r="AL251" s="46"/>
      <c r="AM251" s="46"/>
      <c r="AN251" s="46"/>
    </row>
    <row r="252" spans="36:40" x14ac:dyDescent="0.3">
      <c r="AJ252" s="46"/>
      <c r="AK252" s="46"/>
      <c r="AL252" s="46"/>
      <c r="AM252" s="46"/>
      <c r="AN252" s="46"/>
    </row>
    <row r="253" spans="36:40" x14ac:dyDescent="0.3">
      <c r="AJ253" s="46"/>
      <c r="AK253" s="46"/>
      <c r="AL253" s="46"/>
      <c r="AM253" s="46"/>
      <c r="AN253" s="46"/>
    </row>
    <row r="254" spans="36:40" x14ac:dyDescent="0.3">
      <c r="AJ254" s="46"/>
      <c r="AK254" s="46"/>
      <c r="AL254" s="46"/>
      <c r="AM254" s="46"/>
      <c r="AN254" s="46"/>
    </row>
    <row r="255" spans="36:40" x14ac:dyDescent="0.3">
      <c r="AJ255" s="46"/>
      <c r="AK255" s="46"/>
      <c r="AL255" s="46"/>
      <c r="AM255" s="46"/>
      <c r="AN255" s="46"/>
    </row>
    <row r="256" spans="36:40" x14ac:dyDescent="0.3">
      <c r="AJ256" s="46"/>
      <c r="AK256" s="46"/>
      <c r="AL256" s="46"/>
      <c r="AM256" s="46"/>
      <c r="AN256" s="46"/>
    </row>
    <row r="257" spans="36:40" x14ac:dyDescent="0.3">
      <c r="AJ257" s="46"/>
      <c r="AK257" s="46"/>
      <c r="AL257" s="46"/>
      <c r="AM257" s="46"/>
      <c r="AN257" s="46"/>
    </row>
    <row r="258" spans="36:40" x14ac:dyDescent="0.3">
      <c r="AJ258" s="46"/>
      <c r="AK258" s="46"/>
      <c r="AL258" s="46"/>
      <c r="AM258" s="46"/>
      <c r="AN258" s="46"/>
    </row>
    <row r="259" spans="36:40" x14ac:dyDescent="0.3">
      <c r="AJ259" s="46"/>
      <c r="AK259" s="46"/>
      <c r="AL259" s="46"/>
      <c r="AM259" s="46"/>
      <c r="AN259" s="46"/>
    </row>
    <row r="260" spans="36:40" x14ac:dyDescent="0.3">
      <c r="AJ260" s="46"/>
      <c r="AK260" s="46"/>
      <c r="AL260" s="46"/>
      <c r="AM260" s="46"/>
      <c r="AN260" s="46"/>
    </row>
    <row r="261" spans="36:40" x14ac:dyDescent="0.3">
      <c r="AJ261" s="46"/>
      <c r="AK261" s="46"/>
      <c r="AL261" s="46"/>
      <c r="AM261" s="46"/>
      <c r="AN261" s="46"/>
    </row>
    <row r="262" spans="36:40" x14ac:dyDescent="0.3">
      <c r="AJ262" s="46"/>
      <c r="AK262" s="46"/>
      <c r="AL262" s="46"/>
      <c r="AM262" s="46"/>
      <c r="AN262" s="46"/>
    </row>
    <row r="263" spans="36:40" x14ac:dyDescent="0.3">
      <c r="AJ263" s="46"/>
      <c r="AK263" s="46"/>
      <c r="AL263" s="46"/>
      <c r="AM263" s="46"/>
      <c r="AN263" s="46"/>
    </row>
    <row r="264" spans="36:40" x14ac:dyDescent="0.3">
      <c r="AJ264" s="46"/>
      <c r="AK264" s="46"/>
      <c r="AL264" s="46"/>
      <c r="AM264" s="46"/>
      <c r="AN264" s="46"/>
    </row>
    <row r="265" spans="36:40" x14ac:dyDescent="0.3">
      <c r="AJ265" s="46"/>
      <c r="AK265" s="46"/>
      <c r="AL265" s="46"/>
      <c r="AM265" s="46"/>
      <c r="AN265" s="46"/>
    </row>
    <row r="266" spans="36:40" x14ac:dyDescent="0.3">
      <c r="AJ266" s="46"/>
      <c r="AK266" s="46"/>
      <c r="AL266" s="46"/>
      <c r="AM266" s="46"/>
      <c r="AN266" s="46"/>
    </row>
    <row r="267" spans="36:40" x14ac:dyDescent="0.3">
      <c r="AJ267" s="46"/>
      <c r="AK267" s="46"/>
      <c r="AL267" s="46"/>
      <c r="AM267" s="46"/>
      <c r="AN267" s="46"/>
    </row>
    <row r="268" spans="36:40" x14ac:dyDescent="0.3">
      <c r="AJ268" s="46"/>
      <c r="AK268" s="46"/>
      <c r="AL268" s="46"/>
      <c r="AM268" s="46"/>
      <c r="AN268" s="46"/>
    </row>
    <row r="269" spans="36:40" x14ac:dyDescent="0.3">
      <c r="AJ269" s="46"/>
      <c r="AK269" s="46"/>
      <c r="AL269" s="46"/>
      <c r="AM269" s="46"/>
      <c r="AN269" s="46"/>
    </row>
    <row r="270" spans="36:40" x14ac:dyDescent="0.3">
      <c r="AJ270" s="46"/>
      <c r="AK270" s="46"/>
      <c r="AL270" s="46"/>
      <c r="AM270" s="46"/>
      <c r="AN270" s="46"/>
    </row>
    <row r="271" spans="36:40" x14ac:dyDescent="0.3">
      <c r="AJ271" s="46"/>
      <c r="AK271" s="46"/>
      <c r="AL271" s="46"/>
      <c r="AM271" s="46"/>
      <c r="AN271" s="46"/>
    </row>
    <row r="272" spans="36:40" x14ac:dyDescent="0.3">
      <c r="AJ272" s="46"/>
      <c r="AK272" s="46"/>
      <c r="AL272" s="46"/>
      <c r="AM272" s="46"/>
      <c r="AN272" s="46"/>
    </row>
    <row r="273" spans="36:40" x14ac:dyDescent="0.3">
      <c r="AJ273" s="46"/>
      <c r="AK273" s="46"/>
      <c r="AL273" s="46"/>
      <c r="AM273" s="46"/>
      <c r="AN273" s="46"/>
    </row>
    <row r="274" spans="36:40" x14ac:dyDescent="0.3">
      <c r="AJ274" s="46"/>
      <c r="AK274" s="46"/>
      <c r="AL274" s="46"/>
      <c r="AM274" s="46"/>
      <c r="AN274" s="46"/>
    </row>
    <row r="275" spans="36:40" x14ac:dyDescent="0.3">
      <c r="AJ275" s="46"/>
      <c r="AK275" s="46"/>
      <c r="AL275" s="46"/>
      <c r="AM275" s="46"/>
      <c r="AN275" s="46"/>
    </row>
    <row r="276" spans="36:40" x14ac:dyDescent="0.3">
      <c r="AJ276" s="46"/>
      <c r="AK276" s="46"/>
      <c r="AL276" s="46"/>
      <c r="AM276" s="46"/>
      <c r="AN276" s="46"/>
    </row>
    <row r="277" spans="36:40" x14ac:dyDescent="0.3">
      <c r="AJ277" s="46"/>
      <c r="AK277" s="46"/>
      <c r="AL277" s="46"/>
      <c r="AM277" s="46"/>
      <c r="AN277" s="46"/>
    </row>
    <row r="278" spans="36:40" x14ac:dyDescent="0.3">
      <c r="AJ278" s="46"/>
      <c r="AK278" s="46"/>
      <c r="AL278" s="46"/>
      <c r="AM278" s="46"/>
      <c r="AN278" s="46"/>
    </row>
    <row r="279" spans="36:40" x14ac:dyDescent="0.3">
      <c r="AJ279" s="46"/>
      <c r="AK279" s="46"/>
      <c r="AL279" s="46"/>
      <c r="AM279" s="46"/>
      <c r="AN279" s="46"/>
    </row>
    <row r="280" spans="36:40" x14ac:dyDescent="0.3">
      <c r="AJ280" s="46"/>
      <c r="AK280" s="46"/>
      <c r="AL280" s="46"/>
      <c r="AM280" s="46"/>
      <c r="AN280" s="46"/>
    </row>
    <row r="281" spans="36:40" x14ac:dyDescent="0.3">
      <c r="AJ281" s="46"/>
      <c r="AK281" s="46"/>
      <c r="AL281" s="46"/>
      <c r="AM281" s="46"/>
      <c r="AN281" s="46"/>
    </row>
    <row r="282" spans="36:40" x14ac:dyDescent="0.3">
      <c r="AJ282" s="46"/>
      <c r="AK282" s="46"/>
      <c r="AL282" s="46"/>
      <c r="AM282" s="46"/>
      <c r="AN282" s="46"/>
    </row>
    <row r="283" spans="36:40" x14ac:dyDescent="0.3">
      <c r="AJ283" s="46"/>
      <c r="AK283" s="46"/>
      <c r="AL283" s="46"/>
      <c r="AM283" s="46"/>
      <c r="AN283" s="46"/>
    </row>
    <row r="284" spans="36:40" x14ac:dyDescent="0.3">
      <c r="AJ284" s="46"/>
      <c r="AK284" s="46"/>
      <c r="AL284" s="46"/>
      <c r="AM284" s="46"/>
      <c r="AN284" s="46"/>
    </row>
    <row r="285" spans="36:40" x14ac:dyDescent="0.3">
      <c r="AJ285" s="46"/>
      <c r="AK285" s="46"/>
      <c r="AL285" s="46"/>
      <c r="AM285" s="46"/>
      <c r="AN285" s="46"/>
    </row>
    <row r="286" spans="36:40" x14ac:dyDescent="0.3">
      <c r="AJ286" s="46"/>
      <c r="AK286" s="46"/>
      <c r="AL286" s="46"/>
      <c r="AM286" s="46"/>
      <c r="AN286" s="46"/>
    </row>
    <row r="287" spans="36:40" x14ac:dyDescent="0.3">
      <c r="AJ287" s="46"/>
      <c r="AK287" s="46"/>
      <c r="AL287" s="46"/>
      <c r="AM287" s="46"/>
      <c r="AN287" s="46"/>
    </row>
    <row r="288" spans="36:40" x14ac:dyDescent="0.3">
      <c r="AJ288" s="46"/>
      <c r="AK288" s="46"/>
      <c r="AL288" s="46"/>
      <c r="AM288" s="46"/>
      <c r="AN288" s="46"/>
    </row>
    <row r="289" spans="36:40" x14ac:dyDescent="0.3">
      <c r="AJ289" s="46"/>
      <c r="AK289" s="46"/>
      <c r="AL289" s="46"/>
      <c r="AM289" s="46"/>
      <c r="AN289" s="46"/>
    </row>
    <row r="290" spans="36:40" x14ac:dyDescent="0.3">
      <c r="AJ290" s="46"/>
      <c r="AK290" s="46"/>
      <c r="AL290" s="46"/>
      <c r="AM290" s="46"/>
      <c r="AN290" s="46"/>
    </row>
    <row r="291" spans="36:40" x14ac:dyDescent="0.3">
      <c r="AJ291" s="46"/>
      <c r="AK291" s="46"/>
      <c r="AL291" s="46"/>
      <c r="AM291" s="46"/>
      <c r="AN291" s="46"/>
    </row>
    <row r="292" spans="36:40" x14ac:dyDescent="0.3">
      <c r="AJ292" s="46"/>
      <c r="AK292" s="46"/>
      <c r="AL292" s="46"/>
      <c r="AM292" s="46"/>
      <c r="AN292" s="46"/>
    </row>
    <row r="293" spans="36:40" x14ac:dyDescent="0.3">
      <c r="AJ293" s="46"/>
      <c r="AK293" s="46"/>
      <c r="AL293" s="46"/>
      <c r="AM293" s="46"/>
      <c r="AN293" s="46"/>
    </row>
    <row r="294" spans="36:40" x14ac:dyDescent="0.3">
      <c r="AJ294" s="46"/>
      <c r="AK294" s="46"/>
      <c r="AL294" s="46"/>
      <c r="AM294" s="46"/>
      <c r="AN294" s="46"/>
    </row>
    <row r="295" spans="36:40" x14ac:dyDescent="0.3">
      <c r="AJ295" s="46"/>
      <c r="AK295" s="46"/>
      <c r="AL295" s="46"/>
      <c r="AM295" s="46"/>
      <c r="AN295" s="46"/>
    </row>
    <row r="296" spans="36:40" x14ac:dyDescent="0.3">
      <c r="AJ296" s="46"/>
      <c r="AK296" s="46"/>
      <c r="AL296" s="46"/>
      <c r="AM296" s="46"/>
      <c r="AN296" s="46"/>
    </row>
    <row r="297" spans="36:40" x14ac:dyDescent="0.3">
      <c r="AJ297" s="46"/>
      <c r="AK297" s="46"/>
      <c r="AL297" s="46"/>
      <c r="AM297" s="46"/>
      <c r="AN297" s="46"/>
    </row>
    <row r="298" spans="36:40" x14ac:dyDescent="0.3">
      <c r="AJ298" s="46"/>
      <c r="AK298" s="46"/>
      <c r="AL298" s="46"/>
      <c r="AM298" s="46"/>
      <c r="AN298" s="46"/>
    </row>
    <row r="299" spans="36:40" x14ac:dyDescent="0.3">
      <c r="AJ299" s="46"/>
      <c r="AK299" s="46"/>
      <c r="AL299" s="46"/>
      <c r="AM299" s="46"/>
      <c r="AN299" s="46"/>
    </row>
    <row r="300" spans="36:40" x14ac:dyDescent="0.3">
      <c r="AJ300" s="46"/>
      <c r="AK300" s="46"/>
      <c r="AL300" s="46"/>
      <c r="AM300" s="46"/>
      <c r="AN300" s="46"/>
    </row>
    <row r="301" spans="36:40" x14ac:dyDescent="0.3">
      <c r="AJ301" s="46"/>
      <c r="AK301" s="46"/>
      <c r="AL301" s="46"/>
      <c r="AM301" s="46"/>
      <c r="AN301" s="46"/>
    </row>
    <row r="302" spans="36:40" x14ac:dyDescent="0.3">
      <c r="AJ302" s="46"/>
      <c r="AK302" s="46"/>
      <c r="AL302" s="46"/>
      <c r="AM302" s="46"/>
      <c r="AN302" s="46"/>
    </row>
    <row r="303" spans="36:40" x14ac:dyDescent="0.3">
      <c r="AJ303" s="46"/>
      <c r="AK303" s="46"/>
      <c r="AL303" s="46"/>
      <c r="AM303" s="46"/>
      <c r="AN303" s="46"/>
    </row>
    <row r="304" spans="36:40" x14ac:dyDescent="0.3">
      <c r="AJ304" s="46"/>
      <c r="AK304" s="46"/>
      <c r="AL304" s="46"/>
      <c r="AM304" s="46"/>
      <c r="AN304" s="46"/>
    </row>
    <row r="305" spans="36:40" x14ac:dyDescent="0.3">
      <c r="AJ305" s="46"/>
      <c r="AK305" s="46"/>
      <c r="AL305" s="46"/>
      <c r="AM305" s="46"/>
      <c r="AN305" s="46"/>
    </row>
    <row r="306" spans="36:40" x14ac:dyDescent="0.3">
      <c r="AJ306" s="46"/>
      <c r="AK306" s="46"/>
      <c r="AL306" s="46"/>
      <c r="AM306" s="46"/>
      <c r="AN306" s="46"/>
    </row>
    <row r="307" spans="36:40" x14ac:dyDescent="0.3">
      <c r="AJ307" s="46"/>
      <c r="AK307" s="46"/>
      <c r="AL307" s="46"/>
      <c r="AM307" s="46"/>
      <c r="AN307" s="46"/>
    </row>
    <row r="308" spans="36:40" x14ac:dyDescent="0.3">
      <c r="AJ308" s="46"/>
      <c r="AK308" s="46"/>
      <c r="AL308" s="46"/>
      <c r="AM308" s="46"/>
      <c r="AN308" s="46"/>
    </row>
    <row r="309" spans="36:40" x14ac:dyDescent="0.3">
      <c r="AJ309" s="46"/>
      <c r="AK309" s="46"/>
      <c r="AL309" s="46"/>
      <c r="AM309" s="46"/>
      <c r="AN309" s="46"/>
    </row>
    <row r="310" spans="36:40" x14ac:dyDescent="0.3">
      <c r="AJ310" s="46"/>
      <c r="AK310" s="46"/>
      <c r="AL310" s="46"/>
      <c r="AM310" s="46"/>
      <c r="AN310" s="46"/>
    </row>
    <row r="311" spans="36:40" x14ac:dyDescent="0.3">
      <c r="AJ311" s="46"/>
      <c r="AK311" s="46"/>
      <c r="AL311" s="46"/>
      <c r="AM311" s="46"/>
      <c r="AN311" s="46"/>
    </row>
    <row r="312" spans="36:40" x14ac:dyDescent="0.3">
      <c r="AJ312" s="46"/>
      <c r="AK312" s="46"/>
      <c r="AL312" s="46"/>
      <c r="AM312" s="46"/>
      <c r="AN312" s="46"/>
    </row>
    <row r="313" spans="36:40" x14ac:dyDescent="0.3">
      <c r="AJ313" s="46"/>
      <c r="AK313" s="46"/>
      <c r="AL313" s="46"/>
      <c r="AM313" s="46"/>
      <c r="AN313" s="46"/>
    </row>
    <row r="314" spans="36:40" x14ac:dyDescent="0.3">
      <c r="AJ314" s="46"/>
      <c r="AK314" s="46"/>
      <c r="AL314" s="46"/>
      <c r="AM314" s="46"/>
      <c r="AN314" s="46"/>
    </row>
    <row r="315" spans="36:40" x14ac:dyDescent="0.3">
      <c r="AJ315" s="46"/>
      <c r="AK315" s="46"/>
      <c r="AL315" s="46"/>
      <c r="AM315" s="46"/>
      <c r="AN315" s="46"/>
    </row>
    <row r="316" spans="36:40" x14ac:dyDescent="0.3">
      <c r="AJ316" s="46"/>
      <c r="AK316" s="46"/>
      <c r="AL316" s="46"/>
      <c r="AM316" s="46"/>
      <c r="AN316" s="46"/>
    </row>
    <row r="317" spans="36:40" x14ac:dyDescent="0.3">
      <c r="AJ317" s="46"/>
      <c r="AK317" s="46"/>
      <c r="AL317" s="46"/>
      <c r="AM317" s="46"/>
      <c r="AN317" s="46"/>
    </row>
    <row r="318" spans="36:40" x14ac:dyDescent="0.3">
      <c r="AJ318" s="46"/>
      <c r="AK318" s="46"/>
      <c r="AL318" s="46"/>
      <c r="AM318" s="46"/>
      <c r="AN318" s="46"/>
    </row>
    <row r="319" spans="36:40" x14ac:dyDescent="0.3">
      <c r="AJ319" s="46"/>
      <c r="AK319" s="46"/>
      <c r="AL319" s="46"/>
      <c r="AM319" s="46"/>
      <c r="AN319" s="46"/>
    </row>
    <row r="320" spans="36:40" x14ac:dyDescent="0.3">
      <c r="AJ320" s="46"/>
      <c r="AK320" s="46"/>
      <c r="AL320" s="46"/>
      <c r="AM320" s="46"/>
      <c r="AN320" s="46"/>
    </row>
    <row r="321" spans="36:40" x14ac:dyDescent="0.3">
      <c r="AJ321" s="46"/>
      <c r="AK321" s="46"/>
      <c r="AL321" s="46"/>
      <c r="AM321" s="46"/>
      <c r="AN321" s="46"/>
    </row>
    <row r="322" spans="36:40" x14ac:dyDescent="0.3">
      <c r="AJ322" s="46"/>
      <c r="AK322" s="46"/>
      <c r="AL322" s="46"/>
      <c r="AM322" s="46"/>
      <c r="AN322" s="46"/>
    </row>
    <row r="323" spans="36:40" x14ac:dyDescent="0.3">
      <c r="AJ323" s="46"/>
      <c r="AK323" s="46"/>
      <c r="AL323" s="46"/>
      <c r="AM323" s="46"/>
      <c r="AN323" s="46"/>
    </row>
    <row r="324" spans="36:40" x14ac:dyDescent="0.3">
      <c r="AJ324" s="46"/>
      <c r="AK324" s="46"/>
      <c r="AL324" s="46"/>
      <c r="AM324" s="46"/>
      <c r="AN324" s="46"/>
    </row>
    <row r="325" spans="36:40" x14ac:dyDescent="0.3">
      <c r="AJ325" s="46"/>
      <c r="AK325" s="46"/>
      <c r="AL325" s="46"/>
      <c r="AM325" s="46"/>
      <c r="AN325" s="46"/>
    </row>
    <row r="326" spans="36:40" x14ac:dyDescent="0.3">
      <c r="AJ326" s="46"/>
      <c r="AK326" s="46"/>
      <c r="AL326" s="46"/>
      <c r="AM326" s="46"/>
      <c r="AN326" s="46"/>
    </row>
    <row r="327" spans="36:40" x14ac:dyDescent="0.3">
      <c r="AJ327" s="46"/>
      <c r="AK327" s="46"/>
      <c r="AL327" s="46"/>
      <c r="AM327" s="46"/>
      <c r="AN327" s="46"/>
    </row>
    <row r="328" spans="36:40" x14ac:dyDescent="0.3">
      <c r="AJ328" s="46"/>
      <c r="AK328" s="46"/>
      <c r="AL328" s="46"/>
      <c r="AM328" s="46"/>
      <c r="AN328" s="46"/>
    </row>
    <row r="329" spans="36:40" x14ac:dyDescent="0.3">
      <c r="AJ329" s="46"/>
      <c r="AK329" s="46"/>
      <c r="AL329" s="46"/>
      <c r="AM329" s="46"/>
      <c r="AN329" s="46"/>
    </row>
    <row r="330" spans="36:40" x14ac:dyDescent="0.3">
      <c r="AJ330" s="46"/>
      <c r="AK330" s="46"/>
      <c r="AL330" s="46"/>
      <c r="AM330" s="46"/>
      <c r="AN330" s="46"/>
    </row>
    <row r="331" spans="36:40" x14ac:dyDescent="0.3">
      <c r="AJ331" s="46"/>
      <c r="AK331" s="46"/>
      <c r="AL331" s="46"/>
      <c r="AM331" s="46"/>
      <c r="AN331" s="46"/>
    </row>
    <row r="332" spans="36:40" x14ac:dyDescent="0.3">
      <c r="AJ332" s="46"/>
      <c r="AK332" s="46"/>
      <c r="AL332" s="46"/>
      <c r="AM332" s="46"/>
      <c r="AN332" s="46"/>
    </row>
    <row r="333" spans="36:40" x14ac:dyDescent="0.3">
      <c r="AJ333" s="46"/>
      <c r="AK333" s="46"/>
      <c r="AL333" s="46"/>
      <c r="AM333" s="46"/>
      <c r="AN333" s="46"/>
    </row>
    <row r="334" spans="36:40" x14ac:dyDescent="0.3">
      <c r="AJ334" s="46"/>
      <c r="AK334" s="46"/>
      <c r="AL334" s="46"/>
      <c r="AM334" s="46"/>
      <c r="AN334" s="46"/>
    </row>
    <row r="335" spans="36:40" x14ac:dyDescent="0.3">
      <c r="AJ335" s="46"/>
      <c r="AK335" s="46"/>
      <c r="AL335" s="46"/>
      <c r="AM335" s="46"/>
      <c r="AN335" s="46"/>
    </row>
    <row r="336" spans="36:40" x14ac:dyDescent="0.3">
      <c r="AJ336" s="46"/>
      <c r="AK336" s="46"/>
      <c r="AL336" s="46"/>
      <c r="AM336" s="46"/>
      <c r="AN336" s="46"/>
    </row>
    <row r="337" spans="36:40" x14ac:dyDescent="0.3">
      <c r="AJ337" s="46"/>
      <c r="AK337" s="46"/>
      <c r="AL337" s="46"/>
      <c r="AM337" s="46"/>
      <c r="AN337" s="46"/>
    </row>
    <row r="338" spans="36:40" x14ac:dyDescent="0.3">
      <c r="AJ338" s="46"/>
      <c r="AK338" s="46"/>
      <c r="AL338" s="46"/>
      <c r="AM338" s="46"/>
      <c r="AN338" s="46"/>
    </row>
    <row r="339" spans="36:40" x14ac:dyDescent="0.3">
      <c r="AJ339" s="46"/>
      <c r="AK339" s="46"/>
      <c r="AL339" s="46"/>
      <c r="AM339" s="46"/>
      <c r="AN339" s="46"/>
    </row>
    <row r="340" spans="36:40" x14ac:dyDescent="0.3">
      <c r="AJ340" s="46"/>
      <c r="AK340" s="46"/>
      <c r="AL340" s="46"/>
      <c r="AM340" s="46"/>
      <c r="AN340" s="46"/>
    </row>
    <row r="341" spans="36:40" x14ac:dyDescent="0.3">
      <c r="AJ341" s="46"/>
      <c r="AK341" s="46"/>
      <c r="AL341" s="46"/>
      <c r="AM341" s="46"/>
      <c r="AN341" s="46"/>
    </row>
    <row r="342" spans="36:40" x14ac:dyDescent="0.3">
      <c r="AJ342" s="46"/>
      <c r="AK342" s="46"/>
      <c r="AL342" s="46"/>
      <c r="AM342" s="46"/>
      <c r="AN342" s="46"/>
    </row>
    <row r="343" spans="36:40" x14ac:dyDescent="0.3">
      <c r="AJ343" s="46"/>
      <c r="AK343" s="46"/>
      <c r="AL343" s="46"/>
      <c r="AM343" s="46"/>
      <c r="AN343" s="46"/>
    </row>
    <row r="344" spans="36:40" x14ac:dyDescent="0.3">
      <c r="AJ344" s="46"/>
      <c r="AK344" s="46"/>
      <c r="AL344" s="46"/>
      <c r="AM344" s="46"/>
      <c r="AN344" s="46"/>
    </row>
    <row r="345" spans="36:40" x14ac:dyDescent="0.3">
      <c r="AJ345" s="46"/>
      <c r="AK345" s="46"/>
      <c r="AL345" s="46"/>
      <c r="AM345" s="46"/>
      <c r="AN345" s="46"/>
    </row>
    <row r="346" spans="36:40" x14ac:dyDescent="0.3">
      <c r="AJ346" s="46"/>
      <c r="AK346" s="46"/>
      <c r="AL346" s="46"/>
      <c r="AM346" s="46"/>
      <c r="AN346" s="46"/>
    </row>
    <row r="347" spans="36:40" x14ac:dyDescent="0.3">
      <c r="AJ347" s="46"/>
      <c r="AK347" s="46"/>
      <c r="AL347" s="46"/>
      <c r="AM347" s="46"/>
      <c r="AN347" s="46"/>
    </row>
    <row r="348" spans="36:40" x14ac:dyDescent="0.3">
      <c r="AJ348" s="46"/>
      <c r="AK348" s="46"/>
      <c r="AL348" s="46"/>
      <c r="AM348" s="46"/>
      <c r="AN348" s="46"/>
    </row>
    <row r="349" spans="36:40" x14ac:dyDescent="0.3">
      <c r="AJ349" s="46"/>
      <c r="AK349" s="46"/>
      <c r="AL349" s="46"/>
      <c r="AM349" s="46"/>
      <c r="AN349" s="46"/>
    </row>
    <row r="350" spans="36:40" x14ac:dyDescent="0.3">
      <c r="AJ350" s="46"/>
      <c r="AK350" s="46"/>
      <c r="AL350" s="46"/>
      <c r="AM350" s="46"/>
      <c r="AN350" s="46"/>
    </row>
    <row r="351" spans="36:40" x14ac:dyDescent="0.3">
      <c r="AJ351" s="46"/>
      <c r="AK351" s="46"/>
      <c r="AL351" s="46"/>
      <c r="AM351" s="46"/>
      <c r="AN351" s="46"/>
    </row>
    <row r="352" spans="36:40" x14ac:dyDescent="0.3">
      <c r="AJ352" s="46"/>
      <c r="AK352" s="46"/>
      <c r="AL352" s="46"/>
      <c r="AM352" s="46"/>
      <c r="AN352" s="46"/>
    </row>
    <row r="353" spans="36:40" x14ac:dyDescent="0.3">
      <c r="AJ353" s="46"/>
      <c r="AK353" s="46"/>
      <c r="AL353" s="46"/>
      <c r="AM353" s="46"/>
      <c r="AN353" s="46"/>
    </row>
    <row r="354" spans="36:40" x14ac:dyDescent="0.3">
      <c r="AJ354" s="46"/>
      <c r="AK354" s="46"/>
      <c r="AL354" s="46"/>
      <c r="AM354" s="46"/>
      <c r="AN354" s="46"/>
    </row>
    <row r="355" spans="36:40" x14ac:dyDescent="0.3">
      <c r="AJ355" s="46"/>
      <c r="AK355" s="46"/>
      <c r="AL355" s="46"/>
      <c r="AM355" s="46"/>
      <c r="AN355" s="46"/>
    </row>
    <row r="356" spans="36:40" x14ac:dyDescent="0.3">
      <c r="AJ356" s="46"/>
      <c r="AK356" s="46"/>
      <c r="AL356" s="46"/>
      <c r="AM356" s="46"/>
      <c r="AN356" s="46"/>
    </row>
    <row r="357" spans="36:40" x14ac:dyDescent="0.3">
      <c r="AJ357" s="46"/>
      <c r="AK357" s="46"/>
      <c r="AL357" s="46"/>
      <c r="AM357" s="46"/>
      <c r="AN357" s="46"/>
    </row>
    <row r="358" spans="36:40" x14ac:dyDescent="0.3">
      <c r="AJ358" s="46"/>
      <c r="AK358" s="46"/>
      <c r="AL358" s="46"/>
      <c r="AM358" s="46"/>
      <c r="AN358" s="46"/>
    </row>
    <row r="359" spans="36:40" x14ac:dyDescent="0.3">
      <c r="AJ359" s="46"/>
      <c r="AK359" s="46"/>
      <c r="AL359" s="46"/>
      <c r="AM359" s="46"/>
      <c r="AN359" s="46"/>
    </row>
    <row r="360" spans="36:40" x14ac:dyDescent="0.3">
      <c r="AJ360" s="46"/>
      <c r="AK360" s="46"/>
      <c r="AL360" s="46"/>
      <c r="AM360" s="46"/>
      <c r="AN360" s="46"/>
    </row>
    <row r="361" spans="36:40" x14ac:dyDescent="0.3">
      <c r="AJ361" s="46"/>
      <c r="AK361" s="46"/>
      <c r="AL361" s="46"/>
      <c r="AM361" s="46"/>
      <c r="AN361" s="46"/>
    </row>
    <row r="362" spans="36:40" x14ac:dyDescent="0.3">
      <c r="AJ362" s="46"/>
      <c r="AK362" s="46"/>
      <c r="AL362" s="46"/>
      <c r="AM362" s="46"/>
      <c r="AN362" s="46"/>
    </row>
    <row r="363" spans="36:40" x14ac:dyDescent="0.3">
      <c r="AJ363" s="46"/>
      <c r="AK363" s="46"/>
      <c r="AL363" s="46"/>
      <c r="AM363" s="46"/>
      <c r="AN363" s="46"/>
    </row>
    <row r="364" spans="36:40" x14ac:dyDescent="0.3">
      <c r="AJ364" s="46"/>
      <c r="AK364" s="46"/>
      <c r="AL364" s="46"/>
      <c r="AM364" s="46"/>
      <c r="AN364" s="46"/>
    </row>
    <row r="365" spans="36:40" x14ac:dyDescent="0.3">
      <c r="AJ365" s="46"/>
      <c r="AK365" s="46"/>
      <c r="AL365" s="46"/>
      <c r="AM365" s="46"/>
      <c r="AN365" s="46"/>
    </row>
    <row r="366" spans="36:40" x14ac:dyDescent="0.3">
      <c r="AJ366" s="46"/>
      <c r="AK366" s="46"/>
      <c r="AL366" s="46"/>
      <c r="AM366" s="46"/>
      <c r="AN366" s="46"/>
    </row>
    <row r="367" spans="36:40" x14ac:dyDescent="0.3">
      <c r="AJ367" s="46"/>
      <c r="AK367" s="46"/>
      <c r="AL367" s="46"/>
      <c r="AM367" s="46"/>
      <c r="AN367" s="46"/>
    </row>
    <row r="368" spans="36:40" x14ac:dyDescent="0.3">
      <c r="AJ368" s="46"/>
      <c r="AK368" s="46"/>
      <c r="AL368" s="46"/>
      <c r="AM368" s="46"/>
      <c r="AN368" s="46"/>
    </row>
    <row r="369" spans="36:40" x14ac:dyDescent="0.3">
      <c r="AJ369" s="46"/>
      <c r="AK369" s="46"/>
      <c r="AL369" s="46"/>
      <c r="AM369" s="46"/>
      <c r="AN369" s="46"/>
    </row>
    <row r="370" spans="36:40" x14ac:dyDescent="0.3">
      <c r="AJ370" s="46"/>
      <c r="AK370" s="46"/>
      <c r="AL370" s="46"/>
      <c r="AM370" s="46"/>
      <c r="AN370" s="46"/>
    </row>
    <row r="371" spans="36:40" x14ac:dyDescent="0.3">
      <c r="AJ371" s="46"/>
      <c r="AK371" s="46"/>
      <c r="AL371" s="46"/>
      <c r="AM371" s="46"/>
      <c r="AN371" s="46"/>
    </row>
    <row r="372" spans="36:40" x14ac:dyDescent="0.3">
      <c r="AJ372" s="46"/>
      <c r="AK372" s="46"/>
      <c r="AL372" s="46"/>
      <c r="AM372" s="46"/>
      <c r="AN372" s="46"/>
    </row>
    <row r="373" spans="36:40" x14ac:dyDescent="0.3">
      <c r="AJ373" s="46"/>
      <c r="AK373" s="46"/>
      <c r="AL373" s="46"/>
      <c r="AM373" s="46"/>
      <c r="AN373" s="46"/>
    </row>
    <row r="374" spans="36:40" x14ac:dyDescent="0.3">
      <c r="AJ374" s="46"/>
      <c r="AK374" s="46"/>
      <c r="AL374" s="46"/>
      <c r="AM374" s="46"/>
      <c r="AN374" s="46"/>
    </row>
    <row r="375" spans="36:40" x14ac:dyDescent="0.3">
      <c r="AJ375" s="46"/>
      <c r="AK375" s="46"/>
      <c r="AL375" s="46"/>
      <c r="AM375" s="46"/>
      <c r="AN375" s="46"/>
    </row>
    <row r="376" spans="36:40" x14ac:dyDescent="0.3">
      <c r="AJ376" s="46"/>
      <c r="AK376" s="46"/>
      <c r="AL376" s="46"/>
      <c r="AM376" s="46"/>
      <c r="AN376" s="46"/>
    </row>
    <row r="377" spans="36:40" x14ac:dyDescent="0.3">
      <c r="AJ377" s="46"/>
      <c r="AK377" s="46"/>
      <c r="AL377" s="46"/>
      <c r="AM377" s="46"/>
      <c r="AN377" s="46"/>
    </row>
    <row r="378" spans="36:40" x14ac:dyDescent="0.3">
      <c r="AJ378" s="46"/>
      <c r="AK378" s="46"/>
      <c r="AL378" s="46"/>
      <c r="AM378" s="46"/>
      <c r="AN378" s="46"/>
    </row>
    <row r="379" spans="36:40" x14ac:dyDescent="0.3">
      <c r="AJ379" s="46"/>
      <c r="AK379" s="46"/>
      <c r="AL379" s="46"/>
      <c r="AM379" s="46"/>
      <c r="AN379" s="46"/>
    </row>
    <row r="380" spans="36:40" x14ac:dyDescent="0.3">
      <c r="AJ380" s="46"/>
      <c r="AK380" s="46"/>
      <c r="AL380" s="46"/>
      <c r="AM380" s="46"/>
      <c r="AN380" s="46"/>
    </row>
    <row r="381" spans="36:40" x14ac:dyDescent="0.3">
      <c r="AJ381" s="46"/>
      <c r="AK381" s="46"/>
      <c r="AL381" s="46"/>
      <c r="AM381" s="46"/>
      <c r="AN381" s="46"/>
    </row>
    <row r="382" spans="36:40" x14ac:dyDescent="0.3">
      <c r="AJ382" s="46"/>
      <c r="AK382" s="46"/>
      <c r="AL382" s="46"/>
      <c r="AM382" s="46"/>
      <c r="AN382" s="46"/>
    </row>
    <row r="383" spans="36:40" x14ac:dyDescent="0.3">
      <c r="AJ383" s="46"/>
      <c r="AK383" s="46"/>
      <c r="AL383" s="46"/>
      <c r="AM383" s="46"/>
      <c r="AN383" s="46"/>
    </row>
    <row r="384" spans="36:40" x14ac:dyDescent="0.3">
      <c r="AJ384" s="46"/>
      <c r="AK384" s="46"/>
      <c r="AL384" s="46"/>
      <c r="AM384" s="46"/>
      <c r="AN384" s="46"/>
    </row>
    <row r="385" spans="36:40" x14ac:dyDescent="0.3">
      <c r="AJ385" s="46"/>
      <c r="AK385" s="46"/>
      <c r="AL385" s="46"/>
      <c r="AM385" s="46"/>
      <c r="AN385" s="46"/>
    </row>
    <row r="386" spans="36:40" x14ac:dyDescent="0.3">
      <c r="AJ386" s="46"/>
      <c r="AK386" s="46"/>
      <c r="AL386" s="46"/>
      <c r="AM386" s="46"/>
      <c r="AN386" s="46"/>
    </row>
    <row r="387" spans="36:40" x14ac:dyDescent="0.3">
      <c r="AJ387" s="46"/>
      <c r="AK387" s="46"/>
      <c r="AL387" s="46"/>
      <c r="AM387" s="46"/>
      <c r="AN387" s="46"/>
    </row>
    <row r="388" spans="36:40" x14ac:dyDescent="0.3">
      <c r="AJ388" s="46"/>
      <c r="AK388" s="46"/>
      <c r="AL388" s="46"/>
      <c r="AM388" s="46"/>
      <c r="AN388" s="46"/>
    </row>
    <row r="389" spans="36:40" x14ac:dyDescent="0.3">
      <c r="AJ389" s="46"/>
      <c r="AK389" s="46"/>
      <c r="AL389" s="46"/>
      <c r="AM389" s="46"/>
      <c r="AN389" s="46"/>
    </row>
    <row r="390" spans="36:40" x14ac:dyDescent="0.3">
      <c r="AJ390" s="46"/>
      <c r="AK390" s="46"/>
      <c r="AL390" s="46"/>
      <c r="AM390" s="46"/>
      <c r="AN390" s="46"/>
    </row>
    <row r="391" spans="36:40" x14ac:dyDescent="0.3">
      <c r="AJ391" s="46"/>
      <c r="AK391" s="46"/>
      <c r="AL391" s="46"/>
      <c r="AM391" s="46"/>
      <c r="AN391" s="46"/>
    </row>
    <row r="392" spans="36:40" x14ac:dyDescent="0.3">
      <c r="AJ392" s="46"/>
      <c r="AK392" s="46"/>
      <c r="AL392" s="46"/>
      <c r="AM392" s="46"/>
      <c r="AN392" s="46"/>
    </row>
    <row r="393" spans="36:40" x14ac:dyDescent="0.3">
      <c r="AJ393" s="46"/>
      <c r="AK393" s="46"/>
      <c r="AL393" s="46"/>
      <c r="AM393" s="46"/>
      <c r="AN393" s="46"/>
    </row>
    <row r="394" spans="36:40" x14ac:dyDescent="0.3">
      <c r="AJ394" s="46"/>
      <c r="AK394" s="46"/>
      <c r="AL394" s="46"/>
      <c r="AM394" s="46"/>
      <c r="AN394" s="46"/>
    </row>
    <row r="395" spans="36:40" x14ac:dyDescent="0.3">
      <c r="AJ395" s="46"/>
      <c r="AK395" s="46"/>
      <c r="AL395" s="46"/>
      <c r="AM395" s="46"/>
      <c r="AN395" s="46"/>
    </row>
    <row r="396" spans="36:40" x14ac:dyDescent="0.3">
      <c r="AJ396" s="46"/>
      <c r="AK396" s="46"/>
      <c r="AL396" s="46"/>
      <c r="AM396" s="46"/>
      <c r="AN396" s="46"/>
    </row>
    <row r="397" spans="36:40" x14ac:dyDescent="0.3">
      <c r="AJ397" s="46"/>
      <c r="AK397" s="46"/>
      <c r="AL397" s="46"/>
      <c r="AM397" s="46"/>
      <c r="AN397" s="46"/>
    </row>
    <row r="398" spans="36:40" x14ac:dyDescent="0.3">
      <c r="AJ398" s="46"/>
      <c r="AK398" s="46"/>
      <c r="AL398" s="46"/>
      <c r="AM398" s="46"/>
      <c r="AN398" s="46"/>
    </row>
    <row r="399" spans="36:40" x14ac:dyDescent="0.3">
      <c r="AJ399" s="46"/>
      <c r="AK399" s="46"/>
      <c r="AL399" s="46"/>
      <c r="AM399" s="46"/>
      <c r="AN399" s="46"/>
    </row>
    <row r="400" spans="36:40" x14ac:dyDescent="0.3">
      <c r="AJ400" s="46"/>
      <c r="AK400" s="46"/>
      <c r="AL400" s="46"/>
      <c r="AM400" s="46"/>
      <c r="AN400" s="46"/>
    </row>
    <row r="401" spans="36:40" x14ac:dyDescent="0.3">
      <c r="AJ401" s="46"/>
      <c r="AK401" s="46"/>
      <c r="AL401" s="46"/>
      <c r="AM401" s="46"/>
      <c r="AN401" s="46"/>
    </row>
    <row r="402" spans="36:40" x14ac:dyDescent="0.3">
      <c r="AJ402" s="46"/>
      <c r="AK402" s="46"/>
      <c r="AL402" s="46"/>
      <c r="AM402" s="46"/>
      <c r="AN402" s="46"/>
    </row>
    <row r="403" spans="36:40" x14ac:dyDescent="0.3">
      <c r="AJ403" s="46"/>
      <c r="AK403" s="46"/>
      <c r="AL403" s="46"/>
      <c r="AM403" s="46"/>
      <c r="AN403" s="46"/>
    </row>
    <row r="404" spans="36:40" x14ac:dyDescent="0.3">
      <c r="AJ404" s="46"/>
      <c r="AK404" s="46"/>
      <c r="AL404" s="46"/>
      <c r="AM404" s="46"/>
      <c r="AN404" s="46"/>
    </row>
    <row r="405" spans="36:40" x14ac:dyDescent="0.3">
      <c r="AJ405" s="46"/>
      <c r="AK405" s="46"/>
      <c r="AL405" s="46"/>
      <c r="AM405" s="46"/>
      <c r="AN405" s="46"/>
    </row>
    <row r="406" spans="36:40" x14ac:dyDescent="0.3">
      <c r="AJ406" s="46"/>
      <c r="AK406" s="46"/>
      <c r="AL406" s="46"/>
      <c r="AM406" s="46"/>
      <c r="AN406" s="46"/>
    </row>
    <row r="407" spans="36:40" x14ac:dyDescent="0.3">
      <c r="AJ407" s="46"/>
      <c r="AK407" s="46"/>
      <c r="AL407" s="46"/>
      <c r="AM407" s="46"/>
      <c r="AN407" s="46"/>
    </row>
    <row r="408" spans="36:40" x14ac:dyDescent="0.3">
      <c r="AJ408" s="46"/>
      <c r="AK408" s="46"/>
      <c r="AL408" s="46"/>
      <c r="AM408" s="46"/>
      <c r="AN408" s="46"/>
    </row>
    <row r="409" spans="36:40" x14ac:dyDescent="0.3">
      <c r="AJ409" s="46"/>
      <c r="AK409" s="46"/>
      <c r="AL409" s="46"/>
      <c r="AM409" s="46"/>
      <c r="AN409" s="46"/>
    </row>
    <row r="410" spans="36:40" x14ac:dyDescent="0.3">
      <c r="AJ410" s="46"/>
      <c r="AK410" s="46"/>
      <c r="AL410" s="46"/>
      <c r="AM410" s="46"/>
      <c r="AN410" s="46"/>
    </row>
    <row r="411" spans="36:40" x14ac:dyDescent="0.3">
      <c r="AJ411" s="46"/>
      <c r="AK411" s="46"/>
      <c r="AL411" s="46"/>
      <c r="AM411" s="46"/>
      <c r="AN411" s="46"/>
    </row>
    <row r="412" spans="36:40" x14ac:dyDescent="0.3">
      <c r="AJ412" s="46"/>
      <c r="AK412" s="46"/>
      <c r="AL412" s="46"/>
      <c r="AM412" s="46"/>
      <c r="AN412" s="46"/>
    </row>
    <row r="413" spans="36:40" x14ac:dyDescent="0.3">
      <c r="AJ413" s="46"/>
      <c r="AK413" s="46"/>
      <c r="AL413" s="46"/>
      <c r="AM413" s="46"/>
      <c r="AN413" s="46"/>
    </row>
    <row r="414" spans="36:40" x14ac:dyDescent="0.3">
      <c r="AJ414" s="46"/>
      <c r="AK414" s="46"/>
      <c r="AL414" s="46"/>
      <c r="AM414" s="46"/>
      <c r="AN414" s="46"/>
    </row>
    <row r="415" spans="36:40" x14ac:dyDescent="0.3">
      <c r="AJ415" s="46"/>
      <c r="AK415" s="46"/>
      <c r="AL415" s="46"/>
      <c r="AM415" s="46"/>
      <c r="AN415" s="46"/>
    </row>
    <row r="416" spans="36:40" x14ac:dyDescent="0.3">
      <c r="AJ416" s="46"/>
      <c r="AK416" s="46"/>
      <c r="AL416" s="46"/>
      <c r="AM416" s="46"/>
      <c r="AN416" s="46"/>
    </row>
    <row r="417" spans="36:40" x14ac:dyDescent="0.3">
      <c r="AJ417" s="46"/>
      <c r="AK417" s="46"/>
      <c r="AL417" s="46"/>
      <c r="AM417" s="46"/>
      <c r="AN417" s="46"/>
    </row>
    <row r="418" spans="36:40" x14ac:dyDescent="0.3">
      <c r="AJ418" s="46"/>
      <c r="AK418" s="46"/>
      <c r="AL418" s="46"/>
      <c r="AM418" s="46"/>
      <c r="AN418" s="46"/>
    </row>
    <row r="419" spans="36:40" x14ac:dyDescent="0.3">
      <c r="AJ419" s="46"/>
      <c r="AK419" s="46"/>
      <c r="AL419" s="46"/>
      <c r="AM419" s="46"/>
      <c r="AN419" s="46"/>
    </row>
    <row r="420" spans="36:40" x14ac:dyDescent="0.3">
      <c r="AJ420" s="46"/>
      <c r="AK420" s="46"/>
      <c r="AL420" s="46"/>
      <c r="AM420" s="46"/>
      <c r="AN420" s="46"/>
    </row>
    <row r="421" spans="36:40" x14ac:dyDescent="0.3">
      <c r="AJ421" s="46"/>
      <c r="AK421" s="46"/>
      <c r="AL421" s="46"/>
      <c r="AM421" s="46"/>
      <c r="AN421" s="46"/>
    </row>
    <row r="422" spans="36:40" x14ac:dyDescent="0.3">
      <c r="AJ422" s="46"/>
      <c r="AK422" s="46"/>
      <c r="AL422" s="46"/>
      <c r="AM422" s="46"/>
      <c r="AN422" s="46"/>
    </row>
    <row r="423" spans="36:40" x14ac:dyDescent="0.3">
      <c r="AJ423" s="46"/>
      <c r="AK423" s="46"/>
      <c r="AL423" s="46"/>
      <c r="AM423" s="46"/>
      <c r="AN423" s="46"/>
    </row>
    <row r="424" spans="36:40" x14ac:dyDescent="0.3">
      <c r="AJ424" s="46"/>
      <c r="AK424" s="46"/>
      <c r="AL424" s="46"/>
      <c r="AM424" s="46"/>
      <c r="AN424" s="46"/>
    </row>
    <row r="425" spans="36:40" x14ac:dyDescent="0.3">
      <c r="AJ425" s="46"/>
      <c r="AK425" s="46"/>
      <c r="AL425" s="46"/>
      <c r="AM425" s="46"/>
      <c r="AN425" s="46"/>
    </row>
    <row r="426" spans="36:40" x14ac:dyDescent="0.3">
      <c r="AJ426" s="46"/>
      <c r="AK426" s="46"/>
      <c r="AL426" s="46"/>
      <c r="AM426" s="46"/>
      <c r="AN426" s="46"/>
    </row>
    <row r="427" spans="36:40" x14ac:dyDescent="0.3">
      <c r="AJ427" s="46"/>
      <c r="AK427" s="46"/>
      <c r="AL427" s="46"/>
      <c r="AM427" s="46"/>
      <c r="AN427" s="46"/>
    </row>
    <row r="428" spans="36:40" x14ac:dyDescent="0.3">
      <c r="AJ428" s="46"/>
      <c r="AK428" s="46"/>
      <c r="AL428" s="46"/>
      <c r="AM428" s="46"/>
      <c r="AN428" s="46"/>
    </row>
    <row r="429" spans="36:40" x14ac:dyDescent="0.3">
      <c r="AJ429" s="46"/>
      <c r="AK429" s="46"/>
      <c r="AL429" s="46"/>
      <c r="AM429" s="46"/>
      <c r="AN429" s="46"/>
    </row>
    <row r="430" spans="36:40" x14ac:dyDescent="0.3">
      <c r="AJ430" s="46"/>
      <c r="AK430" s="46"/>
      <c r="AL430" s="46"/>
      <c r="AM430" s="46"/>
      <c r="AN430" s="46"/>
    </row>
    <row r="431" spans="36:40" x14ac:dyDescent="0.3">
      <c r="AJ431" s="46"/>
      <c r="AK431" s="46"/>
      <c r="AL431" s="46"/>
      <c r="AM431" s="46"/>
      <c r="AN431" s="46"/>
    </row>
    <row r="432" spans="36:40" x14ac:dyDescent="0.3">
      <c r="AJ432" s="46"/>
      <c r="AK432" s="46"/>
      <c r="AL432" s="46"/>
      <c r="AM432" s="46"/>
      <c r="AN432" s="46"/>
    </row>
    <row r="433" spans="36:40" x14ac:dyDescent="0.3">
      <c r="AJ433" s="46"/>
      <c r="AK433" s="46"/>
      <c r="AL433" s="46"/>
      <c r="AM433" s="46"/>
      <c r="AN433" s="46"/>
    </row>
    <row r="434" spans="36:40" x14ac:dyDescent="0.3">
      <c r="AJ434" s="46"/>
      <c r="AK434" s="46"/>
      <c r="AL434" s="46"/>
      <c r="AM434" s="46"/>
      <c r="AN434" s="46"/>
    </row>
    <row r="435" spans="36:40" x14ac:dyDescent="0.3">
      <c r="AJ435" s="46"/>
      <c r="AK435" s="46"/>
      <c r="AL435" s="46"/>
      <c r="AM435" s="46"/>
      <c r="AN435" s="46"/>
    </row>
    <row r="436" spans="36:40" x14ac:dyDescent="0.3">
      <c r="AJ436" s="46"/>
      <c r="AK436" s="46"/>
      <c r="AL436" s="46"/>
      <c r="AM436" s="46"/>
      <c r="AN436" s="46"/>
    </row>
    <row r="437" spans="36:40" x14ac:dyDescent="0.3">
      <c r="AJ437" s="46"/>
      <c r="AK437" s="46"/>
      <c r="AL437" s="46"/>
      <c r="AM437" s="46"/>
      <c r="AN437" s="46"/>
    </row>
    <row r="438" spans="36:40" x14ac:dyDescent="0.3">
      <c r="AJ438" s="46"/>
      <c r="AK438" s="46"/>
      <c r="AL438" s="46"/>
      <c r="AM438" s="46"/>
      <c r="AN438" s="46"/>
    </row>
    <row r="439" spans="36:40" x14ac:dyDescent="0.3">
      <c r="AJ439" s="46"/>
      <c r="AK439" s="46"/>
      <c r="AL439" s="46"/>
      <c r="AM439" s="46"/>
      <c r="AN439" s="46"/>
    </row>
    <row r="440" spans="36:40" x14ac:dyDescent="0.3">
      <c r="AJ440" s="46"/>
      <c r="AK440" s="46"/>
      <c r="AL440" s="46"/>
      <c r="AM440" s="46"/>
      <c r="AN440" s="46"/>
    </row>
    <row r="441" spans="36:40" x14ac:dyDescent="0.3">
      <c r="AJ441" s="46"/>
      <c r="AK441" s="46"/>
      <c r="AL441" s="46"/>
      <c r="AM441" s="46"/>
      <c r="AN441" s="46"/>
    </row>
    <row r="442" spans="36:40" x14ac:dyDescent="0.3">
      <c r="AJ442" s="46"/>
      <c r="AK442" s="46"/>
      <c r="AL442" s="46"/>
      <c r="AM442" s="46"/>
      <c r="AN442" s="46"/>
    </row>
    <row r="443" spans="36:40" x14ac:dyDescent="0.3">
      <c r="AJ443" s="46"/>
      <c r="AK443" s="46"/>
      <c r="AL443" s="46"/>
      <c r="AM443" s="46"/>
      <c r="AN443" s="46"/>
    </row>
    <row r="444" spans="36:40" x14ac:dyDescent="0.3">
      <c r="AJ444" s="46"/>
      <c r="AK444" s="46"/>
      <c r="AL444" s="46"/>
      <c r="AM444" s="46"/>
      <c r="AN444" s="46"/>
    </row>
    <row r="445" spans="36:40" x14ac:dyDescent="0.3">
      <c r="AJ445" s="46"/>
      <c r="AK445" s="46"/>
      <c r="AL445" s="46"/>
      <c r="AM445" s="46"/>
      <c r="AN445" s="46"/>
    </row>
    <row r="446" spans="36:40" x14ac:dyDescent="0.3">
      <c r="AJ446" s="46"/>
      <c r="AK446" s="46"/>
      <c r="AL446" s="46"/>
      <c r="AM446" s="46"/>
      <c r="AN446" s="46"/>
    </row>
    <row r="447" spans="36:40" x14ac:dyDescent="0.3">
      <c r="AJ447" s="46"/>
      <c r="AK447" s="46"/>
      <c r="AL447" s="46"/>
      <c r="AM447" s="46"/>
      <c r="AN447" s="46"/>
    </row>
    <row r="448" spans="36:40" x14ac:dyDescent="0.3">
      <c r="AJ448" s="46"/>
      <c r="AK448" s="46"/>
      <c r="AL448" s="46"/>
      <c r="AM448" s="46"/>
      <c r="AN448" s="46"/>
    </row>
    <row r="449" spans="36:40" x14ac:dyDescent="0.3">
      <c r="AJ449" s="46"/>
      <c r="AK449" s="46"/>
      <c r="AL449" s="46"/>
      <c r="AM449" s="46"/>
      <c r="AN449" s="46"/>
    </row>
    <row r="450" spans="36:40" x14ac:dyDescent="0.3">
      <c r="AJ450" s="46"/>
      <c r="AK450" s="46"/>
      <c r="AL450" s="46"/>
      <c r="AM450" s="46"/>
      <c r="AN450" s="46"/>
    </row>
    <row r="451" spans="36:40" x14ac:dyDescent="0.3">
      <c r="AJ451" s="46"/>
      <c r="AK451" s="46"/>
      <c r="AL451" s="46"/>
      <c r="AM451" s="46"/>
      <c r="AN451" s="46"/>
    </row>
    <row r="452" spans="36:40" x14ac:dyDescent="0.3">
      <c r="AJ452" s="46"/>
      <c r="AK452" s="46"/>
      <c r="AL452" s="46"/>
      <c r="AM452" s="46"/>
      <c r="AN452" s="46"/>
    </row>
    <row r="453" spans="36:40" x14ac:dyDescent="0.3">
      <c r="AJ453" s="46"/>
      <c r="AK453" s="46"/>
      <c r="AL453" s="46"/>
      <c r="AM453" s="46"/>
      <c r="AN453" s="46"/>
    </row>
    <row r="454" spans="36:40" x14ac:dyDescent="0.3">
      <c r="AJ454" s="46"/>
      <c r="AK454" s="46"/>
      <c r="AL454" s="46"/>
      <c r="AM454" s="46"/>
      <c r="AN454" s="46"/>
    </row>
    <row r="455" spans="36:40" x14ac:dyDescent="0.3">
      <c r="AJ455" s="46"/>
      <c r="AK455" s="46"/>
      <c r="AL455" s="46"/>
      <c r="AM455" s="46"/>
      <c r="AN455" s="46"/>
    </row>
    <row r="456" spans="36:40" x14ac:dyDescent="0.3">
      <c r="AJ456" s="46"/>
      <c r="AK456" s="46"/>
      <c r="AL456" s="46"/>
      <c r="AM456" s="46"/>
      <c r="AN456" s="46"/>
    </row>
    <row r="457" spans="36:40" x14ac:dyDescent="0.3">
      <c r="AJ457" s="46"/>
      <c r="AK457" s="46"/>
      <c r="AL457" s="46"/>
      <c r="AM457" s="46"/>
      <c r="AN457" s="46"/>
    </row>
    <row r="458" spans="36:40" x14ac:dyDescent="0.3">
      <c r="AJ458" s="46"/>
      <c r="AK458" s="46"/>
      <c r="AL458" s="46"/>
      <c r="AM458" s="46"/>
      <c r="AN458" s="46"/>
    </row>
    <row r="459" spans="36:40" x14ac:dyDescent="0.3">
      <c r="AJ459" s="46"/>
      <c r="AK459" s="46"/>
      <c r="AL459" s="46"/>
      <c r="AM459" s="46"/>
      <c r="AN459" s="46"/>
    </row>
    <row r="460" spans="36:40" x14ac:dyDescent="0.3">
      <c r="AJ460" s="46"/>
      <c r="AK460" s="46"/>
      <c r="AL460" s="46"/>
      <c r="AM460" s="46"/>
      <c r="AN460" s="46"/>
    </row>
    <row r="461" spans="36:40" x14ac:dyDescent="0.3">
      <c r="AJ461" s="46"/>
      <c r="AK461" s="46"/>
      <c r="AL461" s="46"/>
      <c r="AM461" s="46"/>
      <c r="AN461" s="46"/>
    </row>
    <row r="462" spans="36:40" x14ac:dyDescent="0.3">
      <c r="AJ462" s="46"/>
      <c r="AK462" s="46"/>
      <c r="AL462" s="46"/>
      <c r="AM462" s="46"/>
      <c r="AN462" s="46"/>
    </row>
    <row r="463" spans="36:40" x14ac:dyDescent="0.3">
      <c r="AJ463" s="46"/>
      <c r="AK463" s="46"/>
      <c r="AL463" s="46"/>
      <c r="AM463" s="46"/>
      <c r="AN463" s="46"/>
    </row>
    <row r="464" spans="36:40" x14ac:dyDescent="0.3">
      <c r="AJ464" s="46"/>
      <c r="AK464" s="46"/>
      <c r="AL464" s="46"/>
      <c r="AM464" s="46"/>
      <c r="AN464" s="46"/>
    </row>
    <row r="465" spans="36:40" x14ac:dyDescent="0.3">
      <c r="AJ465" s="46"/>
      <c r="AK465" s="46"/>
      <c r="AL465" s="46"/>
      <c r="AM465" s="46"/>
      <c r="AN465" s="46"/>
    </row>
    <row r="466" spans="36:40" x14ac:dyDescent="0.3">
      <c r="AJ466" s="46"/>
      <c r="AK466" s="46"/>
      <c r="AL466" s="46"/>
      <c r="AM466" s="46"/>
      <c r="AN466" s="46"/>
    </row>
    <row r="467" spans="36:40" x14ac:dyDescent="0.3">
      <c r="AJ467" s="46"/>
      <c r="AK467" s="46"/>
      <c r="AL467" s="46"/>
      <c r="AM467" s="46"/>
      <c r="AN467" s="46"/>
    </row>
    <row r="468" spans="36:40" x14ac:dyDescent="0.3">
      <c r="AJ468" s="46"/>
      <c r="AK468" s="46"/>
      <c r="AL468" s="46"/>
      <c r="AM468" s="46"/>
      <c r="AN468" s="46"/>
    </row>
    <row r="469" spans="36:40" x14ac:dyDescent="0.3">
      <c r="AJ469" s="46"/>
      <c r="AK469" s="46"/>
      <c r="AL469" s="46"/>
      <c r="AM469" s="46"/>
      <c r="AN469" s="46"/>
    </row>
    <row r="470" spans="36:40" x14ac:dyDescent="0.3">
      <c r="AJ470" s="46"/>
      <c r="AK470" s="46"/>
      <c r="AL470" s="46"/>
      <c r="AM470" s="46"/>
      <c r="AN470" s="46"/>
    </row>
    <row r="471" spans="36:40" x14ac:dyDescent="0.3">
      <c r="AJ471" s="46"/>
      <c r="AK471" s="46"/>
      <c r="AL471" s="46"/>
      <c r="AM471" s="46"/>
      <c r="AN471" s="46"/>
    </row>
    <row r="472" spans="36:40" x14ac:dyDescent="0.3">
      <c r="AJ472" s="46"/>
      <c r="AK472" s="46"/>
      <c r="AL472" s="46"/>
      <c r="AM472" s="46"/>
      <c r="AN472" s="46"/>
    </row>
    <row r="473" spans="36:40" x14ac:dyDescent="0.3">
      <c r="AJ473" s="46"/>
      <c r="AK473" s="46"/>
      <c r="AL473" s="46"/>
      <c r="AM473" s="46"/>
      <c r="AN473" s="46"/>
    </row>
    <row r="474" spans="36:40" x14ac:dyDescent="0.3">
      <c r="AJ474" s="46"/>
      <c r="AK474" s="46"/>
      <c r="AL474" s="46"/>
      <c r="AM474" s="46"/>
      <c r="AN474" s="46"/>
    </row>
    <row r="475" spans="36:40" x14ac:dyDescent="0.3">
      <c r="AJ475" s="46"/>
      <c r="AK475" s="46"/>
      <c r="AL475" s="46"/>
      <c r="AM475" s="46"/>
      <c r="AN475" s="46"/>
    </row>
    <row r="476" spans="36:40" x14ac:dyDescent="0.3">
      <c r="AJ476" s="46"/>
      <c r="AK476" s="46"/>
      <c r="AL476" s="46"/>
      <c r="AM476" s="46"/>
      <c r="AN476" s="46"/>
    </row>
    <row r="477" spans="36:40" x14ac:dyDescent="0.3">
      <c r="AJ477" s="46"/>
      <c r="AK477" s="46"/>
      <c r="AL477" s="46"/>
      <c r="AM477" s="46"/>
      <c r="AN477" s="46"/>
    </row>
    <row r="478" spans="36:40" x14ac:dyDescent="0.3">
      <c r="AJ478" s="46"/>
      <c r="AK478" s="46"/>
      <c r="AL478" s="46"/>
      <c r="AM478" s="46"/>
      <c r="AN478" s="46"/>
    </row>
    <row r="479" spans="36:40" x14ac:dyDescent="0.3">
      <c r="AJ479" s="46"/>
      <c r="AK479" s="46"/>
      <c r="AL479" s="46"/>
      <c r="AM479" s="46"/>
      <c r="AN479" s="46"/>
    </row>
    <row r="480" spans="36:40" x14ac:dyDescent="0.3">
      <c r="AJ480" s="46"/>
      <c r="AK480" s="46"/>
      <c r="AL480" s="46"/>
      <c r="AM480" s="46"/>
      <c r="AN480" s="46"/>
    </row>
    <row r="481" spans="36:40" x14ac:dyDescent="0.3">
      <c r="AJ481" s="46"/>
      <c r="AK481" s="46"/>
      <c r="AL481" s="46"/>
      <c r="AM481" s="46"/>
      <c r="AN481" s="46"/>
    </row>
    <row r="482" spans="36:40" x14ac:dyDescent="0.3">
      <c r="AJ482" s="46"/>
      <c r="AK482" s="46"/>
      <c r="AL482" s="46"/>
      <c r="AM482" s="46"/>
      <c r="AN482" s="46"/>
    </row>
    <row r="483" spans="36:40" x14ac:dyDescent="0.3">
      <c r="AJ483" s="46"/>
      <c r="AK483" s="46"/>
      <c r="AL483" s="46"/>
      <c r="AM483" s="46"/>
      <c r="AN483" s="46"/>
    </row>
    <row r="484" spans="36:40" x14ac:dyDescent="0.3">
      <c r="AJ484" s="46"/>
      <c r="AK484" s="46"/>
      <c r="AL484" s="46"/>
      <c r="AM484" s="46"/>
      <c r="AN484" s="46"/>
    </row>
    <row r="485" spans="36:40" x14ac:dyDescent="0.3">
      <c r="AJ485" s="46"/>
      <c r="AK485" s="46"/>
      <c r="AL485" s="46"/>
      <c r="AM485" s="46"/>
      <c r="AN485" s="46"/>
    </row>
    <row r="486" spans="36:40" x14ac:dyDescent="0.3">
      <c r="AJ486" s="46"/>
      <c r="AK486" s="46"/>
      <c r="AL486" s="46"/>
      <c r="AM486" s="46"/>
      <c r="AN486" s="46"/>
    </row>
    <row r="487" spans="36:40" x14ac:dyDescent="0.3">
      <c r="AJ487" s="46"/>
      <c r="AK487" s="46"/>
      <c r="AL487" s="46"/>
      <c r="AM487" s="46"/>
      <c r="AN487" s="46"/>
    </row>
    <row r="488" spans="36:40" x14ac:dyDescent="0.3">
      <c r="AJ488" s="46"/>
      <c r="AK488" s="46"/>
      <c r="AL488" s="46"/>
      <c r="AM488" s="46"/>
      <c r="AN488" s="46"/>
    </row>
    <row r="489" spans="36:40" x14ac:dyDescent="0.3">
      <c r="AJ489" s="46"/>
      <c r="AK489" s="46"/>
      <c r="AL489" s="46"/>
      <c r="AM489" s="46"/>
      <c r="AN489" s="46"/>
    </row>
    <row r="490" spans="36:40" x14ac:dyDescent="0.3">
      <c r="AJ490" s="46"/>
      <c r="AK490" s="46"/>
      <c r="AL490" s="46"/>
      <c r="AM490" s="46"/>
      <c r="AN490" s="46"/>
    </row>
    <row r="491" spans="36:40" x14ac:dyDescent="0.3">
      <c r="AJ491" s="46"/>
      <c r="AK491" s="46"/>
      <c r="AL491" s="46"/>
      <c r="AM491" s="46"/>
      <c r="AN491" s="46"/>
    </row>
    <row r="492" spans="36:40" x14ac:dyDescent="0.3">
      <c r="AJ492" s="46"/>
      <c r="AK492" s="46"/>
      <c r="AL492" s="46"/>
      <c r="AM492" s="46"/>
      <c r="AN492" s="46"/>
    </row>
    <row r="493" spans="36:40" x14ac:dyDescent="0.3">
      <c r="AJ493" s="46"/>
      <c r="AK493" s="46"/>
      <c r="AL493" s="46"/>
      <c r="AM493" s="46"/>
      <c r="AN493" s="46"/>
    </row>
    <row r="494" spans="36:40" x14ac:dyDescent="0.3">
      <c r="AJ494" s="46"/>
      <c r="AK494" s="46"/>
      <c r="AL494" s="46"/>
      <c r="AM494" s="46"/>
      <c r="AN494" s="46"/>
    </row>
    <row r="495" spans="36:40" x14ac:dyDescent="0.3">
      <c r="AJ495" s="46"/>
      <c r="AK495" s="46"/>
      <c r="AL495" s="46"/>
      <c r="AM495" s="46"/>
      <c r="AN495" s="46"/>
    </row>
    <row r="496" spans="36:40" x14ac:dyDescent="0.3">
      <c r="AJ496" s="46"/>
      <c r="AK496" s="46"/>
      <c r="AL496" s="46"/>
      <c r="AM496" s="46"/>
      <c r="AN496" s="46"/>
    </row>
    <row r="497" spans="36:40" x14ac:dyDescent="0.3">
      <c r="AJ497" s="46"/>
      <c r="AK497" s="46"/>
      <c r="AL497" s="46"/>
      <c r="AM497" s="46"/>
      <c r="AN497" s="46"/>
    </row>
    <row r="498" spans="36:40" x14ac:dyDescent="0.3">
      <c r="AJ498" s="46"/>
      <c r="AK498" s="46"/>
      <c r="AL498" s="46"/>
      <c r="AM498" s="46"/>
      <c r="AN498" s="46"/>
    </row>
    <row r="499" spans="36:40" x14ac:dyDescent="0.3">
      <c r="AJ499" s="46"/>
      <c r="AK499" s="46"/>
      <c r="AL499" s="46"/>
      <c r="AM499" s="46"/>
      <c r="AN499" s="46"/>
    </row>
    <row r="500" spans="36:40" x14ac:dyDescent="0.3">
      <c r="AJ500" s="46"/>
      <c r="AK500" s="46"/>
      <c r="AL500" s="46"/>
      <c r="AM500" s="46"/>
      <c r="AN500" s="46"/>
    </row>
    <row r="501" spans="36:40" x14ac:dyDescent="0.3">
      <c r="AJ501" s="46"/>
      <c r="AK501" s="46"/>
      <c r="AL501" s="46"/>
      <c r="AM501" s="46"/>
      <c r="AN501" s="46"/>
    </row>
    <row r="502" spans="36:40" x14ac:dyDescent="0.3">
      <c r="AJ502" s="46"/>
      <c r="AK502" s="46"/>
      <c r="AL502" s="46"/>
      <c r="AM502" s="46"/>
      <c r="AN502" s="46"/>
    </row>
    <row r="503" spans="36:40" x14ac:dyDescent="0.3">
      <c r="AJ503" s="46"/>
      <c r="AK503" s="46"/>
      <c r="AL503" s="46"/>
      <c r="AM503" s="46"/>
      <c r="AN503" s="46"/>
    </row>
    <row r="504" spans="36:40" x14ac:dyDescent="0.3">
      <c r="AJ504" s="46"/>
      <c r="AK504" s="46"/>
      <c r="AL504" s="46"/>
      <c r="AM504" s="46"/>
      <c r="AN504" s="46"/>
    </row>
    <row r="505" spans="36:40" x14ac:dyDescent="0.3">
      <c r="AJ505" s="46"/>
      <c r="AK505" s="46"/>
      <c r="AL505" s="46"/>
      <c r="AM505" s="46"/>
      <c r="AN505" s="46"/>
    </row>
    <row r="506" spans="36:40" x14ac:dyDescent="0.3">
      <c r="AJ506" s="46"/>
      <c r="AK506" s="46"/>
      <c r="AL506" s="46"/>
      <c r="AM506" s="46"/>
      <c r="AN506" s="46"/>
    </row>
    <row r="507" spans="36:40" x14ac:dyDescent="0.3">
      <c r="AJ507" s="46"/>
      <c r="AK507" s="46"/>
      <c r="AL507" s="46"/>
      <c r="AM507" s="46"/>
      <c r="AN507" s="46"/>
    </row>
    <row r="508" spans="36:40" x14ac:dyDescent="0.3">
      <c r="AJ508" s="46"/>
      <c r="AK508" s="46"/>
      <c r="AL508" s="46"/>
      <c r="AM508" s="46"/>
      <c r="AN508" s="46"/>
    </row>
    <row r="509" spans="36:40" x14ac:dyDescent="0.3">
      <c r="AJ509" s="46"/>
      <c r="AK509" s="46"/>
      <c r="AL509" s="46"/>
      <c r="AM509" s="46"/>
      <c r="AN509" s="46"/>
    </row>
    <row r="510" spans="36:40" x14ac:dyDescent="0.3">
      <c r="AJ510" s="46"/>
      <c r="AK510" s="46"/>
      <c r="AL510" s="46"/>
      <c r="AM510" s="46"/>
      <c r="AN510" s="46"/>
    </row>
    <row r="511" spans="36:40" x14ac:dyDescent="0.3">
      <c r="AJ511" s="46"/>
      <c r="AK511" s="46"/>
      <c r="AL511" s="46"/>
      <c r="AM511" s="46"/>
      <c r="AN511" s="46"/>
    </row>
    <row r="512" spans="36:40" x14ac:dyDescent="0.3">
      <c r="AJ512" s="46"/>
      <c r="AK512" s="46"/>
      <c r="AL512" s="46"/>
      <c r="AM512" s="46"/>
      <c r="AN512" s="46"/>
    </row>
    <row r="513" spans="36:40" x14ac:dyDescent="0.3">
      <c r="AJ513" s="46"/>
      <c r="AK513" s="46"/>
      <c r="AL513" s="46"/>
      <c r="AM513" s="46"/>
      <c r="AN513" s="46"/>
    </row>
    <row r="514" spans="36:40" x14ac:dyDescent="0.3">
      <c r="AJ514" s="46"/>
      <c r="AK514" s="46"/>
      <c r="AL514" s="46"/>
      <c r="AM514" s="46"/>
      <c r="AN514" s="46"/>
    </row>
    <row r="515" spans="36:40" x14ac:dyDescent="0.3">
      <c r="AJ515" s="46"/>
      <c r="AK515" s="46"/>
      <c r="AL515" s="46"/>
      <c r="AM515" s="46"/>
      <c r="AN515" s="46"/>
    </row>
    <row r="516" spans="36:40" x14ac:dyDescent="0.3">
      <c r="AJ516" s="46"/>
      <c r="AK516" s="46"/>
      <c r="AL516" s="46"/>
      <c r="AM516" s="46"/>
      <c r="AN516" s="46"/>
    </row>
    <row r="517" spans="36:40" x14ac:dyDescent="0.3">
      <c r="AJ517" s="46"/>
      <c r="AK517" s="46"/>
      <c r="AL517" s="46"/>
      <c r="AM517" s="46"/>
      <c r="AN517" s="46"/>
    </row>
    <row r="518" spans="36:40" x14ac:dyDescent="0.3">
      <c r="AJ518" s="46"/>
      <c r="AK518" s="46"/>
      <c r="AL518" s="46"/>
      <c r="AM518" s="46"/>
      <c r="AN518" s="46"/>
    </row>
    <row r="519" spans="36:40" x14ac:dyDescent="0.3">
      <c r="AJ519" s="46"/>
      <c r="AK519" s="46"/>
      <c r="AL519" s="46"/>
      <c r="AM519" s="46"/>
      <c r="AN519" s="46"/>
    </row>
    <row r="520" spans="36:40" x14ac:dyDescent="0.3">
      <c r="AJ520" s="46"/>
      <c r="AK520" s="46"/>
      <c r="AL520" s="46"/>
      <c r="AM520" s="46"/>
      <c r="AN520" s="46"/>
    </row>
    <row r="521" spans="36:40" x14ac:dyDescent="0.3">
      <c r="AJ521" s="46"/>
      <c r="AK521" s="46"/>
      <c r="AL521" s="46"/>
      <c r="AM521" s="46"/>
      <c r="AN521" s="46"/>
    </row>
    <row r="522" spans="36:40" x14ac:dyDescent="0.3">
      <c r="AJ522" s="46"/>
      <c r="AK522" s="46"/>
      <c r="AL522" s="46"/>
      <c r="AM522" s="46"/>
      <c r="AN522" s="46"/>
    </row>
    <row r="523" spans="36:40" x14ac:dyDescent="0.3">
      <c r="AJ523" s="46"/>
      <c r="AK523" s="46"/>
      <c r="AL523" s="46"/>
      <c r="AM523" s="46"/>
      <c r="AN523" s="46"/>
    </row>
    <row r="524" spans="36:40" x14ac:dyDescent="0.3">
      <c r="AJ524" s="46"/>
      <c r="AK524" s="46"/>
      <c r="AL524" s="46"/>
      <c r="AM524" s="46"/>
      <c r="AN524" s="46"/>
    </row>
    <row r="525" spans="36:40" x14ac:dyDescent="0.3">
      <c r="AJ525" s="46"/>
      <c r="AK525" s="46"/>
      <c r="AL525" s="46"/>
      <c r="AM525" s="46"/>
      <c r="AN525" s="46"/>
    </row>
    <row r="526" spans="36:40" x14ac:dyDescent="0.3">
      <c r="AJ526" s="46"/>
      <c r="AK526" s="46"/>
      <c r="AL526" s="46"/>
      <c r="AM526" s="46"/>
      <c r="AN526" s="46"/>
    </row>
    <row r="527" spans="36:40" x14ac:dyDescent="0.3">
      <c r="AJ527" s="46"/>
      <c r="AK527" s="46"/>
      <c r="AL527" s="46"/>
      <c r="AM527" s="46"/>
      <c r="AN527" s="46"/>
    </row>
    <row r="528" spans="36:40" x14ac:dyDescent="0.3">
      <c r="AJ528" s="46"/>
      <c r="AK528" s="46"/>
      <c r="AL528" s="46"/>
      <c r="AM528" s="46"/>
      <c r="AN528" s="46"/>
    </row>
    <row r="529" spans="36:40" x14ac:dyDescent="0.3">
      <c r="AJ529" s="46"/>
      <c r="AK529" s="46"/>
      <c r="AL529" s="46"/>
      <c r="AM529" s="46"/>
      <c r="AN529" s="46"/>
    </row>
    <row r="530" spans="36:40" x14ac:dyDescent="0.3">
      <c r="AJ530" s="46"/>
      <c r="AK530" s="46"/>
      <c r="AL530" s="46"/>
      <c r="AM530" s="46"/>
      <c r="AN530" s="46"/>
    </row>
    <row r="531" spans="36:40" x14ac:dyDescent="0.3">
      <c r="AJ531" s="46"/>
      <c r="AK531" s="46"/>
      <c r="AL531" s="46"/>
      <c r="AM531" s="46"/>
      <c r="AN531" s="46"/>
    </row>
    <row r="532" spans="36:40" x14ac:dyDescent="0.3">
      <c r="AJ532" s="46"/>
      <c r="AK532" s="46"/>
      <c r="AL532" s="46"/>
      <c r="AM532" s="46"/>
      <c r="AN532" s="46"/>
    </row>
    <row r="533" spans="36:40" x14ac:dyDescent="0.3">
      <c r="AJ533" s="46"/>
      <c r="AK533" s="46"/>
      <c r="AL533" s="46"/>
      <c r="AM533" s="46"/>
      <c r="AN533" s="46"/>
    </row>
    <row r="534" spans="36:40" x14ac:dyDescent="0.3">
      <c r="AJ534" s="46"/>
      <c r="AK534" s="46"/>
      <c r="AL534" s="46"/>
      <c r="AM534" s="46"/>
      <c r="AN534" s="46"/>
    </row>
    <row r="535" spans="36:40" x14ac:dyDescent="0.3">
      <c r="AJ535" s="46"/>
      <c r="AK535" s="46"/>
      <c r="AL535" s="46"/>
      <c r="AM535" s="46"/>
      <c r="AN535" s="46"/>
    </row>
    <row r="536" spans="36:40" x14ac:dyDescent="0.3">
      <c r="AJ536" s="46"/>
      <c r="AK536" s="46"/>
      <c r="AL536" s="46"/>
      <c r="AM536" s="46"/>
      <c r="AN536" s="46"/>
    </row>
    <row r="537" spans="36:40" x14ac:dyDescent="0.3">
      <c r="AJ537" s="46"/>
      <c r="AK537" s="46"/>
      <c r="AL537" s="46"/>
      <c r="AM537" s="46"/>
      <c r="AN537" s="46"/>
    </row>
    <row r="538" spans="36:40" x14ac:dyDescent="0.3">
      <c r="AJ538" s="46"/>
      <c r="AK538" s="46"/>
      <c r="AL538" s="46"/>
      <c r="AM538" s="46"/>
      <c r="AN538" s="46"/>
    </row>
    <row r="539" spans="36:40" x14ac:dyDescent="0.3">
      <c r="AJ539" s="46"/>
      <c r="AK539" s="46"/>
      <c r="AL539" s="46"/>
      <c r="AM539" s="46"/>
      <c r="AN539" s="46"/>
    </row>
    <row r="540" spans="36:40" x14ac:dyDescent="0.3">
      <c r="AJ540" s="46"/>
      <c r="AK540" s="46"/>
      <c r="AL540" s="46"/>
      <c r="AM540" s="46"/>
      <c r="AN540" s="46"/>
    </row>
    <row r="541" spans="36:40" x14ac:dyDescent="0.3">
      <c r="AJ541" s="46"/>
      <c r="AK541" s="46"/>
      <c r="AL541" s="46"/>
      <c r="AM541" s="46"/>
      <c r="AN541" s="46"/>
    </row>
    <row r="542" spans="36:40" x14ac:dyDescent="0.3">
      <c r="AJ542" s="46"/>
      <c r="AK542" s="46"/>
      <c r="AL542" s="46"/>
      <c r="AM542" s="46"/>
      <c r="AN542" s="46"/>
    </row>
    <row r="543" spans="36:40" x14ac:dyDescent="0.3">
      <c r="AJ543" s="46"/>
      <c r="AK543" s="46"/>
      <c r="AL543" s="46"/>
      <c r="AM543" s="46"/>
      <c r="AN543" s="46"/>
    </row>
    <row r="544" spans="36:40" x14ac:dyDescent="0.3">
      <c r="AJ544" s="46"/>
      <c r="AK544" s="46"/>
      <c r="AL544" s="46"/>
      <c r="AM544" s="46"/>
      <c r="AN544" s="46"/>
    </row>
    <row r="545" spans="36:40" x14ac:dyDescent="0.3">
      <c r="AJ545" s="46"/>
      <c r="AK545" s="46"/>
      <c r="AL545" s="46"/>
      <c r="AM545" s="46"/>
      <c r="AN545" s="46"/>
    </row>
    <row r="546" spans="36:40" x14ac:dyDescent="0.3">
      <c r="AJ546" s="46"/>
      <c r="AK546" s="46"/>
      <c r="AL546" s="46"/>
      <c r="AM546" s="46"/>
      <c r="AN546" s="46"/>
    </row>
    <row r="547" spans="36:40" x14ac:dyDescent="0.3">
      <c r="AJ547" s="46"/>
      <c r="AK547" s="46"/>
      <c r="AL547" s="46"/>
      <c r="AM547" s="46"/>
      <c r="AN547" s="46"/>
    </row>
    <row r="548" spans="36:40" x14ac:dyDescent="0.3">
      <c r="AJ548" s="46"/>
      <c r="AK548" s="46"/>
      <c r="AL548" s="46"/>
      <c r="AM548" s="46"/>
      <c r="AN548" s="46"/>
    </row>
    <row r="549" spans="36:40" x14ac:dyDescent="0.3">
      <c r="AJ549" s="46"/>
      <c r="AK549" s="46"/>
      <c r="AL549" s="46"/>
      <c r="AM549" s="46"/>
      <c r="AN549" s="46"/>
    </row>
    <row r="550" spans="36:40" x14ac:dyDescent="0.3">
      <c r="AJ550" s="46"/>
      <c r="AK550" s="46"/>
      <c r="AL550" s="46"/>
      <c r="AM550" s="46"/>
      <c r="AN550" s="46"/>
    </row>
    <row r="551" spans="36:40" x14ac:dyDescent="0.3">
      <c r="AJ551" s="46"/>
      <c r="AK551" s="46"/>
      <c r="AL551" s="46"/>
      <c r="AM551" s="46"/>
      <c r="AN551" s="46"/>
    </row>
    <row r="552" spans="36:40" x14ac:dyDescent="0.3">
      <c r="AJ552" s="46"/>
      <c r="AK552" s="46"/>
      <c r="AL552" s="46"/>
      <c r="AM552" s="46"/>
      <c r="AN552" s="46"/>
    </row>
    <row r="553" spans="36:40" x14ac:dyDescent="0.3">
      <c r="AJ553" s="46"/>
      <c r="AK553" s="46"/>
      <c r="AL553" s="46"/>
      <c r="AM553" s="46"/>
      <c r="AN553" s="46"/>
    </row>
    <row r="554" spans="36:40" x14ac:dyDescent="0.3">
      <c r="AJ554" s="46"/>
      <c r="AK554" s="46"/>
      <c r="AL554" s="46"/>
      <c r="AM554" s="46"/>
      <c r="AN554" s="46"/>
    </row>
    <row r="555" spans="36:40" x14ac:dyDescent="0.3">
      <c r="AJ555" s="46"/>
      <c r="AK555" s="46"/>
      <c r="AL555" s="46"/>
      <c r="AM555" s="46"/>
      <c r="AN555" s="46"/>
    </row>
    <row r="556" spans="36:40" x14ac:dyDescent="0.3">
      <c r="AJ556" s="46"/>
      <c r="AK556" s="46"/>
      <c r="AL556" s="46"/>
      <c r="AM556" s="46"/>
      <c r="AN556" s="46"/>
    </row>
    <row r="557" spans="36:40" x14ac:dyDescent="0.3">
      <c r="AJ557" s="46"/>
      <c r="AK557" s="46"/>
      <c r="AL557" s="46"/>
      <c r="AM557" s="46"/>
      <c r="AN557" s="46"/>
    </row>
    <row r="558" spans="36:40" x14ac:dyDescent="0.3">
      <c r="AJ558" s="46"/>
      <c r="AK558" s="46"/>
      <c r="AL558" s="46"/>
      <c r="AM558" s="46"/>
      <c r="AN558" s="46"/>
    </row>
    <row r="559" spans="36:40" x14ac:dyDescent="0.3">
      <c r="AJ559" s="46"/>
      <c r="AK559" s="46"/>
      <c r="AL559" s="46"/>
      <c r="AM559" s="46"/>
      <c r="AN559" s="46"/>
    </row>
    <row r="560" spans="36:40" x14ac:dyDescent="0.3">
      <c r="AJ560" s="46"/>
      <c r="AK560" s="46"/>
      <c r="AL560" s="46"/>
      <c r="AM560" s="46"/>
      <c r="AN560" s="46"/>
    </row>
    <row r="561" spans="36:40" x14ac:dyDescent="0.3">
      <c r="AJ561" s="46"/>
      <c r="AK561" s="46"/>
      <c r="AL561" s="46"/>
      <c r="AM561" s="46"/>
      <c r="AN561" s="46"/>
    </row>
    <row r="562" spans="36:40" x14ac:dyDescent="0.3">
      <c r="AJ562" s="46"/>
      <c r="AK562" s="46"/>
      <c r="AL562" s="46"/>
      <c r="AM562" s="46"/>
      <c r="AN562" s="46"/>
    </row>
    <row r="563" spans="36:40" x14ac:dyDescent="0.3">
      <c r="AJ563" s="46"/>
      <c r="AK563" s="46"/>
      <c r="AL563" s="46"/>
      <c r="AM563" s="46"/>
      <c r="AN563" s="46"/>
    </row>
    <row r="564" spans="36:40" x14ac:dyDescent="0.3">
      <c r="AJ564" s="46"/>
      <c r="AK564" s="46"/>
      <c r="AL564" s="46"/>
      <c r="AM564" s="46"/>
      <c r="AN564" s="46"/>
    </row>
    <row r="565" spans="36:40" x14ac:dyDescent="0.3">
      <c r="AJ565" s="46"/>
      <c r="AK565" s="46"/>
      <c r="AL565" s="46"/>
      <c r="AM565" s="46"/>
      <c r="AN565" s="46"/>
    </row>
    <row r="566" spans="36:40" x14ac:dyDescent="0.3">
      <c r="AJ566" s="46"/>
      <c r="AK566" s="46"/>
      <c r="AL566" s="46"/>
      <c r="AM566" s="46"/>
      <c r="AN566" s="46"/>
    </row>
    <row r="567" spans="36:40" x14ac:dyDescent="0.3">
      <c r="AJ567" s="46"/>
      <c r="AK567" s="46"/>
      <c r="AL567" s="46"/>
      <c r="AM567" s="46"/>
      <c r="AN567" s="46"/>
    </row>
    <row r="568" spans="36:40" x14ac:dyDescent="0.3">
      <c r="AJ568" s="46"/>
      <c r="AK568" s="46"/>
      <c r="AL568" s="46"/>
      <c r="AM568" s="46"/>
      <c r="AN568" s="46"/>
    </row>
    <row r="569" spans="36:40" x14ac:dyDescent="0.3">
      <c r="AJ569" s="46"/>
      <c r="AK569" s="46"/>
      <c r="AL569" s="46"/>
      <c r="AM569" s="46"/>
      <c r="AN569" s="46"/>
    </row>
    <row r="570" spans="36:40" x14ac:dyDescent="0.3">
      <c r="AJ570" s="46"/>
      <c r="AK570" s="46"/>
      <c r="AL570" s="46"/>
      <c r="AM570" s="46"/>
      <c r="AN570" s="46"/>
    </row>
    <row r="571" spans="36:40" x14ac:dyDescent="0.3">
      <c r="AJ571" s="46"/>
      <c r="AK571" s="46"/>
      <c r="AL571" s="46"/>
      <c r="AM571" s="46"/>
      <c r="AN571" s="46"/>
    </row>
    <row r="572" spans="36:40" x14ac:dyDescent="0.3">
      <c r="AJ572" s="46"/>
      <c r="AK572" s="46"/>
      <c r="AL572" s="46"/>
      <c r="AM572" s="46"/>
      <c r="AN572" s="46"/>
    </row>
    <row r="573" spans="36:40" x14ac:dyDescent="0.3">
      <c r="AJ573" s="46"/>
      <c r="AK573" s="46"/>
      <c r="AL573" s="46"/>
      <c r="AM573" s="46"/>
      <c r="AN573" s="46"/>
    </row>
    <row r="574" spans="36:40" x14ac:dyDescent="0.3">
      <c r="AJ574" s="46"/>
      <c r="AK574" s="46"/>
      <c r="AL574" s="46"/>
      <c r="AM574" s="46"/>
      <c r="AN574" s="46"/>
    </row>
    <row r="575" spans="36:40" x14ac:dyDescent="0.3">
      <c r="AJ575" s="46"/>
      <c r="AK575" s="46"/>
      <c r="AL575" s="46"/>
      <c r="AM575" s="46"/>
      <c r="AN575" s="46"/>
    </row>
    <row r="576" spans="36:40" x14ac:dyDescent="0.3">
      <c r="AJ576" s="46"/>
      <c r="AK576" s="46"/>
      <c r="AL576" s="46"/>
      <c r="AM576" s="46"/>
      <c r="AN576" s="46"/>
    </row>
    <row r="577" spans="36:40" x14ac:dyDescent="0.3">
      <c r="AJ577" s="46"/>
      <c r="AK577" s="46"/>
      <c r="AL577" s="46"/>
      <c r="AM577" s="46"/>
      <c r="AN577" s="46"/>
    </row>
    <row r="578" spans="36:40" x14ac:dyDescent="0.3">
      <c r="AJ578" s="46"/>
      <c r="AK578" s="46"/>
      <c r="AL578" s="46"/>
      <c r="AM578" s="46"/>
      <c r="AN578" s="46"/>
    </row>
    <row r="579" spans="36:40" x14ac:dyDescent="0.3">
      <c r="AJ579" s="46"/>
      <c r="AK579" s="46"/>
      <c r="AL579" s="46"/>
      <c r="AM579" s="46"/>
      <c r="AN579" s="46"/>
    </row>
    <row r="580" spans="36:40" x14ac:dyDescent="0.3">
      <c r="AJ580" s="46"/>
      <c r="AK580" s="46"/>
      <c r="AL580" s="46"/>
      <c r="AM580" s="46"/>
      <c r="AN580" s="46"/>
    </row>
    <row r="581" spans="36:40" x14ac:dyDescent="0.3">
      <c r="AJ581" s="46"/>
      <c r="AK581" s="46"/>
      <c r="AL581" s="46"/>
      <c r="AM581" s="46"/>
      <c r="AN581" s="46"/>
    </row>
    <row r="582" spans="36:40" x14ac:dyDescent="0.3">
      <c r="AJ582" s="46"/>
      <c r="AK582" s="46"/>
      <c r="AL582" s="46"/>
      <c r="AM582" s="46"/>
      <c r="AN582" s="46"/>
    </row>
    <row r="583" spans="36:40" x14ac:dyDescent="0.3">
      <c r="AJ583" s="46"/>
      <c r="AK583" s="46"/>
      <c r="AL583" s="46"/>
      <c r="AM583" s="46"/>
      <c r="AN583" s="46"/>
    </row>
    <row r="584" spans="36:40" x14ac:dyDescent="0.3">
      <c r="AJ584" s="46"/>
      <c r="AK584" s="46"/>
      <c r="AL584" s="46"/>
      <c r="AM584" s="46"/>
      <c r="AN584" s="46"/>
    </row>
    <row r="585" spans="36:40" x14ac:dyDescent="0.3">
      <c r="AJ585" s="46"/>
      <c r="AK585" s="46"/>
      <c r="AL585" s="46"/>
      <c r="AM585" s="46"/>
      <c r="AN585" s="46"/>
    </row>
    <row r="586" spans="36:40" x14ac:dyDescent="0.3">
      <c r="AJ586" s="46"/>
      <c r="AK586" s="46"/>
      <c r="AL586" s="46"/>
      <c r="AM586" s="46"/>
      <c r="AN586" s="46"/>
    </row>
    <row r="587" spans="36:40" x14ac:dyDescent="0.3">
      <c r="AJ587" s="46"/>
      <c r="AK587" s="46"/>
      <c r="AL587" s="46"/>
      <c r="AM587" s="46"/>
      <c r="AN587" s="46"/>
    </row>
    <row r="588" spans="36:40" x14ac:dyDescent="0.3">
      <c r="AJ588" s="46"/>
      <c r="AK588" s="46"/>
      <c r="AL588" s="46"/>
      <c r="AM588" s="46"/>
      <c r="AN588" s="46"/>
    </row>
    <row r="589" spans="36:40" x14ac:dyDescent="0.3">
      <c r="AJ589" s="46"/>
      <c r="AK589" s="46"/>
      <c r="AL589" s="46"/>
      <c r="AM589" s="46"/>
      <c r="AN589" s="46"/>
    </row>
    <row r="590" spans="36:40" x14ac:dyDescent="0.3">
      <c r="AJ590" s="46"/>
      <c r="AK590" s="46"/>
      <c r="AL590" s="46"/>
      <c r="AM590" s="46"/>
      <c r="AN590" s="46"/>
    </row>
    <row r="591" spans="36:40" x14ac:dyDescent="0.3">
      <c r="AJ591" s="46"/>
      <c r="AK591" s="46"/>
      <c r="AL591" s="46"/>
      <c r="AM591" s="46"/>
      <c r="AN591" s="46"/>
    </row>
    <row r="592" spans="36:40" x14ac:dyDescent="0.3">
      <c r="AJ592" s="46"/>
      <c r="AK592" s="46"/>
      <c r="AL592" s="46"/>
      <c r="AM592" s="46"/>
      <c r="AN592" s="46"/>
    </row>
    <row r="593" spans="36:40" x14ac:dyDescent="0.3">
      <c r="AJ593" s="46"/>
      <c r="AK593" s="46"/>
      <c r="AL593" s="46"/>
      <c r="AM593" s="46"/>
      <c r="AN593" s="46"/>
    </row>
    <row r="594" spans="36:40" x14ac:dyDescent="0.3">
      <c r="AJ594" s="46"/>
      <c r="AK594" s="46"/>
      <c r="AL594" s="46"/>
      <c r="AM594" s="46"/>
      <c r="AN594" s="46"/>
    </row>
    <row r="595" spans="36:40" x14ac:dyDescent="0.3">
      <c r="AJ595" s="46"/>
      <c r="AK595" s="46"/>
      <c r="AL595" s="46"/>
      <c r="AM595" s="46"/>
      <c r="AN595" s="46"/>
    </row>
    <row r="596" spans="36:40" x14ac:dyDescent="0.3">
      <c r="AJ596" s="46"/>
      <c r="AK596" s="46"/>
      <c r="AL596" s="46"/>
      <c r="AM596" s="46"/>
      <c r="AN596" s="46"/>
    </row>
    <row r="597" spans="36:40" x14ac:dyDescent="0.3">
      <c r="AJ597" s="46"/>
      <c r="AK597" s="46"/>
      <c r="AL597" s="46"/>
      <c r="AM597" s="46"/>
      <c r="AN597" s="46"/>
    </row>
    <row r="598" spans="36:40" x14ac:dyDescent="0.3">
      <c r="AJ598" s="46"/>
      <c r="AK598" s="46"/>
      <c r="AL598" s="46"/>
      <c r="AM598" s="46"/>
      <c r="AN598" s="46"/>
    </row>
    <row r="599" spans="36:40" x14ac:dyDescent="0.3">
      <c r="AJ599" s="46"/>
      <c r="AK599" s="46"/>
      <c r="AL599" s="46"/>
      <c r="AM599" s="46"/>
      <c r="AN599" s="46"/>
    </row>
    <row r="600" spans="36:40" x14ac:dyDescent="0.3">
      <c r="AJ600" s="46"/>
      <c r="AK600" s="46"/>
      <c r="AL600" s="46"/>
      <c r="AM600" s="46"/>
      <c r="AN600" s="46"/>
    </row>
    <row r="601" spans="36:40" x14ac:dyDescent="0.3">
      <c r="AJ601" s="46"/>
      <c r="AK601" s="46"/>
      <c r="AL601" s="46"/>
      <c r="AM601" s="46"/>
      <c r="AN601" s="46"/>
    </row>
    <row r="602" spans="36:40" x14ac:dyDescent="0.3">
      <c r="AJ602" s="46"/>
      <c r="AK602" s="46"/>
      <c r="AL602" s="46"/>
      <c r="AM602" s="46"/>
      <c r="AN602" s="46"/>
    </row>
    <row r="603" spans="36:40" x14ac:dyDescent="0.3">
      <c r="AJ603" s="46"/>
      <c r="AK603" s="46"/>
      <c r="AL603" s="46"/>
      <c r="AM603" s="46"/>
      <c r="AN603" s="46"/>
    </row>
    <row r="604" spans="36:40" x14ac:dyDescent="0.3">
      <c r="AJ604" s="46"/>
      <c r="AK604" s="46"/>
      <c r="AL604" s="46"/>
      <c r="AM604" s="46"/>
      <c r="AN604" s="46"/>
    </row>
    <row r="605" spans="36:40" x14ac:dyDescent="0.3">
      <c r="AJ605" s="46"/>
      <c r="AK605" s="46"/>
      <c r="AL605" s="46"/>
      <c r="AM605" s="46"/>
      <c r="AN605" s="46"/>
    </row>
    <row r="606" spans="36:40" x14ac:dyDescent="0.3">
      <c r="AJ606" s="46"/>
      <c r="AK606" s="46"/>
      <c r="AL606" s="46"/>
      <c r="AM606" s="46"/>
      <c r="AN606" s="46"/>
    </row>
    <row r="607" spans="36:40" x14ac:dyDescent="0.3">
      <c r="AJ607" s="46"/>
      <c r="AK607" s="46"/>
      <c r="AL607" s="46"/>
      <c r="AM607" s="46"/>
      <c r="AN607" s="46"/>
    </row>
    <row r="608" spans="36:40" x14ac:dyDescent="0.3">
      <c r="AJ608" s="46"/>
      <c r="AK608" s="46"/>
      <c r="AL608" s="46"/>
      <c r="AM608" s="46"/>
      <c r="AN608" s="46"/>
    </row>
    <row r="609" spans="36:40" x14ac:dyDescent="0.3">
      <c r="AJ609" s="46"/>
      <c r="AK609" s="46"/>
      <c r="AL609" s="46"/>
      <c r="AM609" s="46"/>
      <c r="AN609" s="46"/>
    </row>
    <row r="610" spans="36:40" x14ac:dyDescent="0.3">
      <c r="AJ610" s="46"/>
      <c r="AK610" s="46"/>
      <c r="AL610" s="46"/>
      <c r="AM610" s="46"/>
      <c r="AN610" s="46"/>
    </row>
    <row r="611" spans="36:40" x14ac:dyDescent="0.3">
      <c r="AJ611" s="46"/>
      <c r="AK611" s="46"/>
      <c r="AL611" s="46"/>
      <c r="AM611" s="46"/>
      <c r="AN611" s="46"/>
    </row>
    <row r="612" spans="36:40" x14ac:dyDescent="0.3">
      <c r="AJ612" s="46"/>
      <c r="AK612" s="46"/>
      <c r="AL612" s="46"/>
      <c r="AM612" s="46"/>
      <c r="AN612" s="46"/>
    </row>
    <row r="613" spans="36:40" x14ac:dyDescent="0.3">
      <c r="AJ613" s="46"/>
      <c r="AK613" s="46"/>
      <c r="AL613" s="46"/>
      <c r="AM613" s="46"/>
      <c r="AN613" s="46"/>
    </row>
    <row r="614" spans="36:40" x14ac:dyDescent="0.3">
      <c r="AJ614" s="46"/>
      <c r="AK614" s="46"/>
      <c r="AL614" s="46"/>
      <c r="AM614" s="46"/>
      <c r="AN614" s="46"/>
    </row>
    <row r="615" spans="36:40" x14ac:dyDescent="0.3">
      <c r="AJ615" s="46"/>
      <c r="AK615" s="46"/>
      <c r="AL615" s="46"/>
      <c r="AM615" s="46"/>
      <c r="AN615" s="46"/>
    </row>
    <row r="616" spans="36:40" x14ac:dyDescent="0.3">
      <c r="AJ616" s="46"/>
      <c r="AK616" s="46"/>
      <c r="AL616" s="46"/>
      <c r="AM616" s="46"/>
      <c r="AN616" s="46"/>
    </row>
    <row r="617" spans="36:40" x14ac:dyDescent="0.3">
      <c r="AJ617" s="46"/>
      <c r="AK617" s="46"/>
      <c r="AL617" s="46"/>
      <c r="AM617" s="46"/>
      <c r="AN617" s="46"/>
    </row>
    <row r="618" spans="36:40" x14ac:dyDescent="0.3">
      <c r="AJ618" s="46"/>
      <c r="AK618" s="46"/>
      <c r="AL618" s="46"/>
      <c r="AM618" s="46"/>
      <c r="AN618" s="46"/>
    </row>
    <row r="619" spans="36:40" x14ac:dyDescent="0.3">
      <c r="AJ619" s="46"/>
      <c r="AK619" s="46"/>
      <c r="AL619" s="46"/>
      <c r="AM619" s="46"/>
      <c r="AN619" s="46"/>
    </row>
    <row r="620" spans="36:40" x14ac:dyDescent="0.3">
      <c r="AJ620" s="46"/>
      <c r="AK620" s="46"/>
      <c r="AL620" s="46"/>
      <c r="AM620" s="46"/>
      <c r="AN620" s="46"/>
    </row>
    <row r="621" spans="36:40" x14ac:dyDescent="0.3">
      <c r="AJ621" s="46"/>
      <c r="AK621" s="46"/>
      <c r="AL621" s="46"/>
      <c r="AM621" s="46"/>
      <c r="AN621" s="46"/>
    </row>
    <row r="622" spans="36:40" x14ac:dyDescent="0.3">
      <c r="AJ622" s="46"/>
      <c r="AK622" s="46"/>
      <c r="AL622" s="46"/>
      <c r="AM622" s="46"/>
      <c r="AN622" s="46"/>
    </row>
    <row r="623" spans="36:40" x14ac:dyDescent="0.3">
      <c r="AJ623" s="46"/>
      <c r="AK623" s="46"/>
      <c r="AL623" s="46"/>
      <c r="AM623" s="46"/>
      <c r="AN623" s="46"/>
    </row>
    <row r="624" spans="36:40" x14ac:dyDescent="0.3">
      <c r="AJ624" s="46"/>
      <c r="AK624" s="46"/>
      <c r="AL624" s="46"/>
      <c r="AM624" s="46"/>
      <c r="AN624" s="46"/>
    </row>
    <row r="625" spans="36:40" x14ac:dyDescent="0.3">
      <c r="AJ625" s="46"/>
      <c r="AK625" s="46"/>
      <c r="AL625" s="46"/>
      <c r="AM625" s="46"/>
      <c r="AN625" s="46"/>
    </row>
    <row r="626" spans="36:40" x14ac:dyDescent="0.3">
      <c r="AJ626" s="46"/>
      <c r="AK626" s="46"/>
      <c r="AL626" s="46"/>
      <c r="AM626" s="46"/>
      <c r="AN626" s="46"/>
    </row>
    <row r="627" spans="36:40" x14ac:dyDescent="0.3">
      <c r="AJ627" s="46"/>
      <c r="AK627" s="46"/>
      <c r="AL627" s="46"/>
      <c r="AM627" s="46"/>
      <c r="AN627" s="46"/>
    </row>
    <row r="628" spans="36:40" x14ac:dyDescent="0.3">
      <c r="AJ628" s="46"/>
      <c r="AK628" s="46"/>
      <c r="AL628" s="46"/>
      <c r="AM628" s="46"/>
      <c r="AN628" s="46"/>
    </row>
    <row r="629" spans="36:40" x14ac:dyDescent="0.3">
      <c r="AJ629" s="46"/>
      <c r="AK629" s="46"/>
      <c r="AL629" s="46"/>
      <c r="AM629" s="46"/>
      <c r="AN629" s="46"/>
    </row>
    <row r="630" spans="36:40" x14ac:dyDescent="0.3">
      <c r="AJ630" s="46"/>
      <c r="AK630" s="46"/>
      <c r="AL630" s="46"/>
      <c r="AM630" s="46"/>
      <c r="AN630" s="46"/>
    </row>
    <row r="631" spans="36:40" x14ac:dyDescent="0.3">
      <c r="AJ631" s="46"/>
      <c r="AK631" s="46"/>
      <c r="AL631" s="46"/>
      <c r="AM631" s="46"/>
      <c r="AN631" s="46"/>
    </row>
    <row r="632" spans="36:40" x14ac:dyDescent="0.3">
      <c r="AJ632" s="46"/>
      <c r="AK632" s="46"/>
      <c r="AL632" s="46"/>
      <c r="AM632" s="46"/>
      <c r="AN632" s="46"/>
    </row>
    <row r="633" spans="36:40" x14ac:dyDescent="0.3">
      <c r="AJ633" s="46"/>
      <c r="AK633" s="46"/>
      <c r="AL633" s="46"/>
      <c r="AM633" s="46"/>
      <c r="AN633" s="46"/>
    </row>
    <row r="634" spans="36:40" x14ac:dyDescent="0.3">
      <c r="AJ634" s="46"/>
      <c r="AK634" s="46"/>
      <c r="AL634" s="46"/>
      <c r="AM634" s="46"/>
      <c r="AN634" s="46"/>
    </row>
    <row r="635" spans="36:40" x14ac:dyDescent="0.3">
      <c r="AJ635" s="46"/>
      <c r="AK635" s="46"/>
      <c r="AL635" s="46"/>
      <c r="AM635" s="46"/>
      <c r="AN635" s="46"/>
    </row>
    <row r="636" spans="36:40" x14ac:dyDescent="0.3">
      <c r="AJ636" s="46"/>
      <c r="AK636" s="46"/>
      <c r="AL636" s="46"/>
      <c r="AM636" s="46"/>
      <c r="AN636" s="46"/>
    </row>
    <row r="637" spans="36:40" x14ac:dyDescent="0.3">
      <c r="AJ637" s="46"/>
      <c r="AK637" s="46"/>
      <c r="AL637" s="46"/>
      <c r="AM637" s="46"/>
      <c r="AN637" s="46"/>
    </row>
    <row r="638" spans="36:40" x14ac:dyDescent="0.3">
      <c r="AJ638" s="46"/>
      <c r="AK638" s="46"/>
      <c r="AL638" s="46"/>
      <c r="AM638" s="46"/>
      <c r="AN638" s="46"/>
    </row>
    <row r="639" spans="36:40" x14ac:dyDescent="0.3">
      <c r="AJ639" s="46"/>
      <c r="AK639" s="46"/>
      <c r="AL639" s="46"/>
      <c r="AM639" s="46"/>
      <c r="AN639" s="46"/>
    </row>
    <row r="640" spans="36:40" x14ac:dyDescent="0.3">
      <c r="AJ640" s="46"/>
      <c r="AK640" s="46"/>
      <c r="AL640" s="46"/>
      <c r="AM640" s="46"/>
      <c r="AN640" s="46"/>
    </row>
    <row r="641" spans="36:40" x14ac:dyDescent="0.3">
      <c r="AJ641" s="46"/>
      <c r="AK641" s="46"/>
      <c r="AL641" s="46"/>
      <c r="AM641" s="46"/>
      <c r="AN641" s="46"/>
    </row>
    <row r="642" spans="36:40" x14ac:dyDescent="0.3">
      <c r="AJ642" s="46"/>
      <c r="AK642" s="46"/>
      <c r="AL642" s="46"/>
      <c r="AM642" s="46"/>
      <c r="AN642" s="46"/>
    </row>
    <row r="643" spans="36:40" x14ac:dyDescent="0.3">
      <c r="AJ643" s="46"/>
      <c r="AK643" s="46"/>
      <c r="AL643" s="46"/>
      <c r="AM643" s="46"/>
      <c r="AN643" s="46"/>
    </row>
    <row r="644" spans="36:40" x14ac:dyDescent="0.3">
      <c r="AJ644" s="46"/>
      <c r="AK644" s="46"/>
      <c r="AL644" s="46"/>
      <c r="AM644" s="46"/>
      <c r="AN644" s="46"/>
    </row>
    <row r="645" spans="36:40" x14ac:dyDescent="0.3">
      <c r="AJ645" s="46"/>
      <c r="AK645" s="46"/>
      <c r="AL645" s="46"/>
      <c r="AM645" s="46"/>
      <c r="AN645" s="46"/>
    </row>
    <row r="646" spans="36:40" x14ac:dyDescent="0.3">
      <c r="AJ646" s="46"/>
      <c r="AK646" s="46"/>
      <c r="AL646" s="46"/>
      <c r="AM646" s="46"/>
      <c r="AN646" s="46"/>
    </row>
    <row r="647" spans="36:40" x14ac:dyDescent="0.3">
      <c r="AJ647" s="46"/>
      <c r="AK647" s="46"/>
      <c r="AL647" s="46"/>
      <c r="AM647" s="46"/>
      <c r="AN647" s="46"/>
    </row>
    <row r="648" spans="36:40" x14ac:dyDescent="0.3">
      <c r="AJ648" s="46"/>
      <c r="AK648" s="46"/>
      <c r="AL648" s="46"/>
      <c r="AM648" s="46"/>
      <c r="AN648" s="46"/>
    </row>
    <row r="649" spans="36:40" x14ac:dyDescent="0.3">
      <c r="AJ649" s="46"/>
      <c r="AK649" s="46"/>
      <c r="AL649" s="46"/>
      <c r="AM649" s="46"/>
      <c r="AN649" s="46"/>
    </row>
    <row r="650" spans="36:40" x14ac:dyDescent="0.3">
      <c r="AJ650" s="46"/>
      <c r="AK650" s="46"/>
      <c r="AL650" s="46"/>
      <c r="AM650" s="46"/>
      <c r="AN650" s="46"/>
    </row>
    <row r="651" spans="36:40" x14ac:dyDescent="0.3">
      <c r="AJ651" s="46"/>
      <c r="AK651" s="46"/>
      <c r="AL651" s="46"/>
      <c r="AM651" s="46"/>
      <c r="AN651" s="46"/>
    </row>
    <row r="652" spans="36:40" x14ac:dyDescent="0.3">
      <c r="AJ652" s="46"/>
      <c r="AK652" s="46"/>
      <c r="AL652" s="46"/>
      <c r="AM652" s="46"/>
      <c r="AN652" s="46"/>
    </row>
    <row r="653" spans="36:40" x14ac:dyDescent="0.3">
      <c r="AJ653" s="46"/>
      <c r="AK653" s="46"/>
      <c r="AL653" s="46"/>
      <c r="AM653" s="46"/>
      <c r="AN653" s="46"/>
    </row>
    <row r="654" spans="36:40" x14ac:dyDescent="0.3">
      <c r="AJ654" s="46"/>
      <c r="AK654" s="46"/>
      <c r="AL654" s="46"/>
      <c r="AM654" s="46"/>
      <c r="AN654" s="46"/>
    </row>
    <row r="655" spans="36:40" x14ac:dyDescent="0.3">
      <c r="AJ655" s="46"/>
      <c r="AK655" s="46"/>
      <c r="AL655" s="46"/>
      <c r="AM655" s="46"/>
      <c r="AN655" s="46"/>
    </row>
    <row r="656" spans="36:40" x14ac:dyDescent="0.3">
      <c r="AJ656" s="46"/>
      <c r="AK656" s="46"/>
      <c r="AL656" s="46"/>
      <c r="AM656" s="46"/>
      <c r="AN656" s="46"/>
    </row>
    <row r="657" spans="36:40" x14ac:dyDescent="0.3">
      <c r="AJ657" s="46"/>
      <c r="AK657" s="46"/>
      <c r="AL657" s="46"/>
      <c r="AM657" s="46"/>
      <c r="AN657" s="46"/>
    </row>
    <row r="658" spans="36:40" x14ac:dyDescent="0.3">
      <c r="AJ658" s="46"/>
      <c r="AK658" s="46"/>
      <c r="AL658" s="46"/>
      <c r="AM658" s="46"/>
      <c r="AN658" s="46"/>
    </row>
    <row r="659" spans="36:40" x14ac:dyDescent="0.3">
      <c r="AJ659" s="46"/>
      <c r="AK659" s="46"/>
      <c r="AL659" s="46"/>
      <c r="AM659" s="46"/>
      <c r="AN659" s="46"/>
    </row>
    <row r="660" spans="36:40" x14ac:dyDescent="0.3">
      <c r="AJ660" s="46"/>
      <c r="AK660" s="46"/>
      <c r="AL660" s="46"/>
      <c r="AM660" s="46"/>
      <c r="AN660" s="46"/>
    </row>
    <row r="661" spans="36:40" x14ac:dyDescent="0.3">
      <c r="AJ661" s="46"/>
      <c r="AK661" s="46"/>
      <c r="AL661" s="46"/>
      <c r="AM661" s="46"/>
      <c r="AN661" s="46"/>
    </row>
    <row r="662" spans="36:40" x14ac:dyDescent="0.3">
      <c r="AJ662" s="46"/>
      <c r="AK662" s="46"/>
      <c r="AL662" s="46"/>
      <c r="AM662" s="46"/>
      <c r="AN662" s="46"/>
    </row>
    <row r="663" spans="36:40" x14ac:dyDescent="0.3">
      <c r="AJ663" s="46"/>
      <c r="AK663" s="46"/>
      <c r="AL663" s="46"/>
      <c r="AM663" s="46"/>
      <c r="AN663" s="46"/>
    </row>
    <row r="664" spans="36:40" x14ac:dyDescent="0.3">
      <c r="AJ664" s="46"/>
      <c r="AK664" s="46"/>
      <c r="AL664" s="46"/>
      <c r="AM664" s="46"/>
      <c r="AN664" s="46"/>
    </row>
    <row r="665" spans="36:40" x14ac:dyDescent="0.3">
      <c r="AJ665" s="46"/>
      <c r="AK665" s="46"/>
      <c r="AL665" s="46"/>
      <c r="AM665" s="46"/>
      <c r="AN665" s="46"/>
    </row>
    <row r="666" spans="36:40" x14ac:dyDescent="0.3">
      <c r="AJ666" s="46"/>
      <c r="AK666" s="46"/>
      <c r="AL666" s="46"/>
      <c r="AM666" s="46"/>
      <c r="AN666" s="46"/>
    </row>
    <row r="667" spans="36:40" x14ac:dyDescent="0.3">
      <c r="AJ667" s="46"/>
      <c r="AK667" s="46"/>
      <c r="AL667" s="46"/>
      <c r="AM667" s="46"/>
      <c r="AN667" s="46"/>
    </row>
    <row r="668" spans="36:40" x14ac:dyDescent="0.3">
      <c r="AJ668" s="46"/>
      <c r="AK668" s="46"/>
      <c r="AL668" s="46"/>
      <c r="AM668" s="46"/>
      <c r="AN668" s="46"/>
    </row>
    <row r="669" spans="36:40" x14ac:dyDescent="0.3">
      <c r="AJ669" s="46"/>
      <c r="AK669" s="46"/>
      <c r="AL669" s="46"/>
      <c r="AM669" s="46"/>
      <c r="AN669" s="46"/>
    </row>
    <row r="670" spans="36:40" x14ac:dyDescent="0.3">
      <c r="AJ670" s="46"/>
      <c r="AK670" s="46"/>
      <c r="AL670" s="46"/>
      <c r="AM670" s="46"/>
      <c r="AN670" s="46"/>
    </row>
    <row r="671" spans="36:40" x14ac:dyDescent="0.3">
      <c r="AJ671" s="46"/>
      <c r="AK671" s="46"/>
      <c r="AL671" s="46"/>
      <c r="AM671" s="46"/>
      <c r="AN671" s="46"/>
    </row>
    <row r="672" spans="36:40" x14ac:dyDescent="0.3">
      <c r="AJ672" s="46"/>
      <c r="AK672" s="46"/>
      <c r="AL672" s="46"/>
      <c r="AM672" s="46"/>
      <c r="AN672" s="46"/>
    </row>
    <row r="673" spans="36:40" x14ac:dyDescent="0.3">
      <c r="AJ673" s="46"/>
      <c r="AK673" s="46"/>
      <c r="AL673" s="46"/>
      <c r="AM673" s="46"/>
      <c r="AN673" s="46"/>
    </row>
    <row r="674" spans="36:40" x14ac:dyDescent="0.3">
      <c r="AJ674" s="46"/>
      <c r="AK674" s="46"/>
      <c r="AL674" s="46"/>
      <c r="AM674" s="46"/>
      <c r="AN674" s="46"/>
    </row>
    <row r="675" spans="36:40" x14ac:dyDescent="0.3">
      <c r="AJ675" s="46"/>
      <c r="AK675" s="46"/>
      <c r="AL675" s="46"/>
      <c r="AM675" s="46"/>
      <c r="AN675" s="46"/>
    </row>
    <row r="676" spans="36:40" x14ac:dyDescent="0.3">
      <c r="AJ676" s="46"/>
      <c r="AK676" s="46"/>
      <c r="AL676" s="46"/>
      <c r="AM676" s="46"/>
      <c r="AN676" s="46"/>
    </row>
    <row r="677" spans="36:40" x14ac:dyDescent="0.3">
      <c r="AJ677" s="46"/>
      <c r="AK677" s="46"/>
      <c r="AL677" s="46"/>
      <c r="AM677" s="46"/>
      <c r="AN677" s="46"/>
    </row>
    <row r="678" spans="36:40" x14ac:dyDescent="0.3">
      <c r="AJ678" s="46"/>
      <c r="AK678" s="46"/>
      <c r="AL678" s="46"/>
      <c r="AM678" s="46"/>
      <c r="AN678" s="46"/>
    </row>
    <row r="679" spans="36:40" x14ac:dyDescent="0.3">
      <c r="AJ679" s="46"/>
      <c r="AK679" s="46"/>
      <c r="AL679" s="46"/>
      <c r="AM679" s="46"/>
      <c r="AN679" s="46"/>
    </row>
    <row r="680" spans="36:40" x14ac:dyDescent="0.3">
      <c r="AJ680" s="46"/>
      <c r="AK680" s="46"/>
      <c r="AL680" s="46"/>
      <c r="AM680" s="46"/>
      <c r="AN680" s="46"/>
    </row>
    <row r="681" spans="36:40" x14ac:dyDescent="0.3">
      <c r="AJ681" s="46"/>
      <c r="AK681" s="46"/>
      <c r="AL681" s="46"/>
      <c r="AM681" s="46"/>
      <c r="AN681" s="46"/>
    </row>
    <row r="682" spans="36:40" x14ac:dyDescent="0.3">
      <c r="AJ682" s="46"/>
      <c r="AK682" s="46"/>
      <c r="AL682" s="46"/>
      <c r="AM682" s="46"/>
      <c r="AN682" s="46"/>
    </row>
    <row r="683" spans="36:40" x14ac:dyDescent="0.3">
      <c r="AJ683" s="46"/>
      <c r="AK683" s="46"/>
      <c r="AL683" s="46"/>
      <c r="AM683" s="46"/>
      <c r="AN683" s="46"/>
    </row>
    <row r="684" spans="36:40" x14ac:dyDescent="0.3">
      <c r="AJ684" s="46"/>
      <c r="AK684" s="46"/>
      <c r="AL684" s="46"/>
      <c r="AM684" s="46"/>
      <c r="AN684" s="46"/>
    </row>
    <row r="685" spans="36:40" x14ac:dyDescent="0.3">
      <c r="AJ685" s="46"/>
      <c r="AK685" s="46"/>
      <c r="AL685" s="46"/>
      <c r="AM685" s="46"/>
      <c r="AN685" s="46"/>
    </row>
    <row r="686" spans="36:40" x14ac:dyDescent="0.3">
      <c r="AJ686" s="46"/>
      <c r="AK686" s="46"/>
      <c r="AL686" s="46"/>
      <c r="AM686" s="46"/>
      <c r="AN686" s="46"/>
    </row>
    <row r="687" spans="36:40" x14ac:dyDescent="0.3">
      <c r="AJ687" s="46"/>
      <c r="AK687" s="46"/>
      <c r="AL687" s="46"/>
      <c r="AM687" s="46"/>
      <c r="AN687" s="46"/>
    </row>
    <row r="688" spans="36:40" x14ac:dyDescent="0.3">
      <c r="AJ688" s="46"/>
      <c r="AK688" s="46"/>
      <c r="AL688" s="46"/>
      <c r="AM688" s="46"/>
      <c r="AN688" s="46"/>
    </row>
    <row r="689" spans="36:40" x14ac:dyDescent="0.3">
      <c r="AJ689" s="46"/>
      <c r="AK689" s="46"/>
      <c r="AL689" s="46"/>
      <c r="AM689" s="46"/>
      <c r="AN689" s="46"/>
    </row>
    <row r="690" spans="36:40" x14ac:dyDescent="0.3">
      <c r="AJ690" s="46"/>
      <c r="AK690" s="46"/>
      <c r="AL690" s="46"/>
      <c r="AM690" s="46"/>
      <c r="AN690" s="46"/>
    </row>
    <row r="691" spans="36:40" x14ac:dyDescent="0.3">
      <c r="AJ691" s="46"/>
      <c r="AK691" s="46"/>
      <c r="AL691" s="46"/>
      <c r="AM691" s="46"/>
      <c r="AN691" s="46"/>
    </row>
    <row r="692" spans="36:40" x14ac:dyDescent="0.3">
      <c r="AJ692" s="46"/>
      <c r="AK692" s="46"/>
      <c r="AL692" s="46"/>
      <c r="AM692" s="46"/>
      <c r="AN692" s="46"/>
    </row>
    <row r="693" spans="36:40" x14ac:dyDescent="0.3">
      <c r="AJ693" s="46"/>
      <c r="AK693" s="46"/>
      <c r="AL693" s="46"/>
      <c r="AM693" s="46"/>
      <c r="AN693" s="46"/>
    </row>
    <row r="694" spans="36:40" x14ac:dyDescent="0.3">
      <c r="AJ694" s="46"/>
      <c r="AK694" s="46"/>
      <c r="AL694" s="46"/>
      <c r="AM694" s="46"/>
      <c r="AN694" s="46"/>
    </row>
    <row r="695" spans="36:40" x14ac:dyDescent="0.3">
      <c r="AJ695" s="46"/>
      <c r="AK695" s="46"/>
      <c r="AL695" s="46"/>
      <c r="AM695" s="46"/>
      <c r="AN695" s="46"/>
    </row>
    <row r="696" spans="36:40" x14ac:dyDescent="0.3">
      <c r="AJ696" s="46"/>
      <c r="AK696" s="46"/>
      <c r="AL696" s="46"/>
      <c r="AM696" s="46"/>
      <c r="AN696" s="46"/>
    </row>
    <row r="697" spans="36:40" x14ac:dyDescent="0.3">
      <c r="AJ697" s="46"/>
      <c r="AK697" s="46"/>
      <c r="AL697" s="46"/>
      <c r="AM697" s="46"/>
      <c r="AN697" s="46"/>
    </row>
    <row r="698" spans="36:40" x14ac:dyDescent="0.3">
      <c r="AJ698" s="46"/>
      <c r="AK698" s="46"/>
      <c r="AL698" s="46"/>
      <c r="AM698" s="46"/>
      <c r="AN698" s="46"/>
    </row>
    <row r="699" spans="36:40" x14ac:dyDescent="0.3">
      <c r="AJ699" s="46"/>
      <c r="AK699" s="46"/>
      <c r="AL699" s="46"/>
      <c r="AM699" s="46"/>
      <c r="AN699" s="46"/>
    </row>
    <row r="700" spans="36:40" x14ac:dyDescent="0.3">
      <c r="AJ700" s="46"/>
      <c r="AK700" s="46"/>
      <c r="AL700" s="46"/>
      <c r="AM700" s="46"/>
      <c r="AN700" s="46"/>
    </row>
    <row r="701" spans="36:40" x14ac:dyDescent="0.3">
      <c r="AJ701" s="46"/>
      <c r="AK701" s="46"/>
      <c r="AL701" s="46"/>
      <c r="AM701" s="46"/>
      <c r="AN701" s="46"/>
    </row>
    <row r="702" spans="36:40" x14ac:dyDescent="0.3">
      <c r="AJ702" s="46"/>
      <c r="AK702" s="46"/>
      <c r="AL702" s="46"/>
      <c r="AM702" s="46"/>
      <c r="AN702" s="46"/>
    </row>
    <row r="703" spans="36:40" x14ac:dyDescent="0.3">
      <c r="AJ703" s="46"/>
      <c r="AK703" s="46"/>
      <c r="AL703" s="46"/>
      <c r="AM703" s="46"/>
      <c r="AN703" s="46"/>
    </row>
    <row r="704" spans="36:40" x14ac:dyDescent="0.3">
      <c r="AJ704" s="46"/>
      <c r="AK704" s="46"/>
      <c r="AL704" s="46"/>
      <c r="AM704" s="46"/>
      <c r="AN704" s="46"/>
    </row>
    <row r="705" spans="36:40" x14ac:dyDescent="0.3">
      <c r="AJ705" s="46"/>
      <c r="AK705" s="46"/>
      <c r="AL705" s="46"/>
      <c r="AM705" s="46"/>
      <c r="AN705" s="46"/>
    </row>
    <row r="706" spans="36:40" x14ac:dyDescent="0.3">
      <c r="AJ706" s="46"/>
      <c r="AK706" s="46"/>
      <c r="AL706" s="46"/>
      <c r="AM706" s="46"/>
      <c r="AN706" s="46"/>
    </row>
    <row r="707" spans="36:40" x14ac:dyDescent="0.3">
      <c r="AJ707" s="46"/>
      <c r="AK707" s="46"/>
      <c r="AL707" s="46"/>
      <c r="AM707" s="46"/>
      <c r="AN707" s="46"/>
    </row>
    <row r="708" spans="36:40" x14ac:dyDescent="0.3">
      <c r="AJ708" s="46"/>
      <c r="AK708" s="46"/>
      <c r="AL708" s="46"/>
      <c r="AM708" s="46"/>
      <c r="AN708" s="46"/>
    </row>
    <row r="709" spans="36:40" x14ac:dyDescent="0.3">
      <c r="AJ709" s="46"/>
      <c r="AK709" s="46"/>
      <c r="AL709" s="46"/>
      <c r="AM709" s="46"/>
      <c r="AN709" s="46"/>
    </row>
    <row r="710" spans="36:40" x14ac:dyDescent="0.3">
      <c r="AJ710" s="46"/>
      <c r="AK710" s="46"/>
      <c r="AL710" s="46"/>
      <c r="AM710" s="46"/>
      <c r="AN710" s="46"/>
    </row>
    <row r="711" spans="36:40" x14ac:dyDescent="0.3">
      <c r="AJ711" s="46"/>
      <c r="AK711" s="46"/>
      <c r="AL711" s="46"/>
      <c r="AM711" s="46"/>
      <c r="AN711" s="46"/>
    </row>
    <row r="712" spans="36:40" x14ac:dyDescent="0.3">
      <c r="AJ712" s="46"/>
      <c r="AK712" s="46"/>
      <c r="AL712" s="46"/>
      <c r="AM712" s="46"/>
      <c r="AN712" s="46"/>
    </row>
    <row r="713" spans="36:40" x14ac:dyDescent="0.3">
      <c r="AJ713" s="46"/>
      <c r="AK713" s="46"/>
      <c r="AL713" s="46"/>
      <c r="AM713" s="46"/>
      <c r="AN713" s="46"/>
    </row>
    <row r="714" spans="36:40" x14ac:dyDescent="0.3">
      <c r="AJ714" s="46"/>
      <c r="AK714" s="46"/>
      <c r="AL714" s="46"/>
      <c r="AM714" s="46"/>
      <c r="AN714" s="46"/>
    </row>
    <row r="715" spans="36:40" x14ac:dyDescent="0.3">
      <c r="AJ715" s="46"/>
      <c r="AK715" s="46"/>
      <c r="AL715" s="46"/>
      <c r="AM715" s="46"/>
      <c r="AN715" s="46"/>
    </row>
    <row r="716" spans="36:40" x14ac:dyDescent="0.3">
      <c r="AJ716" s="46"/>
      <c r="AK716" s="46"/>
      <c r="AL716" s="46"/>
      <c r="AM716" s="46"/>
      <c r="AN716" s="46"/>
    </row>
    <row r="717" spans="36:40" x14ac:dyDescent="0.3">
      <c r="AJ717" s="46"/>
      <c r="AK717" s="46"/>
      <c r="AL717" s="46"/>
      <c r="AM717" s="46"/>
      <c r="AN717" s="46"/>
    </row>
    <row r="718" spans="36:40" x14ac:dyDescent="0.3">
      <c r="AJ718" s="46"/>
      <c r="AK718" s="46"/>
      <c r="AL718" s="46"/>
      <c r="AM718" s="46"/>
      <c r="AN718" s="46"/>
    </row>
    <row r="719" spans="36:40" x14ac:dyDescent="0.3">
      <c r="AJ719" s="46"/>
      <c r="AK719" s="46"/>
      <c r="AL719" s="46"/>
      <c r="AM719" s="46"/>
      <c r="AN719" s="46"/>
    </row>
    <row r="720" spans="36:40" x14ac:dyDescent="0.3">
      <c r="AJ720" s="46"/>
      <c r="AK720" s="46"/>
      <c r="AL720" s="46"/>
      <c r="AM720" s="46"/>
      <c r="AN720" s="46"/>
    </row>
    <row r="721" spans="36:40" x14ac:dyDescent="0.3">
      <c r="AJ721" s="46"/>
      <c r="AK721" s="46"/>
      <c r="AL721" s="46"/>
      <c r="AM721" s="46"/>
      <c r="AN721" s="46"/>
    </row>
    <row r="722" spans="36:40" x14ac:dyDescent="0.3">
      <c r="AJ722" s="46"/>
      <c r="AK722" s="46"/>
      <c r="AL722" s="46"/>
      <c r="AM722" s="46"/>
      <c r="AN722" s="46"/>
    </row>
    <row r="723" spans="36:40" x14ac:dyDescent="0.3">
      <c r="AJ723" s="46"/>
      <c r="AK723" s="46"/>
      <c r="AL723" s="46"/>
      <c r="AM723" s="46"/>
      <c r="AN723" s="46"/>
    </row>
    <row r="724" spans="36:40" x14ac:dyDescent="0.3">
      <c r="AJ724" s="46"/>
      <c r="AK724" s="46"/>
      <c r="AL724" s="46"/>
      <c r="AM724" s="46"/>
      <c r="AN724" s="46"/>
    </row>
    <row r="725" spans="36:40" x14ac:dyDescent="0.3">
      <c r="AJ725" s="46"/>
      <c r="AK725" s="46"/>
      <c r="AL725" s="46"/>
      <c r="AM725" s="46"/>
      <c r="AN725" s="46"/>
    </row>
    <row r="726" spans="36:40" x14ac:dyDescent="0.3">
      <c r="AJ726" s="46"/>
      <c r="AK726" s="46"/>
      <c r="AL726" s="46"/>
      <c r="AM726" s="46"/>
      <c r="AN726" s="46"/>
    </row>
    <row r="727" spans="36:40" x14ac:dyDescent="0.3">
      <c r="AJ727" s="46"/>
      <c r="AK727" s="46"/>
      <c r="AL727" s="46"/>
      <c r="AM727" s="46"/>
      <c r="AN727" s="46"/>
    </row>
    <row r="728" spans="36:40" x14ac:dyDescent="0.3">
      <c r="AJ728" s="46"/>
      <c r="AK728" s="46"/>
      <c r="AL728" s="46"/>
      <c r="AM728" s="46"/>
      <c r="AN728" s="46"/>
    </row>
    <row r="729" spans="36:40" x14ac:dyDescent="0.3">
      <c r="AJ729" s="46"/>
      <c r="AK729" s="46"/>
      <c r="AL729" s="46"/>
      <c r="AM729" s="46"/>
      <c r="AN729" s="46"/>
    </row>
    <row r="730" spans="36:40" x14ac:dyDescent="0.3">
      <c r="AJ730" s="46"/>
      <c r="AK730" s="46"/>
      <c r="AL730" s="46"/>
      <c r="AM730" s="46"/>
      <c r="AN730" s="46"/>
    </row>
    <row r="731" spans="36:40" x14ac:dyDescent="0.3">
      <c r="AJ731" s="46"/>
      <c r="AK731" s="46"/>
      <c r="AL731" s="46"/>
      <c r="AM731" s="46"/>
      <c r="AN731" s="46"/>
    </row>
    <row r="732" spans="36:40" x14ac:dyDescent="0.3">
      <c r="AJ732" s="46"/>
      <c r="AK732" s="46"/>
      <c r="AL732" s="46"/>
      <c r="AM732" s="46"/>
      <c r="AN732" s="46"/>
    </row>
    <row r="733" spans="36:40" x14ac:dyDescent="0.3">
      <c r="AJ733" s="46"/>
      <c r="AK733" s="46"/>
      <c r="AL733" s="46"/>
      <c r="AM733" s="46"/>
      <c r="AN733" s="46"/>
    </row>
    <row r="734" spans="36:40" x14ac:dyDescent="0.3">
      <c r="AJ734" s="46"/>
      <c r="AK734" s="46"/>
      <c r="AL734" s="46"/>
      <c r="AM734" s="46"/>
      <c r="AN734" s="46"/>
    </row>
    <row r="735" spans="36:40" x14ac:dyDescent="0.3">
      <c r="AJ735" s="46"/>
      <c r="AK735" s="46"/>
      <c r="AL735" s="46"/>
      <c r="AM735" s="46"/>
      <c r="AN735" s="46"/>
    </row>
    <row r="736" spans="36:40" x14ac:dyDescent="0.3">
      <c r="AJ736" s="46"/>
      <c r="AK736" s="46"/>
      <c r="AL736" s="46"/>
      <c r="AM736" s="46"/>
      <c r="AN736" s="46"/>
    </row>
    <row r="737" spans="36:40" x14ac:dyDescent="0.3">
      <c r="AJ737" s="46"/>
      <c r="AK737" s="46"/>
      <c r="AL737" s="46"/>
      <c r="AM737" s="46"/>
      <c r="AN737" s="46"/>
    </row>
    <row r="738" spans="36:40" x14ac:dyDescent="0.3">
      <c r="AJ738" s="46"/>
      <c r="AK738" s="46"/>
      <c r="AL738" s="46"/>
      <c r="AM738" s="46"/>
      <c r="AN738" s="46"/>
    </row>
    <row r="739" spans="36:40" x14ac:dyDescent="0.3">
      <c r="AJ739" s="46"/>
      <c r="AK739" s="46"/>
      <c r="AL739" s="46"/>
      <c r="AM739" s="46"/>
      <c r="AN739" s="46"/>
    </row>
    <row r="740" spans="36:40" x14ac:dyDescent="0.3">
      <c r="AJ740" s="46"/>
      <c r="AK740" s="46"/>
      <c r="AL740" s="46"/>
      <c r="AM740" s="46"/>
      <c r="AN740" s="46"/>
    </row>
    <row r="741" spans="36:40" x14ac:dyDescent="0.3">
      <c r="AJ741" s="46"/>
      <c r="AK741" s="46"/>
      <c r="AL741" s="46"/>
      <c r="AM741" s="46"/>
      <c r="AN741" s="46"/>
    </row>
    <row r="742" spans="36:40" x14ac:dyDescent="0.3">
      <c r="AJ742" s="46"/>
      <c r="AK742" s="46"/>
      <c r="AL742" s="46"/>
      <c r="AM742" s="46"/>
      <c r="AN742" s="46"/>
    </row>
    <row r="743" spans="36:40" x14ac:dyDescent="0.3">
      <c r="AJ743" s="46"/>
      <c r="AK743" s="46"/>
      <c r="AL743" s="46"/>
      <c r="AM743" s="46"/>
      <c r="AN743" s="46"/>
    </row>
    <row r="744" spans="36:40" x14ac:dyDescent="0.3">
      <c r="AJ744" s="46"/>
      <c r="AK744" s="46"/>
      <c r="AL744" s="46"/>
      <c r="AM744" s="46"/>
      <c r="AN744" s="46"/>
    </row>
    <row r="745" spans="36:40" x14ac:dyDescent="0.3">
      <c r="AJ745" s="46"/>
      <c r="AK745" s="46"/>
      <c r="AL745" s="46"/>
      <c r="AM745" s="46"/>
      <c r="AN745" s="46"/>
    </row>
    <row r="746" spans="36:40" x14ac:dyDescent="0.3">
      <c r="AJ746" s="46"/>
      <c r="AK746" s="46"/>
      <c r="AL746" s="46"/>
      <c r="AM746" s="46"/>
      <c r="AN746" s="46"/>
    </row>
    <row r="747" spans="36:40" x14ac:dyDescent="0.3">
      <c r="AJ747" s="46"/>
      <c r="AK747" s="46"/>
      <c r="AL747" s="46"/>
      <c r="AM747" s="46"/>
      <c r="AN747" s="46"/>
    </row>
    <row r="748" spans="36:40" x14ac:dyDescent="0.3">
      <c r="AJ748" s="46"/>
      <c r="AK748" s="46"/>
      <c r="AL748" s="46"/>
      <c r="AM748" s="46"/>
      <c r="AN748" s="46"/>
    </row>
    <row r="749" spans="36:40" x14ac:dyDescent="0.3">
      <c r="AJ749" s="46"/>
      <c r="AK749" s="46"/>
      <c r="AL749" s="46"/>
      <c r="AM749" s="46"/>
      <c r="AN749" s="46"/>
    </row>
    <row r="750" spans="36:40" x14ac:dyDescent="0.3">
      <c r="AJ750" s="46"/>
      <c r="AK750" s="46"/>
      <c r="AL750" s="46"/>
      <c r="AM750" s="46"/>
      <c r="AN750" s="46"/>
    </row>
    <row r="751" spans="36:40" x14ac:dyDescent="0.3">
      <c r="AJ751" s="46"/>
      <c r="AK751" s="46"/>
      <c r="AL751" s="46"/>
      <c r="AM751" s="46"/>
      <c r="AN751" s="46"/>
    </row>
    <row r="752" spans="36:40" x14ac:dyDescent="0.3">
      <c r="AJ752" s="46"/>
      <c r="AK752" s="46"/>
      <c r="AL752" s="46"/>
      <c r="AM752" s="46"/>
      <c r="AN752" s="46"/>
    </row>
    <row r="753" spans="36:40" x14ac:dyDescent="0.3">
      <c r="AJ753" s="46"/>
      <c r="AK753" s="46"/>
      <c r="AL753" s="46"/>
      <c r="AM753" s="46"/>
      <c r="AN753" s="46"/>
    </row>
    <row r="754" spans="36:40" x14ac:dyDescent="0.3">
      <c r="AJ754" s="46"/>
      <c r="AK754" s="46"/>
      <c r="AL754" s="46"/>
      <c r="AM754" s="46"/>
      <c r="AN754" s="46"/>
    </row>
    <row r="755" spans="36:40" x14ac:dyDescent="0.3">
      <c r="AJ755" s="46"/>
      <c r="AK755" s="46"/>
      <c r="AL755" s="46"/>
      <c r="AM755" s="46"/>
      <c r="AN755" s="46"/>
    </row>
    <row r="756" spans="36:40" x14ac:dyDescent="0.3">
      <c r="AJ756" s="46"/>
      <c r="AK756" s="46"/>
      <c r="AL756" s="46"/>
      <c r="AM756" s="46"/>
      <c r="AN756" s="46"/>
    </row>
    <row r="757" spans="36:40" x14ac:dyDescent="0.3">
      <c r="AJ757" s="46"/>
      <c r="AK757" s="46"/>
      <c r="AL757" s="46"/>
      <c r="AM757" s="46"/>
      <c r="AN757" s="46"/>
    </row>
    <row r="758" spans="36:40" x14ac:dyDescent="0.3">
      <c r="AJ758" s="46"/>
      <c r="AK758" s="46"/>
      <c r="AL758" s="46"/>
      <c r="AM758" s="46"/>
      <c r="AN758" s="46"/>
    </row>
    <row r="759" spans="36:40" x14ac:dyDescent="0.3">
      <c r="AJ759" s="46"/>
      <c r="AK759" s="46"/>
      <c r="AL759" s="46"/>
      <c r="AM759" s="46"/>
      <c r="AN759" s="46"/>
    </row>
    <row r="760" spans="36:40" x14ac:dyDescent="0.3">
      <c r="AJ760" s="46"/>
      <c r="AK760" s="46"/>
      <c r="AL760" s="46"/>
      <c r="AM760" s="46"/>
      <c r="AN760" s="46"/>
    </row>
    <row r="761" spans="36:40" x14ac:dyDescent="0.3">
      <c r="AJ761" s="46"/>
      <c r="AK761" s="46"/>
      <c r="AL761" s="46"/>
      <c r="AM761" s="46"/>
      <c r="AN761" s="46"/>
    </row>
    <row r="762" spans="36:40" x14ac:dyDescent="0.3">
      <c r="AJ762" s="46"/>
      <c r="AK762" s="46"/>
      <c r="AL762" s="46"/>
      <c r="AM762" s="46"/>
      <c r="AN762" s="46"/>
    </row>
    <row r="763" spans="36:40" x14ac:dyDescent="0.3">
      <c r="AJ763" s="46"/>
      <c r="AK763" s="46"/>
      <c r="AL763" s="46"/>
      <c r="AM763" s="46"/>
      <c r="AN763" s="46"/>
    </row>
    <row r="764" spans="36:40" x14ac:dyDescent="0.3">
      <c r="AJ764" s="46"/>
      <c r="AK764" s="46"/>
      <c r="AL764" s="46"/>
      <c r="AM764" s="46"/>
      <c r="AN764" s="46"/>
    </row>
    <row r="765" spans="36:40" x14ac:dyDescent="0.3">
      <c r="AJ765" s="46"/>
      <c r="AK765" s="46"/>
      <c r="AL765" s="46"/>
      <c r="AM765" s="46"/>
      <c r="AN765" s="46"/>
    </row>
    <row r="766" spans="36:40" x14ac:dyDescent="0.3">
      <c r="AJ766" s="46"/>
      <c r="AK766" s="46"/>
      <c r="AL766" s="46"/>
      <c r="AM766" s="46"/>
      <c r="AN766" s="46"/>
    </row>
    <row r="767" spans="36:40" x14ac:dyDescent="0.3">
      <c r="AJ767" s="46"/>
      <c r="AK767" s="46"/>
      <c r="AL767" s="46"/>
      <c r="AM767" s="46"/>
      <c r="AN767" s="46"/>
    </row>
    <row r="768" spans="36:40" x14ac:dyDescent="0.3">
      <c r="AJ768" s="46"/>
      <c r="AK768" s="46"/>
      <c r="AL768" s="46"/>
      <c r="AM768" s="46"/>
      <c r="AN768" s="46"/>
    </row>
    <row r="769" spans="36:40" x14ac:dyDescent="0.3">
      <c r="AJ769" s="46"/>
      <c r="AK769" s="46"/>
      <c r="AL769" s="46"/>
      <c r="AM769" s="46"/>
      <c r="AN769" s="46"/>
    </row>
    <row r="770" spans="36:40" x14ac:dyDescent="0.3">
      <c r="AJ770" s="46"/>
      <c r="AK770" s="46"/>
      <c r="AL770" s="46"/>
      <c r="AM770" s="46"/>
      <c r="AN770" s="46"/>
    </row>
    <row r="771" spans="36:40" x14ac:dyDescent="0.3">
      <c r="AJ771" s="46"/>
      <c r="AK771" s="46"/>
      <c r="AL771" s="46"/>
      <c r="AM771" s="46"/>
      <c r="AN771" s="46"/>
    </row>
    <row r="772" spans="36:40" x14ac:dyDescent="0.3">
      <c r="AJ772" s="46"/>
      <c r="AK772" s="46"/>
      <c r="AL772" s="46"/>
      <c r="AM772" s="46"/>
      <c r="AN772" s="46"/>
    </row>
    <row r="773" spans="36:40" x14ac:dyDescent="0.3">
      <c r="AJ773" s="46"/>
      <c r="AK773" s="46"/>
      <c r="AL773" s="46"/>
      <c r="AM773" s="46"/>
      <c r="AN773" s="46"/>
    </row>
    <row r="774" spans="36:40" x14ac:dyDescent="0.3">
      <c r="AJ774" s="46"/>
      <c r="AK774" s="46"/>
      <c r="AL774" s="46"/>
      <c r="AM774" s="46"/>
      <c r="AN774" s="46"/>
    </row>
    <row r="775" spans="36:40" x14ac:dyDescent="0.3">
      <c r="AJ775" s="46"/>
      <c r="AK775" s="46"/>
      <c r="AL775" s="46"/>
      <c r="AM775" s="46"/>
      <c r="AN775" s="46"/>
    </row>
    <row r="776" spans="36:40" x14ac:dyDescent="0.3">
      <c r="AJ776" s="46"/>
      <c r="AK776" s="46"/>
      <c r="AL776" s="46"/>
      <c r="AM776" s="46"/>
      <c r="AN776" s="46"/>
    </row>
    <row r="777" spans="36:40" x14ac:dyDescent="0.3">
      <c r="AJ777" s="46"/>
      <c r="AK777" s="46"/>
      <c r="AL777" s="46"/>
      <c r="AM777" s="46"/>
      <c r="AN777" s="46"/>
    </row>
    <row r="778" spans="36:40" x14ac:dyDescent="0.3">
      <c r="AJ778" s="46"/>
      <c r="AK778" s="46"/>
      <c r="AL778" s="46"/>
      <c r="AM778" s="46"/>
      <c r="AN778" s="46"/>
    </row>
    <row r="779" spans="36:40" x14ac:dyDescent="0.3">
      <c r="AJ779" s="46"/>
      <c r="AK779" s="46"/>
      <c r="AL779" s="46"/>
      <c r="AM779" s="46"/>
      <c r="AN779" s="46"/>
    </row>
    <row r="780" spans="36:40" x14ac:dyDescent="0.3">
      <c r="AJ780" s="46"/>
      <c r="AK780" s="46"/>
      <c r="AL780" s="46"/>
      <c r="AM780" s="46"/>
      <c r="AN780" s="46"/>
    </row>
    <row r="781" spans="36:40" x14ac:dyDescent="0.3">
      <c r="AJ781" s="46"/>
      <c r="AK781" s="46"/>
      <c r="AL781" s="46"/>
      <c r="AM781" s="46"/>
      <c r="AN781" s="46"/>
    </row>
    <row r="782" spans="36:40" x14ac:dyDescent="0.3">
      <c r="AJ782" s="46"/>
      <c r="AK782" s="46"/>
      <c r="AL782" s="46"/>
      <c r="AM782" s="46"/>
      <c r="AN782" s="46"/>
    </row>
    <row r="783" spans="36:40" x14ac:dyDescent="0.3">
      <c r="AJ783" s="46"/>
      <c r="AK783" s="46"/>
      <c r="AL783" s="46"/>
      <c r="AM783" s="46"/>
      <c r="AN783" s="46"/>
    </row>
    <row r="784" spans="36:40" x14ac:dyDescent="0.3">
      <c r="AJ784" s="46"/>
      <c r="AK784" s="46"/>
      <c r="AL784" s="46"/>
      <c r="AM784" s="46"/>
      <c r="AN784" s="46"/>
    </row>
    <row r="785" spans="36:40" x14ac:dyDescent="0.3">
      <c r="AJ785" s="46"/>
      <c r="AK785" s="46"/>
      <c r="AL785" s="46"/>
      <c r="AM785" s="46"/>
      <c r="AN785" s="46"/>
    </row>
    <row r="786" spans="36:40" x14ac:dyDescent="0.3">
      <c r="AJ786" s="46"/>
      <c r="AK786" s="46"/>
      <c r="AL786" s="46"/>
      <c r="AM786" s="46"/>
      <c r="AN786" s="46"/>
    </row>
    <row r="787" spans="36:40" x14ac:dyDescent="0.3">
      <c r="AJ787" s="46"/>
      <c r="AK787" s="46"/>
      <c r="AL787" s="46"/>
      <c r="AM787" s="46"/>
      <c r="AN787" s="46"/>
    </row>
    <row r="788" spans="36:40" x14ac:dyDescent="0.3">
      <c r="AJ788" s="46"/>
      <c r="AK788" s="46"/>
      <c r="AL788" s="46"/>
      <c r="AM788" s="46"/>
      <c r="AN788" s="46"/>
    </row>
    <row r="789" spans="36:40" x14ac:dyDescent="0.3">
      <c r="AJ789" s="46"/>
      <c r="AK789" s="46"/>
      <c r="AL789" s="46"/>
      <c r="AM789" s="46"/>
      <c r="AN789" s="46"/>
    </row>
    <row r="790" spans="36:40" x14ac:dyDescent="0.3">
      <c r="AJ790" s="46"/>
      <c r="AK790" s="46"/>
      <c r="AL790" s="46"/>
      <c r="AM790" s="46"/>
      <c r="AN790" s="46"/>
    </row>
    <row r="791" spans="36:40" x14ac:dyDescent="0.3">
      <c r="AJ791" s="46"/>
      <c r="AK791" s="46"/>
      <c r="AL791" s="46"/>
      <c r="AM791" s="46"/>
      <c r="AN791" s="46"/>
    </row>
    <row r="792" spans="36:40" x14ac:dyDescent="0.3">
      <c r="AJ792" s="46"/>
      <c r="AK792" s="46"/>
      <c r="AL792" s="46"/>
      <c r="AM792" s="46"/>
      <c r="AN792" s="46"/>
    </row>
    <row r="793" spans="36:40" x14ac:dyDescent="0.3">
      <c r="AJ793" s="46"/>
      <c r="AK793" s="46"/>
      <c r="AL793" s="46"/>
      <c r="AM793" s="46"/>
      <c r="AN793" s="46"/>
    </row>
    <row r="794" spans="36:40" x14ac:dyDescent="0.3">
      <c r="AJ794" s="46"/>
      <c r="AK794" s="46"/>
      <c r="AL794" s="46"/>
      <c r="AM794" s="46"/>
      <c r="AN794" s="46"/>
    </row>
    <row r="795" spans="36:40" x14ac:dyDescent="0.3">
      <c r="AJ795" s="46"/>
      <c r="AK795" s="46"/>
      <c r="AL795" s="46"/>
      <c r="AM795" s="46"/>
      <c r="AN795" s="46"/>
    </row>
    <row r="796" spans="36:40" x14ac:dyDescent="0.3">
      <c r="AJ796" s="46"/>
      <c r="AK796" s="46"/>
      <c r="AL796" s="46"/>
      <c r="AM796" s="46"/>
      <c r="AN796" s="46"/>
    </row>
    <row r="797" spans="36:40" x14ac:dyDescent="0.3">
      <c r="AJ797" s="46"/>
      <c r="AK797" s="46"/>
      <c r="AL797" s="46"/>
      <c r="AM797" s="46"/>
      <c r="AN797" s="46"/>
    </row>
    <row r="798" spans="36:40" x14ac:dyDescent="0.3">
      <c r="AJ798" s="46"/>
      <c r="AK798" s="46"/>
      <c r="AL798" s="46"/>
      <c r="AM798" s="46"/>
      <c r="AN798" s="46"/>
    </row>
    <row r="799" spans="36:40" x14ac:dyDescent="0.3">
      <c r="AJ799" s="46"/>
      <c r="AK799" s="46"/>
      <c r="AL799" s="46"/>
      <c r="AM799" s="46"/>
      <c r="AN799" s="46"/>
    </row>
    <row r="800" spans="36:40" x14ac:dyDescent="0.3">
      <c r="AJ800" s="46"/>
      <c r="AK800" s="46"/>
      <c r="AL800" s="46"/>
      <c r="AM800" s="46"/>
      <c r="AN800" s="46"/>
    </row>
    <row r="801" spans="36:40" x14ac:dyDescent="0.3">
      <c r="AJ801" s="46"/>
      <c r="AK801" s="46"/>
      <c r="AL801" s="46"/>
      <c r="AM801" s="46"/>
      <c r="AN801" s="46"/>
    </row>
    <row r="802" spans="36:40" x14ac:dyDescent="0.3">
      <c r="AJ802" s="46"/>
      <c r="AK802" s="46"/>
      <c r="AL802" s="46"/>
      <c r="AM802" s="46"/>
      <c r="AN802" s="46"/>
    </row>
    <row r="803" spans="36:40" x14ac:dyDescent="0.3">
      <c r="AJ803" s="46"/>
      <c r="AK803" s="46"/>
      <c r="AL803" s="46"/>
      <c r="AM803" s="46"/>
      <c r="AN803" s="46"/>
    </row>
    <row r="804" spans="36:40" x14ac:dyDescent="0.3">
      <c r="AJ804" s="46"/>
      <c r="AK804" s="46"/>
      <c r="AL804" s="46"/>
      <c r="AM804" s="46"/>
      <c r="AN804" s="46"/>
    </row>
    <row r="805" spans="36:40" x14ac:dyDescent="0.3">
      <c r="AJ805" s="46"/>
      <c r="AK805" s="46"/>
      <c r="AL805" s="46"/>
      <c r="AM805" s="46"/>
      <c r="AN805" s="46"/>
    </row>
    <row r="806" spans="36:40" x14ac:dyDescent="0.3">
      <c r="AJ806" s="46"/>
      <c r="AK806" s="46"/>
      <c r="AL806" s="46"/>
      <c r="AM806" s="46"/>
      <c r="AN806" s="46"/>
    </row>
    <row r="807" spans="36:40" x14ac:dyDescent="0.3">
      <c r="AJ807" s="46"/>
      <c r="AK807" s="46"/>
      <c r="AL807" s="46"/>
      <c r="AM807" s="46"/>
      <c r="AN807" s="46"/>
    </row>
    <row r="808" spans="36:40" x14ac:dyDescent="0.3">
      <c r="AJ808" s="46"/>
      <c r="AK808" s="46"/>
      <c r="AL808" s="46"/>
      <c r="AM808" s="46"/>
      <c r="AN808" s="46"/>
    </row>
    <row r="809" spans="36:40" x14ac:dyDescent="0.3">
      <c r="AJ809" s="46"/>
      <c r="AK809" s="46"/>
      <c r="AL809" s="46"/>
      <c r="AM809" s="46"/>
      <c r="AN809" s="46"/>
    </row>
    <row r="810" spans="36:40" x14ac:dyDescent="0.3">
      <c r="AJ810" s="46"/>
      <c r="AK810" s="46"/>
      <c r="AL810" s="46"/>
      <c r="AM810" s="46"/>
      <c r="AN810" s="46"/>
    </row>
    <row r="811" spans="36:40" x14ac:dyDescent="0.3">
      <c r="AJ811" s="46"/>
      <c r="AK811" s="46"/>
      <c r="AL811" s="46"/>
      <c r="AM811" s="46"/>
      <c r="AN811" s="46"/>
    </row>
    <row r="812" spans="36:40" x14ac:dyDescent="0.3">
      <c r="AJ812" s="46"/>
      <c r="AK812" s="46"/>
      <c r="AL812" s="46"/>
      <c r="AM812" s="46"/>
      <c r="AN812" s="46"/>
    </row>
    <row r="813" spans="36:40" x14ac:dyDescent="0.3">
      <c r="AJ813" s="46"/>
      <c r="AK813" s="46"/>
      <c r="AL813" s="46"/>
      <c r="AM813" s="46"/>
      <c r="AN813" s="46"/>
    </row>
    <row r="814" spans="36:40" x14ac:dyDescent="0.3">
      <c r="AJ814" s="46"/>
      <c r="AK814" s="46"/>
      <c r="AL814" s="46"/>
      <c r="AM814" s="46"/>
      <c r="AN814" s="46"/>
    </row>
    <row r="815" spans="36:40" x14ac:dyDescent="0.3">
      <c r="AJ815" s="46"/>
      <c r="AK815" s="46"/>
      <c r="AL815" s="46"/>
      <c r="AM815" s="46"/>
      <c r="AN815" s="46"/>
    </row>
    <row r="816" spans="36:40" x14ac:dyDescent="0.3">
      <c r="AJ816" s="46"/>
      <c r="AK816" s="46"/>
      <c r="AL816" s="46"/>
      <c r="AM816" s="46"/>
      <c r="AN816" s="46"/>
    </row>
    <row r="817" spans="36:40" x14ac:dyDescent="0.3">
      <c r="AJ817" s="46"/>
      <c r="AK817" s="46"/>
      <c r="AL817" s="46"/>
      <c r="AM817" s="46"/>
      <c r="AN817" s="46"/>
    </row>
    <row r="818" spans="36:40" x14ac:dyDescent="0.3">
      <c r="AJ818" s="46"/>
      <c r="AK818" s="46"/>
      <c r="AL818" s="46"/>
      <c r="AM818" s="46"/>
      <c r="AN818" s="46"/>
    </row>
    <row r="819" spans="36:40" x14ac:dyDescent="0.3">
      <c r="AJ819" s="46"/>
      <c r="AK819" s="46"/>
      <c r="AL819" s="46"/>
      <c r="AM819" s="46"/>
      <c r="AN819" s="46"/>
    </row>
    <row r="820" spans="36:40" x14ac:dyDescent="0.3">
      <c r="AJ820" s="46"/>
      <c r="AK820" s="46"/>
      <c r="AL820" s="46"/>
      <c r="AM820" s="46"/>
      <c r="AN820" s="46"/>
    </row>
    <row r="821" spans="36:40" x14ac:dyDescent="0.3">
      <c r="AJ821" s="46"/>
      <c r="AK821" s="46"/>
      <c r="AL821" s="46"/>
      <c r="AM821" s="46"/>
      <c r="AN821" s="46"/>
    </row>
    <row r="822" spans="36:40" x14ac:dyDescent="0.3">
      <c r="AJ822" s="46"/>
      <c r="AK822" s="46"/>
      <c r="AL822" s="46"/>
      <c r="AM822" s="46"/>
      <c r="AN822" s="46"/>
    </row>
    <row r="823" spans="36:40" x14ac:dyDescent="0.3">
      <c r="AJ823" s="46"/>
      <c r="AK823" s="46"/>
      <c r="AL823" s="46"/>
      <c r="AM823" s="46"/>
      <c r="AN823" s="46"/>
    </row>
    <row r="824" spans="36:40" x14ac:dyDescent="0.3">
      <c r="AJ824" s="46"/>
      <c r="AK824" s="46"/>
      <c r="AL824" s="46"/>
      <c r="AM824" s="46"/>
      <c r="AN824" s="46"/>
    </row>
    <row r="825" spans="36:40" x14ac:dyDescent="0.3">
      <c r="AJ825" s="46"/>
      <c r="AK825" s="46"/>
      <c r="AL825" s="46"/>
      <c r="AM825" s="46"/>
      <c r="AN825" s="46"/>
    </row>
    <row r="826" spans="36:40" x14ac:dyDescent="0.3">
      <c r="AJ826" s="46"/>
      <c r="AK826" s="46"/>
      <c r="AL826" s="46"/>
      <c r="AM826" s="46"/>
      <c r="AN826" s="46"/>
    </row>
    <row r="827" spans="36:40" x14ac:dyDescent="0.3">
      <c r="AJ827" s="46"/>
      <c r="AK827" s="46"/>
      <c r="AL827" s="46"/>
      <c r="AM827" s="46"/>
      <c r="AN827" s="46"/>
    </row>
    <row r="828" spans="36:40" x14ac:dyDescent="0.3">
      <c r="AJ828" s="46"/>
      <c r="AK828" s="46"/>
      <c r="AL828" s="46"/>
      <c r="AM828" s="46"/>
      <c r="AN828" s="46"/>
    </row>
    <row r="829" spans="36:40" x14ac:dyDescent="0.3">
      <c r="AJ829" s="46"/>
      <c r="AK829" s="46"/>
      <c r="AL829" s="46"/>
      <c r="AM829" s="46"/>
      <c r="AN829" s="46"/>
    </row>
    <row r="830" spans="36:40" x14ac:dyDescent="0.3">
      <c r="AJ830" s="46"/>
      <c r="AK830" s="46"/>
      <c r="AL830" s="46"/>
      <c r="AM830" s="46"/>
      <c r="AN830" s="46"/>
    </row>
    <row r="831" spans="36:40" x14ac:dyDescent="0.3">
      <c r="AJ831" s="46"/>
      <c r="AK831" s="46"/>
      <c r="AL831" s="46"/>
      <c r="AM831" s="46"/>
      <c r="AN831" s="46"/>
    </row>
    <row r="832" spans="36:40" x14ac:dyDescent="0.3">
      <c r="AJ832" s="46"/>
      <c r="AK832" s="46"/>
      <c r="AL832" s="46"/>
      <c r="AM832" s="46"/>
      <c r="AN832" s="46"/>
    </row>
    <row r="833" spans="36:40" x14ac:dyDescent="0.3">
      <c r="AJ833" s="46"/>
      <c r="AK833" s="46"/>
      <c r="AL833" s="46"/>
      <c r="AM833" s="46"/>
      <c r="AN833" s="46"/>
    </row>
    <row r="834" spans="36:40" x14ac:dyDescent="0.3">
      <c r="AJ834" s="46"/>
      <c r="AK834" s="46"/>
      <c r="AL834" s="46"/>
      <c r="AM834" s="46"/>
      <c r="AN834" s="46"/>
    </row>
    <row r="835" spans="36:40" x14ac:dyDescent="0.3">
      <c r="AJ835" s="46"/>
      <c r="AK835" s="46"/>
      <c r="AL835" s="46"/>
      <c r="AM835" s="46"/>
      <c r="AN835" s="46"/>
    </row>
    <row r="836" spans="36:40" x14ac:dyDescent="0.3">
      <c r="AJ836" s="46"/>
      <c r="AK836" s="46"/>
      <c r="AL836" s="46"/>
      <c r="AM836" s="46"/>
      <c r="AN836" s="46"/>
    </row>
    <row r="837" spans="36:40" x14ac:dyDescent="0.3">
      <c r="AJ837" s="46"/>
      <c r="AK837" s="46"/>
      <c r="AL837" s="46"/>
      <c r="AM837" s="46"/>
      <c r="AN837" s="46"/>
    </row>
    <row r="838" spans="36:40" x14ac:dyDescent="0.3">
      <c r="AJ838" s="46"/>
      <c r="AK838" s="46"/>
      <c r="AL838" s="46"/>
      <c r="AM838" s="46"/>
      <c r="AN838" s="46"/>
    </row>
    <row r="839" spans="36:40" x14ac:dyDescent="0.3">
      <c r="AJ839" s="46"/>
      <c r="AK839" s="46"/>
      <c r="AL839" s="46"/>
      <c r="AM839" s="46"/>
      <c r="AN839" s="46"/>
    </row>
    <row r="840" spans="36:40" x14ac:dyDescent="0.3">
      <c r="AJ840" s="46"/>
      <c r="AK840" s="46"/>
      <c r="AL840" s="46"/>
      <c r="AM840" s="46"/>
      <c r="AN840" s="46"/>
    </row>
    <row r="841" spans="36:40" x14ac:dyDescent="0.3">
      <c r="AJ841" s="46"/>
      <c r="AK841" s="46"/>
      <c r="AL841" s="46"/>
      <c r="AM841" s="46"/>
      <c r="AN841" s="46"/>
    </row>
    <row r="842" spans="36:40" x14ac:dyDescent="0.3">
      <c r="AJ842" s="46"/>
      <c r="AK842" s="46"/>
      <c r="AL842" s="46"/>
      <c r="AM842" s="46"/>
      <c r="AN842" s="46"/>
    </row>
    <row r="843" spans="36:40" x14ac:dyDescent="0.3">
      <c r="AJ843" s="46"/>
      <c r="AK843" s="46"/>
      <c r="AL843" s="46"/>
      <c r="AM843" s="46"/>
      <c r="AN843" s="46"/>
    </row>
    <row r="844" spans="36:40" x14ac:dyDescent="0.3">
      <c r="AJ844" s="46"/>
      <c r="AK844" s="46"/>
      <c r="AL844" s="46"/>
      <c r="AM844" s="46"/>
      <c r="AN844" s="46"/>
    </row>
    <row r="845" spans="36:40" x14ac:dyDescent="0.3">
      <c r="AJ845" s="46"/>
      <c r="AK845" s="46"/>
      <c r="AL845" s="46"/>
      <c r="AM845" s="46"/>
      <c r="AN845" s="46"/>
    </row>
    <row r="846" spans="36:40" x14ac:dyDescent="0.3">
      <c r="AJ846" s="46"/>
      <c r="AK846" s="46"/>
      <c r="AL846" s="46"/>
      <c r="AM846" s="46"/>
      <c r="AN846" s="46"/>
    </row>
    <row r="847" spans="36:40" x14ac:dyDescent="0.3">
      <c r="AJ847" s="46"/>
      <c r="AK847" s="46"/>
      <c r="AL847" s="46"/>
      <c r="AM847" s="46"/>
      <c r="AN847" s="46"/>
    </row>
    <row r="848" spans="36:40" x14ac:dyDescent="0.3">
      <c r="AJ848" s="46"/>
      <c r="AK848" s="46"/>
      <c r="AL848" s="46"/>
      <c r="AM848" s="46"/>
      <c r="AN848" s="46"/>
    </row>
    <row r="849" spans="36:40" x14ac:dyDescent="0.3">
      <c r="AJ849" s="46"/>
      <c r="AK849" s="46"/>
      <c r="AL849" s="46"/>
      <c r="AM849" s="46"/>
      <c r="AN849" s="46"/>
    </row>
    <row r="850" spans="36:40" x14ac:dyDescent="0.3">
      <c r="AJ850" s="46"/>
      <c r="AK850" s="46"/>
      <c r="AL850" s="46"/>
      <c r="AM850" s="46"/>
      <c r="AN850" s="46"/>
    </row>
    <row r="851" spans="36:40" x14ac:dyDescent="0.3">
      <c r="AJ851" s="46"/>
      <c r="AK851" s="46"/>
      <c r="AL851" s="46"/>
      <c r="AM851" s="46"/>
      <c r="AN851" s="46"/>
    </row>
    <row r="852" spans="36:40" x14ac:dyDescent="0.3">
      <c r="AJ852" s="46"/>
      <c r="AK852" s="46"/>
      <c r="AL852" s="46"/>
      <c r="AM852" s="46"/>
      <c r="AN852" s="46"/>
    </row>
    <row r="853" spans="36:40" x14ac:dyDescent="0.3">
      <c r="AJ853" s="46"/>
      <c r="AK853" s="46"/>
      <c r="AL853" s="46"/>
      <c r="AM853" s="46"/>
      <c r="AN853" s="46"/>
    </row>
    <row r="854" spans="36:40" x14ac:dyDescent="0.3">
      <c r="AJ854" s="46"/>
      <c r="AK854" s="46"/>
      <c r="AL854" s="46"/>
      <c r="AM854" s="46"/>
      <c r="AN854" s="46"/>
    </row>
    <row r="855" spans="36:40" x14ac:dyDescent="0.3">
      <c r="AJ855" s="46"/>
      <c r="AK855" s="46"/>
      <c r="AL855" s="46"/>
      <c r="AM855" s="46"/>
      <c r="AN855" s="46"/>
    </row>
    <row r="856" spans="36:40" x14ac:dyDescent="0.3">
      <c r="AJ856" s="46"/>
      <c r="AK856" s="46"/>
      <c r="AL856" s="46"/>
      <c r="AM856" s="46"/>
      <c r="AN856" s="46"/>
    </row>
    <row r="857" spans="36:40" x14ac:dyDescent="0.3">
      <c r="AJ857" s="46"/>
      <c r="AK857" s="46"/>
      <c r="AL857" s="46"/>
      <c r="AM857" s="46"/>
      <c r="AN857" s="46"/>
    </row>
    <row r="858" spans="36:40" x14ac:dyDescent="0.3">
      <c r="AJ858" s="46"/>
      <c r="AK858" s="46"/>
      <c r="AL858" s="46"/>
      <c r="AM858" s="46"/>
      <c r="AN858" s="46"/>
    </row>
    <row r="859" spans="36:40" x14ac:dyDescent="0.3">
      <c r="AJ859" s="46"/>
      <c r="AK859" s="46"/>
      <c r="AL859" s="46"/>
      <c r="AM859" s="46"/>
      <c r="AN859" s="46"/>
    </row>
    <row r="860" spans="36:40" x14ac:dyDescent="0.3">
      <c r="AJ860" s="46"/>
      <c r="AK860" s="46"/>
      <c r="AL860" s="46"/>
      <c r="AM860" s="46"/>
      <c r="AN860" s="46"/>
    </row>
    <row r="861" spans="36:40" x14ac:dyDescent="0.3">
      <c r="AJ861" s="46"/>
      <c r="AK861" s="46"/>
      <c r="AL861" s="46"/>
      <c r="AM861" s="46"/>
      <c r="AN861" s="46"/>
    </row>
    <row r="862" spans="36:40" x14ac:dyDescent="0.3">
      <c r="AJ862" s="46"/>
      <c r="AK862" s="46"/>
      <c r="AL862" s="46"/>
      <c r="AM862" s="46"/>
      <c r="AN862" s="46"/>
    </row>
    <row r="863" spans="36:40" x14ac:dyDescent="0.3">
      <c r="AJ863" s="46"/>
      <c r="AK863" s="46"/>
      <c r="AL863" s="46"/>
      <c r="AM863" s="46"/>
      <c r="AN863" s="46"/>
    </row>
    <row r="864" spans="36:40" x14ac:dyDescent="0.3">
      <c r="AJ864" s="46"/>
      <c r="AK864" s="46"/>
      <c r="AL864" s="46"/>
      <c r="AM864" s="46"/>
      <c r="AN864" s="46"/>
    </row>
    <row r="865" spans="36:40" x14ac:dyDescent="0.3">
      <c r="AJ865" s="46"/>
      <c r="AK865" s="46"/>
      <c r="AL865" s="46"/>
      <c r="AM865" s="46"/>
      <c r="AN865" s="46"/>
    </row>
    <row r="866" spans="36:40" x14ac:dyDescent="0.3">
      <c r="AJ866" s="46"/>
      <c r="AK866" s="46"/>
      <c r="AL866" s="46"/>
      <c r="AM866" s="46"/>
      <c r="AN866" s="46"/>
    </row>
    <row r="867" spans="36:40" x14ac:dyDescent="0.3">
      <c r="AJ867" s="46"/>
      <c r="AK867" s="46"/>
      <c r="AL867" s="46"/>
      <c r="AM867" s="46"/>
      <c r="AN867" s="46"/>
    </row>
    <row r="868" spans="36:40" x14ac:dyDescent="0.3">
      <c r="AJ868" s="46"/>
      <c r="AK868" s="46"/>
      <c r="AL868" s="46"/>
      <c r="AM868" s="46"/>
      <c r="AN868" s="46"/>
    </row>
    <row r="869" spans="36:40" x14ac:dyDescent="0.3">
      <c r="AJ869" s="46"/>
      <c r="AK869" s="46"/>
      <c r="AL869" s="46"/>
      <c r="AM869" s="46"/>
      <c r="AN869" s="46"/>
    </row>
    <row r="870" spans="36:40" x14ac:dyDescent="0.3">
      <c r="AJ870" s="46"/>
      <c r="AK870" s="46"/>
      <c r="AL870" s="46"/>
      <c r="AM870" s="46"/>
      <c r="AN870" s="46"/>
    </row>
    <row r="871" spans="36:40" x14ac:dyDescent="0.3">
      <c r="AJ871" s="46"/>
      <c r="AK871" s="46"/>
      <c r="AL871" s="46"/>
      <c r="AM871" s="46"/>
      <c r="AN871" s="46"/>
    </row>
    <row r="872" spans="36:40" x14ac:dyDescent="0.3">
      <c r="AJ872" s="46"/>
      <c r="AK872" s="46"/>
      <c r="AL872" s="46"/>
      <c r="AM872" s="46"/>
      <c r="AN872" s="46"/>
    </row>
    <row r="873" spans="36:40" x14ac:dyDescent="0.3">
      <c r="AJ873" s="46"/>
      <c r="AK873" s="46"/>
      <c r="AL873" s="46"/>
      <c r="AM873" s="46"/>
      <c r="AN873" s="46"/>
    </row>
    <row r="874" spans="36:40" x14ac:dyDescent="0.3">
      <c r="AJ874" s="46"/>
      <c r="AK874" s="46"/>
      <c r="AL874" s="46"/>
      <c r="AM874" s="46"/>
      <c r="AN874" s="46"/>
    </row>
    <row r="875" spans="36:40" x14ac:dyDescent="0.3">
      <c r="AJ875" s="46"/>
      <c r="AK875" s="46"/>
      <c r="AL875" s="46"/>
      <c r="AM875" s="46"/>
      <c r="AN875" s="46"/>
    </row>
    <row r="876" spans="36:40" x14ac:dyDescent="0.3">
      <c r="AJ876" s="46"/>
      <c r="AK876" s="46"/>
      <c r="AL876" s="46"/>
      <c r="AM876" s="46"/>
      <c r="AN876" s="46"/>
    </row>
    <row r="877" spans="36:40" x14ac:dyDescent="0.3">
      <c r="AJ877" s="46"/>
      <c r="AK877" s="46"/>
      <c r="AL877" s="46"/>
      <c r="AM877" s="46"/>
      <c r="AN877" s="46"/>
    </row>
    <row r="878" spans="36:40" x14ac:dyDescent="0.3">
      <c r="AJ878" s="46"/>
      <c r="AK878" s="46"/>
      <c r="AL878" s="46"/>
      <c r="AM878" s="46"/>
      <c r="AN878" s="46"/>
    </row>
    <row r="879" spans="36:40" x14ac:dyDescent="0.3">
      <c r="AJ879" s="46"/>
      <c r="AK879" s="46"/>
      <c r="AL879" s="46"/>
      <c r="AM879" s="46"/>
      <c r="AN879" s="46"/>
    </row>
    <row r="880" spans="36:40" x14ac:dyDescent="0.3">
      <c r="AJ880" s="46"/>
      <c r="AK880" s="46"/>
      <c r="AL880" s="46"/>
      <c r="AM880" s="46"/>
      <c r="AN880" s="46"/>
    </row>
    <row r="881" spans="36:40" x14ac:dyDescent="0.3">
      <c r="AJ881" s="46"/>
      <c r="AK881" s="46"/>
      <c r="AL881" s="46"/>
      <c r="AM881" s="46"/>
      <c r="AN881" s="46"/>
    </row>
    <row r="882" spans="36:40" x14ac:dyDescent="0.3">
      <c r="AJ882" s="46"/>
      <c r="AK882" s="46"/>
      <c r="AL882" s="46"/>
      <c r="AM882" s="46"/>
      <c r="AN882" s="46"/>
    </row>
    <row r="883" spans="36:40" x14ac:dyDescent="0.3">
      <c r="AJ883" s="46"/>
      <c r="AK883" s="46"/>
      <c r="AL883" s="46"/>
      <c r="AM883" s="46"/>
      <c r="AN883" s="46"/>
    </row>
    <row r="884" spans="36:40" x14ac:dyDescent="0.3">
      <c r="AJ884" s="46"/>
      <c r="AK884" s="46"/>
      <c r="AL884" s="46"/>
      <c r="AM884" s="46"/>
      <c r="AN884" s="46"/>
    </row>
    <row r="885" spans="36:40" x14ac:dyDescent="0.3">
      <c r="AJ885" s="46"/>
      <c r="AK885" s="46"/>
      <c r="AL885" s="46"/>
      <c r="AM885" s="46"/>
      <c r="AN885" s="46"/>
    </row>
    <row r="886" spans="36:40" x14ac:dyDescent="0.3">
      <c r="AJ886" s="46"/>
      <c r="AK886" s="46"/>
      <c r="AL886" s="46"/>
      <c r="AM886" s="46"/>
      <c r="AN886" s="46"/>
    </row>
    <row r="887" spans="36:40" x14ac:dyDescent="0.3">
      <c r="AJ887" s="46"/>
      <c r="AK887" s="46"/>
      <c r="AL887" s="46"/>
      <c r="AM887" s="46"/>
      <c r="AN887" s="46"/>
    </row>
    <row r="888" spans="36:40" x14ac:dyDescent="0.3">
      <c r="AJ888" s="46"/>
      <c r="AK888" s="46"/>
      <c r="AL888" s="46"/>
      <c r="AM888" s="46"/>
      <c r="AN888" s="46"/>
    </row>
    <row r="889" spans="36:40" x14ac:dyDescent="0.3">
      <c r="AJ889" s="46"/>
      <c r="AK889" s="46"/>
      <c r="AL889" s="46"/>
      <c r="AM889" s="46"/>
      <c r="AN889" s="46"/>
    </row>
    <row r="890" spans="36:40" x14ac:dyDescent="0.3">
      <c r="AJ890" s="46"/>
      <c r="AK890" s="46"/>
      <c r="AL890" s="46"/>
      <c r="AM890" s="46"/>
      <c r="AN890" s="46"/>
    </row>
    <row r="891" spans="36:40" x14ac:dyDescent="0.3">
      <c r="AJ891" s="46"/>
      <c r="AK891" s="46"/>
      <c r="AL891" s="46"/>
      <c r="AM891" s="46"/>
      <c r="AN891" s="46"/>
    </row>
    <row r="892" spans="36:40" x14ac:dyDescent="0.3">
      <c r="AJ892" s="46"/>
      <c r="AK892" s="46"/>
      <c r="AL892" s="46"/>
      <c r="AM892" s="46"/>
      <c r="AN892" s="46"/>
    </row>
    <row r="893" spans="36:40" x14ac:dyDescent="0.3">
      <c r="AJ893" s="46"/>
      <c r="AK893" s="46"/>
      <c r="AL893" s="46"/>
      <c r="AM893" s="46"/>
      <c r="AN893" s="46"/>
    </row>
    <row r="894" spans="36:40" x14ac:dyDescent="0.3">
      <c r="AJ894" s="46"/>
      <c r="AK894" s="46"/>
      <c r="AL894" s="46"/>
      <c r="AM894" s="46"/>
      <c r="AN894" s="46"/>
    </row>
    <row r="895" spans="36:40" x14ac:dyDescent="0.3">
      <c r="AJ895" s="46"/>
      <c r="AK895" s="46"/>
      <c r="AL895" s="46"/>
      <c r="AM895" s="46"/>
      <c r="AN895" s="46"/>
    </row>
    <row r="896" spans="36:40" x14ac:dyDescent="0.3">
      <c r="AJ896" s="46"/>
      <c r="AK896" s="46"/>
      <c r="AL896" s="46"/>
      <c r="AM896" s="46"/>
      <c r="AN896" s="46"/>
    </row>
    <row r="897" spans="36:40" x14ac:dyDescent="0.3">
      <c r="AJ897" s="46"/>
      <c r="AK897" s="46"/>
      <c r="AL897" s="46"/>
      <c r="AM897" s="46"/>
      <c r="AN897" s="46"/>
    </row>
    <row r="898" spans="36:40" x14ac:dyDescent="0.3">
      <c r="AJ898" s="46"/>
      <c r="AK898" s="46"/>
      <c r="AL898" s="46"/>
      <c r="AM898" s="46"/>
      <c r="AN898" s="46"/>
    </row>
    <row r="899" spans="36:40" x14ac:dyDescent="0.3">
      <c r="AJ899" s="46"/>
      <c r="AK899" s="46"/>
      <c r="AL899" s="46"/>
      <c r="AM899" s="46"/>
      <c r="AN899" s="46"/>
    </row>
    <row r="900" spans="36:40" x14ac:dyDescent="0.3">
      <c r="AJ900" s="46"/>
      <c r="AK900" s="46"/>
      <c r="AL900" s="46"/>
      <c r="AM900" s="46"/>
      <c r="AN900" s="46"/>
    </row>
    <row r="901" spans="36:40" x14ac:dyDescent="0.3">
      <c r="AJ901" s="46"/>
      <c r="AK901" s="46"/>
      <c r="AL901" s="46"/>
      <c r="AM901" s="46"/>
      <c r="AN901" s="46"/>
    </row>
    <row r="902" spans="36:40" x14ac:dyDescent="0.3">
      <c r="AJ902" s="46"/>
      <c r="AK902" s="46"/>
      <c r="AL902" s="46"/>
      <c r="AM902" s="46"/>
      <c r="AN902" s="46"/>
    </row>
    <row r="903" spans="36:40" x14ac:dyDescent="0.3">
      <c r="AJ903" s="46"/>
      <c r="AK903" s="46"/>
      <c r="AL903" s="46"/>
      <c r="AM903" s="46"/>
      <c r="AN903" s="46"/>
    </row>
    <row r="904" spans="36:40" x14ac:dyDescent="0.3">
      <c r="AJ904" s="46"/>
      <c r="AK904" s="46"/>
      <c r="AL904" s="46"/>
      <c r="AM904" s="46"/>
      <c r="AN904" s="46"/>
    </row>
    <row r="905" spans="36:40" x14ac:dyDescent="0.3">
      <c r="AJ905" s="46"/>
      <c r="AK905" s="46"/>
      <c r="AL905" s="46"/>
      <c r="AM905" s="46"/>
      <c r="AN905" s="46"/>
    </row>
    <row r="906" spans="36:40" x14ac:dyDescent="0.3">
      <c r="AJ906" s="46"/>
      <c r="AK906" s="46"/>
      <c r="AL906" s="46"/>
      <c r="AM906" s="46"/>
      <c r="AN906" s="46"/>
    </row>
    <row r="907" spans="36:40" x14ac:dyDescent="0.3">
      <c r="AJ907" s="46"/>
      <c r="AK907" s="46"/>
      <c r="AL907" s="46"/>
      <c r="AM907" s="46"/>
      <c r="AN907" s="46"/>
    </row>
    <row r="908" spans="36:40" x14ac:dyDescent="0.3">
      <c r="AJ908" s="46"/>
      <c r="AK908" s="46"/>
      <c r="AL908" s="46"/>
      <c r="AM908" s="46"/>
      <c r="AN908" s="46"/>
    </row>
    <row r="909" spans="36:40" x14ac:dyDescent="0.3">
      <c r="AJ909" s="46"/>
      <c r="AK909" s="46"/>
      <c r="AL909" s="46"/>
      <c r="AM909" s="46"/>
      <c r="AN909" s="46"/>
    </row>
    <row r="910" spans="36:40" x14ac:dyDescent="0.3">
      <c r="AJ910" s="46"/>
      <c r="AK910" s="46"/>
      <c r="AL910" s="46"/>
      <c r="AM910" s="46"/>
      <c r="AN910" s="46"/>
    </row>
    <row r="911" spans="36:40" x14ac:dyDescent="0.3">
      <c r="AJ911" s="46"/>
      <c r="AK911" s="46"/>
      <c r="AL911" s="46"/>
      <c r="AM911" s="46"/>
      <c r="AN911" s="46"/>
    </row>
    <row r="912" spans="36:40" x14ac:dyDescent="0.3">
      <c r="AJ912" s="46"/>
      <c r="AK912" s="46"/>
      <c r="AL912" s="46"/>
      <c r="AM912" s="46"/>
      <c r="AN912" s="46"/>
    </row>
    <row r="913" spans="36:40" x14ac:dyDescent="0.3">
      <c r="AJ913" s="46"/>
      <c r="AK913" s="46"/>
      <c r="AL913" s="46"/>
      <c r="AM913" s="46"/>
      <c r="AN913" s="46"/>
    </row>
    <row r="914" spans="36:40" x14ac:dyDescent="0.3">
      <c r="AJ914" s="46"/>
      <c r="AK914" s="46"/>
      <c r="AL914" s="46"/>
      <c r="AM914" s="46"/>
      <c r="AN914" s="46"/>
    </row>
    <row r="915" spans="36:40" x14ac:dyDescent="0.3">
      <c r="AJ915" s="46"/>
      <c r="AK915" s="46"/>
      <c r="AL915" s="46"/>
      <c r="AM915" s="46"/>
      <c r="AN915" s="46"/>
    </row>
    <row r="916" spans="36:40" x14ac:dyDescent="0.3">
      <c r="AJ916" s="46"/>
      <c r="AK916" s="46"/>
      <c r="AL916" s="46"/>
      <c r="AM916" s="46"/>
      <c r="AN916" s="46"/>
    </row>
    <row r="917" spans="36:40" x14ac:dyDescent="0.3">
      <c r="AJ917" s="46"/>
      <c r="AK917" s="46"/>
      <c r="AL917" s="46"/>
      <c r="AM917" s="46"/>
      <c r="AN917" s="46"/>
    </row>
    <row r="918" spans="36:40" x14ac:dyDescent="0.3">
      <c r="AJ918" s="46"/>
      <c r="AK918" s="46"/>
      <c r="AL918" s="46"/>
      <c r="AM918" s="46"/>
      <c r="AN918" s="46"/>
    </row>
    <row r="919" spans="36:40" x14ac:dyDescent="0.3">
      <c r="AJ919" s="46"/>
      <c r="AK919" s="46"/>
      <c r="AL919" s="46"/>
      <c r="AM919" s="46"/>
      <c r="AN919" s="46"/>
    </row>
    <row r="920" spans="36:40" x14ac:dyDescent="0.3">
      <c r="AJ920" s="46"/>
      <c r="AK920" s="46"/>
      <c r="AL920" s="46"/>
      <c r="AM920" s="46"/>
      <c r="AN920" s="46"/>
    </row>
    <row r="921" spans="36:40" x14ac:dyDescent="0.3">
      <c r="AJ921" s="46"/>
      <c r="AK921" s="46"/>
      <c r="AL921" s="46"/>
      <c r="AM921" s="46"/>
      <c r="AN921" s="46"/>
    </row>
    <row r="922" spans="36:40" x14ac:dyDescent="0.3">
      <c r="AJ922" s="46"/>
      <c r="AK922" s="46"/>
      <c r="AL922" s="46"/>
      <c r="AM922" s="46"/>
      <c r="AN922" s="46"/>
    </row>
    <row r="923" spans="36:40" x14ac:dyDescent="0.3">
      <c r="AJ923" s="46"/>
      <c r="AK923" s="46"/>
      <c r="AL923" s="46"/>
      <c r="AM923" s="46"/>
      <c r="AN923" s="46"/>
    </row>
    <row r="924" spans="36:40" x14ac:dyDescent="0.3">
      <c r="AJ924" s="46"/>
      <c r="AK924" s="46"/>
      <c r="AL924" s="46"/>
      <c r="AM924" s="46"/>
      <c r="AN924" s="46"/>
    </row>
    <row r="925" spans="36:40" x14ac:dyDescent="0.3">
      <c r="AJ925" s="46"/>
      <c r="AK925" s="46"/>
      <c r="AL925" s="46"/>
      <c r="AM925" s="46"/>
      <c r="AN925" s="46"/>
    </row>
    <row r="926" spans="36:40" x14ac:dyDescent="0.3">
      <c r="AJ926" s="46"/>
      <c r="AK926" s="46"/>
      <c r="AL926" s="46"/>
      <c r="AM926" s="46"/>
      <c r="AN926" s="46"/>
    </row>
    <row r="927" spans="36:40" x14ac:dyDescent="0.3">
      <c r="AJ927" s="46"/>
      <c r="AK927" s="46"/>
      <c r="AL927" s="46"/>
      <c r="AM927" s="46"/>
      <c r="AN927" s="46"/>
    </row>
    <row r="928" spans="36:40" x14ac:dyDescent="0.3">
      <c r="AJ928" s="46"/>
      <c r="AK928" s="46"/>
      <c r="AL928" s="46"/>
      <c r="AM928" s="46"/>
      <c r="AN928" s="46"/>
    </row>
    <row r="929" spans="36:40" x14ac:dyDescent="0.3">
      <c r="AJ929" s="46"/>
      <c r="AK929" s="46"/>
      <c r="AL929" s="46"/>
      <c r="AM929" s="46"/>
      <c r="AN929" s="46"/>
    </row>
    <row r="930" spans="36:40" x14ac:dyDescent="0.3">
      <c r="AJ930" s="46"/>
      <c r="AK930" s="46"/>
      <c r="AL930" s="46"/>
      <c r="AM930" s="46"/>
      <c r="AN930" s="46"/>
    </row>
    <row r="931" spans="36:40" x14ac:dyDescent="0.3">
      <c r="AJ931" s="46"/>
      <c r="AK931" s="46"/>
      <c r="AL931" s="46"/>
      <c r="AM931" s="46"/>
      <c r="AN931" s="46"/>
    </row>
    <row r="932" spans="36:40" x14ac:dyDescent="0.3">
      <c r="AJ932" s="46"/>
      <c r="AK932" s="46"/>
      <c r="AL932" s="46"/>
      <c r="AM932" s="46"/>
      <c r="AN932" s="46"/>
    </row>
    <row r="933" spans="36:40" x14ac:dyDescent="0.3">
      <c r="AJ933" s="46"/>
      <c r="AK933" s="46"/>
      <c r="AL933" s="46"/>
      <c r="AM933" s="46"/>
      <c r="AN933" s="46"/>
    </row>
    <row r="934" spans="36:40" x14ac:dyDescent="0.3">
      <c r="AJ934" s="46"/>
      <c r="AK934" s="46"/>
      <c r="AL934" s="46"/>
      <c r="AM934" s="46"/>
      <c r="AN934" s="46"/>
    </row>
    <row r="935" spans="36:40" x14ac:dyDescent="0.3">
      <c r="AJ935" s="46"/>
      <c r="AK935" s="46"/>
      <c r="AL935" s="46"/>
      <c r="AM935" s="46"/>
      <c r="AN935" s="46"/>
    </row>
    <row r="936" spans="36:40" x14ac:dyDescent="0.3">
      <c r="AJ936" s="46"/>
      <c r="AK936" s="46"/>
      <c r="AL936" s="46"/>
      <c r="AM936" s="46"/>
      <c r="AN936" s="46"/>
    </row>
    <row r="937" spans="36:40" x14ac:dyDescent="0.3">
      <c r="AJ937" s="46"/>
      <c r="AK937" s="46"/>
      <c r="AL937" s="46"/>
      <c r="AM937" s="46"/>
      <c r="AN937" s="46"/>
    </row>
    <row r="938" spans="36:40" x14ac:dyDescent="0.3">
      <c r="AJ938" s="46"/>
      <c r="AK938" s="46"/>
      <c r="AL938" s="46"/>
      <c r="AM938" s="46"/>
      <c r="AN938" s="46"/>
    </row>
    <row r="939" spans="36:40" x14ac:dyDescent="0.3">
      <c r="AJ939" s="46"/>
      <c r="AK939" s="46"/>
      <c r="AL939" s="46"/>
      <c r="AM939" s="46"/>
      <c r="AN939" s="46"/>
    </row>
    <row r="940" spans="36:40" x14ac:dyDescent="0.3">
      <c r="AJ940" s="46"/>
      <c r="AK940" s="46"/>
      <c r="AL940" s="46"/>
      <c r="AM940" s="46"/>
      <c r="AN940" s="46"/>
    </row>
    <row r="941" spans="36:40" x14ac:dyDescent="0.3">
      <c r="AJ941" s="46"/>
      <c r="AK941" s="46"/>
      <c r="AL941" s="46"/>
      <c r="AM941" s="46"/>
      <c r="AN941" s="46"/>
    </row>
    <row r="942" spans="36:40" x14ac:dyDescent="0.3">
      <c r="AJ942" s="46"/>
      <c r="AK942" s="46"/>
      <c r="AL942" s="46"/>
      <c r="AM942" s="46"/>
      <c r="AN942" s="46"/>
    </row>
    <row r="943" spans="36:40" x14ac:dyDescent="0.3">
      <c r="AJ943" s="46"/>
      <c r="AK943" s="46"/>
      <c r="AL943" s="46"/>
      <c r="AM943" s="46"/>
      <c r="AN943" s="46"/>
    </row>
    <row r="944" spans="36:40" x14ac:dyDescent="0.3">
      <c r="AJ944" s="46"/>
      <c r="AK944" s="46"/>
      <c r="AL944" s="46"/>
      <c r="AM944" s="46"/>
      <c r="AN944" s="46"/>
    </row>
    <row r="945" spans="36:40" x14ac:dyDescent="0.3">
      <c r="AJ945" s="46"/>
      <c r="AK945" s="46"/>
      <c r="AL945" s="46"/>
      <c r="AM945" s="46"/>
      <c r="AN945" s="46"/>
    </row>
    <row r="946" spans="36:40" x14ac:dyDescent="0.3">
      <c r="AJ946" s="46"/>
      <c r="AK946" s="46"/>
      <c r="AL946" s="46"/>
      <c r="AM946" s="46"/>
      <c r="AN946" s="46"/>
    </row>
    <row r="947" spans="36:40" x14ac:dyDescent="0.3">
      <c r="AJ947" s="46"/>
      <c r="AK947" s="46"/>
      <c r="AL947" s="46"/>
      <c r="AM947" s="46"/>
      <c r="AN947" s="46"/>
    </row>
    <row r="948" spans="36:40" x14ac:dyDescent="0.3">
      <c r="AJ948" s="46"/>
      <c r="AK948" s="46"/>
      <c r="AL948" s="46"/>
      <c r="AM948" s="46"/>
      <c r="AN948" s="46"/>
    </row>
    <row r="949" spans="36:40" x14ac:dyDescent="0.3">
      <c r="AJ949" s="46"/>
      <c r="AK949" s="46"/>
      <c r="AL949" s="46"/>
      <c r="AM949" s="46"/>
      <c r="AN949" s="46"/>
    </row>
    <row r="950" spans="36:40" x14ac:dyDescent="0.3">
      <c r="AJ950" s="46"/>
      <c r="AK950" s="46"/>
      <c r="AL950" s="46"/>
      <c r="AM950" s="46"/>
      <c r="AN950" s="46"/>
    </row>
    <row r="951" spans="36:40" x14ac:dyDescent="0.3">
      <c r="AJ951" s="46"/>
      <c r="AK951" s="46"/>
      <c r="AL951" s="46"/>
      <c r="AM951" s="46"/>
      <c r="AN951" s="46"/>
    </row>
    <row r="952" spans="36:40" x14ac:dyDescent="0.3">
      <c r="AJ952" s="46"/>
      <c r="AK952" s="46"/>
      <c r="AL952" s="46"/>
      <c r="AM952" s="46"/>
      <c r="AN952" s="46"/>
    </row>
    <row r="953" spans="36:40" x14ac:dyDescent="0.3">
      <c r="AJ953" s="46"/>
      <c r="AK953" s="46"/>
      <c r="AL953" s="46"/>
      <c r="AM953" s="46"/>
      <c r="AN953" s="46"/>
    </row>
    <row r="954" spans="36:40" x14ac:dyDescent="0.3">
      <c r="AJ954" s="46"/>
      <c r="AK954" s="46"/>
      <c r="AL954" s="46"/>
      <c r="AM954" s="46"/>
      <c r="AN954" s="46"/>
    </row>
    <row r="955" spans="36:40" x14ac:dyDescent="0.3">
      <c r="AJ955" s="46"/>
      <c r="AK955" s="46"/>
      <c r="AL955" s="46"/>
      <c r="AM955" s="46"/>
      <c r="AN955" s="46"/>
    </row>
    <row r="956" spans="36:40" x14ac:dyDescent="0.3">
      <c r="AJ956" s="46"/>
      <c r="AK956" s="46"/>
      <c r="AL956" s="46"/>
      <c r="AM956" s="46"/>
      <c r="AN956" s="46"/>
    </row>
    <row r="957" spans="36:40" x14ac:dyDescent="0.3">
      <c r="AJ957" s="46"/>
      <c r="AK957" s="46"/>
      <c r="AL957" s="46"/>
      <c r="AM957" s="46"/>
      <c r="AN957" s="46"/>
    </row>
    <row r="958" spans="36:40" x14ac:dyDescent="0.3">
      <c r="AJ958" s="46"/>
      <c r="AK958" s="46"/>
      <c r="AL958" s="46"/>
      <c r="AM958" s="46"/>
      <c r="AN958" s="46"/>
    </row>
    <row r="959" spans="36:40" x14ac:dyDescent="0.3">
      <c r="AJ959" s="46"/>
      <c r="AK959" s="46"/>
      <c r="AL959" s="46"/>
      <c r="AM959" s="46"/>
      <c r="AN959" s="46"/>
    </row>
    <row r="960" spans="36:40" x14ac:dyDescent="0.3">
      <c r="AJ960" s="46"/>
      <c r="AK960" s="46"/>
      <c r="AL960" s="46"/>
      <c r="AM960" s="46"/>
      <c r="AN960" s="46"/>
    </row>
    <row r="961" spans="36:40" x14ac:dyDescent="0.3">
      <c r="AJ961" s="46"/>
      <c r="AK961" s="46"/>
      <c r="AL961" s="46"/>
      <c r="AM961" s="46"/>
      <c r="AN961" s="46"/>
    </row>
    <row r="962" spans="36:40" x14ac:dyDescent="0.3">
      <c r="AJ962" s="46"/>
      <c r="AK962" s="46"/>
      <c r="AL962" s="46"/>
      <c r="AM962" s="46"/>
      <c r="AN962" s="46"/>
    </row>
    <row r="963" spans="36:40" x14ac:dyDescent="0.3">
      <c r="AJ963" s="46"/>
      <c r="AK963" s="46"/>
      <c r="AL963" s="46"/>
      <c r="AM963" s="46"/>
      <c r="AN963" s="46"/>
    </row>
    <row r="964" spans="36:40" x14ac:dyDescent="0.3">
      <c r="AJ964" s="46"/>
      <c r="AK964" s="46"/>
      <c r="AL964" s="46"/>
      <c r="AM964" s="46"/>
      <c r="AN964" s="46"/>
    </row>
    <row r="965" spans="36:40" x14ac:dyDescent="0.3">
      <c r="AJ965" s="46"/>
      <c r="AK965" s="46"/>
      <c r="AL965" s="46"/>
      <c r="AM965" s="46"/>
      <c r="AN965" s="46"/>
    </row>
    <row r="966" spans="36:40" x14ac:dyDescent="0.3">
      <c r="AJ966" s="46"/>
      <c r="AK966" s="46"/>
      <c r="AL966" s="46"/>
      <c r="AM966" s="46"/>
      <c r="AN966" s="46"/>
    </row>
    <row r="967" spans="36:40" x14ac:dyDescent="0.3">
      <c r="AJ967" s="46"/>
      <c r="AK967" s="46"/>
      <c r="AL967" s="46"/>
      <c r="AM967" s="46"/>
      <c r="AN967" s="46"/>
    </row>
    <row r="968" spans="36:40" x14ac:dyDescent="0.3">
      <c r="AJ968" s="46"/>
      <c r="AK968" s="46"/>
      <c r="AL968" s="46"/>
      <c r="AM968" s="46"/>
      <c r="AN968" s="46"/>
    </row>
    <row r="969" spans="36:40" x14ac:dyDescent="0.3">
      <c r="AJ969" s="46"/>
      <c r="AK969" s="46"/>
      <c r="AL969" s="46"/>
      <c r="AM969" s="46"/>
      <c r="AN969" s="46"/>
    </row>
    <row r="970" spans="36:40" x14ac:dyDescent="0.3">
      <c r="AJ970" s="46"/>
      <c r="AK970" s="46"/>
      <c r="AL970" s="46"/>
      <c r="AM970" s="46"/>
      <c r="AN970" s="46"/>
    </row>
    <row r="971" spans="36:40" x14ac:dyDescent="0.3">
      <c r="AJ971" s="46"/>
      <c r="AK971" s="46"/>
      <c r="AL971" s="46"/>
      <c r="AM971" s="46"/>
      <c r="AN971" s="46"/>
    </row>
    <row r="972" spans="36:40" x14ac:dyDescent="0.3">
      <c r="AJ972" s="46"/>
      <c r="AK972" s="46"/>
      <c r="AL972" s="46"/>
      <c r="AM972" s="46"/>
      <c r="AN972" s="46"/>
    </row>
    <row r="973" spans="36:40" x14ac:dyDescent="0.3">
      <c r="AJ973" s="46"/>
      <c r="AK973" s="46"/>
      <c r="AL973" s="46"/>
      <c r="AM973" s="46"/>
      <c r="AN973" s="46"/>
    </row>
    <row r="974" spans="36:40" x14ac:dyDescent="0.3">
      <c r="AJ974" s="46"/>
      <c r="AK974" s="46"/>
      <c r="AL974" s="46"/>
      <c r="AM974" s="46"/>
      <c r="AN974" s="46"/>
    </row>
    <row r="975" spans="36:40" x14ac:dyDescent="0.3">
      <c r="AJ975" s="46"/>
      <c r="AK975" s="46"/>
      <c r="AL975" s="46"/>
      <c r="AM975" s="46"/>
      <c r="AN975" s="46"/>
    </row>
    <row r="976" spans="36:40" x14ac:dyDescent="0.3">
      <c r="AJ976" s="46"/>
      <c r="AK976" s="46"/>
      <c r="AL976" s="46"/>
      <c r="AM976" s="46"/>
      <c r="AN976" s="46"/>
    </row>
    <row r="977" spans="36:40" x14ac:dyDescent="0.3">
      <c r="AJ977" s="46"/>
      <c r="AK977" s="46"/>
      <c r="AL977" s="46"/>
      <c r="AM977" s="46"/>
      <c r="AN977" s="46"/>
    </row>
    <row r="978" spans="36:40" x14ac:dyDescent="0.3">
      <c r="AJ978" s="46"/>
      <c r="AK978" s="46"/>
      <c r="AL978" s="46"/>
      <c r="AM978" s="46"/>
      <c r="AN978" s="46"/>
    </row>
    <row r="979" spans="36:40" x14ac:dyDescent="0.3">
      <c r="AJ979" s="46"/>
      <c r="AK979" s="46"/>
      <c r="AL979" s="46"/>
      <c r="AM979" s="46"/>
      <c r="AN979" s="46"/>
    </row>
    <row r="980" spans="36:40" x14ac:dyDescent="0.3">
      <c r="AJ980" s="46"/>
      <c r="AK980" s="46"/>
      <c r="AL980" s="46"/>
      <c r="AM980" s="46"/>
      <c r="AN980" s="46"/>
    </row>
    <row r="981" spans="36:40" x14ac:dyDescent="0.3">
      <c r="AJ981" s="46"/>
      <c r="AK981" s="46"/>
      <c r="AL981" s="46"/>
      <c r="AM981" s="46"/>
      <c r="AN981" s="46"/>
    </row>
    <row r="982" spans="36:40" x14ac:dyDescent="0.3">
      <c r="AJ982" s="46"/>
      <c r="AK982" s="46"/>
      <c r="AL982" s="46"/>
      <c r="AM982" s="46"/>
      <c r="AN982" s="46"/>
    </row>
    <row r="983" spans="36:40" x14ac:dyDescent="0.3">
      <c r="AJ983" s="46"/>
      <c r="AK983" s="46"/>
      <c r="AL983" s="46"/>
      <c r="AM983" s="46"/>
      <c r="AN983" s="46"/>
    </row>
    <row r="984" spans="36:40" x14ac:dyDescent="0.3">
      <c r="AJ984" s="46"/>
      <c r="AK984" s="46"/>
      <c r="AL984" s="46"/>
      <c r="AM984" s="46"/>
      <c r="AN984" s="46"/>
    </row>
    <row r="985" spans="36:40" x14ac:dyDescent="0.3">
      <c r="AJ985" s="46"/>
      <c r="AK985" s="46"/>
      <c r="AL985" s="46"/>
      <c r="AM985" s="46"/>
      <c r="AN985" s="46"/>
    </row>
    <row r="986" spans="36:40" x14ac:dyDescent="0.3">
      <c r="AJ986" s="46"/>
      <c r="AK986" s="46"/>
      <c r="AL986" s="46"/>
      <c r="AM986" s="46"/>
      <c r="AN986" s="46"/>
    </row>
    <row r="987" spans="36:40" x14ac:dyDescent="0.3">
      <c r="AJ987" s="46"/>
      <c r="AK987" s="46"/>
      <c r="AL987" s="46"/>
      <c r="AM987" s="46"/>
      <c r="AN987" s="46"/>
    </row>
    <row r="988" spans="36:40" x14ac:dyDescent="0.3">
      <c r="AJ988" s="46"/>
      <c r="AK988" s="46"/>
      <c r="AL988" s="46"/>
      <c r="AM988" s="46"/>
      <c r="AN988" s="46"/>
    </row>
    <row r="989" spans="36:40" x14ac:dyDescent="0.3">
      <c r="AJ989" s="46"/>
      <c r="AK989" s="46"/>
      <c r="AL989" s="46"/>
      <c r="AM989" s="46"/>
      <c r="AN989" s="46"/>
    </row>
    <row r="990" spans="36:40" x14ac:dyDescent="0.3">
      <c r="AJ990" s="46"/>
      <c r="AK990" s="46"/>
      <c r="AL990" s="46"/>
      <c r="AM990" s="46"/>
      <c r="AN990" s="46"/>
    </row>
    <row r="991" spans="36:40" x14ac:dyDescent="0.3">
      <c r="AJ991" s="46"/>
      <c r="AK991" s="46"/>
      <c r="AL991" s="46"/>
      <c r="AM991" s="46"/>
      <c r="AN991" s="46"/>
    </row>
    <row r="992" spans="36:40" x14ac:dyDescent="0.3">
      <c r="AJ992" s="46"/>
      <c r="AK992" s="46"/>
      <c r="AL992" s="46"/>
      <c r="AM992" s="46"/>
      <c r="AN992" s="46"/>
    </row>
    <row r="993" spans="36:40" x14ac:dyDescent="0.3">
      <c r="AJ993" s="46"/>
      <c r="AK993" s="46"/>
      <c r="AL993" s="46"/>
      <c r="AM993" s="46"/>
      <c r="AN993" s="46"/>
    </row>
    <row r="994" spans="36:40" x14ac:dyDescent="0.3">
      <c r="AJ994" s="46"/>
      <c r="AK994" s="46"/>
      <c r="AL994" s="46"/>
      <c r="AM994" s="46"/>
      <c r="AN994" s="46"/>
    </row>
    <row r="995" spans="36:40" x14ac:dyDescent="0.3">
      <c r="AJ995" s="46"/>
      <c r="AK995" s="46"/>
      <c r="AL995" s="46"/>
      <c r="AM995" s="46"/>
      <c r="AN995" s="46"/>
    </row>
    <row r="996" spans="36:40" x14ac:dyDescent="0.3">
      <c r="AJ996" s="46"/>
      <c r="AK996" s="46"/>
      <c r="AL996" s="46"/>
      <c r="AM996" s="46"/>
      <c r="AN996" s="46"/>
    </row>
    <row r="997" spans="36:40" x14ac:dyDescent="0.3">
      <c r="AJ997" s="46"/>
      <c r="AK997" s="46"/>
      <c r="AL997" s="46"/>
      <c r="AM997" s="46"/>
      <c r="AN997" s="46"/>
    </row>
    <row r="998" spans="36:40" x14ac:dyDescent="0.3">
      <c r="AJ998" s="46"/>
      <c r="AK998" s="46"/>
      <c r="AL998" s="46"/>
      <c r="AM998" s="46"/>
      <c r="AN998" s="46"/>
    </row>
    <row r="999" spans="36:40" x14ac:dyDescent="0.3">
      <c r="AJ999" s="46"/>
      <c r="AK999" s="46"/>
      <c r="AL999" s="46"/>
      <c r="AM999" s="46"/>
      <c r="AN999" s="46"/>
    </row>
    <row r="1000" spans="36:40" x14ac:dyDescent="0.3">
      <c r="AJ1000" s="46"/>
      <c r="AK1000" s="46"/>
      <c r="AL1000" s="46"/>
      <c r="AM1000" s="46"/>
      <c r="AN1000" s="46"/>
    </row>
    <row r="1001" spans="36:40" x14ac:dyDescent="0.3">
      <c r="AJ1001" s="46"/>
      <c r="AK1001" s="46"/>
      <c r="AL1001" s="46"/>
      <c r="AM1001" s="46"/>
      <c r="AN1001" s="46"/>
    </row>
    <row r="1002" spans="36:40" x14ac:dyDescent="0.3">
      <c r="AJ1002" s="46"/>
      <c r="AK1002" s="46"/>
      <c r="AL1002" s="46"/>
      <c r="AM1002" s="46"/>
      <c r="AN1002" s="46"/>
    </row>
    <row r="1003" spans="36:40" x14ac:dyDescent="0.3">
      <c r="AJ1003" s="46"/>
      <c r="AK1003" s="46"/>
      <c r="AL1003" s="46"/>
      <c r="AM1003" s="46"/>
      <c r="AN1003" s="46"/>
    </row>
    <row r="1004" spans="36:40" x14ac:dyDescent="0.3">
      <c r="AJ1004" s="46"/>
      <c r="AK1004" s="46"/>
      <c r="AL1004" s="46"/>
      <c r="AM1004" s="46"/>
      <c r="AN1004" s="46"/>
    </row>
    <row r="1005" spans="36:40" x14ac:dyDescent="0.3">
      <c r="AJ1005" s="46"/>
      <c r="AK1005" s="46"/>
      <c r="AL1005" s="46"/>
      <c r="AM1005" s="46"/>
      <c r="AN1005" s="46"/>
    </row>
    <row r="1006" spans="36:40" x14ac:dyDescent="0.3">
      <c r="AJ1006" s="46"/>
      <c r="AK1006" s="46"/>
      <c r="AL1006" s="46"/>
      <c r="AM1006" s="46"/>
      <c r="AN1006" s="46"/>
    </row>
    <row r="1007" spans="36:40" x14ac:dyDescent="0.3">
      <c r="AJ1007" s="46"/>
      <c r="AK1007" s="46"/>
      <c r="AL1007" s="46"/>
      <c r="AM1007" s="46"/>
      <c r="AN1007" s="46"/>
    </row>
    <row r="1008" spans="36:40" x14ac:dyDescent="0.3">
      <c r="AJ1008" s="46"/>
      <c r="AK1008" s="46"/>
      <c r="AL1008" s="46"/>
      <c r="AM1008" s="46"/>
      <c r="AN1008" s="46"/>
    </row>
    <row r="1009" spans="36:40" x14ac:dyDescent="0.3">
      <c r="AJ1009" s="46"/>
      <c r="AK1009" s="46"/>
      <c r="AL1009" s="46"/>
      <c r="AM1009" s="46"/>
      <c r="AN1009" s="46"/>
    </row>
    <row r="1010" spans="36:40" x14ac:dyDescent="0.3">
      <c r="AJ1010" s="46"/>
      <c r="AK1010" s="46"/>
      <c r="AL1010" s="46"/>
      <c r="AM1010" s="46"/>
      <c r="AN1010" s="46"/>
    </row>
    <row r="1011" spans="36:40" x14ac:dyDescent="0.3">
      <c r="AJ1011" s="46"/>
      <c r="AK1011" s="46"/>
      <c r="AL1011" s="46"/>
      <c r="AM1011" s="46"/>
      <c r="AN1011" s="46"/>
    </row>
    <row r="1012" spans="36:40" x14ac:dyDescent="0.3">
      <c r="AJ1012" s="46"/>
      <c r="AK1012" s="46"/>
      <c r="AL1012" s="46"/>
      <c r="AM1012" s="46"/>
      <c r="AN1012" s="46"/>
    </row>
    <row r="1013" spans="36:40" x14ac:dyDescent="0.3">
      <c r="AJ1013" s="46"/>
      <c r="AK1013" s="46"/>
      <c r="AL1013" s="46"/>
      <c r="AM1013" s="46"/>
      <c r="AN1013" s="46"/>
    </row>
    <row r="1014" spans="36:40" x14ac:dyDescent="0.3">
      <c r="AJ1014" s="46"/>
      <c r="AK1014" s="46"/>
      <c r="AL1014" s="46"/>
      <c r="AM1014" s="46"/>
      <c r="AN1014" s="46"/>
    </row>
    <row r="1015" spans="36:40" x14ac:dyDescent="0.3">
      <c r="AJ1015" s="46"/>
      <c r="AK1015" s="46"/>
      <c r="AL1015" s="46"/>
      <c r="AM1015" s="46"/>
      <c r="AN1015" s="46"/>
    </row>
    <row r="1016" spans="36:40" x14ac:dyDescent="0.3">
      <c r="AJ1016" s="46"/>
      <c r="AK1016" s="46"/>
      <c r="AL1016" s="46"/>
      <c r="AM1016" s="46"/>
      <c r="AN1016" s="46"/>
    </row>
    <row r="1017" spans="36:40" x14ac:dyDescent="0.3">
      <c r="AJ1017" s="46"/>
      <c r="AK1017" s="46"/>
      <c r="AL1017" s="46"/>
      <c r="AM1017" s="46"/>
      <c r="AN1017" s="46"/>
    </row>
    <row r="1018" spans="36:40" x14ac:dyDescent="0.3">
      <c r="AJ1018" s="46"/>
      <c r="AK1018" s="46"/>
      <c r="AL1018" s="46"/>
      <c r="AM1018" s="46"/>
      <c r="AN1018" s="46"/>
    </row>
    <row r="1019" spans="36:40" x14ac:dyDescent="0.3">
      <c r="AJ1019" s="46"/>
      <c r="AK1019" s="46"/>
      <c r="AL1019" s="46"/>
      <c r="AM1019" s="46"/>
      <c r="AN1019" s="46"/>
    </row>
    <row r="1020" spans="36:40" x14ac:dyDescent="0.3">
      <c r="AJ1020" s="46"/>
      <c r="AK1020" s="46"/>
      <c r="AL1020" s="46"/>
      <c r="AM1020" s="46"/>
      <c r="AN1020" s="46"/>
    </row>
    <row r="1021" spans="36:40" x14ac:dyDescent="0.3">
      <c r="AJ1021" s="46"/>
      <c r="AK1021" s="46"/>
      <c r="AL1021" s="46"/>
      <c r="AM1021" s="46"/>
      <c r="AN1021" s="46"/>
    </row>
    <row r="1022" spans="36:40" x14ac:dyDescent="0.3">
      <c r="AJ1022" s="46"/>
      <c r="AK1022" s="46"/>
      <c r="AL1022" s="46"/>
      <c r="AM1022" s="46"/>
      <c r="AN1022" s="46"/>
    </row>
    <row r="1023" spans="36:40" x14ac:dyDescent="0.3">
      <c r="AJ1023" s="46"/>
      <c r="AK1023" s="46"/>
      <c r="AL1023" s="46"/>
      <c r="AM1023" s="46"/>
      <c r="AN1023" s="46"/>
    </row>
    <row r="1024" spans="36:40" x14ac:dyDescent="0.3">
      <c r="AJ1024" s="46"/>
      <c r="AK1024" s="46"/>
      <c r="AL1024" s="46"/>
      <c r="AM1024" s="46"/>
      <c r="AN1024" s="46"/>
    </row>
    <row r="1025" spans="36:40" x14ac:dyDescent="0.3">
      <c r="AJ1025" s="46"/>
      <c r="AK1025" s="46"/>
      <c r="AL1025" s="46"/>
      <c r="AM1025" s="46"/>
      <c r="AN1025" s="46"/>
    </row>
    <row r="1026" spans="36:40" x14ac:dyDescent="0.3">
      <c r="AJ1026" s="46"/>
      <c r="AK1026" s="46"/>
      <c r="AL1026" s="46"/>
      <c r="AM1026" s="46"/>
      <c r="AN1026" s="46"/>
    </row>
    <row r="1027" spans="36:40" x14ac:dyDescent="0.3">
      <c r="AJ1027" s="46"/>
      <c r="AK1027" s="46"/>
      <c r="AL1027" s="46"/>
      <c r="AM1027" s="46"/>
      <c r="AN1027" s="46"/>
    </row>
    <row r="1028" spans="36:40" x14ac:dyDescent="0.3">
      <c r="AJ1028" s="46"/>
      <c r="AK1028" s="46"/>
      <c r="AL1028" s="46"/>
      <c r="AM1028" s="46"/>
      <c r="AN1028" s="46"/>
    </row>
    <row r="1029" spans="36:40" x14ac:dyDescent="0.3">
      <c r="AJ1029" s="46"/>
      <c r="AK1029" s="46"/>
      <c r="AL1029" s="46"/>
      <c r="AM1029" s="46"/>
      <c r="AN1029" s="46"/>
    </row>
    <row r="1030" spans="36:40" x14ac:dyDescent="0.3">
      <c r="AJ1030" s="46"/>
      <c r="AK1030" s="46"/>
      <c r="AL1030" s="46"/>
      <c r="AM1030" s="46"/>
      <c r="AN1030" s="46"/>
    </row>
    <row r="1031" spans="36:40" x14ac:dyDescent="0.3">
      <c r="AJ1031" s="46"/>
      <c r="AK1031" s="46"/>
      <c r="AL1031" s="46"/>
      <c r="AM1031" s="46"/>
      <c r="AN1031" s="46"/>
    </row>
    <row r="1032" spans="36:40" x14ac:dyDescent="0.3">
      <c r="AJ1032" s="46"/>
      <c r="AK1032" s="46"/>
      <c r="AL1032" s="46"/>
      <c r="AM1032" s="46"/>
      <c r="AN1032" s="46"/>
    </row>
    <row r="1033" spans="36:40" x14ac:dyDescent="0.3">
      <c r="AJ1033" s="46"/>
      <c r="AK1033" s="46"/>
      <c r="AL1033" s="46"/>
      <c r="AM1033" s="46"/>
      <c r="AN1033" s="46"/>
    </row>
    <row r="1034" spans="36:40" x14ac:dyDescent="0.3">
      <c r="AJ1034" s="46"/>
      <c r="AK1034" s="46"/>
      <c r="AL1034" s="46"/>
      <c r="AM1034" s="46"/>
      <c r="AN1034" s="46"/>
    </row>
    <row r="1035" spans="36:40" x14ac:dyDescent="0.3">
      <c r="AJ1035" s="46"/>
      <c r="AK1035" s="46"/>
      <c r="AL1035" s="46"/>
      <c r="AM1035" s="46"/>
      <c r="AN1035" s="46"/>
    </row>
    <row r="1036" spans="36:40" x14ac:dyDescent="0.3">
      <c r="AJ1036" s="46"/>
      <c r="AK1036" s="46"/>
      <c r="AL1036" s="46"/>
      <c r="AM1036" s="46"/>
      <c r="AN1036" s="46"/>
    </row>
    <row r="1037" spans="36:40" x14ac:dyDescent="0.3">
      <c r="AJ1037" s="46"/>
      <c r="AK1037" s="46"/>
      <c r="AL1037" s="46"/>
      <c r="AM1037" s="46"/>
      <c r="AN1037" s="46"/>
    </row>
    <row r="1038" spans="36:40" x14ac:dyDescent="0.3">
      <c r="AJ1038" s="46"/>
      <c r="AK1038" s="46"/>
      <c r="AL1038" s="46"/>
      <c r="AM1038" s="46"/>
      <c r="AN1038" s="46"/>
    </row>
    <row r="1039" spans="36:40" x14ac:dyDescent="0.3">
      <c r="AJ1039" s="46"/>
      <c r="AK1039" s="46"/>
      <c r="AL1039" s="46"/>
      <c r="AM1039" s="46"/>
      <c r="AN1039" s="46"/>
    </row>
    <row r="1040" spans="36:40" x14ac:dyDescent="0.3">
      <c r="AJ1040" s="46"/>
      <c r="AK1040" s="46"/>
      <c r="AL1040" s="46"/>
      <c r="AM1040" s="46"/>
      <c r="AN1040" s="46"/>
    </row>
    <row r="1041" spans="36:40" x14ac:dyDescent="0.3">
      <c r="AJ1041" s="46"/>
      <c r="AK1041" s="46"/>
      <c r="AL1041" s="46"/>
      <c r="AM1041" s="46"/>
      <c r="AN1041" s="46"/>
    </row>
    <row r="1042" spans="36:40" x14ac:dyDescent="0.3">
      <c r="AJ1042" s="46"/>
      <c r="AK1042" s="46"/>
      <c r="AL1042" s="46"/>
      <c r="AM1042" s="46"/>
      <c r="AN1042" s="46"/>
    </row>
    <row r="1043" spans="36:40" x14ac:dyDescent="0.3">
      <c r="AJ1043" s="46"/>
      <c r="AK1043" s="46"/>
      <c r="AL1043" s="46"/>
      <c r="AM1043" s="46"/>
      <c r="AN1043" s="46"/>
    </row>
    <row r="1044" spans="36:40" x14ac:dyDescent="0.3">
      <c r="AJ1044" s="46"/>
      <c r="AK1044" s="46"/>
      <c r="AL1044" s="46"/>
      <c r="AM1044" s="46"/>
      <c r="AN1044" s="46"/>
    </row>
    <row r="1045" spans="36:40" x14ac:dyDescent="0.3">
      <c r="AJ1045" s="46"/>
      <c r="AK1045" s="46"/>
      <c r="AL1045" s="46"/>
      <c r="AM1045" s="46"/>
      <c r="AN1045" s="46"/>
    </row>
    <row r="1046" spans="36:40" x14ac:dyDescent="0.3">
      <c r="AJ1046" s="46"/>
      <c r="AK1046" s="46"/>
      <c r="AL1046" s="46"/>
      <c r="AM1046" s="46"/>
      <c r="AN1046" s="46"/>
    </row>
    <row r="1047" spans="36:40" x14ac:dyDescent="0.3">
      <c r="AJ1047" s="46"/>
      <c r="AK1047" s="46"/>
      <c r="AL1047" s="46"/>
      <c r="AM1047" s="46"/>
      <c r="AN1047" s="46"/>
    </row>
    <row r="1048" spans="36:40" x14ac:dyDescent="0.3">
      <c r="AJ1048" s="46"/>
      <c r="AK1048" s="46"/>
      <c r="AL1048" s="46"/>
      <c r="AM1048" s="46"/>
      <c r="AN1048" s="46"/>
    </row>
    <row r="1049" spans="36:40" x14ac:dyDescent="0.3">
      <c r="AJ1049" s="46"/>
      <c r="AK1049" s="46"/>
      <c r="AL1049" s="46"/>
      <c r="AM1049" s="46"/>
      <c r="AN1049" s="46"/>
    </row>
    <row r="1050" spans="36:40" x14ac:dyDescent="0.3">
      <c r="AJ1050" s="46"/>
      <c r="AK1050" s="46"/>
      <c r="AL1050" s="46"/>
      <c r="AM1050" s="46"/>
      <c r="AN1050" s="46"/>
    </row>
    <row r="1051" spans="36:40" x14ac:dyDescent="0.3">
      <c r="AJ1051" s="46"/>
      <c r="AK1051" s="46"/>
      <c r="AL1051" s="46"/>
      <c r="AM1051" s="46"/>
      <c r="AN1051" s="46"/>
    </row>
    <row r="1052" spans="36:40" x14ac:dyDescent="0.3">
      <c r="AJ1052" s="46"/>
      <c r="AK1052" s="46"/>
      <c r="AL1052" s="46"/>
      <c r="AM1052" s="46"/>
      <c r="AN1052" s="46"/>
    </row>
    <row r="1053" spans="36:40" x14ac:dyDescent="0.3">
      <c r="AJ1053" s="46"/>
      <c r="AK1053" s="46"/>
      <c r="AL1053" s="46"/>
      <c r="AM1053" s="46"/>
      <c r="AN1053" s="46"/>
    </row>
    <row r="1054" spans="36:40" x14ac:dyDescent="0.3">
      <c r="AJ1054" s="46"/>
      <c r="AK1054" s="46"/>
      <c r="AL1054" s="46"/>
      <c r="AM1054" s="46"/>
      <c r="AN1054" s="46"/>
    </row>
    <row r="1055" spans="36:40" x14ac:dyDescent="0.3">
      <c r="AJ1055" s="46"/>
      <c r="AK1055" s="46"/>
      <c r="AL1055" s="46"/>
      <c r="AM1055" s="46"/>
      <c r="AN1055" s="46"/>
    </row>
    <row r="1056" spans="36:40" x14ac:dyDescent="0.3">
      <c r="AJ1056" s="46"/>
      <c r="AK1056" s="46"/>
      <c r="AL1056" s="46"/>
      <c r="AM1056" s="46"/>
      <c r="AN1056" s="46"/>
    </row>
    <row r="1057" spans="36:40" x14ac:dyDescent="0.3">
      <c r="AJ1057" s="46"/>
      <c r="AK1057" s="46"/>
      <c r="AL1057" s="46"/>
      <c r="AM1057" s="46"/>
      <c r="AN1057" s="46"/>
    </row>
    <row r="1058" spans="36:40" x14ac:dyDescent="0.3">
      <c r="AJ1058" s="46"/>
      <c r="AK1058" s="46"/>
      <c r="AL1058" s="46"/>
      <c r="AM1058" s="46"/>
      <c r="AN1058" s="46"/>
    </row>
    <row r="1059" spans="36:40" x14ac:dyDescent="0.3">
      <c r="AJ1059" s="46"/>
      <c r="AK1059" s="46"/>
      <c r="AL1059" s="46"/>
      <c r="AM1059" s="46"/>
      <c r="AN1059" s="46"/>
    </row>
    <row r="1060" spans="36:40" x14ac:dyDescent="0.3">
      <c r="AJ1060" s="46"/>
      <c r="AK1060" s="46"/>
      <c r="AL1060" s="46"/>
      <c r="AM1060" s="46"/>
      <c r="AN1060" s="46"/>
    </row>
    <row r="1061" spans="36:40" x14ac:dyDescent="0.3">
      <c r="AJ1061" s="46"/>
      <c r="AK1061" s="46"/>
      <c r="AL1061" s="46"/>
      <c r="AM1061" s="46"/>
      <c r="AN1061" s="46"/>
    </row>
    <row r="1062" spans="36:40" x14ac:dyDescent="0.3">
      <c r="AJ1062" s="46"/>
      <c r="AK1062" s="46"/>
      <c r="AL1062" s="46"/>
      <c r="AM1062" s="46"/>
      <c r="AN1062" s="46"/>
    </row>
    <row r="1063" spans="36:40" x14ac:dyDescent="0.3">
      <c r="AJ1063" s="46"/>
      <c r="AK1063" s="46"/>
      <c r="AL1063" s="46"/>
      <c r="AM1063" s="46"/>
      <c r="AN1063" s="46"/>
    </row>
    <row r="1064" spans="36:40" x14ac:dyDescent="0.3">
      <c r="AJ1064" s="46"/>
      <c r="AK1064" s="46"/>
      <c r="AL1064" s="46"/>
      <c r="AM1064" s="46"/>
      <c r="AN1064" s="46"/>
    </row>
    <row r="1065" spans="36:40" x14ac:dyDescent="0.3">
      <c r="AJ1065" s="46"/>
      <c r="AK1065" s="46"/>
      <c r="AL1065" s="46"/>
      <c r="AM1065" s="46"/>
      <c r="AN1065" s="46"/>
    </row>
    <row r="1066" spans="36:40" x14ac:dyDescent="0.3">
      <c r="AJ1066" s="46"/>
      <c r="AK1066" s="46"/>
      <c r="AL1066" s="46"/>
      <c r="AM1066" s="46"/>
      <c r="AN1066" s="46"/>
    </row>
    <row r="1067" spans="36:40" x14ac:dyDescent="0.3">
      <c r="AJ1067" s="46"/>
      <c r="AK1067" s="46"/>
      <c r="AL1067" s="46"/>
      <c r="AM1067" s="46"/>
      <c r="AN1067" s="46"/>
    </row>
    <row r="1068" spans="36:40" x14ac:dyDescent="0.3">
      <c r="AJ1068" s="46"/>
      <c r="AK1068" s="46"/>
      <c r="AL1068" s="46"/>
      <c r="AM1068" s="46"/>
      <c r="AN1068" s="46"/>
    </row>
    <row r="1069" spans="36:40" x14ac:dyDescent="0.3">
      <c r="AJ1069" s="46"/>
      <c r="AK1069" s="46"/>
      <c r="AL1069" s="46"/>
      <c r="AM1069" s="46"/>
      <c r="AN1069" s="46"/>
    </row>
    <row r="1070" spans="36:40" x14ac:dyDescent="0.3">
      <c r="AJ1070" s="46"/>
      <c r="AK1070" s="46"/>
      <c r="AL1070" s="46"/>
      <c r="AM1070" s="46"/>
      <c r="AN1070" s="46"/>
    </row>
    <row r="1071" spans="36:40" x14ac:dyDescent="0.3">
      <c r="AJ1071" s="46"/>
      <c r="AK1071" s="46"/>
      <c r="AL1071" s="46"/>
      <c r="AM1071" s="46"/>
      <c r="AN1071" s="46"/>
    </row>
    <row r="1072" spans="36:40" x14ac:dyDescent="0.3">
      <c r="AJ1072" s="46"/>
      <c r="AK1072" s="46"/>
      <c r="AL1072" s="46"/>
      <c r="AM1072" s="46"/>
      <c r="AN1072" s="46"/>
    </row>
    <row r="1073" spans="36:40" x14ac:dyDescent="0.3">
      <c r="AJ1073" s="46"/>
      <c r="AK1073" s="46"/>
      <c r="AL1073" s="46"/>
      <c r="AM1073" s="46"/>
      <c r="AN1073" s="46"/>
    </row>
    <row r="1074" spans="36:40" x14ac:dyDescent="0.3">
      <c r="AJ1074" s="46"/>
      <c r="AK1074" s="46"/>
      <c r="AL1074" s="46"/>
      <c r="AM1074" s="46"/>
      <c r="AN1074" s="46"/>
    </row>
    <row r="1075" spans="36:40" x14ac:dyDescent="0.3">
      <c r="AJ1075" s="46"/>
      <c r="AK1075" s="46"/>
      <c r="AL1075" s="46"/>
      <c r="AM1075" s="46"/>
      <c r="AN1075" s="46"/>
    </row>
    <row r="1076" spans="36:40" x14ac:dyDescent="0.3">
      <c r="AJ1076" s="46"/>
      <c r="AK1076" s="46"/>
      <c r="AL1076" s="46"/>
      <c r="AM1076" s="46"/>
      <c r="AN1076" s="46"/>
    </row>
    <row r="1077" spans="36:40" x14ac:dyDescent="0.3">
      <c r="AJ1077" s="46"/>
      <c r="AK1077" s="46"/>
      <c r="AL1077" s="46"/>
      <c r="AM1077" s="46"/>
      <c r="AN1077" s="46"/>
    </row>
    <row r="1078" spans="36:40" x14ac:dyDescent="0.3">
      <c r="AJ1078" s="46"/>
      <c r="AK1078" s="46"/>
      <c r="AL1078" s="46"/>
      <c r="AM1078" s="46"/>
      <c r="AN1078" s="46"/>
    </row>
    <row r="1079" spans="36:40" x14ac:dyDescent="0.3">
      <c r="AJ1079" s="46"/>
      <c r="AK1079" s="46"/>
      <c r="AL1079" s="46"/>
      <c r="AM1079" s="46"/>
      <c r="AN1079" s="46"/>
    </row>
    <row r="1080" spans="36:40" x14ac:dyDescent="0.3">
      <c r="AJ1080" s="46"/>
      <c r="AK1080" s="46"/>
      <c r="AL1080" s="46"/>
      <c r="AM1080" s="46"/>
      <c r="AN1080" s="46"/>
    </row>
    <row r="1081" spans="36:40" x14ac:dyDescent="0.3">
      <c r="AJ1081" s="46"/>
      <c r="AK1081" s="46"/>
      <c r="AL1081" s="46"/>
      <c r="AM1081" s="46"/>
      <c r="AN1081" s="46"/>
    </row>
    <row r="1082" spans="36:40" x14ac:dyDescent="0.3">
      <c r="AJ1082" s="46"/>
      <c r="AK1082" s="46"/>
      <c r="AL1082" s="46"/>
      <c r="AM1082" s="46"/>
      <c r="AN1082" s="46"/>
    </row>
    <row r="1083" spans="36:40" x14ac:dyDescent="0.3">
      <c r="AJ1083" s="46"/>
      <c r="AK1083" s="46"/>
      <c r="AL1083" s="46"/>
      <c r="AM1083" s="46"/>
      <c r="AN1083" s="46"/>
    </row>
    <row r="1084" spans="36:40" x14ac:dyDescent="0.3">
      <c r="AJ1084" s="46"/>
      <c r="AK1084" s="46"/>
      <c r="AL1084" s="46"/>
      <c r="AM1084" s="46"/>
      <c r="AN1084" s="46"/>
    </row>
    <row r="1085" spans="36:40" x14ac:dyDescent="0.3">
      <c r="AJ1085" s="46"/>
      <c r="AK1085" s="46"/>
      <c r="AL1085" s="46"/>
      <c r="AM1085" s="46"/>
      <c r="AN1085" s="46"/>
    </row>
    <row r="1086" spans="36:40" x14ac:dyDescent="0.3">
      <c r="AJ1086" s="46"/>
      <c r="AK1086" s="46"/>
      <c r="AL1086" s="46"/>
      <c r="AM1086" s="46"/>
      <c r="AN1086" s="46"/>
    </row>
    <row r="1087" spans="36:40" x14ac:dyDescent="0.3">
      <c r="AJ1087" s="46"/>
      <c r="AK1087" s="46"/>
      <c r="AL1087" s="46"/>
      <c r="AM1087" s="46"/>
      <c r="AN1087" s="46"/>
    </row>
    <row r="1088" spans="36:40" x14ac:dyDescent="0.3">
      <c r="AJ1088" s="46"/>
      <c r="AK1088" s="46"/>
      <c r="AL1088" s="46"/>
      <c r="AM1088" s="46"/>
      <c r="AN1088" s="46"/>
    </row>
    <row r="1089" spans="36:40" x14ac:dyDescent="0.3">
      <c r="AJ1089" s="46"/>
      <c r="AK1089" s="46"/>
      <c r="AL1089" s="46"/>
      <c r="AM1089" s="46"/>
      <c r="AN1089" s="46"/>
    </row>
    <row r="1090" spans="36:40" x14ac:dyDescent="0.3">
      <c r="AJ1090" s="46"/>
      <c r="AK1090" s="46"/>
      <c r="AL1090" s="46"/>
      <c r="AM1090" s="46"/>
      <c r="AN1090" s="46"/>
    </row>
    <row r="1091" spans="36:40" x14ac:dyDescent="0.3">
      <c r="AJ1091" s="46"/>
      <c r="AK1091" s="46"/>
      <c r="AL1091" s="46"/>
      <c r="AM1091" s="46"/>
      <c r="AN1091" s="46"/>
    </row>
    <row r="1092" spans="36:40" x14ac:dyDescent="0.3">
      <c r="AJ1092" s="46"/>
      <c r="AK1092" s="46"/>
      <c r="AL1092" s="46"/>
      <c r="AM1092" s="46"/>
      <c r="AN1092" s="46"/>
    </row>
    <row r="1093" spans="36:40" x14ac:dyDescent="0.3">
      <c r="AJ1093" s="46"/>
      <c r="AK1093" s="46"/>
      <c r="AL1093" s="46"/>
      <c r="AM1093" s="46"/>
      <c r="AN1093" s="46"/>
    </row>
    <row r="1094" spans="36:40" x14ac:dyDescent="0.3">
      <c r="AJ1094" s="46"/>
      <c r="AK1094" s="46"/>
      <c r="AL1094" s="46"/>
      <c r="AM1094" s="46"/>
      <c r="AN1094" s="46"/>
    </row>
    <row r="1095" spans="36:40" x14ac:dyDescent="0.3">
      <c r="AJ1095" s="46"/>
      <c r="AK1095" s="46"/>
      <c r="AL1095" s="46"/>
      <c r="AM1095" s="46"/>
      <c r="AN1095" s="46"/>
    </row>
    <row r="1096" spans="36:40" x14ac:dyDescent="0.3">
      <c r="AJ1096" s="46"/>
      <c r="AK1096" s="46"/>
      <c r="AL1096" s="46"/>
      <c r="AM1096" s="46"/>
      <c r="AN1096" s="46"/>
    </row>
    <row r="1097" spans="36:40" x14ac:dyDescent="0.3">
      <c r="AJ1097" s="46"/>
      <c r="AK1097" s="46"/>
      <c r="AL1097" s="46"/>
      <c r="AM1097" s="46"/>
      <c r="AN1097" s="46"/>
    </row>
    <row r="1098" spans="36:40" x14ac:dyDescent="0.3">
      <c r="AJ1098" s="46"/>
      <c r="AK1098" s="46"/>
      <c r="AL1098" s="46"/>
      <c r="AM1098" s="46"/>
      <c r="AN1098" s="46"/>
    </row>
    <row r="1099" spans="36:40" x14ac:dyDescent="0.3">
      <c r="AJ1099" s="46"/>
      <c r="AK1099" s="46"/>
      <c r="AL1099" s="46"/>
      <c r="AM1099" s="46"/>
      <c r="AN1099" s="46"/>
    </row>
    <row r="1100" spans="36:40" x14ac:dyDescent="0.3">
      <c r="AJ1100" s="46"/>
      <c r="AK1100" s="46"/>
      <c r="AL1100" s="46"/>
      <c r="AM1100" s="46"/>
      <c r="AN1100" s="46"/>
    </row>
    <row r="1101" spans="36:40" x14ac:dyDescent="0.3">
      <c r="AJ1101" s="46"/>
      <c r="AK1101" s="46"/>
      <c r="AL1101" s="46"/>
      <c r="AM1101" s="46"/>
      <c r="AN1101" s="46"/>
    </row>
    <row r="1102" spans="36:40" x14ac:dyDescent="0.3">
      <c r="AJ1102" s="46"/>
      <c r="AK1102" s="46"/>
      <c r="AL1102" s="46"/>
      <c r="AM1102" s="46"/>
      <c r="AN1102" s="46"/>
    </row>
    <row r="1103" spans="36:40" x14ac:dyDescent="0.3">
      <c r="AJ1103" s="46"/>
      <c r="AK1103" s="46"/>
      <c r="AL1103" s="46"/>
      <c r="AM1103" s="46"/>
      <c r="AN1103" s="46"/>
    </row>
    <row r="1104" spans="36:40" x14ac:dyDescent="0.3">
      <c r="AJ1104" s="46"/>
      <c r="AK1104" s="46"/>
      <c r="AL1104" s="46"/>
      <c r="AM1104" s="46"/>
      <c r="AN1104" s="46"/>
    </row>
    <row r="1105" spans="36:40" x14ac:dyDescent="0.3">
      <c r="AJ1105" s="46"/>
      <c r="AK1105" s="46"/>
      <c r="AL1105" s="46"/>
      <c r="AM1105" s="46"/>
      <c r="AN1105" s="46"/>
    </row>
    <row r="1106" spans="36:40" x14ac:dyDescent="0.3">
      <c r="AJ1106" s="46"/>
      <c r="AK1106" s="46"/>
      <c r="AL1106" s="46"/>
      <c r="AM1106" s="46"/>
      <c r="AN1106" s="46"/>
    </row>
    <row r="1107" spans="36:40" x14ac:dyDescent="0.3">
      <c r="AJ1107" s="46"/>
      <c r="AK1107" s="46"/>
      <c r="AL1107" s="46"/>
      <c r="AM1107" s="46"/>
      <c r="AN1107" s="46"/>
    </row>
    <row r="1108" spans="36:40" x14ac:dyDescent="0.3">
      <c r="AJ1108" s="46"/>
      <c r="AK1108" s="46"/>
      <c r="AL1108" s="46"/>
      <c r="AM1108" s="46"/>
      <c r="AN1108" s="46"/>
    </row>
    <row r="1109" spans="36:40" x14ac:dyDescent="0.3">
      <c r="AJ1109" s="46"/>
      <c r="AK1109" s="46"/>
      <c r="AL1109" s="46"/>
      <c r="AM1109" s="46"/>
      <c r="AN1109" s="46"/>
    </row>
    <row r="1110" spans="36:40" x14ac:dyDescent="0.3">
      <c r="AJ1110" s="46"/>
      <c r="AK1110" s="46"/>
      <c r="AL1110" s="46"/>
      <c r="AM1110" s="46"/>
      <c r="AN1110" s="46"/>
    </row>
    <row r="1111" spans="36:40" x14ac:dyDescent="0.3">
      <c r="AJ1111" s="46"/>
      <c r="AK1111" s="46"/>
      <c r="AL1111" s="46"/>
      <c r="AM1111" s="46"/>
      <c r="AN1111" s="46"/>
    </row>
    <row r="1112" spans="36:40" x14ac:dyDescent="0.3">
      <c r="AJ1112" s="46"/>
      <c r="AK1112" s="46"/>
      <c r="AL1112" s="46"/>
      <c r="AM1112" s="46"/>
      <c r="AN1112" s="46"/>
    </row>
    <row r="1113" spans="36:40" x14ac:dyDescent="0.3">
      <c r="AJ1113" s="46"/>
      <c r="AK1113" s="46"/>
      <c r="AL1113" s="46"/>
      <c r="AM1113" s="46"/>
      <c r="AN1113" s="46"/>
    </row>
    <row r="1114" spans="36:40" x14ac:dyDescent="0.3">
      <c r="AJ1114" s="46"/>
      <c r="AK1114" s="46"/>
      <c r="AL1114" s="46"/>
      <c r="AM1114" s="46"/>
      <c r="AN1114" s="46"/>
    </row>
    <row r="1115" spans="36:40" x14ac:dyDescent="0.3">
      <c r="AJ1115" s="46"/>
      <c r="AK1115" s="46"/>
      <c r="AL1115" s="46"/>
      <c r="AM1115" s="46"/>
      <c r="AN1115" s="46"/>
    </row>
    <row r="1116" spans="36:40" x14ac:dyDescent="0.3">
      <c r="AJ1116" s="46"/>
      <c r="AK1116" s="46"/>
      <c r="AL1116" s="46"/>
      <c r="AM1116" s="46"/>
      <c r="AN1116" s="46"/>
    </row>
    <row r="1117" spans="36:40" x14ac:dyDescent="0.3">
      <c r="AJ1117" s="46"/>
      <c r="AK1117" s="46"/>
      <c r="AL1117" s="46"/>
      <c r="AM1117" s="46"/>
      <c r="AN1117" s="46"/>
    </row>
    <row r="1118" spans="36:40" x14ac:dyDescent="0.3">
      <c r="AJ1118" s="46"/>
      <c r="AK1118" s="46"/>
      <c r="AL1118" s="46"/>
      <c r="AM1118" s="46"/>
      <c r="AN1118" s="46"/>
    </row>
    <row r="1119" spans="36:40" x14ac:dyDescent="0.3">
      <c r="AJ1119" s="46"/>
      <c r="AK1119" s="46"/>
      <c r="AL1119" s="46"/>
      <c r="AM1119" s="46"/>
      <c r="AN1119" s="46"/>
    </row>
    <row r="1120" spans="36:40" x14ac:dyDescent="0.3">
      <c r="AJ1120" s="46"/>
      <c r="AK1120" s="46"/>
      <c r="AL1120" s="46"/>
      <c r="AM1120" s="46"/>
      <c r="AN1120" s="46"/>
    </row>
    <row r="1121" spans="36:40" x14ac:dyDescent="0.3">
      <c r="AJ1121" s="46"/>
      <c r="AK1121" s="46"/>
      <c r="AL1121" s="46"/>
      <c r="AM1121" s="46"/>
      <c r="AN1121" s="46"/>
    </row>
    <row r="1122" spans="36:40" x14ac:dyDescent="0.3">
      <c r="AJ1122" s="46"/>
      <c r="AK1122" s="46"/>
      <c r="AL1122" s="46"/>
      <c r="AM1122" s="46"/>
      <c r="AN1122" s="46"/>
    </row>
    <row r="1123" spans="36:40" x14ac:dyDescent="0.3">
      <c r="AJ1123" s="46"/>
      <c r="AK1123" s="46"/>
      <c r="AL1123" s="46"/>
      <c r="AM1123" s="46"/>
      <c r="AN1123" s="46"/>
    </row>
    <row r="1124" spans="36:40" x14ac:dyDescent="0.3">
      <c r="AJ1124" s="46"/>
      <c r="AK1124" s="46"/>
      <c r="AL1124" s="46"/>
      <c r="AM1124" s="46"/>
      <c r="AN1124" s="46"/>
    </row>
    <row r="1125" spans="36:40" x14ac:dyDescent="0.3">
      <c r="AJ1125" s="46"/>
      <c r="AK1125" s="46"/>
      <c r="AL1125" s="46"/>
      <c r="AM1125" s="46"/>
      <c r="AN1125" s="46"/>
    </row>
    <row r="1126" spans="36:40" x14ac:dyDescent="0.3">
      <c r="AJ1126" s="46"/>
      <c r="AK1126" s="46"/>
      <c r="AL1126" s="46"/>
      <c r="AM1126" s="46"/>
      <c r="AN1126" s="46"/>
    </row>
    <row r="1127" spans="36:40" x14ac:dyDescent="0.3">
      <c r="AJ1127" s="46"/>
      <c r="AK1127" s="46"/>
      <c r="AL1127" s="46"/>
      <c r="AM1127" s="46"/>
      <c r="AN1127" s="4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BD49-6FEB-46BA-B69B-EDFD4CE53D17}">
  <dimension ref="A1:J874"/>
  <sheetViews>
    <sheetView topLeftCell="C837" zoomScale="85" zoomScaleNormal="85" workbookViewId="0">
      <selection activeCell="D6" sqref="D6"/>
    </sheetView>
  </sheetViews>
  <sheetFormatPr baseColWidth="10" defaultRowHeight="14.4" x14ac:dyDescent="0.3"/>
  <cols>
    <col min="1" max="1" width="45.109375" bestFit="1" customWidth="1"/>
    <col min="2" max="2" width="40.6640625" bestFit="1" customWidth="1"/>
    <col min="3" max="3" width="12.44140625" bestFit="1" customWidth="1"/>
    <col min="4" max="4" width="16.21875" bestFit="1" customWidth="1"/>
    <col min="5" max="6" width="18" bestFit="1" customWidth="1"/>
    <col min="7" max="7" width="13" bestFit="1" customWidth="1"/>
    <col min="8" max="8" width="42.44140625" bestFit="1" customWidth="1"/>
    <col min="9" max="9" width="17" bestFit="1" customWidth="1"/>
    <col min="10" max="10" width="22.88671875" bestFit="1" customWidth="1"/>
  </cols>
  <sheetData>
    <row r="1" spans="1:10" x14ac:dyDescent="0.3">
      <c r="A1" s="31" t="s">
        <v>78</v>
      </c>
      <c r="B1" s="31" t="s">
        <v>77</v>
      </c>
      <c r="C1" s="31" t="s">
        <v>117</v>
      </c>
      <c r="D1" s="31" t="s">
        <v>118</v>
      </c>
      <c r="E1" s="31" t="s">
        <v>123</v>
      </c>
      <c r="F1" s="31" t="s">
        <v>128</v>
      </c>
      <c r="G1" s="31" t="s">
        <v>106</v>
      </c>
      <c r="H1" s="31" t="s">
        <v>107</v>
      </c>
      <c r="I1" t="s">
        <v>205</v>
      </c>
      <c r="J1" t="s">
        <v>206</v>
      </c>
    </row>
    <row r="2" spans="1:10" x14ac:dyDescent="0.3">
      <c r="A2" t="s">
        <v>80</v>
      </c>
      <c r="B2" t="s">
        <v>79</v>
      </c>
      <c r="C2" t="s">
        <v>122</v>
      </c>
      <c r="D2" t="s">
        <v>122</v>
      </c>
      <c r="E2" t="s">
        <v>124</v>
      </c>
      <c r="F2" t="s">
        <v>129</v>
      </c>
      <c r="G2">
        <v>303</v>
      </c>
      <c r="H2" t="s">
        <v>1</v>
      </c>
      <c r="I2">
        <v>0</v>
      </c>
      <c r="J2">
        <v>0</v>
      </c>
    </row>
    <row r="3" spans="1:10" x14ac:dyDescent="0.3">
      <c r="A3" t="s">
        <v>80</v>
      </c>
      <c r="B3" t="s">
        <v>79</v>
      </c>
      <c r="C3" t="s">
        <v>122</v>
      </c>
      <c r="D3" t="s">
        <v>122</v>
      </c>
      <c r="E3" t="s">
        <v>125</v>
      </c>
      <c r="F3" t="s">
        <v>129</v>
      </c>
      <c r="G3">
        <v>205</v>
      </c>
      <c r="H3" t="s">
        <v>7</v>
      </c>
      <c r="I3">
        <v>0</v>
      </c>
      <c r="J3">
        <v>0</v>
      </c>
    </row>
    <row r="4" spans="1:10" x14ac:dyDescent="0.3">
      <c r="A4" t="s">
        <v>80</v>
      </c>
      <c r="B4" t="s">
        <v>79</v>
      </c>
      <c r="C4" t="s">
        <v>122</v>
      </c>
      <c r="D4" t="s">
        <v>122</v>
      </c>
      <c r="E4" t="s">
        <v>127</v>
      </c>
      <c r="F4" t="s">
        <v>129</v>
      </c>
      <c r="G4">
        <v>401</v>
      </c>
      <c r="H4" t="s">
        <v>5</v>
      </c>
      <c r="I4">
        <v>0</v>
      </c>
      <c r="J4">
        <v>0</v>
      </c>
    </row>
    <row r="5" spans="1:10" x14ac:dyDescent="0.3">
      <c r="A5" t="s">
        <v>80</v>
      </c>
      <c r="B5" t="s">
        <v>79</v>
      </c>
      <c r="C5" t="s">
        <v>122</v>
      </c>
      <c r="D5" t="s">
        <v>122</v>
      </c>
      <c r="E5" t="s">
        <v>127</v>
      </c>
      <c r="F5" t="s">
        <v>122</v>
      </c>
      <c r="G5">
        <v>408</v>
      </c>
      <c r="H5" t="s">
        <v>33</v>
      </c>
      <c r="I5">
        <v>13869.81</v>
      </c>
      <c r="J5">
        <v>0</v>
      </c>
    </row>
    <row r="6" spans="1:10" x14ac:dyDescent="0.3">
      <c r="A6" t="s">
        <v>80</v>
      </c>
      <c r="B6" t="s">
        <v>79</v>
      </c>
      <c r="C6" t="s">
        <v>122</v>
      </c>
      <c r="D6" t="s">
        <v>122</v>
      </c>
      <c r="E6" t="s">
        <v>126</v>
      </c>
      <c r="F6" t="s">
        <v>122</v>
      </c>
      <c r="G6">
        <v>130</v>
      </c>
      <c r="H6" s="33" t="s">
        <v>55</v>
      </c>
      <c r="I6" s="33">
        <v>0</v>
      </c>
      <c r="J6" s="33">
        <v>0</v>
      </c>
    </row>
    <row r="7" spans="1:10" x14ac:dyDescent="0.3">
      <c r="A7" t="s">
        <v>80</v>
      </c>
      <c r="B7" t="s">
        <v>79</v>
      </c>
      <c r="C7" t="s">
        <v>121</v>
      </c>
      <c r="D7" t="s">
        <v>121</v>
      </c>
      <c r="E7" t="s">
        <v>125</v>
      </c>
      <c r="F7" t="s">
        <v>129</v>
      </c>
      <c r="G7" t="s">
        <v>110</v>
      </c>
      <c r="H7" t="s">
        <v>64</v>
      </c>
      <c r="I7">
        <v>0</v>
      </c>
      <c r="J7">
        <v>0</v>
      </c>
    </row>
    <row r="8" spans="1:10" x14ac:dyDescent="0.3">
      <c r="A8" t="s">
        <v>80</v>
      </c>
      <c r="B8" t="s">
        <v>79</v>
      </c>
      <c r="C8" t="s">
        <v>120</v>
      </c>
      <c r="D8" t="s">
        <v>120</v>
      </c>
      <c r="E8" t="s">
        <v>124</v>
      </c>
      <c r="F8" t="s">
        <v>129</v>
      </c>
      <c r="G8">
        <v>304</v>
      </c>
      <c r="H8" t="s">
        <v>61</v>
      </c>
      <c r="I8">
        <v>50056.74</v>
      </c>
      <c r="J8">
        <v>37460.619999999966</v>
      </c>
    </row>
    <row r="9" spans="1:10" x14ac:dyDescent="0.3">
      <c r="A9" t="s">
        <v>80</v>
      </c>
      <c r="B9" t="s">
        <v>79</v>
      </c>
      <c r="C9" t="s">
        <v>120</v>
      </c>
      <c r="D9" t="s">
        <v>120</v>
      </c>
      <c r="E9" t="s">
        <v>125</v>
      </c>
      <c r="F9" t="s">
        <v>133</v>
      </c>
      <c r="G9">
        <v>208</v>
      </c>
      <c r="H9" t="s">
        <v>36</v>
      </c>
      <c r="I9">
        <v>24865.309999999998</v>
      </c>
      <c r="J9">
        <v>28443.33000000002</v>
      </c>
    </row>
    <row r="10" spans="1:10" x14ac:dyDescent="0.3">
      <c r="A10" t="s">
        <v>80</v>
      </c>
      <c r="B10" t="s">
        <v>79</v>
      </c>
      <c r="C10" t="s">
        <v>120</v>
      </c>
      <c r="D10" t="s">
        <v>120</v>
      </c>
      <c r="E10" t="s">
        <v>125</v>
      </c>
      <c r="F10" t="s">
        <v>133</v>
      </c>
      <c r="G10">
        <v>209</v>
      </c>
      <c r="H10" t="s">
        <v>35</v>
      </c>
      <c r="I10">
        <v>14761.010000000006</v>
      </c>
      <c r="J10">
        <v>21128.160000000014</v>
      </c>
    </row>
    <row r="11" spans="1:10" x14ac:dyDescent="0.3">
      <c r="A11" t="s">
        <v>80</v>
      </c>
      <c r="B11" t="s">
        <v>79</v>
      </c>
      <c r="C11" t="s">
        <v>120</v>
      </c>
      <c r="D11" t="s">
        <v>120</v>
      </c>
      <c r="E11" t="s">
        <v>125</v>
      </c>
      <c r="F11" t="s">
        <v>129</v>
      </c>
      <c r="G11">
        <v>202</v>
      </c>
      <c r="H11" t="s">
        <v>4</v>
      </c>
      <c r="I11">
        <v>46035.81</v>
      </c>
      <c r="J11">
        <v>35077.929999999971</v>
      </c>
    </row>
    <row r="12" spans="1:10" x14ac:dyDescent="0.3">
      <c r="A12" t="s">
        <v>80</v>
      </c>
      <c r="B12" t="s">
        <v>79</v>
      </c>
      <c r="C12" t="s">
        <v>120</v>
      </c>
      <c r="D12" t="s">
        <v>120</v>
      </c>
      <c r="E12" t="s">
        <v>127</v>
      </c>
      <c r="F12" t="s">
        <v>133</v>
      </c>
      <c r="G12">
        <v>404</v>
      </c>
      <c r="H12" t="s">
        <v>15</v>
      </c>
      <c r="I12">
        <v>20789.12</v>
      </c>
      <c r="J12">
        <v>19622.639999999992</v>
      </c>
    </row>
    <row r="13" spans="1:10" x14ac:dyDescent="0.3">
      <c r="A13" t="s">
        <v>80</v>
      </c>
      <c r="B13" t="s">
        <v>79</v>
      </c>
      <c r="C13" t="s">
        <v>120</v>
      </c>
      <c r="D13" t="s">
        <v>119</v>
      </c>
      <c r="E13" t="s">
        <v>124</v>
      </c>
      <c r="F13" t="s">
        <v>134</v>
      </c>
      <c r="G13">
        <v>310</v>
      </c>
      <c r="H13" t="s">
        <v>63</v>
      </c>
      <c r="I13">
        <v>17301.519999999997</v>
      </c>
      <c r="J13">
        <v>19709.490000000005</v>
      </c>
    </row>
    <row r="14" spans="1:10" x14ac:dyDescent="0.3">
      <c r="A14" t="s">
        <v>80</v>
      </c>
      <c r="B14" t="s">
        <v>79</v>
      </c>
      <c r="C14" t="s">
        <v>120</v>
      </c>
      <c r="D14" t="s">
        <v>119</v>
      </c>
      <c r="E14" t="s">
        <v>125</v>
      </c>
      <c r="F14" t="s">
        <v>134</v>
      </c>
      <c r="G14">
        <v>206</v>
      </c>
      <c r="H14" t="s">
        <v>18</v>
      </c>
      <c r="I14">
        <v>47856.17</v>
      </c>
      <c r="J14">
        <v>49556.250000000022</v>
      </c>
    </row>
    <row r="15" spans="1:10" x14ac:dyDescent="0.3">
      <c r="A15" t="s">
        <v>80</v>
      </c>
      <c r="B15" t="s">
        <v>79</v>
      </c>
      <c r="C15" t="s">
        <v>120</v>
      </c>
      <c r="D15" t="s">
        <v>119</v>
      </c>
      <c r="E15" t="s">
        <v>125</v>
      </c>
      <c r="F15" t="s">
        <v>132</v>
      </c>
      <c r="G15">
        <v>210</v>
      </c>
      <c r="H15" t="s">
        <v>2</v>
      </c>
      <c r="I15">
        <v>26642.520000000004</v>
      </c>
      <c r="J15">
        <v>36413.97</v>
      </c>
    </row>
    <row r="16" spans="1:10" x14ac:dyDescent="0.3">
      <c r="A16" t="s">
        <v>80</v>
      </c>
      <c r="B16" t="s">
        <v>79</v>
      </c>
      <c r="C16" t="s">
        <v>120</v>
      </c>
      <c r="D16" t="s">
        <v>119</v>
      </c>
      <c r="E16" t="s">
        <v>127</v>
      </c>
      <c r="F16" t="s">
        <v>131</v>
      </c>
      <c r="G16">
        <v>417</v>
      </c>
      <c r="H16" t="s">
        <v>54</v>
      </c>
      <c r="I16">
        <v>69361.739999999991</v>
      </c>
      <c r="J16">
        <v>47723.300000000032</v>
      </c>
    </row>
    <row r="17" spans="1:10" x14ac:dyDescent="0.3">
      <c r="A17" t="s">
        <v>80</v>
      </c>
      <c r="B17" t="s">
        <v>79</v>
      </c>
      <c r="C17" t="s">
        <v>119</v>
      </c>
      <c r="D17" t="s">
        <v>122</v>
      </c>
      <c r="E17" t="s">
        <v>127</v>
      </c>
      <c r="F17" t="s">
        <v>132</v>
      </c>
      <c r="G17">
        <v>416</v>
      </c>
      <c r="H17" t="s">
        <v>66</v>
      </c>
      <c r="I17">
        <v>16115.030000000002</v>
      </c>
      <c r="J17">
        <v>13096.829999999998</v>
      </c>
    </row>
    <row r="18" spans="1:10" x14ac:dyDescent="0.3">
      <c r="A18" t="s">
        <v>80</v>
      </c>
      <c r="B18" t="s">
        <v>79</v>
      </c>
      <c r="C18" t="s">
        <v>119</v>
      </c>
      <c r="D18" t="s">
        <v>120</v>
      </c>
      <c r="E18" t="s">
        <v>124</v>
      </c>
      <c r="F18" t="s">
        <v>134</v>
      </c>
      <c r="G18">
        <v>308</v>
      </c>
      <c r="H18" t="s">
        <v>0</v>
      </c>
      <c r="I18">
        <v>31088.38</v>
      </c>
      <c r="J18">
        <v>29710.119999999988</v>
      </c>
    </row>
    <row r="19" spans="1:10" x14ac:dyDescent="0.3">
      <c r="A19" t="s">
        <v>80</v>
      </c>
      <c r="B19" t="s">
        <v>79</v>
      </c>
      <c r="C19" t="s">
        <v>119</v>
      </c>
      <c r="D19" t="s">
        <v>120</v>
      </c>
      <c r="E19" t="s">
        <v>127</v>
      </c>
      <c r="F19" t="s">
        <v>129</v>
      </c>
      <c r="G19">
        <v>402</v>
      </c>
      <c r="H19" t="s">
        <v>9</v>
      </c>
      <c r="I19">
        <v>17595.439999999999</v>
      </c>
      <c r="J19">
        <v>20503.210000000006</v>
      </c>
    </row>
    <row r="20" spans="1:10" x14ac:dyDescent="0.3">
      <c r="A20" t="s">
        <v>80</v>
      </c>
      <c r="B20" t="s">
        <v>79</v>
      </c>
      <c r="C20" t="s">
        <v>119</v>
      </c>
      <c r="D20" t="s">
        <v>120</v>
      </c>
      <c r="E20" t="s">
        <v>127</v>
      </c>
      <c r="F20" t="s">
        <v>129</v>
      </c>
      <c r="G20">
        <v>406</v>
      </c>
      <c r="H20" t="s">
        <v>57</v>
      </c>
      <c r="I20">
        <v>17813.77</v>
      </c>
      <c r="J20">
        <v>13855.249999999996</v>
      </c>
    </row>
    <row r="21" spans="1:10" x14ac:dyDescent="0.3">
      <c r="A21" t="s">
        <v>80</v>
      </c>
      <c r="B21" t="s">
        <v>79</v>
      </c>
      <c r="C21" t="s">
        <v>119</v>
      </c>
      <c r="D21" t="s">
        <v>120</v>
      </c>
      <c r="E21" t="s">
        <v>127</v>
      </c>
      <c r="F21" t="s">
        <v>135</v>
      </c>
      <c r="G21">
        <v>414</v>
      </c>
      <c r="H21" t="s">
        <v>65</v>
      </c>
      <c r="I21">
        <v>216549.51999999993</v>
      </c>
      <c r="J21">
        <v>197419.85000000044</v>
      </c>
    </row>
    <row r="22" spans="1:10" x14ac:dyDescent="0.3">
      <c r="A22" t="s">
        <v>80</v>
      </c>
      <c r="B22" t="s">
        <v>79</v>
      </c>
      <c r="C22" t="s">
        <v>119</v>
      </c>
      <c r="D22" t="s">
        <v>119</v>
      </c>
      <c r="E22" t="s">
        <v>124</v>
      </c>
      <c r="F22" t="s">
        <v>131</v>
      </c>
      <c r="G22">
        <v>309</v>
      </c>
      <c r="H22" t="s">
        <v>52</v>
      </c>
      <c r="I22">
        <v>167219.47</v>
      </c>
      <c r="J22">
        <v>148019.73000000024</v>
      </c>
    </row>
    <row r="23" spans="1:10" x14ac:dyDescent="0.3">
      <c r="A23" t="s">
        <v>80</v>
      </c>
      <c r="B23" t="s">
        <v>79</v>
      </c>
      <c r="C23" t="s">
        <v>119</v>
      </c>
      <c r="D23" t="s">
        <v>119</v>
      </c>
      <c r="E23" t="s">
        <v>124</v>
      </c>
      <c r="F23" t="s">
        <v>130</v>
      </c>
      <c r="G23">
        <v>305</v>
      </c>
      <c r="H23" t="s">
        <v>6</v>
      </c>
      <c r="I23">
        <v>103612.24999999999</v>
      </c>
      <c r="J23">
        <v>94913.910000000178</v>
      </c>
    </row>
    <row r="24" spans="1:10" x14ac:dyDescent="0.3">
      <c r="A24" t="s">
        <v>80</v>
      </c>
      <c r="B24" t="s">
        <v>79</v>
      </c>
      <c r="C24" t="s">
        <v>119</v>
      </c>
      <c r="D24" t="s">
        <v>119</v>
      </c>
      <c r="E24" t="s">
        <v>124</v>
      </c>
      <c r="F24" t="s">
        <v>134</v>
      </c>
      <c r="G24">
        <v>302</v>
      </c>
      <c r="H24" t="s">
        <v>32</v>
      </c>
      <c r="I24">
        <v>69748.17</v>
      </c>
      <c r="J24">
        <v>50447.079999999958</v>
      </c>
    </row>
    <row r="25" spans="1:10" x14ac:dyDescent="0.3">
      <c r="A25" t="s">
        <v>80</v>
      </c>
      <c r="B25" t="s">
        <v>79</v>
      </c>
      <c r="C25" t="s">
        <v>119</v>
      </c>
      <c r="D25" t="s">
        <v>119</v>
      </c>
      <c r="E25" t="s">
        <v>124</v>
      </c>
      <c r="F25" t="s">
        <v>129</v>
      </c>
      <c r="G25">
        <v>301</v>
      </c>
      <c r="H25" t="s">
        <v>59</v>
      </c>
      <c r="I25">
        <v>40623.100000000006</v>
      </c>
      <c r="J25">
        <v>34338.87000000001</v>
      </c>
    </row>
    <row r="26" spans="1:10" x14ac:dyDescent="0.3">
      <c r="A26" t="s">
        <v>80</v>
      </c>
      <c r="B26" t="s">
        <v>79</v>
      </c>
      <c r="C26" t="s">
        <v>119</v>
      </c>
      <c r="D26" t="s">
        <v>119</v>
      </c>
      <c r="E26" t="s">
        <v>124</v>
      </c>
      <c r="F26" t="s">
        <v>129</v>
      </c>
      <c r="G26">
        <v>311</v>
      </c>
      <c r="H26" t="s">
        <v>13</v>
      </c>
      <c r="I26">
        <v>32841.960000000006</v>
      </c>
      <c r="J26">
        <v>26355.550000000014</v>
      </c>
    </row>
    <row r="27" spans="1:10" x14ac:dyDescent="0.3">
      <c r="A27" t="s">
        <v>80</v>
      </c>
      <c r="B27" t="s">
        <v>79</v>
      </c>
      <c r="C27" t="s">
        <v>119</v>
      </c>
      <c r="D27" t="s">
        <v>119</v>
      </c>
      <c r="E27" t="s">
        <v>125</v>
      </c>
      <c r="F27" t="s">
        <v>131</v>
      </c>
      <c r="G27">
        <v>211</v>
      </c>
      <c r="H27" t="s">
        <v>8</v>
      </c>
      <c r="I27">
        <v>144928.28</v>
      </c>
      <c r="J27">
        <v>157566.82000000044</v>
      </c>
    </row>
    <row r="28" spans="1:10" x14ac:dyDescent="0.3">
      <c r="A28" t="s">
        <v>80</v>
      </c>
      <c r="B28" t="s">
        <v>79</v>
      </c>
      <c r="C28" t="s">
        <v>119</v>
      </c>
      <c r="D28" t="s">
        <v>119</v>
      </c>
      <c r="E28" t="s">
        <v>125</v>
      </c>
      <c r="F28" t="s">
        <v>130</v>
      </c>
      <c r="G28">
        <v>207</v>
      </c>
      <c r="H28" t="s">
        <v>53</v>
      </c>
      <c r="I28">
        <v>82232.579999999987</v>
      </c>
      <c r="J28">
        <v>84799.240000000151</v>
      </c>
    </row>
    <row r="29" spans="1:10" x14ac:dyDescent="0.3">
      <c r="A29" t="s">
        <v>80</v>
      </c>
      <c r="B29" t="s">
        <v>79</v>
      </c>
      <c r="C29" t="s">
        <v>119</v>
      </c>
      <c r="D29" t="s">
        <v>119</v>
      </c>
      <c r="E29" t="s">
        <v>125</v>
      </c>
      <c r="F29" t="s">
        <v>133</v>
      </c>
      <c r="G29">
        <v>203</v>
      </c>
      <c r="H29" t="s">
        <v>60</v>
      </c>
      <c r="I29">
        <v>35894.569999999992</v>
      </c>
      <c r="J29">
        <v>33410.260000000009</v>
      </c>
    </row>
    <row r="30" spans="1:10" x14ac:dyDescent="0.3">
      <c r="A30" t="s">
        <v>80</v>
      </c>
      <c r="B30" t="s">
        <v>79</v>
      </c>
      <c r="C30" t="s">
        <v>119</v>
      </c>
      <c r="D30" t="s">
        <v>119</v>
      </c>
      <c r="E30" t="s">
        <v>125</v>
      </c>
      <c r="F30" t="s">
        <v>133</v>
      </c>
      <c r="G30">
        <v>212</v>
      </c>
      <c r="H30" t="s">
        <v>62</v>
      </c>
      <c r="I30">
        <v>41867.359999999993</v>
      </c>
      <c r="J30">
        <v>39744.020000000055</v>
      </c>
    </row>
    <row r="31" spans="1:10" x14ac:dyDescent="0.3">
      <c r="A31" t="s">
        <v>80</v>
      </c>
      <c r="B31" t="s">
        <v>79</v>
      </c>
      <c r="C31" t="s">
        <v>119</v>
      </c>
      <c r="D31" t="s">
        <v>119</v>
      </c>
      <c r="E31" t="s">
        <v>125</v>
      </c>
      <c r="F31" t="s">
        <v>134</v>
      </c>
      <c r="G31">
        <v>190</v>
      </c>
      <c r="H31" t="s">
        <v>42</v>
      </c>
      <c r="I31">
        <v>51777.02</v>
      </c>
      <c r="J31">
        <v>54494.250000000015</v>
      </c>
    </row>
    <row r="32" spans="1:10" x14ac:dyDescent="0.3">
      <c r="A32" t="s">
        <v>80</v>
      </c>
      <c r="B32" t="s">
        <v>79</v>
      </c>
      <c r="C32" t="s">
        <v>119</v>
      </c>
      <c r="D32" t="s">
        <v>119</v>
      </c>
      <c r="E32" t="s">
        <v>125</v>
      </c>
      <c r="F32" t="s">
        <v>134</v>
      </c>
      <c r="G32">
        <v>214</v>
      </c>
      <c r="H32" t="s">
        <v>17</v>
      </c>
      <c r="I32">
        <v>50886.789999999994</v>
      </c>
      <c r="J32">
        <v>50177.870000000024</v>
      </c>
    </row>
    <row r="33" spans="1:10" x14ac:dyDescent="0.3">
      <c r="A33" t="s">
        <v>80</v>
      </c>
      <c r="B33" t="s">
        <v>79</v>
      </c>
      <c r="C33" t="s">
        <v>119</v>
      </c>
      <c r="D33" t="s">
        <v>119</v>
      </c>
      <c r="E33" t="s">
        <v>127</v>
      </c>
      <c r="F33" t="s">
        <v>130</v>
      </c>
      <c r="G33">
        <v>407</v>
      </c>
      <c r="H33" t="s">
        <v>34</v>
      </c>
      <c r="I33">
        <v>92287.479999999981</v>
      </c>
      <c r="J33">
        <v>70926.910000000091</v>
      </c>
    </row>
    <row r="34" spans="1:10" x14ac:dyDescent="0.3">
      <c r="A34" t="s">
        <v>80</v>
      </c>
      <c r="B34" t="s">
        <v>79</v>
      </c>
      <c r="C34" t="s">
        <v>119</v>
      </c>
      <c r="D34" t="s">
        <v>119</v>
      </c>
      <c r="E34" t="s">
        <v>127</v>
      </c>
      <c r="F34" t="s">
        <v>130</v>
      </c>
      <c r="G34">
        <v>413</v>
      </c>
      <c r="H34" t="s">
        <v>14</v>
      </c>
      <c r="I34">
        <v>77482.739999999976</v>
      </c>
      <c r="J34">
        <v>79863.210000000021</v>
      </c>
    </row>
    <row r="35" spans="1:10" x14ac:dyDescent="0.3">
      <c r="A35" t="s">
        <v>80</v>
      </c>
      <c r="B35" t="s">
        <v>79</v>
      </c>
      <c r="C35" t="s">
        <v>119</v>
      </c>
      <c r="D35" t="s">
        <v>119</v>
      </c>
      <c r="E35" t="s">
        <v>127</v>
      </c>
      <c r="F35" t="s">
        <v>133</v>
      </c>
      <c r="G35">
        <v>412</v>
      </c>
      <c r="H35" t="s">
        <v>11</v>
      </c>
      <c r="I35">
        <v>35725.599999999991</v>
      </c>
      <c r="J35">
        <v>36931.470000000023</v>
      </c>
    </row>
    <row r="36" spans="1:10" x14ac:dyDescent="0.3">
      <c r="A36" t="s">
        <v>80</v>
      </c>
      <c r="B36" t="s">
        <v>79</v>
      </c>
      <c r="C36" t="s">
        <v>119</v>
      </c>
      <c r="D36" t="s">
        <v>119</v>
      </c>
      <c r="E36" t="s">
        <v>127</v>
      </c>
      <c r="F36" t="s">
        <v>134</v>
      </c>
      <c r="G36">
        <v>403</v>
      </c>
      <c r="H36" t="s">
        <v>12</v>
      </c>
      <c r="I36">
        <v>39899.61</v>
      </c>
      <c r="J36">
        <v>41134.299999999996</v>
      </c>
    </row>
    <row r="37" spans="1:10" x14ac:dyDescent="0.3">
      <c r="A37" t="s">
        <v>80</v>
      </c>
      <c r="B37" t="s">
        <v>79</v>
      </c>
      <c r="C37" t="s">
        <v>119</v>
      </c>
      <c r="D37" t="s">
        <v>119</v>
      </c>
      <c r="E37" t="s">
        <v>127</v>
      </c>
      <c r="F37" t="s">
        <v>129</v>
      </c>
      <c r="G37">
        <v>409</v>
      </c>
      <c r="H37" t="s">
        <v>58</v>
      </c>
      <c r="I37">
        <v>36282.36</v>
      </c>
      <c r="J37">
        <v>25052.150000000023</v>
      </c>
    </row>
    <row r="38" spans="1:10" x14ac:dyDescent="0.3">
      <c r="A38" t="s">
        <v>80</v>
      </c>
      <c r="B38" t="s">
        <v>79</v>
      </c>
      <c r="C38" t="s">
        <v>119</v>
      </c>
      <c r="D38" t="s">
        <v>119</v>
      </c>
      <c r="E38" t="s">
        <v>127</v>
      </c>
      <c r="F38" t="s">
        <v>129</v>
      </c>
      <c r="G38">
        <v>410</v>
      </c>
      <c r="H38" t="s">
        <v>40</v>
      </c>
      <c r="I38">
        <v>23138.739999999998</v>
      </c>
      <c r="J38">
        <v>17504.01999999999</v>
      </c>
    </row>
    <row r="39" spans="1:10" x14ac:dyDescent="0.3">
      <c r="A39" t="s">
        <v>80</v>
      </c>
      <c r="B39" t="s">
        <v>79</v>
      </c>
      <c r="C39" t="s">
        <v>119</v>
      </c>
      <c r="D39" t="s">
        <v>119</v>
      </c>
      <c r="E39" t="s">
        <v>126</v>
      </c>
      <c r="F39" t="s">
        <v>130</v>
      </c>
      <c r="G39">
        <v>101</v>
      </c>
      <c r="H39" t="s">
        <v>10</v>
      </c>
      <c r="I39">
        <v>127888.13999999998</v>
      </c>
      <c r="J39">
        <v>120471.05000000025</v>
      </c>
    </row>
    <row r="40" spans="1:10" x14ac:dyDescent="0.3">
      <c r="A40" t="s">
        <v>80</v>
      </c>
      <c r="B40" t="s">
        <v>79</v>
      </c>
      <c r="C40" t="s">
        <v>119</v>
      </c>
      <c r="D40" t="s">
        <v>119</v>
      </c>
      <c r="E40" t="s">
        <v>126</v>
      </c>
      <c r="F40" t="s">
        <v>130</v>
      </c>
      <c r="G40">
        <v>150</v>
      </c>
      <c r="H40" t="s">
        <v>3</v>
      </c>
      <c r="I40">
        <v>106746.95999999999</v>
      </c>
      <c r="J40">
        <v>102430.84000000024</v>
      </c>
    </row>
    <row r="41" spans="1:10" x14ac:dyDescent="0.3">
      <c r="A41" t="s">
        <v>80</v>
      </c>
      <c r="B41" t="s">
        <v>79</v>
      </c>
      <c r="C41" t="s">
        <v>119</v>
      </c>
      <c r="D41" t="s">
        <v>119</v>
      </c>
      <c r="E41" t="s">
        <v>126</v>
      </c>
      <c r="F41" t="s">
        <v>134</v>
      </c>
      <c r="G41">
        <v>170</v>
      </c>
      <c r="H41" t="s">
        <v>56</v>
      </c>
      <c r="I41">
        <v>51010.04</v>
      </c>
      <c r="J41">
        <v>48775.349999999991</v>
      </c>
    </row>
    <row r="42" spans="1:10" x14ac:dyDescent="0.3">
      <c r="A42" t="s">
        <v>80</v>
      </c>
      <c r="B42" t="s">
        <v>79</v>
      </c>
      <c r="C42" t="s">
        <v>119</v>
      </c>
      <c r="D42" t="s">
        <v>119</v>
      </c>
      <c r="E42" t="s">
        <v>126</v>
      </c>
      <c r="F42" t="s">
        <v>132</v>
      </c>
      <c r="G42">
        <v>131</v>
      </c>
      <c r="H42" t="s">
        <v>67</v>
      </c>
      <c r="I42">
        <v>27333.749999999996</v>
      </c>
      <c r="J42">
        <v>24658.309999999998</v>
      </c>
    </row>
    <row r="43" spans="1:10" x14ac:dyDescent="0.3">
      <c r="A43" t="s">
        <v>80</v>
      </c>
      <c r="B43" t="s">
        <v>79</v>
      </c>
      <c r="C43" t="s">
        <v>119</v>
      </c>
      <c r="D43" t="s">
        <v>119</v>
      </c>
      <c r="E43" t="s">
        <v>126</v>
      </c>
      <c r="F43" t="s">
        <v>132</v>
      </c>
      <c r="G43">
        <v>151</v>
      </c>
      <c r="H43" t="s">
        <v>20</v>
      </c>
      <c r="I43">
        <v>27576.320000000003</v>
      </c>
      <c r="J43">
        <v>30556.169999999987</v>
      </c>
    </row>
    <row r="44" spans="1:10" x14ac:dyDescent="0.3">
      <c r="A44" t="s">
        <v>80</v>
      </c>
      <c r="B44" t="s">
        <v>92</v>
      </c>
      <c r="C44" t="s">
        <v>121</v>
      </c>
      <c r="D44" t="s">
        <v>121</v>
      </c>
      <c r="E44" t="s">
        <v>127</v>
      </c>
      <c r="F44" t="s">
        <v>136</v>
      </c>
      <c r="G44">
        <v>418</v>
      </c>
      <c r="H44" t="s">
        <v>44</v>
      </c>
      <c r="I44">
        <v>0</v>
      </c>
      <c r="J44">
        <v>0</v>
      </c>
    </row>
    <row r="45" spans="1:10" x14ac:dyDescent="0.3">
      <c r="A45" t="s">
        <v>80</v>
      </c>
      <c r="B45" t="s">
        <v>92</v>
      </c>
      <c r="C45" t="s">
        <v>119</v>
      </c>
      <c r="D45" t="s">
        <v>122</v>
      </c>
      <c r="E45" t="s">
        <v>124</v>
      </c>
      <c r="F45" t="s">
        <v>136</v>
      </c>
      <c r="G45">
        <v>307</v>
      </c>
      <c r="H45" t="s">
        <v>19</v>
      </c>
      <c r="I45">
        <v>56226.840000000011</v>
      </c>
      <c r="J45">
        <v>56839.659999999974</v>
      </c>
    </row>
    <row r="46" spans="1:10" x14ac:dyDescent="0.3">
      <c r="A46" t="s">
        <v>80</v>
      </c>
      <c r="B46" t="s">
        <v>92</v>
      </c>
      <c r="C46" t="s">
        <v>119</v>
      </c>
      <c r="D46" t="s">
        <v>122</v>
      </c>
      <c r="E46" t="s">
        <v>127</v>
      </c>
      <c r="F46" t="s">
        <v>136</v>
      </c>
      <c r="G46">
        <v>411</v>
      </c>
      <c r="H46" t="s">
        <v>43</v>
      </c>
      <c r="I46">
        <v>73729.840000000011</v>
      </c>
      <c r="J46">
        <v>59564.509999999966</v>
      </c>
    </row>
    <row r="47" spans="1:10" x14ac:dyDescent="0.3">
      <c r="A47" t="s">
        <v>80</v>
      </c>
      <c r="B47" t="s">
        <v>92</v>
      </c>
      <c r="C47" t="s">
        <v>119</v>
      </c>
      <c r="D47" t="s">
        <v>120</v>
      </c>
      <c r="E47" t="s">
        <v>125</v>
      </c>
      <c r="F47" t="s">
        <v>136</v>
      </c>
      <c r="G47">
        <v>213</v>
      </c>
      <c r="H47" t="s">
        <v>49</v>
      </c>
      <c r="I47">
        <v>50578.359999999993</v>
      </c>
      <c r="J47">
        <v>46071.499999999985</v>
      </c>
    </row>
    <row r="48" spans="1:10" x14ac:dyDescent="0.3">
      <c r="A48" t="s">
        <v>80</v>
      </c>
      <c r="B48" t="s">
        <v>92</v>
      </c>
      <c r="C48" t="s">
        <v>119</v>
      </c>
      <c r="D48" t="s">
        <v>120</v>
      </c>
      <c r="E48" t="s">
        <v>127</v>
      </c>
      <c r="F48" t="s">
        <v>136</v>
      </c>
      <c r="G48">
        <v>415</v>
      </c>
      <c r="H48" t="s">
        <v>47</v>
      </c>
      <c r="I48">
        <v>43180.6</v>
      </c>
      <c r="J48">
        <v>48646.749999999971</v>
      </c>
    </row>
    <row r="49" spans="1:10" x14ac:dyDescent="0.3">
      <c r="A49" t="s">
        <v>80</v>
      </c>
      <c r="B49" t="s">
        <v>92</v>
      </c>
      <c r="C49" t="s">
        <v>119</v>
      </c>
      <c r="D49" t="s">
        <v>119</v>
      </c>
      <c r="E49" t="s">
        <v>124</v>
      </c>
      <c r="F49" t="s">
        <v>136</v>
      </c>
      <c r="G49">
        <v>306</v>
      </c>
      <c r="H49" t="s">
        <v>51</v>
      </c>
      <c r="I49">
        <v>55391.23000000001</v>
      </c>
      <c r="J49">
        <v>60167.089999999982</v>
      </c>
    </row>
    <row r="50" spans="1:10" x14ac:dyDescent="0.3">
      <c r="A50" t="s">
        <v>80</v>
      </c>
      <c r="B50" t="s">
        <v>92</v>
      </c>
      <c r="C50" t="s">
        <v>119</v>
      </c>
      <c r="D50" t="s">
        <v>119</v>
      </c>
      <c r="E50" t="s">
        <v>125</v>
      </c>
      <c r="F50" t="s">
        <v>136</v>
      </c>
      <c r="G50">
        <v>201</v>
      </c>
      <c r="H50" t="s">
        <v>45</v>
      </c>
      <c r="I50">
        <v>43773.03</v>
      </c>
      <c r="J50">
        <v>42478.80999999999</v>
      </c>
    </row>
    <row r="51" spans="1:10" x14ac:dyDescent="0.3">
      <c r="A51" t="s">
        <v>80</v>
      </c>
      <c r="B51" t="s">
        <v>92</v>
      </c>
      <c r="C51" t="s">
        <v>119</v>
      </c>
      <c r="D51" t="s">
        <v>119</v>
      </c>
      <c r="E51" t="s">
        <v>125</v>
      </c>
      <c r="F51" t="s">
        <v>136</v>
      </c>
      <c r="G51">
        <v>204</v>
      </c>
      <c r="H51" t="s">
        <v>46</v>
      </c>
      <c r="I51">
        <v>34978.300000000003</v>
      </c>
      <c r="J51">
        <v>42241.099999999933</v>
      </c>
    </row>
    <row r="52" spans="1:10" x14ac:dyDescent="0.3">
      <c r="A52" t="s">
        <v>80</v>
      </c>
      <c r="B52" t="s">
        <v>92</v>
      </c>
      <c r="C52" t="s">
        <v>119</v>
      </c>
      <c r="D52" t="s">
        <v>119</v>
      </c>
      <c r="E52" t="s">
        <v>126</v>
      </c>
      <c r="F52" t="s">
        <v>136</v>
      </c>
      <c r="G52">
        <v>102</v>
      </c>
      <c r="H52" t="s">
        <v>50</v>
      </c>
      <c r="I52">
        <v>73091.400000000023</v>
      </c>
      <c r="J52">
        <v>71059.879999999961</v>
      </c>
    </row>
    <row r="53" spans="1:10" x14ac:dyDescent="0.3">
      <c r="A53" t="s">
        <v>80</v>
      </c>
      <c r="B53" t="s">
        <v>93</v>
      </c>
      <c r="C53" t="s">
        <v>122</v>
      </c>
      <c r="D53" t="s">
        <v>122</v>
      </c>
      <c r="E53" t="s">
        <v>93</v>
      </c>
      <c r="F53" t="s">
        <v>93</v>
      </c>
      <c r="G53">
        <v>901</v>
      </c>
      <c r="H53" s="33" t="s">
        <v>38</v>
      </c>
      <c r="I53" s="33">
        <v>0</v>
      </c>
      <c r="J53" s="33">
        <v>0</v>
      </c>
    </row>
    <row r="54" spans="1:10" x14ac:dyDescent="0.3">
      <c r="A54" t="s">
        <v>80</v>
      </c>
      <c r="B54" t="s">
        <v>93</v>
      </c>
      <c r="C54" t="s">
        <v>122</v>
      </c>
      <c r="D54" t="s">
        <v>122</v>
      </c>
      <c r="E54" t="s">
        <v>93</v>
      </c>
      <c r="F54" t="s">
        <v>93</v>
      </c>
      <c r="G54">
        <v>902</v>
      </c>
      <c r="H54" s="33" t="s">
        <v>39</v>
      </c>
      <c r="I54" s="33">
        <v>0</v>
      </c>
      <c r="J54" s="33">
        <v>0</v>
      </c>
    </row>
    <row r="55" spans="1:10" x14ac:dyDescent="0.3">
      <c r="A55" t="s">
        <v>80</v>
      </c>
      <c r="B55" t="s">
        <v>93</v>
      </c>
      <c r="C55" t="s">
        <v>119</v>
      </c>
      <c r="D55" t="s">
        <v>119</v>
      </c>
      <c r="E55" t="s">
        <v>93</v>
      </c>
      <c r="F55" t="s">
        <v>93</v>
      </c>
      <c r="G55">
        <v>903</v>
      </c>
      <c r="H55" t="s">
        <v>37</v>
      </c>
      <c r="I55">
        <v>6405.2300000000005</v>
      </c>
      <c r="J55">
        <v>35255.659999999989</v>
      </c>
    </row>
    <row r="56" spans="1:10" x14ac:dyDescent="0.3">
      <c r="A56" t="s">
        <v>80</v>
      </c>
      <c r="B56" t="s">
        <v>94</v>
      </c>
      <c r="C56" t="s">
        <v>121</v>
      </c>
      <c r="D56" t="s">
        <v>121</v>
      </c>
      <c r="E56" t="s">
        <v>124</v>
      </c>
      <c r="F56" t="s">
        <v>137</v>
      </c>
      <c r="G56" t="s">
        <v>112</v>
      </c>
      <c r="H56" t="s">
        <v>21</v>
      </c>
      <c r="I56">
        <v>0</v>
      </c>
      <c r="J56">
        <v>0</v>
      </c>
    </row>
    <row r="57" spans="1:10" x14ac:dyDescent="0.3">
      <c r="A57" t="s">
        <v>80</v>
      </c>
      <c r="B57" t="s">
        <v>94</v>
      </c>
      <c r="C57" t="s">
        <v>121</v>
      </c>
      <c r="D57" t="s">
        <v>121</v>
      </c>
      <c r="E57" t="s">
        <v>125</v>
      </c>
      <c r="F57" t="s">
        <v>138</v>
      </c>
      <c r="G57">
        <v>470</v>
      </c>
      <c r="H57" t="s">
        <v>26</v>
      </c>
      <c r="I57">
        <v>0</v>
      </c>
      <c r="J57">
        <v>0</v>
      </c>
    </row>
    <row r="58" spans="1:10" x14ac:dyDescent="0.3">
      <c r="A58" t="s">
        <v>80</v>
      </c>
      <c r="B58" t="s">
        <v>94</v>
      </c>
      <c r="C58" t="s">
        <v>121</v>
      </c>
      <c r="D58" t="s">
        <v>121</v>
      </c>
      <c r="E58" t="s">
        <v>125</v>
      </c>
      <c r="F58" t="s">
        <v>137</v>
      </c>
      <c r="G58" t="s">
        <v>114</v>
      </c>
      <c r="H58" t="s">
        <v>23</v>
      </c>
      <c r="I58">
        <v>0</v>
      </c>
      <c r="J58">
        <v>0</v>
      </c>
    </row>
    <row r="59" spans="1:10" x14ac:dyDescent="0.3">
      <c r="A59" t="s">
        <v>80</v>
      </c>
      <c r="B59" t="s">
        <v>94</v>
      </c>
      <c r="C59" t="s">
        <v>121</v>
      </c>
      <c r="D59" t="s">
        <v>121</v>
      </c>
      <c r="E59" t="s">
        <v>125</v>
      </c>
      <c r="F59" t="s">
        <v>137</v>
      </c>
      <c r="G59" t="s">
        <v>113</v>
      </c>
      <c r="H59" t="s">
        <v>22</v>
      </c>
      <c r="I59">
        <v>0</v>
      </c>
      <c r="J59">
        <v>0</v>
      </c>
    </row>
    <row r="60" spans="1:10" x14ac:dyDescent="0.3">
      <c r="A60" t="s">
        <v>80</v>
      </c>
      <c r="B60" t="s">
        <v>94</v>
      </c>
      <c r="C60" t="s">
        <v>121</v>
      </c>
      <c r="D60" t="s">
        <v>121</v>
      </c>
      <c r="E60" t="s">
        <v>127</v>
      </c>
      <c r="F60" t="s">
        <v>137</v>
      </c>
      <c r="G60">
        <v>494</v>
      </c>
      <c r="H60" t="s">
        <v>25</v>
      </c>
      <c r="I60">
        <v>0</v>
      </c>
      <c r="J60">
        <v>0</v>
      </c>
    </row>
    <row r="61" spans="1:10" x14ac:dyDescent="0.3">
      <c r="A61" t="s">
        <v>80</v>
      </c>
      <c r="B61" t="s">
        <v>94</v>
      </c>
      <c r="C61" t="s">
        <v>121</v>
      </c>
      <c r="D61" t="s">
        <v>121</v>
      </c>
      <c r="E61" t="s">
        <v>126</v>
      </c>
      <c r="F61" t="s">
        <v>137</v>
      </c>
      <c r="G61">
        <v>460</v>
      </c>
      <c r="H61" t="s">
        <v>30</v>
      </c>
      <c r="I61">
        <v>0</v>
      </c>
      <c r="J61">
        <v>0</v>
      </c>
    </row>
    <row r="62" spans="1:10" x14ac:dyDescent="0.3">
      <c r="A62" t="s">
        <v>80</v>
      </c>
      <c r="B62" t="s">
        <v>94</v>
      </c>
      <c r="C62" t="s">
        <v>121</v>
      </c>
      <c r="D62" t="s">
        <v>121</v>
      </c>
      <c r="E62" t="s">
        <v>126</v>
      </c>
      <c r="F62" t="s">
        <v>137</v>
      </c>
      <c r="G62">
        <v>461</v>
      </c>
      <c r="H62" t="s">
        <v>29</v>
      </c>
      <c r="I62">
        <v>0</v>
      </c>
      <c r="J62">
        <v>0</v>
      </c>
    </row>
    <row r="63" spans="1:10" x14ac:dyDescent="0.3">
      <c r="A63" t="s">
        <v>80</v>
      </c>
      <c r="B63" t="s">
        <v>94</v>
      </c>
      <c r="C63" t="s">
        <v>121</v>
      </c>
      <c r="D63" t="s">
        <v>119</v>
      </c>
      <c r="E63" t="s">
        <v>124</v>
      </c>
      <c r="F63" t="s">
        <v>138</v>
      </c>
      <c r="G63">
        <v>480</v>
      </c>
      <c r="H63" t="s">
        <v>28</v>
      </c>
      <c r="I63">
        <v>0</v>
      </c>
      <c r="J63">
        <v>25308.86</v>
      </c>
    </row>
    <row r="64" spans="1:10" x14ac:dyDescent="0.3">
      <c r="A64" t="s">
        <v>80</v>
      </c>
      <c r="B64" t="s">
        <v>94</v>
      </c>
      <c r="C64" t="s">
        <v>121</v>
      </c>
      <c r="D64" t="s">
        <v>119</v>
      </c>
      <c r="E64" t="s">
        <v>127</v>
      </c>
      <c r="F64" t="s">
        <v>138</v>
      </c>
      <c r="G64">
        <v>491</v>
      </c>
      <c r="H64" t="s">
        <v>31</v>
      </c>
      <c r="I64">
        <v>0</v>
      </c>
      <c r="J64">
        <v>56474.590000000069</v>
      </c>
    </row>
    <row r="65" spans="1:10" x14ac:dyDescent="0.3">
      <c r="A65" t="s">
        <v>80</v>
      </c>
      <c r="B65" t="s">
        <v>94</v>
      </c>
      <c r="C65" t="s">
        <v>121</v>
      </c>
      <c r="D65" t="s">
        <v>119</v>
      </c>
      <c r="E65" t="s">
        <v>127</v>
      </c>
      <c r="F65" t="s">
        <v>138</v>
      </c>
      <c r="G65">
        <v>492</v>
      </c>
      <c r="H65" t="s">
        <v>27</v>
      </c>
      <c r="I65">
        <v>0</v>
      </c>
      <c r="J65">
        <v>26373.189999999995</v>
      </c>
    </row>
    <row r="66" spans="1:10" x14ac:dyDescent="0.3">
      <c r="A66" t="s">
        <v>80</v>
      </c>
      <c r="B66" t="s">
        <v>94</v>
      </c>
      <c r="C66" t="s">
        <v>121</v>
      </c>
      <c r="D66" t="s">
        <v>119</v>
      </c>
      <c r="E66" t="s">
        <v>127</v>
      </c>
      <c r="F66" t="s">
        <v>138</v>
      </c>
      <c r="G66">
        <v>493</v>
      </c>
      <c r="H66" t="s">
        <v>24</v>
      </c>
      <c r="I66">
        <v>0</v>
      </c>
      <c r="J66">
        <v>22034.300000000003</v>
      </c>
    </row>
    <row r="67" spans="1:10" x14ac:dyDescent="0.3">
      <c r="A67" t="s">
        <v>80</v>
      </c>
      <c r="B67" t="s">
        <v>95</v>
      </c>
      <c r="C67" t="s">
        <v>121</v>
      </c>
      <c r="D67" t="s">
        <v>121</v>
      </c>
      <c r="E67" t="s">
        <v>126</v>
      </c>
      <c r="F67" t="s">
        <v>139</v>
      </c>
      <c r="G67">
        <v>510</v>
      </c>
      <c r="H67" t="s">
        <v>76</v>
      </c>
      <c r="I67">
        <v>0</v>
      </c>
      <c r="J67">
        <v>0</v>
      </c>
    </row>
    <row r="68" spans="1:10" x14ac:dyDescent="0.3">
      <c r="A68" t="s">
        <v>80</v>
      </c>
      <c r="B68" t="s">
        <v>95</v>
      </c>
      <c r="C68" t="s">
        <v>121</v>
      </c>
      <c r="D68" t="s">
        <v>119</v>
      </c>
      <c r="E68" t="s">
        <v>127</v>
      </c>
      <c r="F68" t="s">
        <v>140</v>
      </c>
      <c r="G68">
        <v>541</v>
      </c>
      <c r="H68" t="s">
        <v>74</v>
      </c>
      <c r="I68">
        <v>0</v>
      </c>
      <c r="J68">
        <v>28483.64</v>
      </c>
    </row>
    <row r="69" spans="1:10" x14ac:dyDescent="0.3">
      <c r="A69" t="s">
        <v>80</v>
      </c>
      <c r="B69" t="s">
        <v>95</v>
      </c>
      <c r="C69" t="s">
        <v>121</v>
      </c>
      <c r="D69" t="s">
        <v>119</v>
      </c>
      <c r="E69" t="s">
        <v>127</v>
      </c>
      <c r="F69" t="s">
        <v>140</v>
      </c>
      <c r="G69">
        <v>543</v>
      </c>
      <c r="H69" t="s">
        <v>72</v>
      </c>
      <c r="I69">
        <v>0</v>
      </c>
      <c r="J69">
        <v>27429.920000000013</v>
      </c>
    </row>
    <row r="70" spans="1:10" x14ac:dyDescent="0.3">
      <c r="A70" t="s">
        <v>80</v>
      </c>
      <c r="B70" t="s">
        <v>95</v>
      </c>
      <c r="C70" t="s">
        <v>120</v>
      </c>
      <c r="D70" t="s">
        <v>119</v>
      </c>
      <c r="E70" t="s">
        <v>127</v>
      </c>
      <c r="F70" t="s">
        <v>140</v>
      </c>
      <c r="G70">
        <v>540</v>
      </c>
      <c r="H70" t="s">
        <v>73</v>
      </c>
      <c r="I70">
        <v>43624.67</v>
      </c>
      <c r="J70">
        <v>77190.38</v>
      </c>
    </row>
    <row r="71" spans="1:10" x14ac:dyDescent="0.3">
      <c r="A71" t="s">
        <v>80</v>
      </c>
      <c r="B71" t="s">
        <v>95</v>
      </c>
      <c r="C71" t="s">
        <v>119</v>
      </c>
      <c r="D71" t="s">
        <v>120</v>
      </c>
      <c r="E71" t="s">
        <v>124</v>
      </c>
      <c r="F71" t="s">
        <v>139</v>
      </c>
      <c r="G71">
        <v>530</v>
      </c>
      <c r="H71" t="s">
        <v>68</v>
      </c>
      <c r="I71">
        <v>27241.829999999998</v>
      </c>
      <c r="J71">
        <v>28258.190000000002</v>
      </c>
    </row>
    <row r="72" spans="1:10" x14ac:dyDescent="0.3">
      <c r="A72" t="s">
        <v>80</v>
      </c>
      <c r="B72" t="s">
        <v>95</v>
      </c>
      <c r="C72" t="s">
        <v>119</v>
      </c>
      <c r="D72" t="s">
        <v>119</v>
      </c>
      <c r="E72" t="s">
        <v>125</v>
      </c>
      <c r="F72" t="s">
        <v>140</v>
      </c>
      <c r="G72">
        <v>520</v>
      </c>
      <c r="H72" t="s">
        <v>70</v>
      </c>
      <c r="I72">
        <v>46382.06</v>
      </c>
      <c r="J72">
        <v>43179.810000000005</v>
      </c>
    </row>
    <row r="73" spans="1:10" x14ac:dyDescent="0.3">
      <c r="A73" t="s">
        <v>80</v>
      </c>
      <c r="B73" t="s">
        <v>95</v>
      </c>
      <c r="C73" t="s">
        <v>119</v>
      </c>
      <c r="D73" t="s">
        <v>119</v>
      </c>
      <c r="E73" t="s">
        <v>127</v>
      </c>
      <c r="F73" t="s">
        <v>139</v>
      </c>
      <c r="G73">
        <v>542</v>
      </c>
      <c r="H73" t="s">
        <v>69</v>
      </c>
      <c r="I73">
        <v>25452.61</v>
      </c>
      <c r="J73">
        <v>17664.59</v>
      </c>
    </row>
    <row r="74" spans="1:10" x14ac:dyDescent="0.3">
      <c r="A74" t="s">
        <v>81</v>
      </c>
      <c r="B74" t="s">
        <v>79</v>
      </c>
      <c r="C74" t="s">
        <v>122</v>
      </c>
      <c r="D74" t="s">
        <v>122</v>
      </c>
      <c r="E74" t="s">
        <v>124</v>
      </c>
      <c r="F74" t="s">
        <v>129</v>
      </c>
      <c r="G74">
        <v>303</v>
      </c>
      <c r="H74" t="s">
        <v>1</v>
      </c>
      <c r="I74">
        <v>0</v>
      </c>
      <c r="J74">
        <v>0</v>
      </c>
    </row>
    <row r="75" spans="1:10" x14ac:dyDescent="0.3">
      <c r="A75" t="s">
        <v>81</v>
      </c>
      <c r="B75" t="s">
        <v>79</v>
      </c>
      <c r="C75" t="s">
        <v>122</v>
      </c>
      <c r="D75" t="s">
        <v>122</v>
      </c>
      <c r="E75" t="s">
        <v>125</v>
      </c>
      <c r="F75" t="s">
        <v>129</v>
      </c>
      <c r="G75">
        <v>205</v>
      </c>
      <c r="H75" t="s">
        <v>7</v>
      </c>
      <c r="I75">
        <v>0</v>
      </c>
      <c r="J75">
        <v>0</v>
      </c>
    </row>
    <row r="76" spans="1:10" x14ac:dyDescent="0.3">
      <c r="A76" t="s">
        <v>81</v>
      </c>
      <c r="B76" t="s">
        <v>79</v>
      </c>
      <c r="C76" t="s">
        <v>122</v>
      </c>
      <c r="D76" t="s">
        <v>122</v>
      </c>
      <c r="E76" t="s">
        <v>127</v>
      </c>
      <c r="F76" t="s">
        <v>129</v>
      </c>
      <c r="G76">
        <v>401</v>
      </c>
      <c r="H76" t="s">
        <v>5</v>
      </c>
      <c r="I76">
        <v>0</v>
      </c>
      <c r="J76">
        <v>0</v>
      </c>
    </row>
    <row r="77" spans="1:10" x14ac:dyDescent="0.3">
      <c r="A77" t="s">
        <v>81</v>
      </c>
      <c r="B77" t="s">
        <v>79</v>
      </c>
      <c r="C77" t="s">
        <v>122</v>
      </c>
      <c r="D77" t="s">
        <v>122</v>
      </c>
      <c r="E77" t="s">
        <v>127</v>
      </c>
      <c r="F77" t="s">
        <v>122</v>
      </c>
      <c r="G77">
        <v>408</v>
      </c>
      <c r="H77" t="s">
        <v>33</v>
      </c>
      <c r="I77">
        <v>14951.560000000001</v>
      </c>
      <c r="J77">
        <v>0</v>
      </c>
    </row>
    <row r="78" spans="1:10" x14ac:dyDescent="0.3">
      <c r="A78" t="s">
        <v>81</v>
      </c>
      <c r="B78" t="s">
        <v>79</v>
      </c>
      <c r="C78" t="s">
        <v>122</v>
      </c>
      <c r="D78" t="s">
        <v>122</v>
      </c>
      <c r="E78" t="s">
        <v>126</v>
      </c>
      <c r="F78" t="s">
        <v>122</v>
      </c>
      <c r="G78">
        <v>130</v>
      </c>
      <c r="H78" s="33" t="s">
        <v>55</v>
      </c>
      <c r="I78" s="33">
        <v>0</v>
      </c>
      <c r="J78" s="33">
        <v>0</v>
      </c>
    </row>
    <row r="79" spans="1:10" x14ac:dyDescent="0.3">
      <c r="A79" t="s">
        <v>81</v>
      </c>
      <c r="B79" t="s">
        <v>79</v>
      </c>
      <c r="C79" t="s">
        <v>121</v>
      </c>
      <c r="D79" t="s">
        <v>121</v>
      </c>
      <c r="E79" t="s">
        <v>125</v>
      </c>
      <c r="F79" t="s">
        <v>129</v>
      </c>
      <c r="G79" t="s">
        <v>110</v>
      </c>
      <c r="H79" t="s">
        <v>64</v>
      </c>
      <c r="I79">
        <v>0</v>
      </c>
      <c r="J79">
        <v>0</v>
      </c>
    </row>
    <row r="80" spans="1:10" x14ac:dyDescent="0.3">
      <c r="A80" t="s">
        <v>81</v>
      </c>
      <c r="B80" t="s">
        <v>79</v>
      </c>
      <c r="C80" t="s">
        <v>120</v>
      </c>
      <c r="D80" t="s">
        <v>120</v>
      </c>
      <c r="E80" t="s">
        <v>124</v>
      </c>
      <c r="F80" t="s">
        <v>129</v>
      </c>
      <c r="G80">
        <v>304</v>
      </c>
      <c r="H80" t="s">
        <v>61</v>
      </c>
      <c r="I80">
        <v>44977.429999999993</v>
      </c>
      <c r="J80">
        <v>44540.81</v>
      </c>
    </row>
    <row r="81" spans="1:10" x14ac:dyDescent="0.3">
      <c r="A81" t="s">
        <v>81</v>
      </c>
      <c r="B81" t="s">
        <v>79</v>
      </c>
      <c r="C81" t="s">
        <v>120</v>
      </c>
      <c r="D81" t="s">
        <v>120</v>
      </c>
      <c r="E81" t="s">
        <v>125</v>
      </c>
      <c r="F81" t="s">
        <v>133</v>
      </c>
      <c r="G81">
        <v>208</v>
      </c>
      <c r="H81" t="s">
        <v>36</v>
      </c>
      <c r="I81">
        <v>27662.729999999996</v>
      </c>
      <c r="J81">
        <v>46657.879999999983</v>
      </c>
    </row>
    <row r="82" spans="1:10" x14ac:dyDescent="0.3">
      <c r="A82" t="s">
        <v>81</v>
      </c>
      <c r="B82" t="s">
        <v>79</v>
      </c>
      <c r="C82" t="s">
        <v>120</v>
      </c>
      <c r="D82" t="s">
        <v>120</v>
      </c>
      <c r="E82" t="s">
        <v>125</v>
      </c>
      <c r="F82" t="s">
        <v>133</v>
      </c>
      <c r="G82">
        <v>209</v>
      </c>
      <c r="H82" t="s">
        <v>35</v>
      </c>
      <c r="I82">
        <v>19742.150000000001</v>
      </c>
      <c r="J82">
        <v>35604.090000000011</v>
      </c>
    </row>
    <row r="83" spans="1:10" x14ac:dyDescent="0.3">
      <c r="A83" t="s">
        <v>81</v>
      </c>
      <c r="B83" t="s">
        <v>79</v>
      </c>
      <c r="C83" t="s">
        <v>120</v>
      </c>
      <c r="D83" t="s">
        <v>120</v>
      </c>
      <c r="E83" t="s">
        <v>125</v>
      </c>
      <c r="F83" t="s">
        <v>129</v>
      </c>
      <c r="G83">
        <v>202</v>
      </c>
      <c r="H83" t="s">
        <v>4</v>
      </c>
      <c r="I83">
        <v>49648.430000000008</v>
      </c>
      <c r="J83">
        <v>57001.440000000002</v>
      </c>
    </row>
    <row r="84" spans="1:10" x14ac:dyDescent="0.3">
      <c r="A84" t="s">
        <v>81</v>
      </c>
      <c r="B84" t="s">
        <v>79</v>
      </c>
      <c r="C84" t="s">
        <v>120</v>
      </c>
      <c r="D84" t="s">
        <v>120</v>
      </c>
      <c r="E84" t="s">
        <v>127</v>
      </c>
      <c r="F84" t="s">
        <v>133</v>
      </c>
      <c r="G84">
        <v>404</v>
      </c>
      <c r="H84" t="s">
        <v>15</v>
      </c>
      <c r="I84">
        <v>44468.640000000007</v>
      </c>
      <c r="J84">
        <v>39888.809999999969</v>
      </c>
    </row>
    <row r="85" spans="1:10" x14ac:dyDescent="0.3">
      <c r="A85" t="s">
        <v>81</v>
      </c>
      <c r="B85" t="s">
        <v>79</v>
      </c>
      <c r="C85" t="s">
        <v>120</v>
      </c>
      <c r="D85" t="s">
        <v>119</v>
      </c>
      <c r="E85" t="s">
        <v>124</v>
      </c>
      <c r="F85" t="s">
        <v>134</v>
      </c>
      <c r="G85">
        <v>310</v>
      </c>
      <c r="H85" t="s">
        <v>63</v>
      </c>
      <c r="I85">
        <v>16841.73</v>
      </c>
      <c r="J85">
        <v>36459.649999999994</v>
      </c>
    </row>
    <row r="86" spans="1:10" x14ac:dyDescent="0.3">
      <c r="A86" t="s">
        <v>81</v>
      </c>
      <c r="B86" t="s">
        <v>79</v>
      </c>
      <c r="C86" t="s">
        <v>120</v>
      </c>
      <c r="D86" t="s">
        <v>119</v>
      </c>
      <c r="E86" t="s">
        <v>125</v>
      </c>
      <c r="F86" t="s">
        <v>134</v>
      </c>
      <c r="G86">
        <v>206</v>
      </c>
      <c r="H86" t="s">
        <v>18</v>
      </c>
      <c r="I86">
        <v>51117.580000000009</v>
      </c>
      <c r="J86">
        <v>86032.409999999945</v>
      </c>
    </row>
    <row r="87" spans="1:10" x14ac:dyDescent="0.3">
      <c r="A87" t="s">
        <v>81</v>
      </c>
      <c r="B87" t="s">
        <v>79</v>
      </c>
      <c r="C87" t="s">
        <v>120</v>
      </c>
      <c r="D87" t="s">
        <v>119</v>
      </c>
      <c r="E87" t="s">
        <v>125</v>
      </c>
      <c r="F87" t="s">
        <v>132</v>
      </c>
      <c r="G87">
        <v>210</v>
      </c>
      <c r="H87" t="s">
        <v>2</v>
      </c>
      <c r="I87">
        <v>33022.92</v>
      </c>
      <c r="J87">
        <v>47907.94</v>
      </c>
    </row>
    <row r="88" spans="1:10" x14ac:dyDescent="0.3">
      <c r="A88" t="s">
        <v>81</v>
      </c>
      <c r="B88" t="s">
        <v>79</v>
      </c>
      <c r="C88" t="s">
        <v>120</v>
      </c>
      <c r="D88" t="s">
        <v>119</v>
      </c>
      <c r="E88" t="s">
        <v>127</v>
      </c>
      <c r="F88" t="s">
        <v>131</v>
      </c>
      <c r="G88">
        <v>417</v>
      </c>
      <c r="H88" t="s">
        <v>54</v>
      </c>
      <c r="I88">
        <v>101352.61999999998</v>
      </c>
      <c r="J88">
        <v>102464.70000000001</v>
      </c>
    </row>
    <row r="89" spans="1:10" x14ac:dyDescent="0.3">
      <c r="A89" t="s">
        <v>81</v>
      </c>
      <c r="B89" t="s">
        <v>79</v>
      </c>
      <c r="C89" t="s">
        <v>119</v>
      </c>
      <c r="D89" t="s">
        <v>122</v>
      </c>
      <c r="E89" t="s">
        <v>127</v>
      </c>
      <c r="F89" t="s">
        <v>132</v>
      </c>
      <c r="G89">
        <v>416</v>
      </c>
      <c r="H89" t="s">
        <v>66</v>
      </c>
      <c r="I89">
        <v>16728.46</v>
      </c>
      <c r="J89">
        <v>22580.330000000009</v>
      </c>
    </row>
    <row r="90" spans="1:10" x14ac:dyDescent="0.3">
      <c r="A90" t="s">
        <v>81</v>
      </c>
      <c r="B90" t="s">
        <v>79</v>
      </c>
      <c r="C90" t="s">
        <v>119</v>
      </c>
      <c r="D90" t="s">
        <v>120</v>
      </c>
      <c r="E90" t="s">
        <v>124</v>
      </c>
      <c r="F90" t="s">
        <v>134</v>
      </c>
      <c r="G90">
        <v>308</v>
      </c>
      <c r="H90" t="s">
        <v>0</v>
      </c>
      <c r="I90">
        <v>39484.17</v>
      </c>
      <c r="J90">
        <v>44781.109999999971</v>
      </c>
    </row>
    <row r="91" spans="1:10" x14ac:dyDescent="0.3">
      <c r="A91" t="s">
        <v>81</v>
      </c>
      <c r="B91" t="s">
        <v>79</v>
      </c>
      <c r="C91" t="s">
        <v>119</v>
      </c>
      <c r="D91" t="s">
        <v>120</v>
      </c>
      <c r="E91" t="s">
        <v>127</v>
      </c>
      <c r="F91" t="s">
        <v>129</v>
      </c>
      <c r="G91">
        <v>402</v>
      </c>
      <c r="H91" t="s">
        <v>9</v>
      </c>
      <c r="I91">
        <v>24341.790000000008</v>
      </c>
      <c r="J91">
        <v>34120.409999999996</v>
      </c>
    </row>
    <row r="92" spans="1:10" x14ac:dyDescent="0.3">
      <c r="A92" t="s">
        <v>81</v>
      </c>
      <c r="B92" t="s">
        <v>79</v>
      </c>
      <c r="C92" t="s">
        <v>119</v>
      </c>
      <c r="D92" t="s">
        <v>120</v>
      </c>
      <c r="E92" t="s">
        <v>127</v>
      </c>
      <c r="F92" t="s">
        <v>129</v>
      </c>
      <c r="G92">
        <v>406</v>
      </c>
      <c r="H92" t="s">
        <v>57</v>
      </c>
      <c r="I92">
        <v>21274.239999999998</v>
      </c>
      <c r="J92">
        <v>21961.199999999983</v>
      </c>
    </row>
    <row r="93" spans="1:10" x14ac:dyDescent="0.3">
      <c r="A93" t="s">
        <v>81</v>
      </c>
      <c r="B93" t="s">
        <v>79</v>
      </c>
      <c r="C93" t="s">
        <v>119</v>
      </c>
      <c r="D93" t="s">
        <v>120</v>
      </c>
      <c r="E93" t="s">
        <v>127</v>
      </c>
      <c r="F93" t="s">
        <v>135</v>
      </c>
      <c r="G93">
        <v>414</v>
      </c>
      <c r="H93" t="s">
        <v>65</v>
      </c>
      <c r="I93">
        <v>297764.65999999992</v>
      </c>
      <c r="J93">
        <v>361222.84</v>
      </c>
    </row>
    <row r="94" spans="1:10" x14ac:dyDescent="0.3">
      <c r="A94" t="s">
        <v>81</v>
      </c>
      <c r="B94" t="s">
        <v>79</v>
      </c>
      <c r="C94" t="s">
        <v>119</v>
      </c>
      <c r="D94" t="s">
        <v>119</v>
      </c>
      <c r="E94" t="s">
        <v>124</v>
      </c>
      <c r="F94" t="s">
        <v>131</v>
      </c>
      <c r="G94">
        <v>309</v>
      </c>
      <c r="H94" t="s">
        <v>52</v>
      </c>
      <c r="I94">
        <v>188631.09</v>
      </c>
      <c r="J94">
        <v>208087.66000000029</v>
      </c>
    </row>
    <row r="95" spans="1:10" x14ac:dyDescent="0.3">
      <c r="A95" t="s">
        <v>81</v>
      </c>
      <c r="B95" t="s">
        <v>79</v>
      </c>
      <c r="C95" t="s">
        <v>119</v>
      </c>
      <c r="D95" t="s">
        <v>119</v>
      </c>
      <c r="E95" t="s">
        <v>124</v>
      </c>
      <c r="F95" t="s">
        <v>130</v>
      </c>
      <c r="G95">
        <v>305</v>
      </c>
      <c r="H95" t="s">
        <v>6</v>
      </c>
      <c r="I95">
        <v>121764.35999999999</v>
      </c>
      <c r="J95">
        <v>148645.06000000014</v>
      </c>
    </row>
    <row r="96" spans="1:10" x14ac:dyDescent="0.3">
      <c r="A96" t="s">
        <v>81</v>
      </c>
      <c r="B96" t="s">
        <v>79</v>
      </c>
      <c r="C96" t="s">
        <v>119</v>
      </c>
      <c r="D96" t="s">
        <v>119</v>
      </c>
      <c r="E96" t="s">
        <v>124</v>
      </c>
      <c r="F96" t="s">
        <v>134</v>
      </c>
      <c r="G96">
        <v>302</v>
      </c>
      <c r="H96" t="s">
        <v>32</v>
      </c>
      <c r="I96">
        <v>68356.890000000014</v>
      </c>
      <c r="J96">
        <v>80492.749999999971</v>
      </c>
    </row>
    <row r="97" spans="1:10" x14ac:dyDescent="0.3">
      <c r="A97" t="s">
        <v>81</v>
      </c>
      <c r="B97" t="s">
        <v>79</v>
      </c>
      <c r="C97" t="s">
        <v>119</v>
      </c>
      <c r="D97" t="s">
        <v>119</v>
      </c>
      <c r="E97" t="s">
        <v>124</v>
      </c>
      <c r="F97" t="s">
        <v>129</v>
      </c>
      <c r="G97">
        <v>301</v>
      </c>
      <c r="H97" t="s">
        <v>59</v>
      </c>
      <c r="I97">
        <v>46072</v>
      </c>
      <c r="J97">
        <v>52763.929999999978</v>
      </c>
    </row>
    <row r="98" spans="1:10" x14ac:dyDescent="0.3">
      <c r="A98" t="s">
        <v>81</v>
      </c>
      <c r="B98" t="s">
        <v>79</v>
      </c>
      <c r="C98" t="s">
        <v>119</v>
      </c>
      <c r="D98" t="s">
        <v>119</v>
      </c>
      <c r="E98" t="s">
        <v>124</v>
      </c>
      <c r="F98" t="s">
        <v>129</v>
      </c>
      <c r="G98">
        <v>311</v>
      </c>
      <c r="H98" t="s">
        <v>13</v>
      </c>
      <c r="I98">
        <v>36055.17</v>
      </c>
      <c r="J98">
        <v>49501.989999999962</v>
      </c>
    </row>
    <row r="99" spans="1:10" x14ac:dyDescent="0.3">
      <c r="A99" t="s">
        <v>81</v>
      </c>
      <c r="B99" t="s">
        <v>79</v>
      </c>
      <c r="C99" t="s">
        <v>119</v>
      </c>
      <c r="D99" t="s">
        <v>119</v>
      </c>
      <c r="E99" t="s">
        <v>125</v>
      </c>
      <c r="F99" t="s">
        <v>131</v>
      </c>
      <c r="G99">
        <v>211</v>
      </c>
      <c r="H99" t="s">
        <v>8</v>
      </c>
      <c r="I99">
        <v>199848.80999999991</v>
      </c>
      <c r="J99">
        <v>267256.82000000123</v>
      </c>
    </row>
    <row r="100" spans="1:10" x14ac:dyDescent="0.3">
      <c r="A100" t="s">
        <v>81</v>
      </c>
      <c r="B100" t="s">
        <v>79</v>
      </c>
      <c r="C100" t="s">
        <v>119</v>
      </c>
      <c r="D100" t="s">
        <v>119</v>
      </c>
      <c r="E100" t="s">
        <v>125</v>
      </c>
      <c r="F100" t="s">
        <v>130</v>
      </c>
      <c r="G100">
        <v>207</v>
      </c>
      <c r="H100" t="s">
        <v>53</v>
      </c>
      <c r="I100">
        <v>131326.56999999998</v>
      </c>
      <c r="J100">
        <v>162805.0500000004</v>
      </c>
    </row>
    <row r="101" spans="1:10" x14ac:dyDescent="0.3">
      <c r="A101" t="s">
        <v>81</v>
      </c>
      <c r="B101" t="s">
        <v>79</v>
      </c>
      <c r="C101" t="s">
        <v>119</v>
      </c>
      <c r="D101" t="s">
        <v>119</v>
      </c>
      <c r="E101" t="s">
        <v>125</v>
      </c>
      <c r="F101" t="s">
        <v>133</v>
      </c>
      <c r="G101">
        <v>203</v>
      </c>
      <c r="H101" t="s">
        <v>60</v>
      </c>
      <c r="I101">
        <v>39338.699999999997</v>
      </c>
      <c r="J101">
        <v>60399.529999999933</v>
      </c>
    </row>
    <row r="102" spans="1:10" x14ac:dyDescent="0.3">
      <c r="A102" t="s">
        <v>81</v>
      </c>
      <c r="B102" t="s">
        <v>79</v>
      </c>
      <c r="C102" t="s">
        <v>119</v>
      </c>
      <c r="D102" t="s">
        <v>119</v>
      </c>
      <c r="E102" t="s">
        <v>125</v>
      </c>
      <c r="F102" t="s">
        <v>133</v>
      </c>
      <c r="G102">
        <v>212</v>
      </c>
      <c r="H102" t="s">
        <v>62</v>
      </c>
      <c r="I102">
        <v>57056.609999999986</v>
      </c>
      <c r="J102">
        <v>75203.270000000019</v>
      </c>
    </row>
    <row r="103" spans="1:10" x14ac:dyDescent="0.3">
      <c r="A103" t="s">
        <v>81</v>
      </c>
      <c r="B103" t="s">
        <v>79</v>
      </c>
      <c r="C103" t="s">
        <v>119</v>
      </c>
      <c r="D103" t="s">
        <v>119</v>
      </c>
      <c r="E103" t="s">
        <v>125</v>
      </c>
      <c r="F103" t="s">
        <v>134</v>
      </c>
      <c r="G103">
        <v>190</v>
      </c>
      <c r="H103" t="s">
        <v>42</v>
      </c>
      <c r="I103">
        <v>62509.57</v>
      </c>
      <c r="J103">
        <v>83330.510000000068</v>
      </c>
    </row>
    <row r="104" spans="1:10" x14ac:dyDescent="0.3">
      <c r="A104" t="s">
        <v>81</v>
      </c>
      <c r="B104" t="s">
        <v>79</v>
      </c>
      <c r="C104" t="s">
        <v>119</v>
      </c>
      <c r="D104" t="s">
        <v>119</v>
      </c>
      <c r="E104" t="s">
        <v>125</v>
      </c>
      <c r="F104" t="s">
        <v>134</v>
      </c>
      <c r="G104">
        <v>214</v>
      </c>
      <c r="H104" t="s">
        <v>17</v>
      </c>
      <c r="I104">
        <v>60119.11</v>
      </c>
      <c r="J104">
        <v>76026.619999999923</v>
      </c>
    </row>
    <row r="105" spans="1:10" x14ac:dyDescent="0.3">
      <c r="A105" t="s">
        <v>81</v>
      </c>
      <c r="B105" t="s">
        <v>79</v>
      </c>
      <c r="C105" t="s">
        <v>119</v>
      </c>
      <c r="D105" t="s">
        <v>119</v>
      </c>
      <c r="E105" t="s">
        <v>127</v>
      </c>
      <c r="F105" t="s">
        <v>130</v>
      </c>
      <c r="G105">
        <v>407</v>
      </c>
      <c r="H105" t="s">
        <v>34</v>
      </c>
      <c r="I105">
        <v>120264.77999999998</v>
      </c>
      <c r="J105">
        <v>153257.57000000024</v>
      </c>
    </row>
    <row r="106" spans="1:10" x14ac:dyDescent="0.3">
      <c r="A106" t="s">
        <v>81</v>
      </c>
      <c r="B106" t="s">
        <v>79</v>
      </c>
      <c r="C106" t="s">
        <v>119</v>
      </c>
      <c r="D106" t="s">
        <v>119</v>
      </c>
      <c r="E106" t="s">
        <v>127</v>
      </c>
      <c r="F106" t="s">
        <v>130</v>
      </c>
      <c r="G106">
        <v>413</v>
      </c>
      <c r="H106" t="s">
        <v>14</v>
      </c>
      <c r="I106">
        <v>112654.69</v>
      </c>
      <c r="J106">
        <v>156474.53000000038</v>
      </c>
    </row>
    <row r="107" spans="1:10" x14ac:dyDescent="0.3">
      <c r="A107" t="s">
        <v>81</v>
      </c>
      <c r="B107" t="s">
        <v>79</v>
      </c>
      <c r="C107" t="s">
        <v>119</v>
      </c>
      <c r="D107" t="s">
        <v>119</v>
      </c>
      <c r="E107" t="s">
        <v>127</v>
      </c>
      <c r="F107" t="s">
        <v>133</v>
      </c>
      <c r="G107">
        <v>412</v>
      </c>
      <c r="H107" t="s">
        <v>11</v>
      </c>
      <c r="I107">
        <v>62284.37999999999</v>
      </c>
      <c r="J107">
        <v>76323.64000000013</v>
      </c>
    </row>
    <row r="108" spans="1:10" x14ac:dyDescent="0.3">
      <c r="A108" t="s">
        <v>81</v>
      </c>
      <c r="B108" t="s">
        <v>79</v>
      </c>
      <c r="C108" t="s">
        <v>119</v>
      </c>
      <c r="D108" t="s">
        <v>119</v>
      </c>
      <c r="E108" t="s">
        <v>127</v>
      </c>
      <c r="F108" t="s">
        <v>134</v>
      </c>
      <c r="G108">
        <v>403</v>
      </c>
      <c r="H108" t="s">
        <v>12</v>
      </c>
      <c r="I108">
        <v>58945.74</v>
      </c>
      <c r="J108">
        <v>77123.990000000049</v>
      </c>
    </row>
    <row r="109" spans="1:10" x14ac:dyDescent="0.3">
      <c r="A109" t="s">
        <v>81</v>
      </c>
      <c r="B109" t="s">
        <v>79</v>
      </c>
      <c r="C109" t="s">
        <v>119</v>
      </c>
      <c r="D109" t="s">
        <v>119</v>
      </c>
      <c r="E109" t="s">
        <v>127</v>
      </c>
      <c r="F109" t="s">
        <v>129</v>
      </c>
      <c r="G109">
        <v>409</v>
      </c>
      <c r="H109" t="s">
        <v>58</v>
      </c>
      <c r="I109">
        <v>46264.660000000011</v>
      </c>
      <c r="J109">
        <v>43571.349999999977</v>
      </c>
    </row>
    <row r="110" spans="1:10" x14ac:dyDescent="0.3">
      <c r="A110" t="s">
        <v>81</v>
      </c>
      <c r="B110" t="s">
        <v>79</v>
      </c>
      <c r="C110" t="s">
        <v>119</v>
      </c>
      <c r="D110" t="s">
        <v>119</v>
      </c>
      <c r="E110" t="s">
        <v>127</v>
      </c>
      <c r="F110" t="s">
        <v>129</v>
      </c>
      <c r="G110">
        <v>410</v>
      </c>
      <c r="H110" t="s">
        <v>40</v>
      </c>
      <c r="I110">
        <v>18712.560000000001</v>
      </c>
      <c r="J110">
        <v>36209.859999999986</v>
      </c>
    </row>
    <row r="111" spans="1:10" x14ac:dyDescent="0.3">
      <c r="A111" t="s">
        <v>81</v>
      </c>
      <c r="B111" t="s">
        <v>79</v>
      </c>
      <c r="C111" t="s">
        <v>119</v>
      </c>
      <c r="D111" t="s">
        <v>119</v>
      </c>
      <c r="E111" t="s">
        <v>126</v>
      </c>
      <c r="F111" t="s">
        <v>130</v>
      </c>
      <c r="G111">
        <v>101</v>
      </c>
      <c r="H111" t="s">
        <v>10</v>
      </c>
      <c r="I111">
        <v>143465.46999999997</v>
      </c>
      <c r="J111">
        <v>155139.09000000029</v>
      </c>
    </row>
    <row r="112" spans="1:10" x14ac:dyDescent="0.3">
      <c r="A112" t="s">
        <v>81</v>
      </c>
      <c r="B112" t="s">
        <v>79</v>
      </c>
      <c r="C112" t="s">
        <v>119</v>
      </c>
      <c r="D112" t="s">
        <v>119</v>
      </c>
      <c r="E112" t="s">
        <v>126</v>
      </c>
      <c r="F112" t="s">
        <v>130</v>
      </c>
      <c r="G112">
        <v>150</v>
      </c>
      <c r="H112" t="s">
        <v>3</v>
      </c>
      <c r="I112">
        <v>121140.47999999998</v>
      </c>
      <c r="J112">
        <v>166945.26000000007</v>
      </c>
    </row>
    <row r="113" spans="1:10" x14ac:dyDescent="0.3">
      <c r="A113" t="s">
        <v>81</v>
      </c>
      <c r="B113" t="s">
        <v>79</v>
      </c>
      <c r="C113" t="s">
        <v>119</v>
      </c>
      <c r="D113" t="s">
        <v>119</v>
      </c>
      <c r="E113" t="s">
        <v>126</v>
      </c>
      <c r="F113" t="s">
        <v>134</v>
      </c>
      <c r="G113">
        <v>170</v>
      </c>
      <c r="H113" t="s">
        <v>56</v>
      </c>
      <c r="I113">
        <v>64752.009999999995</v>
      </c>
      <c r="J113">
        <v>86227.339999999909</v>
      </c>
    </row>
    <row r="114" spans="1:10" x14ac:dyDescent="0.3">
      <c r="A114" t="s">
        <v>81</v>
      </c>
      <c r="B114" t="s">
        <v>79</v>
      </c>
      <c r="C114" t="s">
        <v>119</v>
      </c>
      <c r="D114" t="s">
        <v>119</v>
      </c>
      <c r="E114" t="s">
        <v>126</v>
      </c>
      <c r="F114" t="s">
        <v>132</v>
      </c>
      <c r="G114">
        <v>131</v>
      </c>
      <c r="H114" t="s">
        <v>67</v>
      </c>
      <c r="I114">
        <v>29793</v>
      </c>
      <c r="J114">
        <v>44469.440000000039</v>
      </c>
    </row>
    <row r="115" spans="1:10" x14ac:dyDescent="0.3">
      <c r="A115" t="s">
        <v>81</v>
      </c>
      <c r="B115" t="s">
        <v>79</v>
      </c>
      <c r="C115" t="s">
        <v>119</v>
      </c>
      <c r="D115" t="s">
        <v>119</v>
      </c>
      <c r="E115" t="s">
        <v>126</v>
      </c>
      <c r="F115" t="s">
        <v>132</v>
      </c>
      <c r="G115">
        <v>151</v>
      </c>
      <c r="H115" t="s">
        <v>20</v>
      </c>
      <c r="I115">
        <v>30306.340000000004</v>
      </c>
      <c r="J115">
        <v>39264.989999999962</v>
      </c>
    </row>
    <row r="116" spans="1:10" x14ac:dyDescent="0.3">
      <c r="A116" t="s">
        <v>81</v>
      </c>
      <c r="B116" t="s">
        <v>92</v>
      </c>
      <c r="C116" t="s">
        <v>121</v>
      </c>
      <c r="D116" t="s">
        <v>121</v>
      </c>
      <c r="E116" t="s">
        <v>127</v>
      </c>
      <c r="F116" t="s">
        <v>136</v>
      </c>
      <c r="G116">
        <v>418</v>
      </c>
      <c r="H116" t="s">
        <v>44</v>
      </c>
      <c r="I116">
        <v>0</v>
      </c>
      <c r="J116">
        <v>0</v>
      </c>
    </row>
    <row r="117" spans="1:10" x14ac:dyDescent="0.3">
      <c r="A117" t="s">
        <v>81</v>
      </c>
      <c r="B117" t="s">
        <v>92</v>
      </c>
      <c r="C117" t="s">
        <v>119</v>
      </c>
      <c r="D117" t="s">
        <v>122</v>
      </c>
      <c r="E117" t="s">
        <v>124</v>
      </c>
      <c r="F117" t="s">
        <v>136</v>
      </c>
      <c r="G117">
        <v>307</v>
      </c>
      <c r="H117" t="s">
        <v>19</v>
      </c>
      <c r="I117">
        <v>53422.8</v>
      </c>
      <c r="J117">
        <v>90031.76999999996</v>
      </c>
    </row>
    <row r="118" spans="1:10" x14ac:dyDescent="0.3">
      <c r="A118" t="s">
        <v>81</v>
      </c>
      <c r="B118" t="s">
        <v>92</v>
      </c>
      <c r="C118" t="s">
        <v>119</v>
      </c>
      <c r="D118" t="s">
        <v>122</v>
      </c>
      <c r="E118" t="s">
        <v>127</v>
      </c>
      <c r="F118" t="s">
        <v>136</v>
      </c>
      <c r="G118">
        <v>411</v>
      </c>
      <c r="H118" t="s">
        <v>43</v>
      </c>
      <c r="I118">
        <v>86652.770000000019</v>
      </c>
      <c r="J118">
        <v>94546.54</v>
      </c>
    </row>
    <row r="119" spans="1:10" x14ac:dyDescent="0.3">
      <c r="A119" t="s">
        <v>81</v>
      </c>
      <c r="B119" t="s">
        <v>92</v>
      </c>
      <c r="C119" t="s">
        <v>119</v>
      </c>
      <c r="D119" t="s">
        <v>120</v>
      </c>
      <c r="E119" t="s">
        <v>125</v>
      </c>
      <c r="F119" t="s">
        <v>136</v>
      </c>
      <c r="G119">
        <v>213</v>
      </c>
      <c r="H119" t="s">
        <v>49</v>
      </c>
      <c r="I119">
        <v>56004.91</v>
      </c>
      <c r="J119">
        <v>93786.099999999977</v>
      </c>
    </row>
    <row r="120" spans="1:10" x14ac:dyDescent="0.3">
      <c r="A120" t="s">
        <v>81</v>
      </c>
      <c r="B120" t="s">
        <v>92</v>
      </c>
      <c r="C120" t="s">
        <v>119</v>
      </c>
      <c r="D120" t="s">
        <v>120</v>
      </c>
      <c r="E120" t="s">
        <v>127</v>
      </c>
      <c r="F120" t="s">
        <v>136</v>
      </c>
      <c r="G120">
        <v>415</v>
      </c>
      <c r="H120" t="s">
        <v>47</v>
      </c>
      <c r="I120">
        <v>42489.539999999994</v>
      </c>
      <c r="J120">
        <v>70868.63</v>
      </c>
    </row>
    <row r="121" spans="1:10" x14ac:dyDescent="0.3">
      <c r="A121" t="s">
        <v>81</v>
      </c>
      <c r="B121" t="s">
        <v>92</v>
      </c>
      <c r="C121" t="s">
        <v>119</v>
      </c>
      <c r="D121" t="s">
        <v>119</v>
      </c>
      <c r="E121" t="s">
        <v>124</v>
      </c>
      <c r="F121" t="s">
        <v>136</v>
      </c>
      <c r="G121">
        <v>306</v>
      </c>
      <c r="H121" t="s">
        <v>51</v>
      </c>
      <c r="I121">
        <v>62385.67</v>
      </c>
      <c r="J121">
        <v>91587.349999999933</v>
      </c>
    </row>
    <row r="122" spans="1:10" x14ac:dyDescent="0.3">
      <c r="A122" t="s">
        <v>81</v>
      </c>
      <c r="B122" t="s">
        <v>92</v>
      </c>
      <c r="C122" t="s">
        <v>119</v>
      </c>
      <c r="D122" t="s">
        <v>119</v>
      </c>
      <c r="E122" t="s">
        <v>125</v>
      </c>
      <c r="F122" t="s">
        <v>136</v>
      </c>
      <c r="G122">
        <v>201</v>
      </c>
      <c r="H122" t="s">
        <v>45</v>
      </c>
      <c r="I122">
        <v>45895.78</v>
      </c>
      <c r="J122">
        <v>64207.479999999967</v>
      </c>
    </row>
    <row r="123" spans="1:10" x14ac:dyDescent="0.3">
      <c r="A123" t="s">
        <v>81</v>
      </c>
      <c r="B123" t="s">
        <v>92</v>
      </c>
      <c r="C123" t="s">
        <v>119</v>
      </c>
      <c r="D123" t="s">
        <v>119</v>
      </c>
      <c r="E123" t="s">
        <v>125</v>
      </c>
      <c r="F123" t="s">
        <v>136</v>
      </c>
      <c r="G123">
        <v>204</v>
      </c>
      <c r="H123" t="s">
        <v>46</v>
      </c>
      <c r="I123">
        <v>56445</v>
      </c>
      <c r="J123">
        <v>61097.420000000027</v>
      </c>
    </row>
    <row r="124" spans="1:10" x14ac:dyDescent="0.3">
      <c r="A124" t="s">
        <v>81</v>
      </c>
      <c r="B124" t="s">
        <v>92</v>
      </c>
      <c r="C124" t="s">
        <v>119</v>
      </c>
      <c r="D124" t="s">
        <v>119</v>
      </c>
      <c r="E124" t="s">
        <v>126</v>
      </c>
      <c r="F124" t="s">
        <v>136</v>
      </c>
      <c r="G124">
        <v>102</v>
      </c>
      <c r="H124" t="s">
        <v>50</v>
      </c>
      <c r="I124">
        <v>66182.200000000012</v>
      </c>
      <c r="J124">
        <v>89248.279999999941</v>
      </c>
    </row>
    <row r="125" spans="1:10" x14ac:dyDescent="0.3">
      <c r="A125" t="s">
        <v>81</v>
      </c>
      <c r="B125" t="s">
        <v>93</v>
      </c>
      <c r="C125" t="s">
        <v>122</v>
      </c>
      <c r="D125" t="s">
        <v>122</v>
      </c>
      <c r="E125" t="s">
        <v>93</v>
      </c>
      <c r="F125" t="s">
        <v>93</v>
      </c>
      <c r="G125">
        <v>901</v>
      </c>
      <c r="H125" s="33" t="s">
        <v>38</v>
      </c>
      <c r="I125" s="33">
        <v>0</v>
      </c>
      <c r="J125" s="33">
        <v>0</v>
      </c>
    </row>
    <row r="126" spans="1:10" x14ac:dyDescent="0.3">
      <c r="A126" t="s">
        <v>81</v>
      </c>
      <c r="B126" t="s">
        <v>93</v>
      </c>
      <c r="C126" t="s">
        <v>122</v>
      </c>
      <c r="D126" t="s">
        <v>122</v>
      </c>
      <c r="E126" t="s">
        <v>93</v>
      </c>
      <c r="F126" t="s">
        <v>93</v>
      </c>
      <c r="G126">
        <v>902</v>
      </c>
      <c r="H126" s="33" t="s">
        <v>39</v>
      </c>
      <c r="I126" s="33">
        <v>0</v>
      </c>
      <c r="J126" s="33">
        <v>0</v>
      </c>
    </row>
    <row r="127" spans="1:10" x14ac:dyDescent="0.3">
      <c r="A127" t="s">
        <v>81</v>
      </c>
      <c r="B127" t="s">
        <v>93</v>
      </c>
      <c r="C127" t="s">
        <v>119</v>
      </c>
      <c r="D127" t="s">
        <v>119</v>
      </c>
      <c r="E127" t="s">
        <v>93</v>
      </c>
      <c r="F127" t="s">
        <v>93</v>
      </c>
      <c r="G127">
        <v>903</v>
      </c>
      <c r="H127" t="s">
        <v>37</v>
      </c>
      <c r="I127">
        <v>33712.869999999995</v>
      </c>
      <c r="J127">
        <v>49757.070000000029</v>
      </c>
    </row>
    <row r="128" spans="1:10" x14ac:dyDescent="0.3">
      <c r="A128" t="s">
        <v>81</v>
      </c>
      <c r="B128" t="s">
        <v>94</v>
      </c>
      <c r="C128" t="s">
        <v>121</v>
      </c>
      <c r="D128" t="s">
        <v>121</v>
      </c>
      <c r="E128" t="s">
        <v>124</v>
      </c>
      <c r="F128" t="s">
        <v>137</v>
      </c>
      <c r="G128" t="s">
        <v>112</v>
      </c>
      <c r="H128" t="s">
        <v>21</v>
      </c>
      <c r="I128">
        <v>0</v>
      </c>
      <c r="J128">
        <v>0</v>
      </c>
    </row>
    <row r="129" spans="1:10" x14ac:dyDescent="0.3">
      <c r="A129" t="s">
        <v>81</v>
      </c>
      <c r="B129" t="s">
        <v>94</v>
      </c>
      <c r="C129" t="s">
        <v>121</v>
      </c>
      <c r="D129" t="s">
        <v>121</v>
      </c>
      <c r="E129" t="s">
        <v>125</v>
      </c>
      <c r="F129" t="s">
        <v>138</v>
      </c>
      <c r="G129">
        <v>470</v>
      </c>
      <c r="H129" t="s">
        <v>26</v>
      </c>
      <c r="I129">
        <v>0</v>
      </c>
      <c r="J129">
        <v>0</v>
      </c>
    </row>
    <row r="130" spans="1:10" x14ac:dyDescent="0.3">
      <c r="A130" t="s">
        <v>81</v>
      </c>
      <c r="B130" t="s">
        <v>94</v>
      </c>
      <c r="C130" t="s">
        <v>121</v>
      </c>
      <c r="D130" t="s">
        <v>121</v>
      </c>
      <c r="E130" t="s">
        <v>125</v>
      </c>
      <c r="F130" t="s">
        <v>137</v>
      </c>
      <c r="G130" t="s">
        <v>114</v>
      </c>
      <c r="H130" t="s">
        <v>23</v>
      </c>
      <c r="I130">
        <v>0</v>
      </c>
      <c r="J130">
        <v>0</v>
      </c>
    </row>
    <row r="131" spans="1:10" x14ac:dyDescent="0.3">
      <c r="A131" t="s">
        <v>81</v>
      </c>
      <c r="B131" t="s">
        <v>94</v>
      </c>
      <c r="C131" t="s">
        <v>121</v>
      </c>
      <c r="D131" t="s">
        <v>121</v>
      </c>
      <c r="E131" t="s">
        <v>125</v>
      </c>
      <c r="F131" t="s">
        <v>137</v>
      </c>
      <c r="G131" t="s">
        <v>113</v>
      </c>
      <c r="H131" t="s">
        <v>22</v>
      </c>
      <c r="I131">
        <v>0</v>
      </c>
      <c r="J131">
        <v>0</v>
      </c>
    </row>
    <row r="132" spans="1:10" x14ac:dyDescent="0.3">
      <c r="A132" t="s">
        <v>81</v>
      </c>
      <c r="B132" t="s">
        <v>94</v>
      </c>
      <c r="C132" t="s">
        <v>121</v>
      </c>
      <c r="D132" t="s">
        <v>121</v>
      </c>
      <c r="E132" t="s">
        <v>127</v>
      </c>
      <c r="F132" t="s">
        <v>137</v>
      </c>
      <c r="G132">
        <v>494</v>
      </c>
      <c r="H132" t="s">
        <v>25</v>
      </c>
      <c r="I132">
        <v>0</v>
      </c>
      <c r="J132">
        <v>0</v>
      </c>
    </row>
    <row r="133" spans="1:10" x14ac:dyDescent="0.3">
      <c r="A133" t="s">
        <v>81</v>
      </c>
      <c r="B133" t="s">
        <v>94</v>
      </c>
      <c r="C133" t="s">
        <v>121</v>
      </c>
      <c r="D133" t="s">
        <v>121</v>
      </c>
      <c r="E133" t="s">
        <v>126</v>
      </c>
      <c r="F133" t="s">
        <v>137</v>
      </c>
      <c r="G133">
        <v>460</v>
      </c>
      <c r="H133" t="s">
        <v>30</v>
      </c>
      <c r="I133">
        <v>0</v>
      </c>
      <c r="J133">
        <v>0</v>
      </c>
    </row>
    <row r="134" spans="1:10" x14ac:dyDescent="0.3">
      <c r="A134" t="s">
        <v>81</v>
      </c>
      <c r="B134" t="s">
        <v>94</v>
      </c>
      <c r="C134" t="s">
        <v>121</v>
      </c>
      <c r="D134" t="s">
        <v>121</v>
      </c>
      <c r="E134" t="s">
        <v>126</v>
      </c>
      <c r="F134" t="s">
        <v>137</v>
      </c>
      <c r="G134">
        <v>461</v>
      </c>
      <c r="H134" t="s">
        <v>29</v>
      </c>
      <c r="I134">
        <v>0</v>
      </c>
      <c r="J134">
        <v>0</v>
      </c>
    </row>
    <row r="135" spans="1:10" x14ac:dyDescent="0.3">
      <c r="A135" t="s">
        <v>81</v>
      </c>
      <c r="B135" t="s">
        <v>94</v>
      </c>
      <c r="C135" t="s">
        <v>121</v>
      </c>
      <c r="D135" t="s">
        <v>119</v>
      </c>
      <c r="E135" t="s">
        <v>124</v>
      </c>
      <c r="F135" t="s">
        <v>138</v>
      </c>
      <c r="G135">
        <v>480</v>
      </c>
      <c r="H135" t="s">
        <v>28</v>
      </c>
      <c r="I135">
        <v>0</v>
      </c>
      <c r="J135">
        <v>37929.439999999981</v>
      </c>
    </row>
    <row r="136" spans="1:10" x14ac:dyDescent="0.3">
      <c r="A136" t="s">
        <v>81</v>
      </c>
      <c r="B136" t="s">
        <v>94</v>
      </c>
      <c r="C136" t="s">
        <v>121</v>
      </c>
      <c r="D136" t="s">
        <v>119</v>
      </c>
      <c r="E136" t="s">
        <v>127</v>
      </c>
      <c r="F136" t="s">
        <v>138</v>
      </c>
      <c r="G136">
        <v>491</v>
      </c>
      <c r="H136" t="s">
        <v>31</v>
      </c>
      <c r="I136">
        <v>0</v>
      </c>
      <c r="J136">
        <v>76955.290000000095</v>
      </c>
    </row>
    <row r="137" spans="1:10" x14ac:dyDescent="0.3">
      <c r="A137" t="s">
        <v>81</v>
      </c>
      <c r="B137" t="s">
        <v>94</v>
      </c>
      <c r="C137" t="s">
        <v>121</v>
      </c>
      <c r="D137" t="s">
        <v>119</v>
      </c>
      <c r="E137" t="s">
        <v>127</v>
      </c>
      <c r="F137" t="s">
        <v>138</v>
      </c>
      <c r="G137">
        <v>492</v>
      </c>
      <c r="H137" t="s">
        <v>27</v>
      </c>
      <c r="I137">
        <v>0</v>
      </c>
      <c r="J137">
        <v>44078.700000000004</v>
      </c>
    </row>
    <row r="138" spans="1:10" x14ac:dyDescent="0.3">
      <c r="A138" t="s">
        <v>81</v>
      </c>
      <c r="B138" t="s">
        <v>94</v>
      </c>
      <c r="C138" t="s">
        <v>121</v>
      </c>
      <c r="D138" t="s">
        <v>119</v>
      </c>
      <c r="E138" t="s">
        <v>127</v>
      </c>
      <c r="F138" t="s">
        <v>138</v>
      </c>
      <c r="G138">
        <v>493</v>
      </c>
      <c r="H138" t="s">
        <v>24</v>
      </c>
      <c r="I138">
        <v>0</v>
      </c>
      <c r="J138">
        <v>34237.629999999954</v>
      </c>
    </row>
    <row r="139" spans="1:10" x14ac:dyDescent="0.3">
      <c r="A139" t="s">
        <v>81</v>
      </c>
      <c r="B139" t="s">
        <v>95</v>
      </c>
      <c r="C139" t="s">
        <v>121</v>
      </c>
      <c r="D139" t="s">
        <v>121</v>
      </c>
      <c r="E139" t="s">
        <v>126</v>
      </c>
      <c r="F139" t="s">
        <v>139</v>
      </c>
      <c r="G139">
        <v>510</v>
      </c>
      <c r="H139" t="s">
        <v>76</v>
      </c>
      <c r="I139">
        <v>0</v>
      </c>
      <c r="J139">
        <v>0</v>
      </c>
    </row>
    <row r="140" spans="1:10" x14ac:dyDescent="0.3">
      <c r="A140" t="s">
        <v>81</v>
      </c>
      <c r="B140" t="s">
        <v>95</v>
      </c>
      <c r="C140" t="s">
        <v>121</v>
      </c>
      <c r="D140" t="s">
        <v>119</v>
      </c>
      <c r="E140" t="s">
        <v>127</v>
      </c>
      <c r="F140" t="s">
        <v>140</v>
      </c>
      <c r="G140">
        <v>541</v>
      </c>
      <c r="H140" t="s">
        <v>74</v>
      </c>
      <c r="I140">
        <v>0</v>
      </c>
      <c r="J140">
        <v>28348.569999999996</v>
      </c>
    </row>
    <row r="141" spans="1:10" x14ac:dyDescent="0.3">
      <c r="A141" t="s">
        <v>81</v>
      </c>
      <c r="B141" t="s">
        <v>95</v>
      </c>
      <c r="C141" t="s">
        <v>121</v>
      </c>
      <c r="D141" t="s">
        <v>119</v>
      </c>
      <c r="E141" t="s">
        <v>127</v>
      </c>
      <c r="F141" t="s">
        <v>140</v>
      </c>
      <c r="G141">
        <v>543</v>
      </c>
      <c r="H141" t="s">
        <v>72</v>
      </c>
      <c r="I141">
        <v>0</v>
      </c>
      <c r="J141">
        <v>25948.129999999994</v>
      </c>
    </row>
    <row r="142" spans="1:10" x14ac:dyDescent="0.3">
      <c r="A142" t="s">
        <v>81</v>
      </c>
      <c r="B142" t="s">
        <v>95</v>
      </c>
      <c r="C142" t="s">
        <v>120</v>
      </c>
      <c r="D142" t="s">
        <v>119</v>
      </c>
      <c r="E142" t="s">
        <v>127</v>
      </c>
      <c r="F142" t="s">
        <v>140</v>
      </c>
      <c r="G142">
        <v>540</v>
      </c>
      <c r="H142" t="s">
        <v>73</v>
      </c>
      <c r="I142">
        <v>49967.89</v>
      </c>
      <c r="J142">
        <v>88393.949999999983</v>
      </c>
    </row>
    <row r="143" spans="1:10" x14ac:dyDescent="0.3">
      <c r="A143" t="s">
        <v>81</v>
      </c>
      <c r="B143" t="s">
        <v>95</v>
      </c>
      <c r="C143" t="s">
        <v>119</v>
      </c>
      <c r="D143" t="s">
        <v>120</v>
      </c>
      <c r="E143" t="s">
        <v>124</v>
      </c>
      <c r="F143" t="s">
        <v>139</v>
      </c>
      <c r="G143">
        <v>530</v>
      </c>
      <c r="H143" t="s">
        <v>68</v>
      </c>
      <c r="I143">
        <v>24695.59</v>
      </c>
      <c r="J143">
        <v>32895.159999999982</v>
      </c>
    </row>
    <row r="144" spans="1:10" x14ac:dyDescent="0.3">
      <c r="A144" t="s">
        <v>81</v>
      </c>
      <c r="B144" t="s">
        <v>95</v>
      </c>
      <c r="C144" t="s">
        <v>119</v>
      </c>
      <c r="D144" t="s">
        <v>119</v>
      </c>
      <c r="E144" t="s">
        <v>125</v>
      </c>
      <c r="F144" t="s">
        <v>140</v>
      </c>
      <c r="G144">
        <v>520</v>
      </c>
      <c r="H144" t="s">
        <v>70</v>
      </c>
      <c r="I144">
        <v>50743.839999999997</v>
      </c>
      <c r="J144">
        <v>44163.890000000014</v>
      </c>
    </row>
    <row r="145" spans="1:10" x14ac:dyDescent="0.3">
      <c r="A145" t="s">
        <v>81</v>
      </c>
      <c r="B145" t="s">
        <v>95</v>
      </c>
      <c r="C145" t="s">
        <v>119</v>
      </c>
      <c r="D145" t="s">
        <v>119</v>
      </c>
      <c r="E145" t="s">
        <v>127</v>
      </c>
      <c r="F145" t="s">
        <v>139</v>
      </c>
      <c r="G145">
        <v>542</v>
      </c>
      <c r="H145" t="s">
        <v>69</v>
      </c>
      <c r="I145">
        <v>26065.960000000003</v>
      </c>
      <c r="J145">
        <v>17496.489999999983</v>
      </c>
    </row>
    <row r="146" spans="1:10" x14ac:dyDescent="0.3">
      <c r="A146" t="s">
        <v>82</v>
      </c>
      <c r="B146" t="s">
        <v>79</v>
      </c>
      <c r="C146" t="s">
        <v>122</v>
      </c>
      <c r="D146" t="s">
        <v>122</v>
      </c>
      <c r="E146" t="s">
        <v>124</v>
      </c>
      <c r="F146" t="s">
        <v>129</v>
      </c>
      <c r="G146">
        <v>303</v>
      </c>
      <c r="H146" t="s">
        <v>1</v>
      </c>
      <c r="I146">
        <v>0</v>
      </c>
      <c r="J146">
        <v>0</v>
      </c>
    </row>
    <row r="147" spans="1:10" x14ac:dyDescent="0.3">
      <c r="A147" t="s">
        <v>82</v>
      </c>
      <c r="B147" t="s">
        <v>79</v>
      </c>
      <c r="C147" t="s">
        <v>122</v>
      </c>
      <c r="D147" t="s">
        <v>122</v>
      </c>
      <c r="E147" t="s">
        <v>125</v>
      </c>
      <c r="F147" t="s">
        <v>129</v>
      </c>
      <c r="G147">
        <v>205</v>
      </c>
      <c r="H147" t="s">
        <v>7</v>
      </c>
      <c r="I147">
        <v>0</v>
      </c>
      <c r="J147">
        <v>0</v>
      </c>
    </row>
    <row r="148" spans="1:10" x14ac:dyDescent="0.3">
      <c r="A148" t="s">
        <v>82</v>
      </c>
      <c r="B148" t="s">
        <v>79</v>
      </c>
      <c r="C148" t="s">
        <v>122</v>
      </c>
      <c r="D148" t="s">
        <v>122</v>
      </c>
      <c r="E148" t="s">
        <v>127</v>
      </c>
      <c r="F148" t="s">
        <v>129</v>
      </c>
      <c r="G148">
        <v>401</v>
      </c>
      <c r="H148" t="s">
        <v>5</v>
      </c>
      <c r="I148">
        <v>0</v>
      </c>
      <c r="J148">
        <v>0</v>
      </c>
    </row>
    <row r="149" spans="1:10" x14ac:dyDescent="0.3">
      <c r="A149" t="s">
        <v>82</v>
      </c>
      <c r="B149" t="s">
        <v>79</v>
      </c>
      <c r="C149" t="s">
        <v>122</v>
      </c>
      <c r="D149" t="s">
        <v>122</v>
      </c>
      <c r="E149" t="s">
        <v>127</v>
      </c>
      <c r="F149" t="s">
        <v>122</v>
      </c>
      <c r="G149">
        <v>408</v>
      </c>
      <c r="H149" t="s">
        <v>33</v>
      </c>
      <c r="I149">
        <v>22370.74</v>
      </c>
      <c r="J149">
        <v>0</v>
      </c>
    </row>
    <row r="150" spans="1:10" x14ac:dyDescent="0.3">
      <c r="A150" t="s">
        <v>82</v>
      </c>
      <c r="B150" t="s">
        <v>79</v>
      </c>
      <c r="C150" t="s">
        <v>122</v>
      </c>
      <c r="D150" t="s">
        <v>122</v>
      </c>
      <c r="E150" t="s">
        <v>126</v>
      </c>
      <c r="F150" t="s">
        <v>122</v>
      </c>
      <c r="G150">
        <v>130</v>
      </c>
      <c r="H150" s="33" t="s">
        <v>55</v>
      </c>
      <c r="I150" s="33">
        <v>0</v>
      </c>
      <c r="J150" s="33">
        <v>0</v>
      </c>
    </row>
    <row r="151" spans="1:10" x14ac:dyDescent="0.3">
      <c r="A151" t="s">
        <v>82</v>
      </c>
      <c r="B151" t="s">
        <v>79</v>
      </c>
      <c r="C151" t="s">
        <v>121</v>
      </c>
      <c r="D151" t="s">
        <v>121</v>
      </c>
      <c r="E151" t="s">
        <v>125</v>
      </c>
      <c r="F151" t="s">
        <v>129</v>
      </c>
      <c r="G151" t="s">
        <v>110</v>
      </c>
      <c r="H151" t="s">
        <v>64</v>
      </c>
      <c r="I151">
        <v>0</v>
      </c>
      <c r="J151">
        <v>0</v>
      </c>
    </row>
    <row r="152" spans="1:10" x14ac:dyDescent="0.3">
      <c r="A152" t="s">
        <v>82</v>
      </c>
      <c r="B152" t="s">
        <v>79</v>
      </c>
      <c r="C152" t="s">
        <v>120</v>
      </c>
      <c r="D152" t="s">
        <v>120</v>
      </c>
      <c r="E152" t="s">
        <v>124</v>
      </c>
      <c r="F152" t="s">
        <v>129</v>
      </c>
      <c r="G152">
        <v>304</v>
      </c>
      <c r="H152" t="s">
        <v>61</v>
      </c>
      <c r="I152">
        <v>65436.630000000005</v>
      </c>
      <c r="J152">
        <v>39310.460000000021</v>
      </c>
    </row>
    <row r="153" spans="1:10" x14ac:dyDescent="0.3">
      <c r="A153" t="s">
        <v>82</v>
      </c>
      <c r="B153" t="s">
        <v>79</v>
      </c>
      <c r="C153" t="s">
        <v>120</v>
      </c>
      <c r="D153" t="s">
        <v>120</v>
      </c>
      <c r="E153" t="s">
        <v>125</v>
      </c>
      <c r="F153" t="s">
        <v>133</v>
      </c>
      <c r="G153">
        <v>208</v>
      </c>
      <c r="H153" t="s">
        <v>36</v>
      </c>
      <c r="I153">
        <v>37750.979999999996</v>
      </c>
      <c r="J153">
        <v>43449.780000000072</v>
      </c>
    </row>
    <row r="154" spans="1:10" x14ac:dyDescent="0.3">
      <c r="A154" t="s">
        <v>82</v>
      </c>
      <c r="B154" t="s">
        <v>79</v>
      </c>
      <c r="C154" t="s">
        <v>120</v>
      </c>
      <c r="D154" t="s">
        <v>120</v>
      </c>
      <c r="E154" t="s">
        <v>125</v>
      </c>
      <c r="F154" t="s">
        <v>133</v>
      </c>
      <c r="G154">
        <v>209</v>
      </c>
      <c r="H154" t="s">
        <v>35</v>
      </c>
      <c r="I154">
        <v>27844.91</v>
      </c>
      <c r="J154">
        <v>30904.429999999993</v>
      </c>
    </row>
    <row r="155" spans="1:10" x14ac:dyDescent="0.3">
      <c r="A155" t="s">
        <v>82</v>
      </c>
      <c r="B155" t="s">
        <v>79</v>
      </c>
      <c r="C155" t="s">
        <v>120</v>
      </c>
      <c r="D155" t="s">
        <v>120</v>
      </c>
      <c r="E155" t="s">
        <v>125</v>
      </c>
      <c r="F155" t="s">
        <v>129</v>
      </c>
      <c r="G155">
        <v>202</v>
      </c>
      <c r="H155" t="s">
        <v>4</v>
      </c>
      <c r="I155">
        <v>82431.22</v>
      </c>
      <c r="J155">
        <v>36468.240000000027</v>
      </c>
    </row>
    <row r="156" spans="1:10" x14ac:dyDescent="0.3">
      <c r="A156" t="s">
        <v>82</v>
      </c>
      <c r="B156" t="s">
        <v>79</v>
      </c>
      <c r="C156" t="s">
        <v>120</v>
      </c>
      <c r="D156" t="s">
        <v>120</v>
      </c>
      <c r="E156" t="s">
        <v>127</v>
      </c>
      <c r="F156" t="s">
        <v>133</v>
      </c>
      <c r="G156">
        <v>404</v>
      </c>
      <c r="H156" t="s">
        <v>15</v>
      </c>
      <c r="I156">
        <v>62443.349999999991</v>
      </c>
      <c r="J156">
        <v>28552.470000000008</v>
      </c>
    </row>
    <row r="157" spans="1:10" x14ac:dyDescent="0.3">
      <c r="A157" t="s">
        <v>82</v>
      </c>
      <c r="B157" t="s">
        <v>79</v>
      </c>
      <c r="C157" t="s">
        <v>120</v>
      </c>
      <c r="D157" t="s">
        <v>119</v>
      </c>
      <c r="E157" t="s">
        <v>124</v>
      </c>
      <c r="F157" t="s">
        <v>134</v>
      </c>
      <c r="G157">
        <v>310</v>
      </c>
      <c r="H157" t="s">
        <v>63</v>
      </c>
      <c r="I157">
        <v>28290.12</v>
      </c>
      <c r="J157">
        <v>25786.319999999985</v>
      </c>
    </row>
    <row r="158" spans="1:10" x14ac:dyDescent="0.3">
      <c r="A158" t="s">
        <v>82</v>
      </c>
      <c r="B158" t="s">
        <v>79</v>
      </c>
      <c r="C158" t="s">
        <v>120</v>
      </c>
      <c r="D158" t="s">
        <v>119</v>
      </c>
      <c r="E158" t="s">
        <v>125</v>
      </c>
      <c r="F158" t="s">
        <v>134</v>
      </c>
      <c r="G158">
        <v>206</v>
      </c>
      <c r="H158" t="s">
        <v>18</v>
      </c>
      <c r="I158">
        <v>71784.2</v>
      </c>
      <c r="J158">
        <v>72328.180000000022</v>
      </c>
    </row>
    <row r="159" spans="1:10" x14ac:dyDescent="0.3">
      <c r="A159" t="s">
        <v>82</v>
      </c>
      <c r="B159" t="s">
        <v>79</v>
      </c>
      <c r="C159" t="s">
        <v>120</v>
      </c>
      <c r="D159" t="s">
        <v>119</v>
      </c>
      <c r="E159" t="s">
        <v>125</v>
      </c>
      <c r="F159" t="s">
        <v>132</v>
      </c>
      <c r="G159">
        <v>210</v>
      </c>
      <c r="H159" t="s">
        <v>2</v>
      </c>
      <c r="I159">
        <v>61354.80000000001</v>
      </c>
      <c r="J159">
        <v>45125.820000000007</v>
      </c>
    </row>
    <row r="160" spans="1:10" x14ac:dyDescent="0.3">
      <c r="A160" t="s">
        <v>82</v>
      </c>
      <c r="B160" t="s">
        <v>79</v>
      </c>
      <c r="C160" t="s">
        <v>120</v>
      </c>
      <c r="D160" t="s">
        <v>119</v>
      </c>
      <c r="E160" t="s">
        <v>127</v>
      </c>
      <c r="F160" t="s">
        <v>131</v>
      </c>
      <c r="G160">
        <v>417</v>
      </c>
      <c r="H160" t="s">
        <v>54</v>
      </c>
      <c r="I160">
        <v>135813.31999999998</v>
      </c>
      <c r="J160">
        <v>70662.260000000068</v>
      </c>
    </row>
    <row r="161" spans="1:10" x14ac:dyDescent="0.3">
      <c r="A161" t="s">
        <v>82</v>
      </c>
      <c r="B161" t="s">
        <v>79</v>
      </c>
      <c r="C161" t="s">
        <v>119</v>
      </c>
      <c r="D161" t="s">
        <v>122</v>
      </c>
      <c r="E161" t="s">
        <v>127</v>
      </c>
      <c r="F161" t="s">
        <v>132</v>
      </c>
      <c r="G161">
        <v>416</v>
      </c>
      <c r="H161" t="s">
        <v>66</v>
      </c>
      <c r="I161">
        <v>28596.979999999996</v>
      </c>
      <c r="J161">
        <v>20191.809999999998</v>
      </c>
    </row>
    <row r="162" spans="1:10" x14ac:dyDescent="0.3">
      <c r="A162" t="s">
        <v>82</v>
      </c>
      <c r="B162" t="s">
        <v>79</v>
      </c>
      <c r="C162" t="s">
        <v>119</v>
      </c>
      <c r="D162" t="s">
        <v>120</v>
      </c>
      <c r="E162" t="s">
        <v>124</v>
      </c>
      <c r="F162" t="s">
        <v>134</v>
      </c>
      <c r="G162">
        <v>308</v>
      </c>
      <c r="H162" t="s">
        <v>0</v>
      </c>
      <c r="I162">
        <v>65997.010000000009</v>
      </c>
      <c r="J162">
        <v>34632.559999999998</v>
      </c>
    </row>
    <row r="163" spans="1:10" x14ac:dyDescent="0.3">
      <c r="A163" t="s">
        <v>82</v>
      </c>
      <c r="B163" t="s">
        <v>79</v>
      </c>
      <c r="C163" t="s">
        <v>119</v>
      </c>
      <c r="D163" t="s">
        <v>120</v>
      </c>
      <c r="E163" t="s">
        <v>127</v>
      </c>
      <c r="F163" t="s">
        <v>129</v>
      </c>
      <c r="G163">
        <v>402</v>
      </c>
      <c r="H163" t="s">
        <v>9</v>
      </c>
      <c r="I163">
        <v>40478.03</v>
      </c>
      <c r="J163">
        <v>25309.83000000002</v>
      </c>
    </row>
    <row r="164" spans="1:10" x14ac:dyDescent="0.3">
      <c r="A164" t="s">
        <v>82</v>
      </c>
      <c r="B164" t="s">
        <v>79</v>
      </c>
      <c r="C164" t="s">
        <v>119</v>
      </c>
      <c r="D164" t="s">
        <v>120</v>
      </c>
      <c r="E164" t="s">
        <v>127</v>
      </c>
      <c r="F164" t="s">
        <v>129</v>
      </c>
      <c r="G164">
        <v>406</v>
      </c>
      <c r="H164" t="s">
        <v>57</v>
      </c>
      <c r="I164">
        <v>33473.99</v>
      </c>
      <c r="J164">
        <v>21277.159999999996</v>
      </c>
    </row>
    <row r="165" spans="1:10" x14ac:dyDescent="0.3">
      <c r="A165" t="s">
        <v>82</v>
      </c>
      <c r="B165" t="s">
        <v>79</v>
      </c>
      <c r="C165" t="s">
        <v>119</v>
      </c>
      <c r="D165" t="s">
        <v>120</v>
      </c>
      <c r="E165" t="s">
        <v>127</v>
      </c>
      <c r="F165" t="s">
        <v>135</v>
      </c>
      <c r="G165">
        <v>414</v>
      </c>
      <c r="H165" t="s">
        <v>65</v>
      </c>
      <c r="I165">
        <v>393786.55999999982</v>
      </c>
      <c r="J165">
        <v>294854.30999999959</v>
      </c>
    </row>
    <row r="166" spans="1:10" x14ac:dyDescent="0.3">
      <c r="A166" t="s">
        <v>82</v>
      </c>
      <c r="B166" t="s">
        <v>79</v>
      </c>
      <c r="C166" t="s">
        <v>119</v>
      </c>
      <c r="D166" t="s">
        <v>119</v>
      </c>
      <c r="E166" t="s">
        <v>124</v>
      </c>
      <c r="F166" t="s">
        <v>131</v>
      </c>
      <c r="G166">
        <v>309</v>
      </c>
      <c r="H166" t="s">
        <v>52</v>
      </c>
      <c r="I166">
        <v>258667.21999999991</v>
      </c>
      <c r="J166">
        <v>199569.04000000039</v>
      </c>
    </row>
    <row r="167" spans="1:10" x14ac:dyDescent="0.3">
      <c r="A167" t="s">
        <v>82</v>
      </c>
      <c r="B167" t="s">
        <v>79</v>
      </c>
      <c r="C167" t="s">
        <v>119</v>
      </c>
      <c r="D167" t="s">
        <v>119</v>
      </c>
      <c r="E167" t="s">
        <v>124</v>
      </c>
      <c r="F167" t="s">
        <v>130</v>
      </c>
      <c r="G167">
        <v>305</v>
      </c>
      <c r="H167" t="s">
        <v>6</v>
      </c>
      <c r="I167">
        <v>185107.82999999996</v>
      </c>
      <c r="J167">
        <v>134091.3500000005</v>
      </c>
    </row>
    <row r="168" spans="1:10" x14ac:dyDescent="0.3">
      <c r="A168" t="s">
        <v>82</v>
      </c>
      <c r="B168" t="s">
        <v>79</v>
      </c>
      <c r="C168" t="s">
        <v>119</v>
      </c>
      <c r="D168" t="s">
        <v>119</v>
      </c>
      <c r="E168" t="s">
        <v>124</v>
      </c>
      <c r="F168" t="s">
        <v>134</v>
      </c>
      <c r="G168">
        <v>302</v>
      </c>
      <c r="H168" t="s">
        <v>32</v>
      </c>
      <c r="I168">
        <v>103397.8</v>
      </c>
      <c r="J168">
        <v>74960.180000000139</v>
      </c>
    </row>
    <row r="169" spans="1:10" x14ac:dyDescent="0.3">
      <c r="A169" t="s">
        <v>82</v>
      </c>
      <c r="B169" t="s">
        <v>79</v>
      </c>
      <c r="C169" t="s">
        <v>119</v>
      </c>
      <c r="D169" t="s">
        <v>119</v>
      </c>
      <c r="E169" t="s">
        <v>124</v>
      </c>
      <c r="F169" t="s">
        <v>129</v>
      </c>
      <c r="G169">
        <v>301</v>
      </c>
      <c r="H169" t="s">
        <v>59</v>
      </c>
      <c r="I169">
        <v>71681.310000000012</v>
      </c>
      <c r="J169">
        <v>45949.160000000011</v>
      </c>
    </row>
    <row r="170" spans="1:10" x14ac:dyDescent="0.3">
      <c r="A170" t="s">
        <v>82</v>
      </c>
      <c r="B170" t="s">
        <v>79</v>
      </c>
      <c r="C170" t="s">
        <v>119</v>
      </c>
      <c r="D170" t="s">
        <v>119</v>
      </c>
      <c r="E170" t="s">
        <v>124</v>
      </c>
      <c r="F170" t="s">
        <v>129</v>
      </c>
      <c r="G170">
        <v>311</v>
      </c>
      <c r="H170" t="s">
        <v>13</v>
      </c>
      <c r="I170">
        <v>56281.97</v>
      </c>
      <c r="J170">
        <v>39650.87000000001</v>
      </c>
    </row>
    <row r="171" spans="1:10" x14ac:dyDescent="0.3">
      <c r="A171" t="s">
        <v>82</v>
      </c>
      <c r="B171" t="s">
        <v>79</v>
      </c>
      <c r="C171" t="s">
        <v>119</v>
      </c>
      <c r="D171" t="s">
        <v>119</v>
      </c>
      <c r="E171" t="s">
        <v>125</v>
      </c>
      <c r="F171" t="s">
        <v>131</v>
      </c>
      <c r="G171">
        <v>211</v>
      </c>
      <c r="H171" t="s">
        <v>8</v>
      </c>
      <c r="I171">
        <v>264480.37999999989</v>
      </c>
      <c r="J171">
        <v>187181.10000000027</v>
      </c>
    </row>
    <row r="172" spans="1:10" x14ac:dyDescent="0.3">
      <c r="A172" t="s">
        <v>82</v>
      </c>
      <c r="B172" t="s">
        <v>79</v>
      </c>
      <c r="C172" t="s">
        <v>119</v>
      </c>
      <c r="D172" t="s">
        <v>119</v>
      </c>
      <c r="E172" t="s">
        <v>125</v>
      </c>
      <c r="F172" t="s">
        <v>130</v>
      </c>
      <c r="G172">
        <v>207</v>
      </c>
      <c r="H172" t="s">
        <v>53</v>
      </c>
      <c r="I172">
        <v>162671.88999999998</v>
      </c>
      <c r="J172">
        <v>129778.63000000009</v>
      </c>
    </row>
    <row r="173" spans="1:10" x14ac:dyDescent="0.3">
      <c r="A173" t="s">
        <v>82</v>
      </c>
      <c r="B173" t="s">
        <v>79</v>
      </c>
      <c r="C173" t="s">
        <v>119</v>
      </c>
      <c r="D173" t="s">
        <v>119</v>
      </c>
      <c r="E173" t="s">
        <v>125</v>
      </c>
      <c r="F173" t="s">
        <v>133</v>
      </c>
      <c r="G173">
        <v>203</v>
      </c>
      <c r="H173" t="s">
        <v>60</v>
      </c>
      <c r="I173">
        <v>66753.17</v>
      </c>
      <c r="J173">
        <v>52962.640000000058</v>
      </c>
    </row>
    <row r="174" spans="1:10" x14ac:dyDescent="0.3">
      <c r="A174" t="s">
        <v>82</v>
      </c>
      <c r="B174" t="s">
        <v>79</v>
      </c>
      <c r="C174" t="s">
        <v>119</v>
      </c>
      <c r="D174" t="s">
        <v>119</v>
      </c>
      <c r="E174" t="s">
        <v>125</v>
      </c>
      <c r="F174" t="s">
        <v>133</v>
      </c>
      <c r="G174">
        <v>212</v>
      </c>
      <c r="H174" t="s">
        <v>62</v>
      </c>
      <c r="I174">
        <v>74641.5</v>
      </c>
      <c r="J174">
        <v>60958.530000000057</v>
      </c>
    </row>
    <row r="175" spans="1:10" x14ac:dyDescent="0.3">
      <c r="A175" t="s">
        <v>82</v>
      </c>
      <c r="B175" t="s">
        <v>79</v>
      </c>
      <c r="C175" t="s">
        <v>119</v>
      </c>
      <c r="D175" t="s">
        <v>119</v>
      </c>
      <c r="E175" t="s">
        <v>125</v>
      </c>
      <c r="F175" t="s">
        <v>134</v>
      </c>
      <c r="G175">
        <v>190</v>
      </c>
      <c r="H175" t="s">
        <v>42</v>
      </c>
      <c r="I175">
        <v>91716.42</v>
      </c>
      <c r="J175">
        <v>71233.460000000021</v>
      </c>
    </row>
    <row r="176" spans="1:10" x14ac:dyDescent="0.3">
      <c r="A176" t="s">
        <v>82</v>
      </c>
      <c r="B176" t="s">
        <v>79</v>
      </c>
      <c r="C176" t="s">
        <v>119</v>
      </c>
      <c r="D176" t="s">
        <v>119</v>
      </c>
      <c r="E176" t="s">
        <v>125</v>
      </c>
      <c r="F176" t="s">
        <v>134</v>
      </c>
      <c r="G176">
        <v>214</v>
      </c>
      <c r="H176" t="s">
        <v>17</v>
      </c>
      <c r="I176">
        <v>77944.03</v>
      </c>
      <c r="J176">
        <v>70367.21000000005</v>
      </c>
    </row>
    <row r="177" spans="1:10" x14ac:dyDescent="0.3">
      <c r="A177" t="s">
        <v>82</v>
      </c>
      <c r="B177" t="s">
        <v>79</v>
      </c>
      <c r="C177" t="s">
        <v>119</v>
      </c>
      <c r="D177" t="s">
        <v>119</v>
      </c>
      <c r="E177" t="s">
        <v>127</v>
      </c>
      <c r="F177" t="s">
        <v>130</v>
      </c>
      <c r="G177">
        <v>407</v>
      </c>
      <c r="H177" t="s">
        <v>34</v>
      </c>
      <c r="I177">
        <v>183938.62999999995</v>
      </c>
      <c r="J177">
        <v>114282.00000000022</v>
      </c>
    </row>
    <row r="178" spans="1:10" x14ac:dyDescent="0.3">
      <c r="A178" t="s">
        <v>82</v>
      </c>
      <c r="B178" t="s">
        <v>79</v>
      </c>
      <c r="C178" t="s">
        <v>119</v>
      </c>
      <c r="D178" t="s">
        <v>119</v>
      </c>
      <c r="E178" t="s">
        <v>127</v>
      </c>
      <c r="F178" t="s">
        <v>130</v>
      </c>
      <c r="G178">
        <v>413</v>
      </c>
      <c r="H178" t="s">
        <v>14</v>
      </c>
      <c r="I178">
        <v>154824.17999999996</v>
      </c>
      <c r="J178">
        <v>131580.32000000024</v>
      </c>
    </row>
    <row r="179" spans="1:10" x14ac:dyDescent="0.3">
      <c r="A179" t="s">
        <v>82</v>
      </c>
      <c r="B179" t="s">
        <v>79</v>
      </c>
      <c r="C179" t="s">
        <v>119</v>
      </c>
      <c r="D179" t="s">
        <v>119</v>
      </c>
      <c r="E179" t="s">
        <v>127</v>
      </c>
      <c r="F179" t="s">
        <v>133</v>
      </c>
      <c r="G179">
        <v>412</v>
      </c>
      <c r="H179" t="s">
        <v>11</v>
      </c>
      <c r="I179">
        <v>95374.809999999983</v>
      </c>
      <c r="J179">
        <v>52417.840000000011</v>
      </c>
    </row>
    <row r="180" spans="1:10" x14ac:dyDescent="0.3">
      <c r="A180" t="s">
        <v>82</v>
      </c>
      <c r="B180" t="s">
        <v>79</v>
      </c>
      <c r="C180" t="s">
        <v>119</v>
      </c>
      <c r="D180" t="s">
        <v>119</v>
      </c>
      <c r="E180" t="s">
        <v>127</v>
      </c>
      <c r="F180" t="s">
        <v>134</v>
      </c>
      <c r="G180">
        <v>403</v>
      </c>
      <c r="H180" t="s">
        <v>12</v>
      </c>
      <c r="I180">
        <v>98046.69</v>
      </c>
      <c r="J180">
        <v>63137.770000000091</v>
      </c>
    </row>
    <row r="181" spans="1:10" x14ac:dyDescent="0.3">
      <c r="A181" t="s">
        <v>82</v>
      </c>
      <c r="B181" t="s">
        <v>79</v>
      </c>
      <c r="C181" t="s">
        <v>119</v>
      </c>
      <c r="D181" t="s">
        <v>119</v>
      </c>
      <c r="E181" t="s">
        <v>127</v>
      </c>
      <c r="F181" t="s">
        <v>129</v>
      </c>
      <c r="G181">
        <v>409</v>
      </c>
      <c r="H181" t="s">
        <v>58</v>
      </c>
      <c r="I181">
        <v>75249.42</v>
      </c>
      <c r="J181">
        <v>36896.10000000002</v>
      </c>
    </row>
    <row r="182" spans="1:10" x14ac:dyDescent="0.3">
      <c r="A182" t="s">
        <v>82</v>
      </c>
      <c r="B182" t="s">
        <v>79</v>
      </c>
      <c r="C182" t="s">
        <v>119</v>
      </c>
      <c r="D182" t="s">
        <v>119</v>
      </c>
      <c r="E182" t="s">
        <v>127</v>
      </c>
      <c r="F182" t="s">
        <v>129</v>
      </c>
      <c r="G182">
        <v>410</v>
      </c>
      <c r="H182" t="s">
        <v>40</v>
      </c>
      <c r="I182">
        <v>49498.53</v>
      </c>
      <c r="J182">
        <v>25026.009999999995</v>
      </c>
    </row>
    <row r="183" spans="1:10" x14ac:dyDescent="0.3">
      <c r="A183" t="s">
        <v>82</v>
      </c>
      <c r="B183" t="s">
        <v>79</v>
      </c>
      <c r="C183" t="s">
        <v>119</v>
      </c>
      <c r="D183" t="s">
        <v>119</v>
      </c>
      <c r="E183" t="s">
        <v>126</v>
      </c>
      <c r="F183" t="s">
        <v>130</v>
      </c>
      <c r="G183">
        <v>101</v>
      </c>
      <c r="H183" t="s">
        <v>10</v>
      </c>
      <c r="I183">
        <v>169492.65999999997</v>
      </c>
      <c r="J183">
        <v>147056.85000000024</v>
      </c>
    </row>
    <row r="184" spans="1:10" x14ac:dyDescent="0.3">
      <c r="A184" t="s">
        <v>82</v>
      </c>
      <c r="B184" t="s">
        <v>79</v>
      </c>
      <c r="C184" t="s">
        <v>119</v>
      </c>
      <c r="D184" t="s">
        <v>119</v>
      </c>
      <c r="E184" t="s">
        <v>126</v>
      </c>
      <c r="F184" t="s">
        <v>130</v>
      </c>
      <c r="G184">
        <v>150</v>
      </c>
      <c r="H184" t="s">
        <v>3</v>
      </c>
      <c r="I184">
        <v>149538.96</v>
      </c>
      <c r="J184">
        <v>131234.78000000026</v>
      </c>
    </row>
    <row r="185" spans="1:10" x14ac:dyDescent="0.3">
      <c r="A185" t="s">
        <v>82</v>
      </c>
      <c r="B185" t="s">
        <v>79</v>
      </c>
      <c r="C185" t="s">
        <v>119</v>
      </c>
      <c r="D185" t="s">
        <v>119</v>
      </c>
      <c r="E185" t="s">
        <v>126</v>
      </c>
      <c r="F185" t="s">
        <v>134</v>
      </c>
      <c r="G185">
        <v>170</v>
      </c>
      <c r="H185" t="s">
        <v>56</v>
      </c>
      <c r="I185">
        <v>79433.39</v>
      </c>
      <c r="J185">
        <v>70847.560000000056</v>
      </c>
    </row>
    <row r="186" spans="1:10" x14ac:dyDescent="0.3">
      <c r="A186" t="s">
        <v>82</v>
      </c>
      <c r="B186" t="s">
        <v>79</v>
      </c>
      <c r="C186" t="s">
        <v>119</v>
      </c>
      <c r="D186" t="s">
        <v>119</v>
      </c>
      <c r="E186" t="s">
        <v>126</v>
      </c>
      <c r="F186" t="s">
        <v>132</v>
      </c>
      <c r="G186">
        <v>131</v>
      </c>
      <c r="H186" t="s">
        <v>67</v>
      </c>
      <c r="I186">
        <v>49162.79</v>
      </c>
      <c r="J186">
        <v>40433.65</v>
      </c>
    </row>
    <row r="187" spans="1:10" x14ac:dyDescent="0.3">
      <c r="A187" t="s">
        <v>82</v>
      </c>
      <c r="B187" t="s">
        <v>79</v>
      </c>
      <c r="C187" t="s">
        <v>119</v>
      </c>
      <c r="D187" t="s">
        <v>119</v>
      </c>
      <c r="E187" t="s">
        <v>126</v>
      </c>
      <c r="F187" t="s">
        <v>132</v>
      </c>
      <c r="G187">
        <v>151</v>
      </c>
      <c r="H187" t="s">
        <v>20</v>
      </c>
      <c r="I187">
        <v>43145.91</v>
      </c>
      <c r="J187">
        <v>37231.669999999991</v>
      </c>
    </row>
    <row r="188" spans="1:10" x14ac:dyDescent="0.3">
      <c r="A188" t="s">
        <v>82</v>
      </c>
      <c r="B188" t="s">
        <v>92</v>
      </c>
      <c r="C188" t="s">
        <v>121</v>
      </c>
      <c r="D188" t="s">
        <v>121</v>
      </c>
      <c r="E188" t="s">
        <v>127</v>
      </c>
      <c r="F188" t="s">
        <v>136</v>
      </c>
      <c r="G188">
        <v>418</v>
      </c>
      <c r="H188" t="s">
        <v>44</v>
      </c>
      <c r="I188">
        <v>0</v>
      </c>
      <c r="J188">
        <v>44265.350000000042</v>
      </c>
    </row>
    <row r="189" spans="1:10" x14ac:dyDescent="0.3">
      <c r="A189" t="s">
        <v>82</v>
      </c>
      <c r="B189" t="s">
        <v>92</v>
      </c>
      <c r="C189" t="s">
        <v>119</v>
      </c>
      <c r="D189" t="s">
        <v>122</v>
      </c>
      <c r="E189" t="s">
        <v>124</v>
      </c>
      <c r="F189" t="s">
        <v>136</v>
      </c>
      <c r="G189">
        <v>307</v>
      </c>
      <c r="H189" t="s">
        <v>19</v>
      </c>
      <c r="I189">
        <v>79525.039999999994</v>
      </c>
      <c r="J189">
        <v>83897.329999999973</v>
      </c>
    </row>
    <row r="190" spans="1:10" x14ac:dyDescent="0.3">
      <c r="A190" t="s">
        <v>82</v>
      </c>
      <c r="B190" t="s">
        <v>92</v>
      </c>
      <c r="C190" t="s">
        <v>119</v>
      </c>
      <c r="D190" t="s">
        <v>122</v>
      </c>
      <c r="E190" t="s">
        <v>127</v>
      </c>
      <c r="F190" t="s">
        <v>136</v>
      </c>
      <c r="G190">
        <v>411</v>
      </c>
      <c r="H190" t="s">
        <v>43</v>
      </c>
      <c r="I190">
        <v>115610.05000000005</v>
      </c>
      <c r="J190">
        <v>104897.81000000011</v>
      </c>
    </row>
    <row r="191" spans="1:10" x14ac:dyDescent="0.3">
      <c r="A191" t="s">
        <v>82</v>
      </c>
      <c r="B191" t="s">
        <v>92</v>
      </c>
      <c r="C191" t="s">
        <v>119</v>
      </c>
      <c r="D191" t="s">
        <v>120</v>
      </c>
      <c r="E191" t="s">
        <v>125</v>
      </c>
      <c r="F191" t="s">
        <v>136</v>
      </c>
      <c r="G191">
        <v>213</v>
      </c>
      <c r="H191" t="s">
        <v>49</v>
      </c>
      <c r="I191">
        <v>73968.37</v>
      </c>
      <c r="J191">
        <v>90810.529999999882</v>
      </c>
    </row>
    <row r="192" spans="1:10" x14ac:dyDescent="0.3">
      <c r="A192" t="s">
        <v>82</v>
      </c>
      <c r="B192" t="s">
        <v>92</v>
      </c>
      <c r="C192" t="s">
        <v>119</v>
      </c>
      <c r="D192" t="s">
        <v>120</v>
      </c>
      <c r="E192" t="s">
        <v>127</v>
      </c>
      <c r="F192" t="s">
        <v>136</v>
      </c>
      <c r="G192">
        <v>415</v>
      </c>
      <c r="H192" t="s">
        <v>47</v>
      </c>
      <c r="I192">
        <v>79994.13</v>
      </c>
      <c r="J192">
        <v>85992.579999999973</v>
      </c>
    </row>
    <row r="193" spans="1:10" x14ac:dyDescent="0.3">
      <c r="A193" t="s">
        <v>82</v>
      </c>
      <c r="B193" t="s">
        <v>92</v>
      </c>
      <c r="C193" t="s">
        <v>119</v>
      </c>
      <c r="D193" t="s">
        <v>119</v>
      </c>
      <c r="E193" t="s">
        <v>124</v>
      </c>
      <c r="F193" t="s">
        <v>136</v>
      </c>
      <c r="G193">
        <v>306</v>
      </c>
      <c r="H193" t="s">
        <v>51</v>
      </c>
      <c r="I193">
        <v>89902.73</v>
      </c>
      <c r="J193">
        <v>83176.169999999984</v>
      </c>
    </row>
    <row r="194" spans="1:10" x14ac:dyDescent="0.3">
      <c r="A194" t="s">
        <v>82</v>
      </c>
      <c r="B194" t="s">
        <v>92</v>
      </c>
      <c r="C194" t="s">
        <v>119</v>
      </c>
      <c r="D194" t="s">
        <v>119</v>
      </c>
      <c r="E194" t="s">
        <v>125</v>
      </c>
      <c r="F194" t="s">
        <v>136</v>
      </c>
      <c r="G194">
        <v>201</v>
      </c>
      <c r="H194" t="s">
        <v>45</v>
      </c>
      <c r="I194">
        <v>66760.509999999995</v>
      </c>
      <c r="J194">
        <v>56650.459999999992</v>
      </c>
    </row>
    <row r="195" spans="1:10" x14ac:dyDescent="0.3">
      <c r="A195" t="s">
        <v>82</v>
      </c>
      <c r="B195" t="s">
        <v>92</v>
      </c>
      <c r="C195" t="s">
        <v>119</v>
      </c>
      <c r="D195" t="s">
        <v>119</v>
      </c>
      <c r="E195" t="s">
        <v>125</v>
      </c>
      <c r="F195" t="s">
        <v>136</v>
      </c>
      <c r="G195">
        <v>204</v>
      </c>
      <c r="H195" t="s">
        <v>46</v>
      </c>
      <c r="I195">
        <v>70929.61</v>
      </c>
      <c r="J195">
        <v>70698.779999999941</v>
      </c>
    </row>
    <row r="196" spans="1:10" x14ac:dyDescent="0.3">
      <c r="A196" t="s">
        <v>82</v>
      </c>
      <c r="B196" t="s">
        <v>92</v>
      </c>
      <c r="C196" t="s">
        <v>119</v>
      </c>
      <c r="D196" t="s">
        <v>119</v>
      </c>
      <c r="E196" t="s">
        <v>126</v>
      </c>
      <c r="F196" t="s">
        <v>136</v>
      </c>
      <c r="G196">
        <v>102</v>
      </c>
      <c r="H196" t="s">
        <v>50</v>
      </c>
      <c r="I196">
        <v>88293.419999999984</v>
      </c>
      <c r="J196">
        <v>86502.499999999956</v>
      </c>
    </row>
    <row r="197" spans="1:10" x14ac:dyDescent="0.3">
      <c r="A197" t="s">
        <v>82</v>
      </c>
      <c r="B197" t="s">
        <v>93</v>
      </c>
      <c r="C197" t="s">
        <v>122</v>
      </c>
      <c r="D197" t="s">
        <v>122</v>
      </c>
      <c r="E197" t="s">
        <v>93</v>
      </c>
      <c r="F197" t="s">
        <v>93</v>
      </c>
      <c r="G197">
        <v>901</v>
      </c>
      <c r="H197" s="33" t="s">
        <v>38</v>
      </c>
      <c r="I197" s="33">
        <v>0</v>
      </c>
      <c r="J197" s="33">
        <v>0</v>
      </c>
    </row>
    <row r="198" spans="1:10" x14ac:dyDescent="0.3">
      <c r="A198" t="s">
        <v>82</v>
      </c>
      <c r="B198" t="s">
        <v>93</v>
      </c>
      <c r="C198" t="s">
        <v>122</v>
      </c>
      <c r="D198" t="s">
        <v>122</v>
      </c>
      <c r="E198" t="s">
        <v>93</v>
      </c>
      <c r="F198" t="s">
        <v>93</v>
      </c>
      <c r="G198">
        <v>902</v>
      </c>
      <c r="H198" s="33" t="s">
        <v>39</v>
      </c>
      <c r="I198" s="33">
        <v>0</v>
      </c>
      <c r="J198" s="33">
        <v>0</v>
      </c>
    </row>
    <row r="199" spans="1:10" x14ac:dyDescent="0.3">
      <c r="A199" t="s">
        <v>82</v>
      </c>
      <c r="B199" t="s">
        <v>93</v>
      </c>
      <c r="C199" t="s">
        <v>119</v>
      </c>
      <c r="D199" t="s">
        <v>119</v>
      </c>
      <c r="E199" t="s">
        <v>93</v>
      </c>
      <c r="F199" t="s">
        <v>93</v>
      </c>
      <c r="G199">
        <v>903</v>
      </c>
      <c r="H199" t="s">
        <v>37</v>
      </c>
      <c r="I199">
        <v>67526.439999999988</v>
      </c>
      <c r="J199">
        <v>63680.949999999983</v>
      </c>
    </row>
    <row r="200" spans="1:10" x14ac:dyDescent="0.3">
      <c r="A200" t="s">
        <v>82</v>
      </c>
      <c r="B200" t="s">
        <v>94</v>
      </c>
      <c r="C200" t="s">
        <v>121</v>
      </c>
      <c r="D200" t="s">
        <v>121</v>
      </c>
      <c r="E200" t="s">
        <v>124</v>
      </c>
      <c r="F200" t="s">
        <v>137</v>
      </c>
      <c r="G200" t="s">
        <v>112</v>
      </c>
      <c r="H200" t="s">
        <v>21</v>
      </c>
      <c r="I200">
        <v>0</v>
      </c>
      <c r="J200">
        <v>0</v>
      </c>
    </row>
    <row r="201" spans="1:10" x14ac:dyDescent="0.3">
      <c r="A201" t="s">
        <v>82</v>
      </c>
      <c r="B201" t="s">
        <v>94</v>
      </c>
      <c r="C201" t="s">
        <v>121</v>
      </c>
      <c r="D201" t="s">
        <v>121</v>
      </c>
      <c r="E201" t="s">
        <v>125</v>
      </c>
      <c r="F201" t="s">
        <v>138</v>
      </c>
      <c r="G201">
        <v>470</v>
      </c>
      <c r="H201" t="s">
        <v>26</v>
      </c>
      <c r="I201">
        <v>0</v>
      </c>
      <c r="J201">
        <v>0</v>
      </c>
    </row>
    <row r="202" spans="1:10" x14ac:dyDescent="0.3">
      <c r="A202" t="s">
        <v>82</v>
      </c>
      <c r="B202" t="s">
        <v>94</v>
      </c>
      <c r="C202" t="s">
        <v>121</v>
      </c>
      <c r="D202" t="s">
        <v>121</v>
      </c>
      <c r="E202" t="s">
        <v>125</v>
      </c>
      <c r="F202" t="s">
        <v>137</v>
      </c>
      <c r="G202" t="s">
        <v>114</v>
      </c>
      <c r="H202" t="s">
        <v>23</v>
      </c>
      <c r="I202">
        <v>0</v>
      </c>
      <c r="J202">
        <v>0</v>
      </c>
    </row>
    <row r="203" spans="1:10" x14ac:dyDescent="0.3">
      <c r="A203" t="s">
        <v>82</v>
      </c>
      <c r="B203" t="s">
        <v>94</v>
      </c>
      <c r="C203" t="s">
        <v>121</v>
      </c>
      <c r="D203" t="s">
        <v>121</v>
      </c>
      <c r="E203" t="s">
        <v>125</v>
      </c>
      <c r="F203" t="s">
        <v>137</v>
      </c>
      <c r="G203" t="s">
        <v>113</v>
      </c>
      <c r="H203" t="s">
        <v>22</v>
      </c>
      <c r="I203">
        <v>0</v>
      </c>
      <c r="J203">
        <v>0</v>
      </c>
    </row>
    <row r="204" spans="1:10" x14ac:dyDescent="0.3">
      <c r="A204" t="s">
        <v>82</v>
      </c>
      <c r="B204" t="s">
        <v>94</v>
      </c>
      <c r="C204" t="s">
        <v>121</v>
      </c>
      <c r="D204" t="s">
        <v>121</v>
      </c>
      <c r="E204" t="s">
        <v>127</v>
      </c>
      <c r="F204" t="s">
        <v>137</v>
      </c>
      <c r="G204">
        <v>494</v>
      </c>
      <c r="H204" t="s">
        <v>25</v>
      </c>
      <c r="I204">
        <v>0</v>
      </c>
      <c r="J204">
        <v>0</v>
      </c>
    </row>
    <row r="205" spans="1:10" x14ac:dyDescent="0.3">
      <c r="A205" t="s">
        <v>82</v>
      </c>
      <c r="B205" t="s">
        <v>94</v>
      </c>
      <c r="C205" t="s">
        <v>121</v>
      </c>
      <c r="D205" t="s">
        <v>121</v>
      </c>
      <c r="E205" t="s">
        <v>126</v>
      </c>
      <c r="F205" t="s">
        <v>137</v>
      </c>
      <c r="G205">
        <v>460</v>
      </c>
      <c r="H205" t="s">
        <v>30</v>
      </c>
      <c r="I205">
        <v>0</v>
      </c>
      <c r="J205">
        <v>0</v>
      </c>
    </row>
    <row r="206" spans="1:10" x14ac:dyDescent="0.3">
      <c r="A206" t="s">
        <v>82</v>
      </c>
      <c r="B206" t="s">
        <v>94</v>
      </c>
      <c r="C206" t="s">
        <v>121</v>
      </c>
      <c r="D206" t="s">
        <v>121</v>
      </c>
      <c r="E206" t="s">
        <v>126</v>
      </c>
      <c r="F206" t="s">
        <v>137</v>
      </c>
      <c r="G206">
        <v>461</v>
      </c>
      <c r="H206" t="s">
        <v>29</v>
      </c>
      <c r="I206">
        <v>0</v>
      </c>
      <c r="J206">
        <v>0</v>
      </c>
    </row>
    <row r="207" spans="1:10" x14ac:dyDescent="0.3">
      <c r="A207" t="s">
        <v>82</v>
      </c>
      <c r="B207" t="s">
        <v>94</v>
      </c>
      <c r="C207" t="s">
        <v>121</v>
      </c>
      <c r="D207" t="s">
        <v>119</v>
      </c>
      <c r="E207" t="s">
        <v>124</v>
      </c>
      <c r="F207" t="s">
        <v>138</v>
      </c>
      <c r="G207">
        <v>480</v>
      </c>
      <c r="H207" t="s">
        <v>28</v>
      </c>
      <c r="I207">
        <v>0</v>
      </c>
      <c r="J207">
        <v>30485.880000000008</v>
      </c>
    </row>
    <row r="208" spans="1:10" x14ac:dyDescent="0.3">
      <c r="A208" t="s">
        <v>82</v>
      </c>
      <c r="B208" t="s">
        <v>94</v>
      </c>
      <c r="C208" t="s">
        <v>121</v>
      </c>
      <c r="D208" t="s">
        <v>119</v>
      </c>
      <c r="E208" t="s">
        <v>127</v>
      </c>
      <c r="F208" t="s">
        <v>138</v>
      </c>
      <c r="G208">
        <v>491</v>
      </c>
      <c r="H208" t="s">
        <v>31</v>
      </c>
      <c r="I208">
        <v>0</v>
      </c>
      <c r="J208">
        <v>68869.800000000105</v>
      </c>
    </row>
    <row r="209" spans="1:10" x14ac:dyDescent="0.3">
      <c r="A209" t="s">
        <v>82</v>
      </c>
      <c r="B209" t="s">
        <v>94</v>
      </c>
      <c r="C209" t="s">
        <v>121</v>
      </c>
      <c r="D209" t="s">
        <v>119</v>
      </c>
      <c r="E209" t="s">
        <v>127</v>
      </c>
      <c r="F209" t="s">
        <v>138</v>
      </c>
      <c r="G209">
        <v>492</v>
      </c>
      <c r="H209" t="s">
        <v>27</v>
      </c>
      <c r="I209">
        <v>0</v>
      </c>
      <c r="J209">
        <v>47374.460000000028</v>
      </c>
    </row>
    <row r="210" spans="1:10" x14ac:dyDescent="0.3">
      <c r="A210" t="s">
        <v>82</v>
      </c>
      <c r="B210" t="s">
        <v>94</v>
      </c>
      <c r="C210" t="s">
        <v>121</v>
      </c>
      <c r="D210" t="s">
        <v>119</v>
      </c>
      <c r="E210" t="s">
        <v>127</v>
      </c>
      <c r="F210" t="s">
        <v>138</v>
      </c>
      <c r="G210">
        <v>493</v>
      </c>
      <c r="H210" t="s">
        <v>24</v>
      </c>
      <c r="I210">
        <v>0</v>
      </c>
      <c r="J210">
        <v>33652.250000000015</v>
      </c>
    </row>
    <row r="211" spans="1:10" x14ac:dyDescent="0.3">
      <c r="A211" t="s">
        <v>82</v>
      </c>
      <c r="B211" t="s">
        <v>95</v>
      </c>
      <c r="C211" t="s">
        <v>121</v>
      </c>
      <c r="D211" t="s">
        <v>121</v>
      </c>
      <c r="E211" t="s">
        <v>126</v>
      </c>
      <c r="F211" t="s">
        <v>139</v>
      </c>
      <c r="G211">
        <v>510</v>
      </c>
      <c r="H211" t="s">
        <v>76</v>
      </c>
      <c r="I211">
        <v>0</v>
      </c>
      <c r="J211">
        <v>0</v>
      </c>
    </row>
    <row r="212" spans="1:10" x14ac:dyDescent="0.3">
      <c r="A212" t="s">
        <v>82</v>
      </c>
      <c r="B212" t="s">
        <v>95</v>
      </c>
      <c r="C212" t="s">
        <v>121</v>
      </c>
      <c r="D212" t="s">
        <v>119</v>
      </c>
      <c r="E212" t="s">
        <v>127</v>
      </c>
      <c r="F212" t="s">
        <v>140</v>
      </c>
      <c r="G212">
        <v>541</v>
      </c>
      <c r="H212" t="s">
        <v>74</v>
      </c>
      <c r="I212">
        <v>0</v>
      </c>
      <c r="J212">
        <v>30628.42</v>
      </c>
    </row>
    <row r="213" spans="1:10" x14ac:dyDescent="0.3">
      <c r="A213" t="s">
        <v>82</v>
      </c>
      <c r="B213" t="s">
        <v>95</v>
      </c>
      <c r="C213" t="s">
        <v>121</v>
      </c>
      <c r="D213" t="s">
        <v>119</v>
      </c>
      <c r="E213" t="s">
        <v>127</v>
      </c>
      <c r="F213" t="s">
        <v>140</v>
      </c>
      <c r="G213">
        <v>543</v>
      </c>
      <c r="H213" t="s">
        <v>72</v>
      </c>
      <c r="I213">
        <v>43786.07</v>
      </c>
      <c r="J213">
        <v>32226.839999999982</v>
      </c>
    </row>
    <row r="214" spans="1:10" x14ac:dyDescent="0.3">
      <c r="A214" t="s">
        <v>82</v>
      </c>
      <c r="B214" t="s">
        <v>95</v>
      </c>
      <c r="C214" t="s">
        <v>120</v>
      </c>
      <c r="D214" t="s">
        <v>119</v>
      </c>
      <c r="E214" t="s">
        <v>127</v>
      </c>
      <c r="F214" t="s">
        <v>140</v>
      </c>
      <c r="G214">
        <v>540</v>
      </c>
      <c r="H214" t="s">
        <v>73</v>
      </c>
      <c r="I214">
        <v>60628.57</v>
      </c>
      <c r="J214">
        <v>92592.190000000031</v>
      </c>
    </row>
    <row r="215" spans="1:10" x14ac:dyDescent="0.3">
      <c r="A215" t="s">
        <v>82</v>
      </c>
      <c r="B215" t="s">
        <v>95</v>
      </c>
      <c r="C215" t="s">
        <v>119</v>
      </c>
      <c r="D215" t="s">
        <v>120</v>
      </c>
      <c r="E215" t="s">
        <v>124</v>
      </c>
      <c r="F215" t="s">
        <v>139</v>
      </c>
      <c r="G215">
        <v>530</v>
      </c>
      <c r="H215" t="s">
        <v>68</v>
      </c>
      <c r="I215">
        <v>33643.31</v>
      </c>
      <c r="J215">
        <v>31271.01</v>
      </c>
    </row>
    <row r="216" spans="1:10" x14ac:dyDescent="0.3">
      <c r="A216" t="s">
        <v>82</v>
      </c>
      <c r="B216" t="s">
        <v>95</v>
      </c>
      <c r="C216" t="s">
        <v>119</v>
      </c>
      <c r="D216" t="s">
        <v>119</v>
      </c>
      <c r="E216" t="s">
        <v>125</v>
      </c>
      <c r="F216" t="s">
        <v>140</v>
      </c>
      <c r="G216">
        <v>520</v>
      </c>
      <c r="H216" t="s">
        <v>70</v>
      </c>
      <c r="I216">
        <v>57122.549999999996</v>
      </c>
      <c r="J216">
        <v>40448.200000000012</v>
      </c>
    </row>
    <row r="217" spans="1:10" x14ac:dyDescent="0.3">
      <c r="A217" t="s">
        <v>82</v>
      </c>
      <c r="B217" t="s">
        <v>95</v>
      </c>
      <c r="C217" t="s">
        <v>119</v>
      </c>
      <c r="D217" t="s">
        <v>119</v>
      </c>
      <c r="E217" t="s">
        <v>127</v>
      </c>
      <c r="F217" t="s">
        <v>139</v>
      </c>
      <c r="G217">
        <v>542</v>
      </c>
      <c r="H217" t="s">
        <v>69</v>
      </c>
      <c r="I217">
        <v>37355.96</v>
      </c>
      <c r="J217">
        <v>20438.900000000009</v>
      </c>
    </row>
    <row r="218" spans="1:10" x14ac:dyDescent="0.3">
      <c r="A218" t="s">
        <v>83</v>
      </c>
      <c r="B218" t="s">
        <v>79</v>
      </c>
      <c r="C218" t="s">
        <v>122</v>
      </c>
      <c r="D218" t="s">
        <v>122</v>
      </c>
      <c r="E218" t="s">
        <v>124</v>
      </c>
      <c r="F218" t="s">
        <v>129</v>
      </c>
      <c r="G218">
        <v>303</v>
      </c>
      <c r="H218" t="s">
        <v>1</v>
      </c>
      <c r="I218">
        <v>0</v>
      </c>
      <c r="J218">
        <v>0</v>
      </c>
    </row>
    <row r="219" spans="1:10" x14ac:dyDescent="0.3">
      <c r="A219" t="s">
        <v>83</v>
      </c>
      <c r="B219" t="s">
        <v>79</v>
      </c>
      <c r="C219" t="s">
        <v>122</v>
      </c>
      <c r="D219" t="s">
        <v>122</v>
      </c>
      <c r="E219" t="s">
        <v>125</v>
      </c>
      <c r="F219" t="s">
        <v>129</v>
      </c>
      <c r="G219">
        <v>205</v>
      </c>
      <c r="H219" t="s">
        <v>7</v>
      </c>
      <c r="I219">
        <v>0</v>
      </c>
      <c r="J219">
        <v>0</v>
      </c>
    </row>
    <row r="220" spans="1:10" x14ac:dyDescent="0.3">
      <c r="A220" t="s">
        <v>83</v>
      </c>
      <c r="B220" t="s">
        <v>79</v>
      </c>
      <c r="C220" t="s">
        <v>122</v>
      </c>
      <c r="D220" t="s">
        <v>122</v>
      </c>
      <c r="E220" t="s">
        <v>127</v>
      </c>
      <c r="F220" t="s">
        <v>129</v>
      </c>
      <c r="G220">
        <v>401</v>
      </c>
      <c r="H220" t="s">
        <v>5</v>
      </c>
      <c r="I220">
        <v>0</v>
      </c>
      <c r="J220">
        <v>0</v>
      </c>
    </row>
    <row r="221" spans="1:10" x14ac:dyDescent="0.3">
      <c r="A221" t="s">
        <v>83</v>
      </c>
      <c r="B221" t="s">
        <v>79</v>
      </c>
      <c r="C221" t="s">
        <v>122</v>
      </c>
      <c r="D221" t="s">
        <v>122</v>
      </c>
      <c r="E221" t="s">
        <v>127</v>
      </c>
      <c r="F221" t="s">
        <v>122</v>
      </c>
      <c r="G221">
        <v>408</v>
      </c>
      <c r="H221" t="s">
        <v>33</v>
      </c>
      <c r="I221">
        <v>11816.560000000001</v>
      </c>
      <c r="J221">
        <v>0</v>
      </c>
    </row>
    <row r="222" spans="1:10" x14ac:dyDescent="0.3">
      <c r="A222" t="s">
        <v>83</v>
      </c>
      <c r="B222" t="s">
        <v>79</v>
      </c>
      <c r="C222" t="s">
        <v>122</v>
      </c>
      <c r="D222" t="s">
        <v>122</v>
      </c>
      <c r="E222" t="s">
        <v>126</v>
      </c>
      <c r="F222" t="s">
        <v>122</v>
      </c>
      <c r="G222">
        <v>130</v>
      </c>
      <c r="H222" s="33" t="s">
        <v>55</v>
      </c>
      <c r="I222" s="33">
        <v>0</v>
      </c>
      <c r="J222" s="33">
        <v>0</v>
      </c>
    </row>
    <row r="223" spans="1:10" x14ac:dyDescent="0.3">
      <c r="A223" t="s">
        <v>83</v>
      </c>
      <c r="B223" t="s">
        <v>79</v>
      </c>
      <c r="C223" t="s">
        <v>121</v>
      </c>
      <c r="D223" t="s">
        <v>121</v>
      </c>
      <c r="E223" t="s">
        <v>125</v>
      </c>
      <c r="F223" t="s">
        <v>129</v>
      </c>
      <c r="G223" t="s">
        <v>110</v>
      </c>
      <c r="H223" t="s">
        <v>64</v>
      </c>
      <c r="I223">
        <v>0</v>
      </c>
      <c r="J223">
        <v>0</v>
      </c>
    </row>
    <row r="224" spans="1:10" x14ac:dyDescent="0.3">
      <c r="A224" t="s">
        <v>83</v>
      </c>
      <c r="B224" t="s">
        <v>79</v>
      </c>
      <c r="C224" t="s">
        <v>120</v>
      </c>
      <c r="D224" t="s">
        <v>120</v>
      </c>
      <c r="E224" t="s">
        <v>124</v>
      </c>
      <c r="F224" t="s">
        <v>129</v>
      </c>
      <c r="G224">
        <v>304</v>
      </c>
      <c r="H224" t="s">
        <v>61</v>
      </c>
      <c r="I224">
        <v>46825.189999999988</v>
      </c>
      <c r="J224">
        <v>34484.340000000018</v>
      </c>
    </row>
    <row r="225" spans="1:10" x14ac:dyDescent="0.3">
      <c r="A225" t="s">
        <v>83</v>
      </c>
      <c r="B225" t="s">
        <v>79</v>
      </c>
      <c r="C225" t="s">
        <v>120</v>
      </c>
      <c r="D225" t="s">
        <v>120</v>
      </c>
      <c r="E225" t="s">
        <v>125</v>
      </c>
      <c r="F225" t="s">
        <v>133</v>
      </c>
      <c r="G225">
        <v>208</v>
      </c>
      <c r="H225" t="s">
        <v>36</v>
      </c>
      <c r="I225">
        <v>27580.329999999998</v>
      </c>
      <c r="J225">
        <v>36329.149999999987</v>
      </c>
    </row>
    <row r="226" spans="1:10" x14ac:dyDescent="0.3">
      <c r="A226" t="s">
        <v>83</v>
      </c>
      <c r="B226" t="s">
        <v>79</v>
      </c>
      <c r="C226" t="s">
        <v>120</v>
      </c>
      <c r="D226" t="s">
        <v>120</v>
      </c>
      <c r="E226" t="s">
        <v>125</v>
      </c>
      <c r="F226" t="s">
        <v>133</v>
      </c>
      <c r="G226">
        <v>209</v>
      </c>
      <c r="H226" t="s">
        <v>35</v>
      </c>
      <c r="I226">
        <v>16661.02</v>
      </c>
      <c r="J226">
        <v>24529.670000000002</v>
      </c>
    </row>
    <row r="227" spans="1:10" x14ac:dyDescent="0.3">
      <c r="A227" t="s">
        <v>83</v>
      </c>
      <c r="B227" t="s">
        <v>79</v>
      </c>
      <c r="C227" t="s">
        <v>120</v>
      </c>
      <c r="D227" t="s">
        <v>120</v>
      </c>
      <c r="E227" t="s">
        <v>125</v>
      </c>
      <c r="F227" t="s">
        <v>129</v>
      </c>
      <c r="G227">
        <v>202</v>
      </c>
      <c r="H227" t="s">
        <v>4</v>
      </c>
      <c r="I227">
        <v>71834.69</v>
      </c>
      <c r="J227">
        <v>0</v>
      </c>
    </row>
    <row r="228" spans="1:10" x14ac:dyDescent="0.3">
      <c r="A228" t="s">
        <v>83</v>
      </c>
      <c r="B228" t="s">
        <v>79</v>
      </c>
      <c r="C228" t="s">
        <v>120</v>
      </c>
      <c r="D228" t="s">
        <v>120</v>
      </c>
      <c r="E228" t="s">
        <v>127</v>
      </c>
      <c r="F228" t="s">
        <v>133</v>
      </c>
      <c r="G228">
        <v>404</v>
      </c>
      <c r="H228" t="s">
        <v>15</v>
      </c>
      <c r="I228">
        <v>26856.27</v>
      </c>
      <c r="J228">
        <v>31541.330000000016</v>
      </c>
    </row>
    <row r="229" spans="1:10" x14ac:dyDescent="0.3">
      <c r="A229" t="s">
        <v>83</v>
      </c>
      <c r="B229" t="s">
        <v>79</v>
      </c>
      <c r="C229" t="s">
        <v>120</v>
      </c>
      <c r="D229" t="s">
        <v>119</v>
      </c>
      <c r="E229" t="s">
        <v>124</v>
      </c>
      <c r="F229" t="s">
        <v>134</v>
      </c>
      <c r="G229">
        <v>310</v>
      </c>
      <c r="H229" t="s">
        <v>63</v>
      </c>
      <c r="I229">
        <v>16588.64</v>
      </c>
      <c r="J229">
        <v>19757.370000000003</v>
      </c>
    </row>
    <row r="230" spans="1:10" x14ac:dyDescent="0.3">
      <c r="A230" t="s">
        <v>83</v>
      </c>
      <c r="B230" t="s">
        <v>79</v>
      </c>
      <c r="C230" t="s">
        <v>120</v>
      </c>
      <c r="D230" t="s">
        <v>119</v>
      </c>
      <c r="E230" t="s">
        <v>125</v>
      </c>
      <c r="F230" t="s">
        <v>134</v>
      </c>
      <c r="G230">
        <v>206</v>
      </c>
      <c r="H230" t="s">
        <v>18</v>
      </c>
      <c r="I230">
        <v>6769.6299999999992</v>
      </c>
      <c r="J230">
        <v>68187.250000000029</v>
      </c>
    </row>
    <row r="231" spans="1:10" x14ac:dyDescent="0.3">
      <c r="A231" t="s">
        <v>83</v>
      </c>
      <c r="B231" t="s">
        <v>79</v>
      </c>
      <c r="C231" t="s">
        <v>120</v>
      </c>
      <c r="D231" t="s">
        <v>119</v>
      </c>
      <c r="E231" t="s">
        <v>125</v>
      </c>
      <c r="F231" t="s">
        <v>132</v>
      </c>
      <c r="G231">
        <v>210</v>
      </c>
      <c r="H231" t="s">
        <v>2</v>
      </c>
      <c r="I231">
        <v>39916.97</v>
      </c>
      <c r="J231">
        <v>45550.8</v>
      </c>
    </row>
    <row r="232" spans="1:10" x14ac:dyDescent="0.3">
      <c r="A232" t="s">
        <v>83</v>
      </c>
      <c r="B232" t="s">
        <v>79</v>
      </c>
      <c r="C232" t="s">
        <v>120</v>
      </c>
      <c r="D232" t="s">
        <v>119</v>
      </c>
      <c r="E232" t="s">
        <v>127</v>
      </c>
      <c r="F232" t="s">
        <v>131</v>
      </c>
      <c r="G232">
        <v>417</v>
      </c>
      <c r="H232" t="s">
        <v>54</v>
      </c>
      <c r="I232">
        <v>79092.889999999985</v>
      </c>
      <c r="J232">
        <v>65650.790000000066</v>
      </c>
    </row>
    <row r="233" spans="1:10" x14ac:dyDescent="0.3">
      <c r="A233" t="s">
        <v>83</v>
      </c>
      <c r="B233" t="s">
        <v>79</v>
      </c>
      <c r="C233" t="s">
        <v>119</v>
      </c>
      <c r="D233" t="s">
        <v>122</v>
      </c>
      <c r="E233" t="s">
        <v>127</v>
      </c>
      <c r="F233" t="s">
        <v>132</v>
      </c>
      <c r="G233">
        <v>416</v>
      </c>
      <c r="H233" t="s">
        <v>66</v>
      </c>
      <c r="I233">
        <v>7943.71</v>
      </c>
      <c r="J233">
        <v>16977.440000000002</v>
      </c>
    </row>
    <row r="234" spans="1:10" x14ac:dyDescent="0.3">
      <c r="A234" t="s">
        <v>83</v>
      </c>
      <c r="B234" t="s">
        <v>79</v>
      </c>
      <c r="C234" t="s">
        <v>119</v>
      </c>
      <c r="D234" t="s">
        <v>120</v>
      </c>
      <c r="E234" t="s">
        <v>124</v>
      </c>
      <c r="F234" t="s">
        <v>134</v>
      </c>
      <c r="G234">
        <v>308</v>
      </c>
      <c r="H234" t="s">
        <v>0</v>
      </c>
      <c r="I234">
        <v>31016.370000000003</v>
      </c>
      <c r="J234">
        <v>32993.700000000033</v>
      </c>
    </row>
    <row r="235" spans="1:10" x14ac:dyDescent="0.3">
      <c r="A235" t="s">
        <v>83</v>
      </c>
      <c r="B235" t="s">
        <v>79</v>
      </c>
      <c r="C235" t="s">
        <v>119</v>
      </c>
      <c r="D235" t="s">
        <v>120</v>
      </c>
      <c r="E235" t="s">
        <v>127</v>
      </c>
      <c r="F235" t="s">
        <v>129</v>
      </c>
      <c r="G235">
        <v>402</v>
      </c>
      <c r="H235" t="s">
        <v>9</v>
      </c>
      <c r="I235">
        <v>20820.219999999998</v>
      </c>
      <c r="J235">
        <v>22165.96</v>
      </c>
    </row>
    <row r="236" spans="1:10" x14ac:dyDescent="0.3">
      <c r="A236" t="s">
        <v>83</v>
      </c>
      <c r="B236" t="s">
        <v>79</v>
      </c>
      <c r="C236" t="s">
        <v>119</v>
      </c>
      <c r="D236" t="s">
        <v>120</v>
      </c>
      <c r="E236" t="s">
        <v>127</v>
      </c>
      <c r="F236" t="s">
        <v>129</v>
      </c>
      <c r="G236">
        <v>406</v>
      </c>
      <c r="H236" t="s">
        <v>57</v>
      </c>
      <c r="I236">
        <v>15001.33</v>
      </c>
      <c r="J236">
        <v>17232.180000000008</v>
      </c>
    </row>
    <row r="237" spans="1:10" x14ac:dyDescent="0.3">
      <c r="A237" t="s">
        <v>83</v>
      </c>
      <c r="B237" t="s">
        <v>79</v>
      </c>
      <c r="C237" t="s">
        <v>119</v>
      </c>
      <c r="D237" t="s">
        <v>120</v>
      </c>
      <c r="E237" t="s">
        <v>127</v>
      </c>
      <c r="F237" t="s">
        <v>135</v>
      </c>
      <c r="G237">
        <v>414</v>
      </c>
      <c r="H237" t="s">
        <v>65</v>
      </c>
      <c r="I237">
        <v>255730.62999999995</v>
      </c>
      <c r="J237">
        <v>265827.98999999964</v>
      </c>
    </row>
    <row r="238" spans="1:10" x14ac:dyDescent="0.3">
      <c r="A238" t="s">
        <v>83</v>
      </c>
      <c r="B238" t="s">
        <v>79</v>
      </c>
      <c r="C238" t="s">
        <v>119</v>
      </c>
      <c r="D238" t="s">
        <v>119</v>
      </c>
      <c r="E238" t="s">
        <v>124</v>
      </c>
      <c r="F238" t="s">
        <v>131</v>
      </c>
      <c r="G238">
        <v>309</v>
      </c>
      <c r="H238" t="s">
        <v>52</v>
      </c>
      <c r="I238">
        <v>151188.6</v>
      </c>
      <c r="J238">
        <v>159987.30000000022</v>
      </c>
    </row>
    <row r="239" spans="1:10" x14ac:dyDescent="0.3">
      <c r="A239" t="s">
        <v>83</v>
      </c>
      <c r="B239" t="s">
        <v>79</v>
      </c>
      <c r="C239" t="s">
        <v>119</v>
      </c>
      <c r="D239" t="s">
        <v>119</v>
      </c>
      <c r="E239" t="s">
        <v>124</v>
      </c>
      <c r="F239" t="s">
        <v>130</v>
      </c>
      <c r="G239">
        <v>305</v>
      </c>
      <c r="H239" t="s">
        <v>6</v>
      </c>
      <c r="I239">
        <v>97141.309999999969</v>
      </c>
      <c r="J239">
        <v>113550.52000000014</v>
      </c>
    </row>
    <row r="240" spans="1:10" x14ac:dyDescent="0.3">
      <c r="A240" t="s">
        <v>83</v>
      </c>
      <c r="B240" t="s">
        <v>79</v>
      </c>
      <c r="C240" t="s">
        <v>119</v>
      </c>
      <c r="D240" t="s">
        <v>119</v>
      </c>
      <c r="E240" t="s">
        <v>124</v>
      </c>
      <c r="F240" t="s">
        <v>134</v>
      </c>
      <c r="G240">
        <v>302</v>
      </c>
      <c r="H240" t="s">
        <v>32</v>
      </c>
      <c r="I240">
        <v>57155.1</v>
      </c>
      <c r="J240">
        <v>61373.680000000066</v>
      </c>
    </row>
    <row r="241" spans="1:10" x14ac:dyDescent="0.3">
      <c r="A241" t="s">
        <v>83</v>
      </c>
      <c r="B241" t="s">
        <v>79</v>
      </c>
      <c r="C241" t="s">
        <v>119</v>
      </c>
      <c r="D241" t="s">
        <v>119</v>
      </c>
      <c r="E241" t="s">
        <v>124</v>
      </c>
      <c r="F241" t="s">
        <v>129</v>
      </c>
      <c r="G241">
        <v>301</v>
      </c>
      <c r="H241" t="s">
        <v>59</v>
      </c>
      <c r="I241">
        <v>29856.94</v>
      </c>
      <c r="J241">
        <v>35710.250000000029</v>
      </c>
    </row>
    <row r="242" spans="1:10" x14ac:dyDescent="0.3">
      <c r="A242" t="s">
        <v>83</v>
      </c>
      <c r="B242" t="s">
        <v>79</v>
      </c>
      <c r="C242" t="s">
        <v>119</v>
      </c>
      <c r="D242" t="s">
        <v>119</v>
      </c>
      <c r="E242" t="s">
        <v>124</v>
      </c>
      <c r="F242" t="s">
        <v>129</v>
      </c>
      <c r="G242">
        <v>311</v>
      </c>
      <c r="H242" t="s">
        <v>13</v>
      </c>
      <c r="I242">
        <v>28703.459999999995</v>
      </c>
      <c r="J242">
        <v>30498.910000000025</v>
      </c>
    </row>
    <row r="243" spans="1:10" x14ac:dyDescent="0.3">
      <c r="A243" t="s">
        <v>83</v>
      </c>
      <c r="B243" t="s">
        <v>79</v>
      </c>
      <c r="C243" t="s">
        <v>119</v>
      </c>
      <c r="D243" t="s">
        <v>119</v>
      </c>
      <c r="E243" t="s">
        <v>125</v>
      </c>
      <c r="F243" t="s">
        <v>131</v>
      </c>
      <c r="G243">
        <v>211</v>
      </c>
      <c r="H243" t="s">
        <v>8</v>
      </c>
      <c r="I243">
        <v>157376.70000000007</v>
      </c>
      <c r="J243">
        <v>154514.72000000003</v>
      </c>
    </row>
    <row r="244" spans="1:10" x14ac:dyDescent="0.3">
      <c r="A244" t="s">
        <v>83</v>
      </c>
      <c r="B244" t="s">
        <v>79</v>
      </c>
      <c r="C244" t="s">
        <v>119</v>
      </c>
      <c r="D244" t="s">
        <v>119</v>
      </c>
      <c r="E244" t="s">
        <v>125</v>
      </c>
      <c r="F244" t="s">
        <v>130</v>
      </c>
      <c r="G244">
        <v>207</v>
      </c>
      <c r="H244" t="s">
        <v>53</v>
      </c>
      <c r="I244">
        <v>82595.139999999985</v>
      </c>
      <c r="J244">
        <v>105367.5400000002</v>
      </c>
    </row>
    <row r="245" spans="1:10" x14ac:dyDescent="0.3">
      <c r="A245" t="s">
        <v>83</v>
      </c>
      <c r="B245" t="s">
        <v>79</v>
      </c>
      <c r="C245" t="s">
        <v>119</v>
      </c>
      <c r="D245" t="s">
        <v>119</v>
      </c>
      <c r="E245" t="s">
        <v>125</v>
      </c>
      <c r="F245" t="s">
        <v>133</v>
      </c>
      <c r="G245">
        <v>203</v>
      </c>
      <c r="H245" t="s">
        <v>60</v>
      </c>
      <c r="I245">
        <v>42270.64</v>
      </c>
      <c r="J245">
        <v>47610.160000000054</v>
      </c>
    </row>
    <row r="246" spans="1:10" x14ac:dyDescent="0.3">
      <c r="A246" t="s">
        <v>83</v>
      </c>
      <c r="B246" t="s">
        <v>79</v>
      </c>
      <c r="C246" t="s">
        <v>119</v>
      </c>
      <c r="D246" t="s">
        <v>119</v>
      </c>
      <c r="E246" t="s">
        <v>125</v>
      </c>
      <c r="F246" t="s">
        <v>133</v>
      </c>
      <c r="G246">
        <v>212</v>
      </c>
      <c r="H246" t="s">
        <v>62</v>
      </c>
      <c r="I246">
        <v>38230.269999999997</v>
      </c>
      <c r="J246">
        <v>53993.850000000035</v>
      </c>
    </row>
    <row r="247" spans="1:10" x14ac:dyDescent="0.3">
      <c r="A247" t="s">
        <v>83</v>
      </c>
      <c r="B247" t="s">
        <v>79</v>
      </c>
      <c r="C247" t="s">
        <v>119</v>
      </c>
      <c r="D247" t="s">
        <v>119</v>
      </c>
      <c r="E247" t="s">
        <v>125</v>
      </c>
      <c r="F247" t="s">
        <v>134</v>
      </c>
      <c r="G247">
        <v>190</v>
      </c>
      <c r="H247" t="s">
        <v>42</v>
      </c>
      <c r="I247">
        <v>56678.2</v>
      </c>
      <c r="J247">
        <v>64874.380000000048</v>
      </c>
    </row>
    <row r="248" spans="1:10" x14ac:dyDescent="0.3">
      <c r="A248" t="s">
        <v>83</v>
      </c>
      <c r="B248" t="s">
        <v>79</v>
      </c>
      <c r="C248" t="s">
        <v>119</v>
      </c>
      <c r="D248" t="s">
        <v>119</v>
      </c>
      <c r="E248" t="s">
        <v>125</v>
      </c>
      <c r="F248" t="s">
        <v>134</v>
      </c>
      <c r="G248">
        <v>214</v>
      </c>
      <c r="H248" t="s">
        <v>17</v>
      </c>
      <c r="I248">
        <v>56022.55999999999</v>
      </c>
      <c r="J248">
        <v>64337.990000000049</v>
      </c>
    </row>
    <row r="249" spans="1:10" x14ac:dyDescent="0.3">
      <c r="A249" t="s">
        <v>83</v>
      </c>
      <c r="B249" t="s">
        <v>79</v>
      </c>
      <c r="C249" t="s">
        <v>119</v>
      </c>
      <c r="D249" t="s">
        <v>119</v>
      </c>
      <c r="E249" t="s">
        <v>127</v>
      </c>
      <c r="F249" t="s">
        <v>130</v>
      </c>
      <c r="G249">
        <v>407</v>
      </c>
      <c r="H249" t="s">
        <v>34</v>
      </c>
      <c r="I249">
        <v>92381.28</v>
      </c>
      <c r="J249">
        <v>93168.34000000004</v>
      </c>
    </row>
    <row r="250" spans="1:10" x14ac:dyDescent="0.3">
      <c r="A250" t="s">
        <v>83</v>
      </c>
      <c r="B250" t="s">
        <v>79</v>
      </c>
      <c r="C250" t="s">
        <v>119</v>
      </c>
      <c r="D250" t="s">
        <v>119</v>
      </c>
      <c r="E250" t="s">
        <v>127</v>
      </c>
      <c r="F250" t="s">
        <v>130</v>
      </c>
      <c r="G250">
        <v>413</v>
      </c>
      <c r="H250" t="s">
        <v>14</v>
      </c>
      <c r="I250">
        <v>116950.53999999996</v>
      </c>
      <c r="J250">
        <v>117591.31000000008</v>
      </c>
    </row>
    <row r="251" spans="1:10" x14ac:dyDescent="0.3">
      <c r="A251" t="s">
        <v>83</v>
      </c>
      <c r="B251" t="s">
        <v>79</v>
      </c>
      <c r="C251" t="s">
        <v>119</v>
      </c>
      <c r="D251" t="s">
        <v>119</v>
      </c>
      <c r="E251" t="s">
        <v>127</v>
      </c>
      <c r="F251" t="s">
        <v>133</v>
      </c>
      <c r="G251">
        <v>412</v>
      </c>
      <c r="H251" t="s">
        <v>11</v>
      </c>
      <c r="I251">
        <v>45970.689999999988</v>
      </c>
      <c r="J251">
        <v>51189.710000000036</v>
      </c>
    </row>
    <row r="252" spans="1:10" x14ac:dyDescent="0.3">
      <c r="A252" t="s">
        <v>83</v>
      </c>
      <c r="B252" t="s">
        <v>79</v>
      </c>
      <c r="C252" t="s">
        <v>119</v>
      </c>
      <c r="D252" t="s">
        <v>119</v>
      </c>
      <c r="E252" t="s">
        <v>127</v>
      </c>
      <c r="F252" t="s">
        <v>134</v>
      </c>
      <c r="G252">
        <v>403</v>
      </c>
      <c r="H252" t="s">
        <v>12</v>
      </c>
      <c r="I252">
        <v>60066.369999999995</v>
      </c>
      <c r="J252">
        <v>55591.510000000009</v>
      </c>
    </row>
    <row r="253" spans="1:10" x14ac:dyDescent="0.3">
      <c r="A253" t="s">
        <v>83</v>
      </c>
      <c r="B253" t="s">
        <v>79</v>
      </c>
      <c r="C253" t="s">
        <v>119</v>
      </c>
      <c r="D253" t="s">
        <v>119</v>
      </c>
      <c r="E253" t="s">
        <v>127</v>
      </c>
      <c r="F253" t="s">
        <v>129</v>
      </c>
      <c r="G253">
        <v>409</v>
      </c>
      <c r="H253" t="s">
        <v>58</v>
      </c>
      <c r="I253">
        <v>34854.429999999993</v>
      </c>
      <c r="J253">
        <v>36544.020000000033</v>
      </c>
    </row>
    <row r="254" spans="1:10" x14ac:dyDescent="0.3">
      <c r="A254" t="s">
        <v>83</v>
      </c>
      <c r="B254" t="s">
        <v>79</v>
      </c>
      <c r="C254" t="s">
        <v>119</v>
      </c>
      <c r="D254" t="s">
        <v>119</v>
      </c>
      <c r="E254" t="s">
        <v>127</v>
      </c>
      <c r="F254" t="s">
        <v>129</v>
      </c>
      <c r="G254">
        <v>410</v>
      </c>
      <c r="H254" t="s">
        <v>40</v>
      </c>
      <c r="I254">
        <v>21342.340000000004</v>
      </c>
      <c r="J254">
        <v>26084.290000000015</v>
      </c>
    </row>
    <row r="255" spans="1:10" x14ac:dyDescent="0.3">
      <c r="A255" t="s">
        <v>83</v>
      </c>
      <c r="B255" t="s">
        <v>79</v>
      </c>
      <c r="C255" t="s">
        <v>119</v>
      </c>
      <c r="D255" t="s">
        <v>119</v>
      </c>
      <c r="E255" t="s">
        <v>126</v>
      </c>
      <c r="F255" t="s">
        <v>130</v>
      </c>
      <c r="G255">
        <v>101</v>
      </c>
      <c r="H255" t="s">
        <v>10</v>
      </c>
      <c r="I255">
        <v>105008.55999999995</v>
      </c>
      <c r="J255">
        <v>112061.14000000014</v>
      </c>
    </row>
    <row r="256" spans="1:10" x14ac:dyDescent="0.3">
      <c r="A256" t="s">
        <v>83</v>
      </c>
      <c r="B256" t="s">
        <v>79</v>
      </c>
      <c r="C256" t="s">
        <v>119</v>
      </c>
      <c r="D256" t="s">
        <v>119</v>
      </c>
      <c r="E256" t="s">
        <v>126</v>
      </c>
      <c r="F256" t="s">
        <v>130</v>
      </c>
      <c r="G256">
        <v>150</v>
      </c>
      <c r="H256" t="s">
        <v>3</v>
      </c>
      <c r="I256">
        <v>82244.179999999978</v>
      </c>
      <c r="J256">
        <v>106312.51000000017</v>
      </c>
    </row>
    <row r="257" spans="1:10" x14ac:dyDescent="0.3">
      <c r="A257" t="s">
        <v>83</v>
      </c>
      <c r="B257" t="s">
        <v>79</v>
      </c>
      <c r="C257" t="s">
        <v>119</v>
      </c>
      <c r="D257" t="s">
        <v>119</v>
      </c>
      <c r="E257" t="s">
        <v>126</v>
      </c>
      <c r="F257" t="s">
        <v>134</v>
      </c>
      <c r="G257">
        <v>170</v>
      </c>
      <c r="H257" t="s">
        <v>56</v>
      </c>
      <c r="I257">
        <v>51291.139999999992</v>
      </c>
      <c r="J257">
        <v>66866.120000000083</v>
      </c>
    </row>
    <row r="258" spans="1:10" x14ac:dyDescent="0.3">
      <c r="A258" t="s">
        <v>83</v>
      </c>
      <c r="B258" t="s">
        <v>79</v>
      </c>
      <c r="C258" t="s">
        <v>119</v>
      </c>
      <c r="D258" t="s">
        <v>119</v>
      </c>
      <c r="E258" t="s">
        <v>126</v>
      </c>
      <c r="F258" t="s">
        <v>132</v>
      </c>
      <c r="G258">
        <v>131</v>
      </c>
      <c r="H258" t="s">
        <v>67</v>
      </c>
      <c r="I258">
        <v>34698.14</v>
      </c>
      <c r="J258">
        <v>36182.890000000014</v>
      </c>
    </row>
    <row r="259" spans="1:10" x14ac:dyDescent="0.3">
      <c r="A259" t="s">
        <v>83</v>
      </c>
      <c r="B259" t="s">
        <v>79</v>
      </c>
      <c r="C259" t="s">
        <v>119</v>
      </c>
      <c r="D259" t="s">
        <v>119</v>
      </c>
      <c r="E259" t="s">
        <v>126</v>
      </c>
      <c r="F259" t="s">
        <v>132</v>
      </c>
      <c r="G259">
        <v>151</v>
      </c>
      <c r="H259" t="s">
        <v>20</v>
      </c>
      <c r="I259">
        <v>24059.909999999996</v>
      </c>
      <c r="J259">
        <v>35406.429999999986</v>
      </c>
    </row>
    <row r="260" spans="1:10" x14ac:dyDescent="0.3">
      <c r="A260" t="s">
        <v>83</v>
      </c>
      <c r="B260" t="s">
        <v>92</v>
      </c>
      <c r="C260" t="s">
        <v>121</v>
      </c>
      <c r="D260" t="s">
        <v>121</v>
      </c>
      <c r="E260" t="s">
        <v>127</v>
      </c>
      <c r="F260" t="s">
        <v>136</v>
      </c>
      <c r="G260">
        <v>418</v>
      </c>
      <c r="H260" t="s">
        <v>44</v>
      </c>
      <c r="I260">
        <v>0</v>
      </c>
      <c r="J260">
        <v>141584.12000000017</v>
      </c>
    </row>
    <row r="261" spans="1:10" x14ac:dyDescent="0.3">
      <c r="A261" t="s">
        <v>83</v>
      </c>
      <c r="B261" t="s">
        <v>92</v>
      </c>
      <c r="C261" t="s">
        <v>119</v>
      </c>
      <c r="D261" t="s">
        <v>122</v>
      </c>
      <c r="E261" t="s">
        <v>124</v>
      </c>
      <c r="F261" t="s">
        <v>136</v>
      </c>
      <c r="G261">
        <v>307</v>
      </c>
      <c r="H261" t="s">
        <v>19</v>
      </c>
      <c r="I261">
        <v>58007.69</v>
      </c>
      <c r="J261">
        <v>81374.520000000077</v>
      </c>
    </row>
    <row r="262" spans="1:10" x14ac:dyDescent="0.3">
      <c r="A262" t="s">
        <v>83</v>
      </c>
      <c r="B262" t="s">
        <v>92</v>
      </c>
      <c r="C262" t="s">
        <v>119</v>
      </c>
      <c r="D262" t="s">
        <v>122</v>
      </c>
      <c r="E262" t="s">
        <v>127</v>
      </c>
      <c r="F262" t="s">
        <v>136</v>
      </c>
      <c r="G262">
        <v>411</v>
      </c>
      <c r="H262" t="s">
        <v>43</v>
      </c>
      <c r="I262">
        <v>115190.1</v>
      </c>
      <c r="J262">
        <v>98134.180000000211</v>
      </c>
    </row>
    <row r="263" spans="1:10" x14ac:dyDescent="0.3">
      <c r="A263" t="s">
        <v>83</v>
      </c>
      <c r="B263" t="s">
        <v>92</v>
      </c>
      <c r="C263" t="s">
        <v>119</v>
      </c>
      <c r="D263" t="s">
        <v>120</v>
      </c>
      <c r="E263" t="s">
        <v>125</v>
      </c>
      <c r="F263" t="s">
        <v>136</v>
      </c>
      <c r="G263">
        <v>213</v>
      </c>
      <c r="H263" t="s">
        <v>49</v>
      </c>
      <c r="I263">
        <v>60452.38</v>
      </c>
      <c r="J263">
        <v>92018.650000000023</v>
      </c>
    </row>
    <row r="264" spans="1:10" x14ac:dyDescent="0.3">
      <c r="A264" t="s">
        <v>83</v>
      </c>
      <c r="B264" t="s">
        <v>92</v>
      </c>
      <c r="C264" t="s">
        <v>119</v>
      </c>
      <c r="D264" t="s">
        <v>120</v>
      </c>
      <c r="E264" t="s">
        <v>127</v>
      </c>
      <c r="F264" t="s">
        <v>136</v>
      </c>
      <c r="G264">
        <v>415</v>
      </c>
      <c r="H264" t="s">
        <v>47</v>
      </c>
      <c r="I264">
        <v>64262.470000000008</v>
      </c>
      <c r="J264">
        <v>78894.879999999961</v>
      </c>
    </row>
    <row r="265" spans="1:10" x14ac:dyDescent="0.3">
      <c r="A265" t="s">
        <v>83</v>
      </c>
      <c r="B265" t="s">
        <v>92</v>
      </c>
      <c r="C265" t="s">
        <v>119</v>
      </c>
      <c r="D265" t="s">
        <v>119</v>
      </c>
      <c r="E265" t="s">
        <v>124</v>
      </c>
      <c r="F265" t="s">
        <v>136</v>
      </c>
      <c r="G265">
        <v>306</v>
      </c>
      <c r="H265" t="s">
        <v>51</v>
      </c>
      <c r="I265">
        <v>60920.80999999999</v>
      </c>
      <c r="J265">
        <v>90055.420000000056</v>
      </c>
    </row>
    <row r="266" spans="1:10" x14ac:dyDescent="0.3">
      <c r="A266" t="s">
        <v>83</v>
      </c>
      <c r="B266" t="s">
        <v>92</v>
      </c>
      <c r="C266" t="s">
        <v>119</v>
      </c>
      <c r="D266" t="s">
        <v>119</v>
      </c>
      <c r="E266" t="s">
        <v>125</v>
      </c>
      <c r="F266" t="s">
        <v>136</v>
      </c>
      <c r="G266">
        <v>201</v>
      </c>
      <c r="H266" t="s">
        <v>45</v>
      </c>
      <c r="I266">
        <v>39896.83</v>
      </c>
      <c r="J266">
        <v>65037.370000000039</v>
      </c>
    </row>
    <row r="267" spans="1:10" x14ac:dyDescent="0.3">
      <c r="A267" t="s">
        <v>83</v>
      </c>
      <c r="B267" t="s">
        <v>92</v>
      </c>
      <c r="C267" t="s">
        <v>119</v>
      </c>
      <c r="D267" t="s">
        <v>119</v>
      </c>
      <c r="E267" t="s">
        <v>125</v>
      </c>
      <c r="F267" t="s">
        <v>136</v>
      </c>
      <c r="G267">
        <v>204</v>
      </c>
      <c r="H267" t="s">
        <v>46</v>
      </c>
      <c r="I267">
        <v>54698.43</v>
      </c>
      <c r="J267">
        <v>62666.129999999961</v>
      </c>
    </row>
    <row r="268" spans="1:10" x14ac:dyDescent="0.3">
      <c r="A268" t="s">
        <v>83</v>
      </c>
      <c r="B268" t="s">
        <v>92</v>
      </c>
      <c r="C268" t="s">
        <v>119</v>
      </c>
      <c r="D268" t="s">
        <v>119</v>
      </c>
      <c r="E268" t="s">
        <v>126</v>
      </c>
      <c r="F268" t="s">
        <v>136</v>
      </c>
      <c r="G268">
        <v>102</v>
      </c>
      <c r="H268" t="s">
        <v>50</v>
      </c>
      <c r="I268">
        <v>73019.470000000016</v>
      </c>
      <c r="J268">
        <v>82324.619999999879</v>
      </c>
    </row>
    <row r="269" spans="1:10" x14ac:dyDescent="0.3">
      <c r="A269" t="s">
        <v>83</v>
      </c>
      <c r="B269" t="s">
        <v>93</v>
      </c>
      <c r="C269" t="s">
        <v>122</v>
      </c>
      <c r="D269" t="s">
        <v>122</v>
      </c>
      <c r="E269" t="s">
        <v>93</v>
      </c>
      <c r="F269" t="s">
        <v>93</v>
      </c>
      <c r="G269">
        <v>901</v>
      </c>
      <c r="H269" s="33" t="s">
        <v>38</v>
      </c>
      <c r="I269" s="33">
        <v>0</v>
      </c>
      <c r="J269" s="33">
        <v>0</v>
      </c>
    </row>
    <row r="270" spans="1:10" x14ac:dyDescent="0.3">
      <c r="A270" t="s">
        <v>83</v>
      </c>
      <c r="B270" t="s">
        <v>93</v>
      </c>
      <c r="C270" t="s">
        <v>122</v>
      </c>
      <c r="D270" t="s">
        <v>122</v>
      </c>
      <c r="E270" t="s">
        <v>93</v>
      </c>
      <c r="F270" t="s">
        <v>93</v>
      </c>
      <c r="G270">
        <v>902</v>
      </c>
      <c r="H270" s="33" t="s">
        <v>39</v>
      </c>
      <c r="I270" s="33">
        <v>0</v>
      </c>
      <c r="J270" s="33">
        <v>0</v>
      </c>
    </row>
    <row r="271" spans="1:10" x14ac:dyDescent="0.3">
      <c r="A271" t="s">
        <v>83</v>
      </c>
      <c r="B271" t="s">
        <v>93</v>
      </c>
      <c r="C271" t="s">
        <v>119</v>
      </c>
      <c r="D271" t="s">
        <v>119</v>
      </c>
      <c r="E271" t="s">
        <v>93</v>
      </c>
      <c r="F271" t="s">
        <v>93</v>
      </c>
      <c r="G271">
        <v>903</v>
      </c>
      <c r="H271" t="s">
        <v>37</v>
      </c>
      <c r="I271">
        <v>0</v>
      </c>
      <c r="J271">
        <v>91793.29000000027</v>
      </c>
    </row>
    <row r="272" spans="1:10" x14ac:dyDescent="0.3">
      <c r="A272" t="s">
        <v>83</v>
      </c>
      <c r="B272" t="s">
        <v>94</v>
      </c>
      <c r="C272" t="s">
        <v>121</v>
      </c>
      <c r="D272" t="s">
        <v>121</v>
      </c>
      <c r="E272" t="s">
        <v>124</v>
      </c>
      <c r="F272" t="s">
        <v>137</v>
      </c>
      <c r="G272" t="s">
        <v>112</v>
      </c>
      <c r="H272" t="s">
        <v>21</v>
      </c>
      <c r="I272">
        <v>0</v>
      </c>
      <c r="J272">
        <v>0</v>
      </c>
    </row>
    <row r="273" spans="1:10" x14ac:dyDescent="0.3">
      <c r="A273" t="s">
        <v>83</v>
      </c>
      <c r="B273" t="s">
        <v>94</v>
      </c>
      <c r="C273" t="s">
        <v>121</v>
      </c>
      <c r="D273" t="s">
        <v>121</v>
      </c>
      <c r="E273" t="s">
        <v>125</v>
      </c>
      <c r="F273" t="s">
        <v>138</v>
      </c>
      <c r="G273">
        <v>470</v>
      </c>
      <c r="H273" t="s">
        <v>26</v>
      </c>
      <c r="I273">
        <v>0</v>
      </c>
      <c r="J273">
        <v>0</v>
      </c>
    </row>
    <row r="274" spans="1:10" x14ac:dyDescent="0.3">
      <c r="A274" t="s">
        <v>83</v>
      </c>
      <c r="B274" t="s">
        <v>94</v>
      </c>
      <c r="C274" t="s">
        <v>121</v>
      </c>
      <c r="D274" t="s">
        <v>121</v>
      </c>
      <c r="E274" t="s">
        <v>125</v>
      </c>
      <c r="F274" t="s">
        <v>137</v>
      </c>
      <c r="G274" t="s">
        <v>114</v>
      </c>
      <c r="H274" t="s">
        <v>23</v>
      </c>
      <c r="I274">
        <v>0</v>
      </c>
      <c r="J274">
        <v>0</v>
      </c>
    </row>
    <row r="275" spans="1:10" x14ac:dyDescent="0.3">
      <c r="A275" t="s">
        <v>83</v>
      </c>
      <c r="B275" t="s">
        <v>94</v>
      </c>
      <c r="C275" t="s">
        <v>121</v>
      </c>
      <c r="D275" t="s">
        <v>121</v>
      </c>
      <c r="E275" t="s">
        <v>125</v>
      </c>
      <c r="F275" t="s">
        <v>137</v>
      </c>
      <c r="G275" t="s">
        <v>113</v>
      </c>
      <c r="H275" t="s">
        <v>22</v>
      </c>
      <c r="I275">
        <v>0</v>
      </c>
      <c r="J275">
        <v>0</v>
      </c>
    </row>
    <row r="276" spans="1:10" x14ac:dyDescent="0.3">
      <c r="A276" t="s">
        <v>83</v>
      </c>
      <c r="B276" t="s">
        <v>94</v>
      </c>
      <c r="C276" t="s">
        <v>121</v>
      </c>
      <c r="D276" t="s">
        <v>121</v>
      </c>
      <c r="E276" t="s">
        <v>127</v>
      </c>
      <c r="F276" t="s">
        <v>137</v>
      </c>
      <c r="G276">
        <v>494</v>
      </c>
      <c r="H276" t="s">
        <v>25</v>
      </c>
      <c r="I276">
        <v>0</v>
      </c>
      <c r="J276">
        <v>0</v>
      </c>
    </row>
    <row r="277" spans="1:10" x14ac:dyDescent="0.3">
      <c r="A277" t="s">
        <v>83</v>
      </c>
      <c r="B277" t="s">
        <v>94</v>
      </c>
      <c r="C277" t="s">
        <v>121</v>
      </c>
      <c r="D277" t="s">
        <v>121</v>
      </c>
      <c r="E277" t="s">
        <v>126</v>
      </c>
      <c r="F277" t="s">
        <v>137</v>
      </c>
      <c r="G277">
        <v>460</v>
      </c>
      <c r="H277" t="s">
        <v>30</v>
      </c>
      <c r="I277">
        <v>0</v>
      </c>
      <c r="J277">
        <v>0</v>
      </c>
    </row>
    <row r="278" spans="1:10" x14ac:dyDescent="0.3">
      <c r="A278" t="s">
        <v>83</v>
      </c>
      <c r="B278" t="s">
        <v>94</v>
      </c>
      <c r="C278" t="s">
        <v>121</v>
      </c>
      <c r="D278" t="s">
        <v>121</v>
      </c>
      <c r="E278" t="s">
        <v>126</v>
      </c>
      <c r="F278" t="s">
        <v>137</v>
      </c>
      <c r="G278">
        <v>461</v>
      </c>
      <c r="H278" t="s">
        <v>29</v>
      </c>
      <c r="I278">
        <v>0</v>
      </c>
      <c r="J278">
        <v>0</v>
      </c>
    </row>
    <row r="279" spans="1:10" x14ac:dyDescent="0.3">
      <c r="A279" t="s">
        <v>83</v>
      </c>
      <c r="B279" t="s">
        <v>94</v>
      </c>
      <c r="C279" t="s">
        <v>121</v>
      </c>
      <c r="D279" t="s">
        <v>119</v>
      </c>
      <c r="E279" t="s">
        <v>124</v>
      </c>
      <c r="F279" t="s">
        <v>138</v>
      </c>
      <c r="G279">
        <v>480</v>
      </c>
      <c r="H279" t="s">
        <v>28</v>
      </c>
      <c r="I279">
        <v>0</v>
      </c>
      <c r="J279">
        <v>32751.459999999992</v>
      </c>
    </row>
    <row r="280" spans="1:10" x14ac:dyDescent="0.3">
      <c r="A280" t="s">
        <v>83</v>
      </c>
      <c r="B280" t="s">
        <v>94</v>
      </c>
      <c r="C280" t="s">
        <v>121</v>
      </c>
      <c r="D280" t="s">
        <v>119</v>
      </c>
      <c r="E280" t="s">
        <v>127</v>
      </c>
      <c r="F280" t="s">
        <v>138</v>
      </c>
      <c r="G280">
        <v>491</v>
      </c>
      <c r="H280" t="s">
        <v>31</v>
      </c>
      <c r="I280">
        <v>0</v>
      </c>
      <c r="J280">
        <v>77756.950000000215</v>
      </c>
    </row>
    <row r="281" spans="1:10" x14ac:dyDescent="0.3">
      <c r="A281" t="s">
        <v>83</v>
      </c>
      <c r="B281" t="s">
        <v>94</v>
      </c>
      <c r="C281" t="s">
        <v>121</v>
      </c>
      <c r="D281" t="s">
        <v>119</v>
      </c>
      <c r="E281" t="s">
        <v>127</v>
      </c>
      <c r="F281" t="s">
        <v>138</v>
      </c>
      <c r="G281">
        <v>492</v>
      </c>
      <c r="H281" t="s">
        <v>27</v>
      </c>
      <c r="I281">
        <v>0</v>
      </c>
      <c r="J281">
        <v>48630.390000000007</v>
      </c>
    </row>
    <row r="282" spans="1:10" x14ac:dyDescent="0.3">
      <c r="A282" t="s">
        <v>83</v>
      </c>
      <c r="B282" t="s">
        <v>94</v>
      </c>
      <c r="C282" t="s">
        <v>121</v>
      </c>
      <c r="D282" t="s">
        <v>119</v>
      </c>
      <c r="E282" t="s">
        <v>127</v>
      </c>
      <c r="F282" t="s">
        <v>138</v>
      </c>
      <c r="G282">
        <v>493</v>
      </c>
      <c r="H282" t="s">
        <v>24</v>
      </c>
      <c r="I282">
        <v>0</v>
      </c>
      <c r="J282">
        <v>32907.570000000051</v>
      </c>
    </row>
    <row r="283" spans="1:10" x14ac:dyDescent="0.3">
      <c r="A283" t="s">
        <v>83</v>
      </c>
      <c r="B283" t="s">
        <v>95</v>
      </c>
      <c r="C283" t="s">
        <v>121</v>
      </c>
      <c r="D283" t="s">
        <v>121</v>
      </c>
      <c r="E283" t="s">
        <v>126</v>
      </c>
      <c r="F283" t="s">
        <v>139</v>
      </c>
      <c r="G283">
        <v>510</v>
      </c>
      <c r="H283" t="s">
        <v>76</v>
      </c>
      <c r="I283">
        <v>0</v>
      </c>
      <c r="J283">
        <v>0</v>
      </c>
    </row>
    <row r="284" spans="1:10" x14ac:dyDescent="0.3">
      <c r="A284" t="s">
        <v>83</v>
      </c>
      <c r="B284" t="s">
        <v>95</v>
      </c>
      <c r="C284" t="s">
        <v>121</v>
      </c>
      <c r="D284" t="s">
        <v>119</v>
      </c>
      <c r="E284" t="s">
        <v>127</v>
      </c>
      <c r="F284" t="s">
        <v>140</v>
      </c>
      <c r="G284">
        <v>541</v>
      </c>
      <c r="H284" t="s">
        <v>74</v>
      </c>
      <c r="I284">
        <v>0</v>
      </c>
      <c r="J284">
        <v>32083.249999999978</v>
      </c>
    </row>
    <row r="285" spans="1:10" x14ac:dyDescent="0.3">
      <c r="A285" t="s">
        <v>83</v>
      </c>
      <c r="B285" t="s">
        <v>95</v>
      </c>
      <c r="C285" t="s">
        <v>121</v>
      </c>
      <c r="D285" t="s">
        <v>119</v>
      </c>
      <c r="E285" t="s">
        <v>127</v>
      </c>
      <c r="F285" t="s">
        <v>140</v>
      </c>
      <c r="G285">
        <v>543</v>
      </c>
      <c r="H285" t="s">
        <v>72</v>
      </c>
      <c r="I285">
        <v>35220.31</v>
      </c>
      <c r="J285">
        <v>35594.089999999982</v>
      </c>
    </row>
    <row r="286" spans="1:10" x14ac:dyDescent="0.3">
      <c r="A286" t="s">
        <v>83</v>
      </c>
      <c r="B286" t="s">
        <v>95</v>
      </c>
      <c r="C286" t="s">
        <v>120</v>
      </c>
      <c r="D286" t="s">
        <v>119</v>
      </c>
      <c r="E286" t="s">
        <v>127</v>
      </c>
      <c r="F286" t="s">
        <v>140</v>
      </c>
      <c r="G286">
        <v>540</v>
      </c>
      <c r="H286" t="s">
        <v>73</v>
      </c>
      <c r="I286">
        <v>53460.02</v>
      </c>
      <c r="J286">
        <v>86465.070000000036</v>
      </c>
    </row>
    <row r="287" spans="1:10" x14ac:dyDescent="0.3">
      <c r="A287" t="s">
        <v>83</v>
      </c>
      <c r="B287" t="s">
        <v>95</v>
      </c>
      <c r="C287" t="s">
        <v>119</v>
      </c>
      <c r="D287" t="s">
        <v>120</v>
      </c>
      <c r="E287" t="s">
        <v>124</v>
      </c>
      <c r="F287" t="s">
        <v>139</v>
      </c>
      <c r="G287">
        <v>530</v>
      </c>
      <c r="H287" t="s">
        <v>68</v>
      </c>
      <c r="I287">
        <v>30743.840000000004</v>
      </c>
      <c r="J287">
        <v>27545.839999999986</v>
      </c>
    </row>
    <row r="288" spans="1:10" x14ac:dyDescent="0.3">
      <c r="A288" t="s">
        <v>83</v>
      </c>
      <c r="B288" t="s">
        <v>95</v>
      </c>
      <c r="C288" t="s">
        <v>119</v>
      </c>
      <c r="D288" t="s">
        <v>119</v>
      </c>
      <c r="E288" t="s">
        <v>125</v>
      </c>
      <c r="F288" t="s">
        <v>140</v>
      </c>
      <c r="G288">
        <v>520</v>
      </c>
      <c r="H288" t="s">
        <v>70</v>
      </c>
      <c r="I288">
        <v>47875.360000000001</v>
      </c>
      <c r="J288">
        <v>46859.539999999994</v>
      </c>
    </row>
    <row r="289" spans="1:10" x14ac:dyDescent="0.3">
      <c r="A289" t="s">
        <v>83</v>
      </c>
      <c r="B289" t="s">
        <v>95</v>
      </c>
      <c r="C289" t="s">
        <v>119</v>
      </c>
      <c r="D289" t="s">
        <v>119</v>
      </c>
      <c r="E289" t="s">
        <v>127</v>
      </c>
      <c r="F289" t="s">
        <v>139</v>
      </c>
      <c r="G289">
        <v>542</v>
      </c>
      <c r="H289" t="s">
        <v>69</v>
      </c>
      <c r="I289">
        <v>25056.300000000003</v>
      </c>
      <c r="J289">
        <v>15213.280000000002</v>
      </c>
    </row>
    <row r="290" spans="1:10" x14ac:dyDescent="0.3">
      <c r="A290" t="s">
        <v>84</v>
      </c>
      <c r="B290" t="s">
        <v>79</v>
      </c>
      <c r="C290" t="s">
        <v>122</v>
      </c>
      <c r="D290" t="s">
        <v>122</v>
      </c>
      <c r="E290" t="s">
        <v>124</v>
      </c>
      <c r="F290" t="s">
        <v>129</v>
      </c>
      <c r="G290">
        <v>303</v>
      </c>
      <c r="H290" t="s">
        <v>1</v>
      </c>
      <c r="I290">
        <v>0</v>
      </c>
      <c r="J290">
        <v>0</v>
      </c>
    </row>
    <row r="291" spans="1:10" x14ac:dyDescent="0.3">
      <c r="A291" t="s">
        <v>84</v>
      </c>
      <c r="B291" t="s">
        <v>79</v>
      </c>
      <c r="C291" t="s">
        <v>122</v>
      </c>
      <c r="D291" t="s">
        <v>122</v>
      </c>
      <c r="E291" t="s">
        <v>125</v>
      </c>
      <c r="F291" t="s">
        <v>129</v>
      </c>
      <c r="G291">
        <v>205</v>
      </c>
      <c r="H291" t="s">
        <v>7</v>
      </c>
      <c r="I291">
        <v>0</v>
      </c>
      <c r="J291">
        <v>0</v>
      </c>
    </row>
    <row r="292" spans="1:10" x14ac:dyDescent="0.3">
      <c r="A292" t="s">
        <v>84</v>
      </c>
      <c r="B292" t="s">
        <v>79</v>
      </c>
      <c r="C292" t="s">
        <v>122</v>
      </c>
      <c r="D292" t="s">
        <v>122</v>
      </c>
      <c r="E292" t="s">
        <v>127</v>
      </c>
      <c r="F292" t="s">
        <v>129</v>
      </c>
      <c r="G292">
        <v>401</v>
      </c>
      <c r="H292" t="s">
        <v>5</v>
      </c>
      <c r="I292">
        <v>0</v>
      </c>
      <c r="J292">
        <v>0</v>
      </c>
    </row>
    <row r="293" spans="1:10" x14ac:dyDescent="0.3">
      <c r="A293" t="s">
        <v>84</v>
      </c>
      <c r="B293" t="s">
        <v>79</v>
      </c>
      <c r="C293" t="s">
        <v>122</v>
      </c>
      <c r="D293" t="s">
        <v>122</v>
      </c>
      <c r="E293" t="s">
        <v>127</v>
      </c>
      <c r="F293" t="s">
        <v>122</v>
      </c>
      <c r="G293">
        <v>408</v>
      </c>
      <c r="H293" t="s">
        <v>33</v>
      </c>
      <c r="I293">
        <v>3097.32</v>
      </c>
      <c r="J293">
        <v>0</v>
      </c>
    </row>
    <row r="294" spans="1:10" x14ac:dyDescent="0.3">
      <c r="A294" t="s">
        <v>84</v>
      </c>
      <c r="B294" t="s">
        <v>79</v>
      </c>
      <c r="C294" t="s">
        <v>122</v>
      </c>
      <c r="D294" t="s">
        <v>122</v>
      </c>
      <c r="E294" t="s">
        <v>126</v>
      </c>
      <c r="F294" t="s">
        <v>122</v>
      </c>
      <c r="G294">
        <v>130</v>
      </c>
      <c r="H294" s="33" t="s">
        <v>55</v>
      </c>
      <c r="I294" s="33">
        <v>0</v>
      </c>
      <c r="J294" s="33">
        <v>0</v>
      </c>
    </row>
    <row r="295" spans="1:10" x14ac:dyDescent="0.3">
      <c r="A295" t="s">
        <v>84</v>
      </c>
      <c r="B295" t="s">
        <v>79</v>
      </c>
      <c r="C295" t="s">
        <v>121</v>
      </c>
      <c r="D295" t="s">
        <v>121</v>
      </c>
      <c r="E295" t="s">
        <v>125</v>
      </c>
      <c r="F295" t="s">
        <v>129</v>
      </c>
      <c r="G295" t="s">
        <v>110</v>
      </c>
      <c r="H295" t="s">
        <v>64</v>
      </c>
      <c r="I295">
        <v>0</v>
      </c>
      <c r="J295">
        <v>0</v>
      </c>
    </row>
    <row r="296" spans="1:10" x14ac:dyDescent="0.3">
      <c r="A296" t="s">
        <v>84</v>
      </c>
      <c r="B296" t="s">
        <v>79</v>
      </c>
      <c r="C296" t="s">
        <v>120</v>
      </c>
      <c r="D296" t="s">
        <v>120</v>
      </c>
      <c r="E296" t="s">
        <v>124</v>
      </c>
      <c r="F296" t="s">
        <v>129</v>
      </c>
      <c r="G296">
        <v>304</v>
      </c>
      <c r="H296" t="s">
        <v>61</v>
      </c>
      <c r="I296">
        <v>38588.11</v>
      </c>
      <c r="J296">
        <v>32827.35</v>
      </c>
    </row>
    <row r="297" spans="1:10" x14ac:dyDescent="0.3">
      <c r="A297" t="s">
        <v>84</v>
      </c>
      <c r="B297" t="s">
        <v>79</v>
      </c>
      <c r="C297" t="s">
        <v>120</v>
      </c>
      <c r="D297" t="s">
        <v>120</v>
      </c>
      <c r="E297" t="s">
        <v>125</v>
      </c>
      <c r="F297" t="s">
        <v>133</v>
      </c>
      <c r="G297">
        <v>208</v>
      </c>
      <c r="H297" t="s">
        <v>36</v>
      </c>
      <c r="I297">
        <v>35733.179999999993</v>
      </c>
      <c r="J297">
        <v>40278.280000000035</v>
      </c>
    </row>
    <row r="298" spans="1:10" x14ac:dyDescent="0.3">
      <c r="A298" t="s">
        <v>84</v>
      </c>
      <c r="B298" t="s">
        <v>79</v>
      </c>
      <c r="C298" t="s">
        <v>120</v>
      </c>
      <c r="D298" t="s">
        <v>120</v>
      </c>
      <c r="E298" t="s">
        <v>125</v>
      </c>
      <c r="F298" t="s">
        <v>133</v>
      </c>
      <c r="G298">
        <v>209</v>
      </c>
      <c r="H298" t="s">
        <v>35</v>
      </c>
      <c r="I298">
        <v>17009.05</v>
      </c>
      <c r="J298">
        <v>28817.94</v>
      </c>
    </row>
    <row r="299" spans="1:10" x14ac:dyDescent="0.3">
      <c r="A299" t="s">
        <v>84</v>
      </c>
      <c r="B299" t="s">
        <v>79</v>
      </c>
      <c r="C299" t="s">
        <v>120</v>
      </c>
      <c r="D299" t="s">
        <v>120</v>
      </c>
      <c r="E299" t="s">
        <v>125</v>
      </c>
      <c r="F299" t="s">
        <v>129</v>
      </c>
      <c r="G299">
        <v>202</v>
      </c>
      <c r="H299" t="s">
        <v>4</v>
      </c>
      <c r="I299">
        <v>71752.56</v>
      </c>
      <c r="J299">
        <v>23668.22</v>
      </c>
    </row>
    <row r="300" spans="1:10" x14ac:dyDescent="0.3">
      <c r="A300" t="s">
        <v>84</v>
      </c>
      <c r="B300" t="s">
        <v>79</v>
      </c>
      <c r="C300" t="s">
        <v>120</v>
      </c>
      <c r="D300" t="s">
        <v>120</v>
      </c>
      <c r="E300" t="s">
        <v>127</v>
      </c>
      <c r="F300" t="s">
        <v>133</v>
      </c>
      <c r="G300">
        <v>404</v>
      </c>
      <c r="H300" t="s">
        <v>15</v>
      </c>
      <c r="I300">
        <v>31512.219999999994</v>
      </c>
      <c r="J300">
        <v>26199.359999999993</v>
      </c>
    </row>
    <row r="301" spans="1:10" x14ac:dyDescent="0.3">
      <c r="A301" t="s">
        <v>84</v>
      </c>
      <c r="B301" t="s">
        <v>79</v>
      </c>
      <c r="C301" t="s">
        <v>120</v>
      </c>
      <c r="D301" t="s">
        <v>119</v>
      </c>
      <c r="E301" t="s">
        <v>124</v>
      </c>
      <c r="F301" t="s">
        <v>134</v>
      </c>
      <c r="G301">
        <v>310</v>
      </c>
      <c r="H301" t="s">
        <v>63</v>
      </c>
      <c r="I301">
        <v>12793.170000000002</v>
      </c>
      <c r="J301">
        <v>19822.690000000017</v>
      </c>
    </row>
    <row r="302" spans="1:10" x14ac:dyDescent="0.3">
      <c r="A302" t="s">
        <v>84</v>
      </c>
      <c r="B302" t="s">
        <v>79</v>
      </c>
      <c r="C302" t="s">
        <v>120</v>
      </c>
      <c r="D302" t="s">
        <v>119</v>
      </c>
      <c r="E302" t="s">
        <v>125</v>
      </c>
      <c r="F302" t="s">
        <v>134</v>
      </c>
      <c r="G302">
        <v>206</v>
      </c>
      <c r="H302" t="s">
        <v>18</v>
      </c>
      <c r="I302">
        <v>0</v>
      </c>
      <c r="J302">
        <v>59849.539999999979</v>
      </c>
    </row>
    <row r="303" spans="1:10" x14ac:dyDescent="0.3">
      <c r="A303" t="s">
        <v>84</v>
      </c>
      <c r="B303" t="s">
        <v>79</v>
      </c>
      <c r="C303" t="s">
        <v>120</v>
      </c>
      <c r="D303" t="s">
        <v>119</v>
      </c>
      <c r="E303" t="s">
        <v>125</v>
      </c>
      <c r="F303" t="s">
        <v>132</v>
      </c>
      <c r="G303">
        <v>210</v>
      </c>
      <c r="H303" t="s">
        <v>2</v>
      </c>
      <c r="I303">
        <v>37214.75</v>
      </c>
      <c r="J303">
        <v>43154.120000000039</v>
      </c>
    </row>
    <row r="304" spans="1:10" x14ac:dyDescent="0.3">
      <c r="A304" t="s">
        <v>84</v>
      </c>
      <c r="B304" t="s">
        <v>79</v>
      </c>
      <c r="C304" t="s">
        <v>120</v>
      </c>
      <c r="D304" t="s">
        <v>119</v>
      </c>
      <c r="E304" t="s">
        <v>127</v>
      </c>
      <c r="F304" t="s">
        <v>131</v>
      </c>
      <c r="G304">
        <v>417</v>
      </c>
      <c r="H304" t="s">
        <v>54</v>
      </c>
      <c r="I304">
        <v>82820.589999999982</v>
      </c>
      <c r="J304">
        <v>61856.210000000028</v>
      </c>
    </row>
    <row r="305" spans="1:10" x14ac:dyDescent="0.3">
      <c r="A305" t="s">
        <v>84</v>
      </c>
      <c r="B305" t="s">
        <v>79</v>
      </c>
      <c r="C305" t="s">
        <v>119</v>
      </c>
      <c r="D305" t="s">
        <v>122</v>
      </c>
      <c r="E305" t="s">
        <v>127</v>
      </c>
      <c r="F305" t="s">
        <v>132</v>
      </c>
      <c r="G305">
        <v>416</v>
      </c>
      <c r="H305" t="s">
        <v>66</v>
      </c>
      <c r="I305">
        <v>8168.93</v>
      </c>
      <c r="J305">
        <v>16122.059999999998</v>
      </c>
    </row>
    <row r="306" spans="1:10" x14ac:dyDescent="0.3">
      <c r="A306" t="s">
        <v>84</v>
      </c>
      <c r="B306" t="s">
        <v>79</v>
      </c>
      <c r="C306" t="s">
        <v>119</v>
      </c>
      <c r="D306" t="s">
        <v>120</v>
      </c>
      <c r="E306" t="s">
        <v>124</v>
      </c>
      <c r="F306" t="s">
        <v>134</v>
      </c>
      <c r="G306">
        <v>308</v>
      </c>
      <c r="H306" t="s">
        <v>0</v>
      </c>
      <c r="I306">
        <v>21905.15</v>
      </c>
      <c r="J306">
        <v>30379.120000000006</v>
      </c>
    </row>
    <row r="307" spans="1:10" x14ac:dyDescent="0.3">
      <c r="A307" t="s">
        <v>84</v>
      </c>
      <c r="B307" t="s">
        <v>79</v>
      </c>
      <c r="C307" t="s">
        <v>119</v>
      </c>
      <c r="D307" t="s">
        <v>120</v>
      </c>
      <c r="E307" t="s">
        <v>127</v>
      </c>
      <c r="F307" t="s">
        <v>129</v>
      </c>
      <c r="G307">
        <v>402</v>
      </c>
      <c r="H307" t="s">
        <v>9</v>
      </c>
      <c r="I307">
        <v>21879.649999999998</v>
      </c>
      <c r="J307">
        <v>18454.550000000003</v>
      </c>
    </row>
    <row r="308" spans="1:10" x14ac:dyDescent="0.3">
      <c r="A308" t="s">
        <v>84</v>
      </c>
      <c r="B308" t="s">
        <v>79</v>
      </c>
      <c r="C308" t="s">
        <v>119</v>
      </c>
      <c r="D308" t="s">
        <v>120</v>
      </c>
      <c r="E308" t="s">
        <v>127</v>
      </c>
      <c r="F308" t="s">
        <v>129</v>
      </c>
      <c r="G308">
        <v>406</v>
      </c>
      <c r="H308" t="s">
        <v>57</v>
      </c>
      <c r="I308">
        <v>17410.680000000004</v>
      </c>
      <c r="J308">
        <v>15017.419999999995</v>
      </c>
    </row>
    <row r="309" spans="1:10" x14ac:dyDescent="0.3">
      <c r="A309" t="s">
        <v>84</v>
      </c>
      <c r="B309" t="s">
        <v>79</v>
      </c>
      <c r="C309" t="s">
        <v>119</v>
      </c>
      <c r="D309" t="s">
        <v>120</v>
      </c>
      <c r="E309" t="s">
        <v>127</v>
      </c>
      <c r="F309" t="s">
        <v>135</v>
      </c>
      <c r="G309">
        <v>414</v>
      </c>
      <c r="H309" t="s">
        <v>65</v>
      </c>
      <c r="I309">
        <v>254554.05999999997</v>
      </c>
      <c r="J309">
        <v>260690.5900000011</v>
      </c>
    </row>
    <row r="310" spans="1:10" x14ac:dyDescent="0.3">
      <c r="A310" t="s">
        <v>84</v>
      </c>
      <c r="B310" t="s">
        <v>79</v>
      </c>
      <c r="C310" t="s">
        <v>119</v>
      </c>
      <c r="D310" t="s">
        <v>119</v>
      </c>
      <c r="E310" t="s">
        <v>124</v>
      </c>
      <c r="F310" t="s">
        <v>131</v>
      </c>
      <c r="G310">
        <v>309</v>
      </c>
      <c r="H310" t="s">
        <v>52</v>
      </c>
      <c r="I310">
        <v>144289.37</v>
      </c>
      <c r="J310">
        <v>171080.75000000047</v>
      </c>
    </row>
    <row r="311" spans="1:10" x14ac:dyDescent="0.3">
      <c r="A311" t="s">
        <v>84</v>
      </c>
      <c r="B311" t="s">
        <v>79</v>
      </c>
      <c r="C311" t="s">
        <v>119</v>
      </c>
      <c r="D311" t="s">
        <v>119</v>
      </c>
      <c r="E311" t="s">
        <v>124</v>
      </c>
      <c r="F311" t="s">
        <v>130</v>
      </c>
      <c r="G311">
        <v>305</v>
      </c>
      <c r="H311" t="s">
        <v>6</v>
      </c>
      <c r="I311">
        <v>87829.619999999981</v>
      </c>
      <c r="J311">
        <v>116412.7500000001</v>
      </c>
    </row>
    <row r="312" spans="1:10" x14ac:dyDescent="0.3">
      <c r="A312" t="s">
        <v>84</v>
      </c>
      <c r="B312" t="s">
        <v>79</v>
      </c>
      <c r="C312" t="s">
        <v>119</v>
      </c>
      <c r="D312" t="s">
        <v>119</v>
      </c>
      <c r="E312" t="s">
        <v>124</v>
      </c>
      <c r="F312" t="s">
        <v>134</v>
      </c>
      <c r="G312">
        <v>302</v>
      </c>
      <c r="H312" t="s">
        <v>32</v>
      </c>
      <c r="I312">
        <v>47664.69</v>
      </c>
      <c r="J312">
        <v>60695.029999999984</v>
      </c>
    </row>
    <row r="313" spans="1:10" x14ac:dyDescent="0.3">
      <c r="A313" t="s">
        <v>84</v>
      </c>
      <c r="B313" t="s">
        <v>79</v>
      </c>
      <c r="C313" t="s">
        <v>119</v>
      </c>
      <c r="D313" t="s">
        <v>119</v>
      </c>
      <c r="E313" t="s">
        <v>124</v>
      </c>
      <c r="F313" t="s">
        <v>129</v>
      </c>
      <c r="G313">
        <v>301</v>
      </c>
      <c r="H313" t="s">
        <v>59</v>
      </c>
      <c r="I313">
        <v>27152.100000000002</v>
      </c>
      <c r="J313">
        <v>31270.959999999999</v>
      </c>
    </row>
    <row r="314" spans="1:10" x14ac:dyDescent="0.3">
      <c r="A314" t="s">
        <v>84</v>
      </c>
      <c r="B314" t="s">
        <v>79</v>
      </c>
      <c r="C314" t="s">
        <v>119</v>
      </c>
      <c r="D314" t="s">
        <v>119</v>
      </c>
      <c r="E314" t="s">
        <v>124</v>
      </c>
      <c r="F314" t="s">
        <v>129</v>
      </c>
      <c r="G314">
        <v>311</v>
      </c>
      <c r="H314" t="s">
        <v>13</v>
      </c>
      <c r="I314">
        <v>24551.379999999997</v>
      </c>
      <c r="J314">
        <v>34525.73000000001</v>
      </c>
    </row>
    <row r="315" spans="1:10" x14ac:dyDescent="0.3">
      <c r="A315" t="s">
        <v>84</v>
      </c>
      <c r="B315" t="s">
        <v>79</v>
      </c>
      <c r="C315" t="s">
        <v>119</v>
      </c>
      <c r="D315" t="s">
        <v>119</v>
      </c>
      <c r="E315" t="s">
        <v>125</v>
      </c>
      <c r="F315" t="s">
        <v>131</v>
      </c>
      <c r="G315">
        <v>211</v>
      </c>
      <c r="H315" t="s">
        <v>8</v>
      </c>
      <c r="I315">
        <v>163107.02000000002</v>
      </c>
      <c r="J315">
        <v>137834.11000000019</v>
      </c>
    </row>
    <row r="316" spans="1:10" x14ac:dyDescent="0.3">
      <c r="A316" t="s">
        <v>84</v>
      </c>
      <c r="B316" t="s">
        <v>79</v>
      </c>
      <c r="C316" t="s">
        <v>119</v>
      </c>
      <c r="D316" t="s">
        <v>119</v>
      </c>
      <c r="E316" t="s">
        <v>125</v>
      </c>
      <c r="F316" t="s">
        <v>130</v>
      </c>
      <c r="G316">
        <v>207</v>
      </c>
      <c r="H316" t="s">
        <v>53</v>
      </c>
      <c r="I316">
        <v>103298.99999999997</v>
      </c>
      <c r="J316">
        <v>99344.360000000102</v>
      </c>
    </row>
    <row r="317" spans="1:10" x14ac:dyDescent="0.3">
      <c r="A317" t="s">
        <v>84</v>
      </c>
      <c r="B317" t="s">
        <v>79</v>
      </c>
      <c r="C317" t="s">
        <v>119</v>
      </c>
      <c r="D317" t="s">
        <v>119</v>
      </c>
      <c r="E317" t="s">
        <v>125</v>
      </c>
      <c r="F317" t="s">
        <v>133</v>
      </c>
      <c r="G317">
        <v>203</v>
      </c>
      <c r="H317" t="s">
        <v>60</v>
      </c>
      <c r="I317">
        <v>40138.799999999996</v>
      </c>
      <c r="J317">
        <v>48344.239999999983</v>
      </c>
    </row>
    <row r="318" spans="1:10" x14ac:dyDescent="0.3">
      <c r="A318" t="s">
        <v>84</v>
      </c>
      <c r="B318" t="s">
        <v>79</v>
      </c>
      <c r="C318" t="s">
        <v>119</v>
      </c>
      <c r="D318" t="s">
        <v>119</v>
      </c>
      <c r="E318" t="s">
        <v>125</v>
      </c>
      <c r="F318" t="s">
        <v>133</v>
      </c>
      <c r="G318">
        <v>212</v>
      </c>
      <c r="H318" t="s">
        <v>62</v>
      </c>
      <c r="I318">
        <v>45870.659999999996</v>
      </c>
      <c r="J318">
        <v>55132.219999999979</v>
      </c>
    </row>
    <row r="319" spans="1:10" x14ac:dyDescent="0.3">
      <c r="A319" t="s">
        <v>84</v>
      </c>
      <c r="B319" t="s">
        <v>79</v>
      </c>
      <c r="C319" t="s">
        <v>119</v>
      </c>
      <c r="D319" t="s">
        <v>119</v>
      </c>
      <c r="E319" t="s">
        <v>125</v>
      </c>
      <c r="F319" t="s">
        <v>134</v>
      </c>
      <c r="G319">
        <v>190</v>
      </c>
      <c r="H319" t="s">
        <v>42</v>
      </c>
      <c r="I319">
        <v>61241.939999999988</v>
      </c>
      <c r="J319">
        <v>63097.08999999996</v>
      </c>
    </row>
    <row r="320" spans="1:10" x14ac:dyDescent="0.3">
      <c r="A320" t="s">
        <v>84</v>
      </c>
      <c r="B320" t="s">
        <v>79</v>
      </c>
      <c r="C320" t="s">
        <v>119</v>
      </c>
      <c r="D320" t="s">
        <v>119</v>
      </c>
      <c r="E320" t="s">
        <v>125</v>
      </c>
      <c r="F320" t="s">
        <v>134</v>
      </c>
      <c r="G320">
        <v>214</v>
      </c>
      <c r="H320" t="s">
        <v>17</v>
      </c>
      <c r="I320">
        <v>52199.68</v>
      </c>
      <c r="J320">
        <v>54310.919999999955</v>
      </c>
    </row>
    <row r="321" spans="1:10" x14ac:dyDescent="0.3">
      <c r="A321" t="s">
        <v>84</v>
      </c>
      <c r="B321" t="s">
        <v>79</v>
      </c>
      <c r="C321" t="s">
        <v>119</v>
      </c>
      <c r="D321" t="s">
        <v>119</v>
      </c>
      <c r="E321" t="s">
        <v>127</v>
      </c>
      <c r="F321" t="s">
        <v>130</v>
      </c>
      <c r="G321">
        <v>407</v>
      </c>
      <c r="H321" t="s">
        <v>34</v>
      </c>
      <c r="I321">
        <v>98629.65</v>
      </c>
      <c r="J321">
        <v>85688.610000000015</v>
      </c>
    </row>
    <row r="322" spans="1:10" x14ac:dyDescent="0.3">
      <c r="A322" t="s">
        <v>84</v>
      </c>
      <c r="B322" t="s">
        <v>79</v>
      </c>
      <c r="C322" t="s">
        <v>119</v>
      </c>
      <c r="D322" t="s">
        <v>119</v>
      </c>
      <c r="E322" t="s">
        <v>127</v>
      </c>
      <c r="F322" t="s">
        <v>130</v>
      </c>
      <c r="G322">
        <v>413</v>
      </c>
      <c r="H322" t="s">
        <v>14</v>
      </c>
      <c r="I322">
        <v>126459.80999999997</v>
      </c>
      <c r="J322">
        <v>127137.16000000012</v>
      </c>
    </row>
    <row r="323" spans="1:10" x14ac:dyDescent="0.3">
      <c r="A323" t="s">
        <v>84</v>
      </c>
      <c r="B323" t="s">
        <v>79</v>
      </c>
      <c r="C323" t="s">
        <v>119</v>
      </c>
      <c r="D323" t="s">
        <v>119</v>
      </c>
      <c r="E323" t="s">
        <v>127</v>
      </c>
      <c r="F323" t="s">
        <v>133</v>
      </c>
      <c r="G323">
        <v>412</v>
      </c>
      <c r="H323" t="s">
        <v>11</v>
      </c>
      <c r="I323">
        <v>54336.32999999998</v>
      </c>
      <c r="J323">
        <v>52432.58</v>
      </c>
    </row>
    <row r="324" spans="1:10" x14ac:dyDescent="0.3">
      <c r="A324" t="s">
        <v>84</v>
      </c>
      <c r="B324" t="s">
        <v>79</v>
      </c>
      <c r="C324" t="s">
        <v>119</v>
      </c>
      <c r="D324" t="s">
        <v>119</v>
      </c>
      <c r="E324" t="s">
        <v>127</v>
      </c>
      <c r="F324" t="s">
        <v>134</v>
      </c>
      <c r="G324">
        <v>403</v>
      </c>
      <c r="H324" t="s">
        <v>12</v>
      </c>
      <c r="I324">
        <v>58758.960000000006</v>
      </c>
      <c r="J324">
        <v>54861.140000000021</v>
      </c>
    </row>
    <row r="325" spans="1:10" x14ac:dyDescent="0.3">
      <c r="A325" t="s">
        <v>84</v>
      </c>
      <c r="B325" t="s">
        <v>79</v>
      </c>
      <c r="C325" t="s">
        <v>119</v>
      </c>
      <c r="D325" t="s">
        <v>119</v>
      </c>
      <c r="E325" t="s">
        <v>127</v>
      </c>
      <c r="F325" t="s">
        <v>129</v>
      </c>
      <c r="G325">
        <v>409</v>
      </c>
      <c r="H325" t="s">
        <v>58</v>
      </c>
      <c r="I325">
        <v>37059.110000000008</v>
      </c>
      <c r="J325">
        <v>30891.090000000011</v>
      </c>
    </row>
    <row r="326" spans="1:10" x14ac:dyDescent="0.3">
      <c r="A326" t="s">
        <v>84</v>
      </c>
      <c r="B326" t="s">
        <v>79</v>
      </c>
      <c r="C326" t="s">
        <v>119</v>
      </c>
      <c r="D326" t="s">
        <v>119</v>
      </c>
      <c r="E326" t="s">
        <v>127</v>
      </c>
      <c r="F326" t="s">
        <v>129</v>
      </c>
      <c r="G326">
        <v>410</v>
      </c>
      <c r="H326" t="s">
        <v>40</v>
      </c>
      <c r="I326">
        <v>20195.96</v>
      </c>
      <c r="J326">
        <v>26868.729999999992</v>
      </c>
    </row>
    <row r="327" spans="1:10" x14ac:dyDescent="0.3">
      <c r="A327" t="s">
        <v>84</v>
      </c>
      <c r="B327" t="s">
        <v>79</v>
      </c>
      <c r="C327" t="s">
        <v>119</v>
      </c>
      <c r="D327" t="s">
        <v>119</v>
      </c>
      <c r="E327" t="s">
        <v>126</v>
      </c>
      <c r="F327" t="s">
        <v>130</v>
      </c>
      <c r="G327">
        <v>101</v>
      </c>
      <c r="H327" t="s">
        <v>10</v>
      </c>
      <c r="I327">
        <v>109594.16999999998</v>
      </c>
      <c r="J327">
        <v>122843.78000000032</v>
      </c>
    </row>
    <row r="328" spans="1:10" x14ac:dyDescent="0.3">
      <c r="A328" t="s">
        <v>84</v>
      </c>
      <c r="B328" t="s">
        <v>79</v>
      </c>
      <c r="C328" t="s">
        <v>119</v>
      </c>
      <c r="D328" t="s">
        <v>119</v>
      </c>
      <c r="E328" t="s">
        <v>126</v>
      </c>
      <c r="F328" t="s">
        <v>130</v>
      </c>
      <c r="G328">
        <v>150</v>
      </c>
      <c r="H328" t="s">
        <v>3</v>
      </c>
      <c r="I328">
        <v>98080.419999999969</v>
      </c>
      <c r="J328">
        <v>109280.97000000016</v>
      </c>
    </row>
    <row r="329" spans="1:10" x14ac:dyDescent="0.3">
      <c r="A329" t="s">
        <v>84</v>
      </c>
      <c r="B329" t="s">
        <v>79</v>
      </c>
      <c r="C329" t="s">
        <v>119</v>
      </c>
      <c r="D329" t="s">
        <v>119</v>
      </c>
      <c r="E329" t="s">
        <v>126</v>
      </c>
      <c r="F329" t="s">
        <v>134</v>
      </c>
      <c r="G329">
        <v>170</v>
      </c>
      <c r="H329" t="s">
        <v>56</v>
      </c>
      <c r="I329">
        <v>53737.510000000009</v>
      </c>
      <c r="J329">
        <v>64396.210000000028</v>
      </c>
    </row>
    <row r="330" spans="1:10" x14ac:dyDescent="0.3">
      <c r="A330" t="s">
        <v>84</v>
      </c>
      <c r="B330" t="s">
        <v>79</v>
      </c>
      <c r="C330" t="s">
        <v>119</v>
      </c>
      <c r="D330" t="s">
        <v>119</v>
      </c>
      <c r="E330" t="s">
        <v>126</v>
      </c>
      <c r="F330" t="s">
        <v>132</v>
      </c>
      <c r="G330">
        <v>131</v>
      </c>
      <c r="H330" t="s">
        <v>67</v>
      </c>
      <c r="I330">
        <v>34420.980000000003</v>
      </c>
      <c r="J330">
        <v>38848.200000000026</v>
      </c>
    </row>
    <row r="331" spans="1:10" x14ac:dyDescent="0.3">
      <c r="A331" t="s">
        <v>84</v>
      </c>
      <c r="B331" t="s">
        <v>79</v>
      </c>
      <c r="C331" t="s">
        <v>119</v>
      </c>
      <c r="D331" t="s">
        <v>119</v>
      </c>
      <c r="E331" t="s">
        <v>126</v>
      </c>
      <c r="F331" t="s">
        <v>132</v>
      </c>
      <c r="G331">
        <v>151</v>
      </c>
      <c r="H331" t="s">
        <v>20</v>
      </c>
      <c r="I331">
        <v>29465.370000000003</v>
      </c>
      <c r="J331">
        <v>32201.939999999973</v>
      </c>
    </row>
    <row r="332" spans="1:10" x14ac:dyDescent="0.3">
      <c r="A332" t="s">
        <v>84</v>
      </c>
      <c r="B332" t="s">
        <v>92</v>
      </c>
      <c r="C332" t="s">
        <v>121</v>
      </c>
      <c r="D332" t="s">
        <v>121</v>
      </c>
      <c r="E332" t="s">
        <v>127</v>
      </c>
      <c r="F332" t="s">
        <v>136</v>
      </c>
      <c r="G332">
        <v>418</v>
      </c>
      <c r="H332" t="s">
        <v>44</v>
      </c>
      <c r="I332">
        <v>0</v>
      </c>
      <c r="J332">
        <v>104451.31000000019</v>
      </c>
    </row>
    <row r="333" spans="1:10" x14ac:dyDescent="0.3">
      <c r="A333" t="s">
        <v>84</v>
      </c>
      <c r="B333" t="s">
        <v>92</v>
      </c>
      <c r="C333" t="s">
        <v>119</v>
      </c>
      <c r="D333" t="s">
        <v>122</v>
      </c>
      <c r="E333" t="s">
        <v>124</v>
      </c>
      <c r="F333" t="s">
        <v>136</v>
      </c>
      <c r="G333">
        <v>307</v>
      </c>
      <c r="H333" t="s">
        <v>19</v>
      </c>
      <c r="I333">
        <v>47556.179999999993</v>
      </c>
      <c r="J333">
        <v>71366.879999999961</v>
      </c>
    </row>
    <row r="334" spans="1:10" x14ac:dyDescent="0.3">
      <c r="A334" t="s">
        <v>84</v>
      </c>
      <c r="B334" t="s">
        <v>92</v>
      </c>
      <c r="C334" t="s">
        <v>119</v>
      </c>
      <c r="D334" t="s">
        <v>122</v>
      </c>
      <c r="E334" t="s">
        <v>127</v>
      </c>
      <c r="F334" t="s">
        <v>136</v>
      </c>
      <c r="G334">
        <v>411</v>
      </c>
      <c r="H334" t="s">
        <v>43</v>
      </c>
      <c r="I334">
        <v>110822.20999999999</v>
      </c>
      <c r="J334">
        <v>97509.800000000105</v>
      </c>
    </row>
    <row r="335" spans="1:10" x14ac:dyDescent="0.3">
      <c r="A335" t="s">
        <v>84</v>
      </c>
      <c r="B335" t="s">
        <v>92</v>
      </c>
      <c r="C335" t="s">
        <v>119</v>
      </c>
      <c r="D335" t="s">
        <v>120</v>
      </c>
      <c r="E335" t="s">
        <v>125</v>
      </c>
      <c r="F335" t="s">
        <v>136</v>
      </c>
      <c r="G335">
        <v>213</v>
      </c>
      <c r="H335" t="s">
        <v>49</v>
      </c>
      <c r="I335">
        <v>63665.86</v>
      </c>
      <c r="J335">
        <v>78298.480000000069</v>
      </c>
    </row>
    <row r="336" spans="1:10" x14ac:dyDescent="0.3">
      <c r="A336" t="s">
        <v>84</v>
      </c>
      <c r="B336" t="s">
        <v>92</v>
      </c>
      <c r="C336" t="s">
        <v>119</v>
      </c>
      <c r="D336" t="s">
        <v>120</v>
      </c>
      <c r="E336" t="s">
        <v>127</v>
      </c>
      <c r="F336" t="s">
        <v>136</v>
      </c>
      <c r="G336">
        <v>415</v>
      </c>
      <c r="H336" t="s">
        <v>47</v>
      </c>
      <c r="I336">
        <v>66626.299999999988</v>
      </c>
      <c r="J336">
        <v>79217.610000000073</v>
      </c>
    </row>
    <row r="337" spans="1:10" x14ac:dyDescent="0.3">
      <c r="A337" t="s">
        <v>84</v>
      </c>
      <c r="B337" t="s">
        <v>92</v>
      </c>
      <c r="C337" t="s">
        <v>119</v>
      </c>
      <c r="D337" t="s">
        <v>119</v>
      </c>
      <c r="E337" t="s">
        <v>124</v>
      </c>
      <c r="F337" t="s">
        <v>136</v>
      </c>
      <c r="G337">
        <v>306</v>
      </c>
      <c r="H337" t="s">
        <v>51</v>
      </c>
      <c r="I337">
        <v>57380.60000000002</v>
      </c>
      <c r="J337">
        <v>86442.900000000052</v>
      </c>
    </row>
    <row r="338" spans="1:10" x14ac:dyDescent="0.3">
      <c r="A338" t="s">
        <v>84</v>
      </c>
      <c r="B338" t="s">
        <v>92</v>
      </c>
      <c r="C338" t="s">
        <v>119</v>
      </c>
      <c r="D338" t="s">
        <v>119</v>
      </c>
      <c r="E338" t="s">
        <v>125</v>
      </c>
      <c r="F338" t="s">
        <v>136</v>
      </c>
      <c r="G338">
        <v>201</v>
      </c>
      <c r="H338" t="s">
        <v>45</v>
      </c>
      <c r="I338">
        <v>40705.780000000006</v>
      </c>
      <c r="J338">
        <v>52226.45</v>
      </c>
    </row>
    <row r="339" spans="1:10" x14ac:dyDescent="0.3">
      <c r="A339" t="s">
        <v>84</v>
      </c>
      <c r="B339" t="s">
        <v>92</v>
      </c>
      <c r="C339" t="s">
        <v>119</v>
      </c>
      <c r="D339" t="s">
        <v>119</v>
      </c>
      <c r="E339" t="s">
        <v>125</v>
      </c>
      <c r="F339" t="s">
        <v>136</v>
      </c>
      <c r="G339">
        <v>204</v>
      </c>
      <c r="H339" t="s">
        <v>46</v>
      </c>
      <c r="I339">
        <v>57634.729999999996</v>
      </c>
      <c r="J339">
        <v>56840.879999999932</v>
      </c>
    </row>
    <row r="340" spans="1:10" x14ac:dyDescent="0.3">
      <c r="A340" t="s">
        <v>84</v>
      </c>
      <c r="B340" t="s">
        <v>92</v>
      </c>
      <c r="C340" t="s">
        <v>119</v>
      </c>
      <c r="D340" t="s">
        <v>119</v>
      </c>
      <c r="E340" t="s">
        <v>126</v>
      </c>
      <c r="F340" t="s">
        <v>136</v>
      </c>
      <c r="G340">
        <v>102</v>
      </c>
      <c r="H340" t="s">
        <v>50</v>
      </c>
      <c r="I340">
        <v>74036.83</v>
      </c>
      <c r="J340">
        <v>82777.419999999955</v>
      </c>
    </row>
    <row r="341" spans="1:10" x14ac:dyDescent="0.3">
      <c r="A341" t="s">
        <v>84</v>
      </c>
      <c r="B341" t="s">
        <v>93</v>
      </c>
      <c r="C341" t="s">
        <v>122</v>
      </c>
      <c r="D341" t="s">
        <v>122</v>
      </c>
      <c r="E341" t="s">
        <v>93</v>
      </c>
      <c r="F341" t="s">
        <v>93</v>
      </c>
      <c r="G341">
        <v>901</v>
      </c>
      <c r="H341" s="33" t="s">
        <v>38</v>
      </c>
      <c r="I341" s="33">
        <v>0</v>
      </c>
      <c r="J341" s="33">
        <v>0</v>
      </c>
    </row>
    <row r="342" spans="1:10" x14ac:dyDescent="0.3">
      <c r="A342" t="s">
        <v>84</v>
      </c>
      <c r="B342" t="s">
        <v>93</v>
      </c>
      <c r="C342" t="s">
        <v>122</v>
      </c>
      <c r="D342" t="s">
        <v>122</v>
      </c>
      <c r="E342" t="s">
        <v>93</v>
      </c>
      <c r="F342" t="s">
        <v>93</v>
      </c>
      <c r="G342">
        <v>902</v>
      </c>
      <c r="H342" s="33" t="s">
        <v>39</v>
      </c>
      <c r="I342" s="33">
        <v>0</v>
      </c>
      <c r="J342" s="33">
        <v>0</v>
      </c>
    </row>
    <row r="343" spans="1:10" x14ac:dyDescent="0.3">
      <c r="A343" t="s">
        <v>84</v>
      </c>
      <c r="B343" t="s">
        <v>93</v>
      </c>
      <c r="C343" t="s">
        <v>119</v>
      </c>
      <c r="D343" t="s">
        <v>119</v>
      </c>
      <c r="E343" t="s">
        <v>93</v>
      </c>
      <c r="F343" t="s">
        <v>93</v>
      </c>
      <c r="G343">
        <v>903</v>
      </c>
      <c r="H343" t="s">
        <v>37</v>
      </c>
      <c r="I343">
        <v>64247.59</v>
      </c>
      <c r="J343">
        <v>78710.440000000061</v>
      </c>
    </row>
    <row r="344" spans="1:10" x14ac:dyDescent="0.3">
      <c r="A344" t="s">
        <v>84</v>
      </c>
      <c r="B344" t="s">
        <v>94</v>
      </c>
      <c r="C344" t="s">
        <v>121</v>
      </c>
      <c r="D344" t="s">
        <v>121</v>
      </c>
      <c r="E344" t="s">
        <v>124</v>
      </c>
      <c r="F344" t="s">
        <v>137</v>
      </c>
      <c r="G344" t="s">
        <v>112</v>
      </c>
      <c r="H344" t="s">
        <v>21</v>
      </c>
      <c r="I344">
        <v>0</v>
      </c>
      <c r="J344">
        <v>0</v>
      </c>
    </row>
    <row r="345" spans="1:10" x14ac:dyDescent="0.3">
      <c r="A345" t="s">
        <v>84</v>
      </c>
      <c r="B345" t="s">
        <v>94</v>
      </c>
      <c r="C345" t="s">
        <v>121</v>
      </c>
      <c r="D345" t="s">
        <v>121</v>
      </c>
      <c r="E345" t="s">
        <v>125</v>
      </c>
      <c r="F345" t="s">
        <v>138</v>
      </c>
      <c r="G345">
        <v>470</v>
      </c>
      <c r="H345" t="s">
        <v>26</v>
      </c>
      <c r="I345">
        <v>0</v>
      </c>
      <c r="J345">
        <v>0</v>
      </c>
    </row>
    <row r="346" spans="1:10" x14ac:dyDescent="0.3">
      <c r="A346" t="s">
        <v>84</v>
      </c>
      <c r="B346" t="s">
        <v>94</v>
      </c>
      <c r="C346" t="s">
        <v>121</v>
      </c>
      <c r="D346" t="s">
        <v>121</v>
      </c>
      <c r="E346" t="s">
        <v>125</v>
      </c>
      <c r="F346" t="s">
        <v>137</v>
      </c>
      <c r="G346" t="s">
        <v>114</v>
      </c>
      <c r="H346" t="s">
        <v>23</v>
      </c>
      <c r="I346">
        <v>0</v>
      </c>
      <c r="J346">
        <v>0</v>
      </c>
    </row>
    <row r="347" spans="1:10" x14ac:dyDescent="0.3">
      <c r="A347" t="s">
        <v>84</v>
      </c>
      <c r="B347" t="s">
        <v>94</v>
      </c>
      <c r="C347" t="s">
        <v>121</v>
      </c>
      <c r="D347" t="s">
        <v>121</v>
      </c>
      <c r="E347" t="s">
        <v>125</v>
      </c>
      <c r="F347" t="s">
        <v>137</v>
      </c>
      <c r="G347" t="s">
        <v>113</v>
      </c>
      <c r="H347" t="s">
        <v>22</v>
      </c>
      <c r="I347">
        <v>0</v>
      </c>
      <c r="J347">
        <v>0</v>
      </c>
    </row>
    <row r="348" spans="1:10" x14ac:dyDescent="0.3">
      <c r="A348" t="s">
        <v>84</v>
      </c>
      <c r="B348" t="s">
        <v>94</v>
      </c>
      <c r="C348" t="s">
        <v>121</v>
      </c>
      <c r="D348" t="s">
        <v>121</v>
      </c>
      <c r="E348" t="s">
        <v>127</v>
      </c>
      <c r="F348" t="s">
        <v>137</v>
      </c>
      <c r="G348">
        <v>494</v>
      </c>
      <c r="H348" t="s">
        <v>25</v>
      </c>
      <c r="I348">
        <v>0</v>
      </c>
      <c r="J348">
        <v>0</v>
      </c>
    </row>
    <row r="349" spans="1:10" x14ac:dyDescent="0.3">
      <c r="A349" t="s">
        <v>84</v>
      </c>
      <c r="B349" t="s">
        <v>94</v>
      </c>
      <c r="C349" t="s">
        <v>121</v>
      </c>
      <c r="D349" t="s">
        <v>121</v>
      </c>
      <c r="E349" t="s">
        <v>126</v>
      </c>
      <c r="F349" t="s">
        <v>137</v>
      </c>
      <c r="G349">
        <v>460</v>
      </c>
      <c r="H349" t="s">
        <v>30</v>
      </c>
      <c r="I349">
        <v>0</v>
      </c>
      <c r="J349">
        <v>0</v>
      </c>
    </row>
    <row r="350" spans="1:10" x14ac:dyDescent="0.3">
      <c r="A350" t="s">
        <v>84</v>
      </c>
      <c r="B350" t="s">
        <v>94</v>
      </c>
      <c r="C350" t="s">
        <v>121</v>
      </c>
      <c r="D350" t="s">
        <v>121</v>
      </c>
      <c r="E350" t="s">
        <v>126</v>
      </c>
      <c r="F350" t="s">
        <v>137</v>
      </c>
      <c r="G350">
        <v>461</v>
      </c>
      <c r="H350" t="s">
        <v>29</v>
      </c>
      <c r="I350">
        <v>0</v>
      </c>
      <c r="J350">
        <v>0</v>
      </c>
    </row>
    <row r="351" spans="1:10" x14ac:dyDescent="0.3">
      <c r="A351" t="s">
        <v>84</v>
      </c>
      <c r="B351" t="s">
        <v>94</v>
      </c>
      <c r="C351" t="s">
        <v>121</v>
      </c>
      <c r="D351" t="s">
        <v>119</v>
      </c>
      <c r="E351" t="s">
        <v>124</v>
      </c>
      <c r="F351" t="s">
        <v>138</v>
      </c>
      <c r="G351">
        <v>480</v>
      </c>
      <c r="H351" t="s">
        <v>28</v>
      </c>
      <c r="I351">
        <v>0</v>
      </c>
      <c r="J351">
        <v>31428.320000000029</v>
      </c>
    </row>
    <row r="352" spans="1:10" x14ac:dyDescent="0.3">
      <c r="A352" t="s">
        <v>84</v>
      </c>
      <c r="B352" t="s">
        <v>94</v>
      </c>
      <c r="C352" t="s">
        <v>121</v>
      </c>
      <c r="D352" t="s">
        <v>119</v>
      </c>
      <c r="E352" t="s">
        <v>127</v>
      </c>
      <c r="F352" t="s">
        <v>138</v>
      </c>
      <c r="G352">
        <v>491</v>
      </c>
      <c r="H352" t="s">
        <v>31</v>
      </c>
      <c r="I352">
        <v>0</v>
      </c>
      <c r="J352">
        <v>74555.200000000026</v>
      </c>
    </row>
    <row r="353" spans="1:10" x14ac:dyDescent="0.3">
      <c r="A353" t="s">
        <v>84</v>
      </c>
      <c r="B353" t="s">
        <v>94</v>
      </c>
      <c r="C353" t="s">
        <v>121</v>
      </c>
      <c r="D353" t="s">
        <v>119</v>
      </c>
      <c r="E353" t="s">
        <v>127</v>
      </c>
      <c r="F353" t="s">
        <v>138</v>
      </c>
      <c r="G353">
        <v>492</v>
      </c>
      <c r="H353" t="s">
        <v>27</v>
      </c>
      <c r="I353">
        <v>0</v>
      </c>
      <c r="J353">
        <v>40655.430000000037</v>
      </c>
    </row>
    <row r="354" spans="1:10" x14ac:dyDescent="0.3">
      <c r="A354" t="s">
        <v>84</v>
      </c>
      <c r="B354" t="s">
        <v>94</v>
      </c>
      <c r="C354" t="s">
        <v>121</v>
      </c>
      <c r="D354" t="s">
        <v>119</v>
      </c>
      <c r="E354" t="s">
        <v>127</v>
      </c>
      <c r="F354" t="s">
        <v>138</v>
      </c>
      <c r="G354">
        <v>493</v>
      </c>
      <c r="H354" t="s">
        <v>24</v>
      </c>
      <c r="I354">
        <v>0</v>
      </c>
      <c r="J354">
        <v>32906.979999999989</v>
      </c>
    </row>
    <row r="355" spans="1:10" x14ac:dyDescent="0.3">
      <c r="A355" t="s">
        <v>84</v>
      </c>
      <c r="B355" t="s">
        <v>95</v>
      </c>
      <c r="C355" t="s">
        <v>121</v>
      </c>
      <c r="D355" t="s">
        <v>121</v>
      </c>
      <c r="E355" t="s">
        <v>126</v>
      </c>
      <c r="F355" t="s">
        <v>139</v>
      </c>
      <c r="G355">
        <v>510</v>
      </c>
      <c r="H355" t="s">
        <v>76</v>
      </c>
      <c r="I355">
        <v>0</v>
      </c>
      <c r="J355">
        <v>0</v>
      </c>
    </row>
    <row r="356" spans="1:10" x14ac:dyDescent="0.3">
      <c r="A356" t="s">
        <v>84</v>
      </c>
      <c r="B356" t="s">
        <v>95</v>
      </c>
      <c r="C356" t="s">
        <v>121</v>
      </c>
      <c r="D356" t="s">
        <v>119</v>
      </c>
      <c r="E356" t="s">
        <v>127</v>
      </c>
      <c r="F356" t="s">
        <v>140</v>
      </c>
      <c r="G356">
        <v>541</v>
      </c>
      <c r="H356" t="s">
        <v>74</v>
      </c>
      <c r="I356">
        <v>0</v>
      </c>
      <c r="J356">
        <v>40908.76999999996</v>
      </c>
    </row>
    <row r="357" spans="1:10" x14ac:dyDescent="0.3">
      <c r="A357" t="s">
        <v>84</v>
      </c>
      <c r="B357" t="s">
        <v>95</v>
      </c>
      <c r="C357" t="s">
        <v>121</v>
      </c>
      <c r="D357" t="s">
        <v>119</v>
      </c>
      <c r="E357" t="s">
        <v>127</v>
      </c>
      <c r="F357" t="s">
        <v>140</v>
      </c>
      <c r="G357">
        <v>543</v>
      </c>
      <c r="H357" t="s">
        <v>72</v>
      </c>
      <c r="I357">
        <v>25871.489999999998</v>
      </c>
      <c r="J357">
        <v>31238.319999999974</v>
      </c>
    </row>
    <row r="358" spans="1:10" x14ac:dyDescent="0.3">
      <c r="A358" t="s">
        <v>84</v>
      </c>
      <c r="B358" t="s">
        <v>95</v>
      </c>
      <c r="C358" t="s">
        <v>120</v>
      </c>
      <c r="D358" t="s">
        <v>119</v>
      </c>
      <c r="E358" t="s">
        <v>127</v>
      </c>
      <c r="F358" t="s">
        <v>140</v>
      </c>
      <c r="G358">
        <v>540</v>
      </c>
      <c r="H358" t="s">
        <v>73</v>
      </c>
      <c r="I358">
        <v>49919.499999999985</v>
      </c>
      <c r="J358">
        <v>105756.96000000004</v>
      </c>
    </row>
    <row r="359" spans="1:10" x14ac:dyDescent="0.3">
      <c r="A359" t="s">
        <v>84</v>
      </c>
      <c r="B359" t="s">
        <v>95</v>
      </c>
      <c r="C359" t="s">
        <v>119</v>
      </c>
      <c r="D359" t="s">
        <v>120</v>
      </c>
      <c r="E359" t="s">
        <v>124</v>
      </c>
      <c r="F359" t="s">
        <v>139</v>
      </c>
      <c r="G359">
        <v>530</v>
      </c>
      <c r="H359" t="s">
        <v>68</v>
      </c>
      <c r="I359">
        <v>18393.12</v>
      </c>
      <c r="J359">
        <v>24921.149999999994</v>
      </c>
    </row>
    <row r="360" spans="1:10" x14ac:dyDescent="0.3">
      <c r="A360" t="s">
        <v>84</v>
      </c>
      <c r="B360" t="s">
        <v>95</v>
      </c>
      <c r="C360" t="s">
        <v>119</v>
      </c>
      <c r="D360" t="s">
        <v>119</v>
      </c>
      <c r="E360" t="s">
        <v>125</v>
      </c>
      <c r="F360" t="s">
        <v>140</v>
      </c>
      <c r="G360">
        <v>520</v>
      </c>
      <c r="H360" t="s">
        <v>70</v>
      </c>
      <c r="I360">
        <v>45648.149999999994</v>
      </c>
      <c r="J360">
        <v>56250.359999999971</v>
      </c>
    </row>
    <row r="361" spans="1:10" x14ac:dyDescent="0.3">
      <c r="A361" t="s">
        <v>84</v>
      </c>
      <c r="B361" t="s">
        <v>95</v>
      </c>
      <c r="C361" t="s">
        <v>119</v>
      </c>
      <c r="D361" t="s">
        <v>119</v>
      </c>
      <c r="E361" t="s">
        <v>127</v>
      </c>
      <c r="F361" t="s">
        <v>139</v>
      </c>
      <c r="G361">
        <v>542</v>
      </c>
      <c r="H361" t="s">
        <v>69</v>
      </c>
      <c r="I361">
        <v>26904.639999999999</v>
      </c>
      <c r="J361">
        <v>18908.91</v>
      </c>
    </row>
    <row r="362" spans="1:10" x14ac:dyDescent="0.3">
      <c r="A362" t="s">
        <v>85</v>
      </c>
      <c r="B362" t="s">
        <v>79</v>
      </c>
      <c r="C362" t="s">
        <v>122</v>
      </c>
      <c r="D362" t="s">
        <v>122</v>
      </c>
      <c r="E362" t="s">
        <v>124</v>
      </c>
      <c r="F362" t="s">
        <v>129</v>
      </c>
      <c r="G362">
        <v>303</v>
      </c>
      <c r="H362" t="s">
        <v>1</v>
      </c>
      <c r="I362">
        <v>0</v>
      </c>
      <c r="J362">
        <v>0</v>
      </c>
    </row>
    <row r="363" spans="1:10" x14ac:dyDescent="0.3">
      <c r="A363" t="s">
        <v>85</v>
      </c>
      <c r="B363" t="s">
        <v>79</v>
      </c>
      <c r="C363" t="s">
        <v>122</v>
      </c>
      <c r="D363" t="s">
        <v>122</v>
      </c>
      <c r="E363" t="s">
        <v>125</v>
      </c>
      <c r="F363" t="s">
        <v>129</v>
      </c>
      <c r="G363">
        <v>205</v>
      </c>
      <c r="H363" t="s">
        <v>7</v>
      </c>
      <c r="I363">
        <v>0</v>
      </c>
      <c r="J363">
        <v>0</v>
      </c>
    </row>
    <row r="364" spans="1:10" x14ac:dyDescent="0.3">
      <c r="A364" t="s">
        <v>85</v>
      </c>
      <c r="B364" t="s">
        <v>79</v>
      </c>
      <c r="C364" t="s">
        <v>122</v>
      </c>
      <c r="D364" t="s">
        <v>122</v>
      </c>
      <c r="E364" t="s">
        <v>127</v>
      </c>
      <c r="F364" t="s">
        <v>129</v>
      </c>
      <c r="G364">
        <v>401</v>
      </c>
      <c r="H364" t="s">
        <v>5</v>
      </c>
      <c r="I364">
        <v>0</v>
      </c>
      <c r="J364">
        <v>0</v>
      </c>
    </row>
    <row r="365" spans="1:10" x14ac:dyDescent="0.3">
      <c r="A365" t="s">
        <v>85</v>
      </c>
      <c r="B365" t="s">
        <v>79</v>
      </c>
      <c r="C365" t="s">
        <v>122</v>
      </c>
      <c r="D365" t="s">
        <v>122</v>
      </c>
      <c r="E365" t="s">
        <v>127</v>
      </c>
      <c r="F365" t="s">
        <v>122</v>
      </c>
      <c r="G365">
        <v>408</v>
      </c>
      <c r="H365" t="s">
        <v>33</v>
      </c>
      <c r="I365">
        <v>0</v>
      </c>
      <c r="J365">
        <v>0</v>
      </c>
    </row>
    <row r="366" spans="1:10" x14ac:dyDescent="0.3">
      <c r="A366" t="s">
        <v>85</v>
      </c>
      <c r="B366" t="s">
        <v>79</v>
      </c>
      <c r="C366" t="s">
        <v>122</v>
      </c>
      <c r="D366" t="s">
        <v>122</v>
      </c>
      <c r="E366" t="s">
        <v>126</v>
      </c>
      <c r="F366" t="s">
        <v>122</v>
      </c>
      <c r="G366">
        <v>130</v>
      </c>
      <c r="H366" s="33" t="s">
        <v>55</v>
      </c>
      <c r="I366" s="33">
        <v>0</v>
      </c>
      <c r="J366" s="33">
        <v>0</v>
      </c>
    </row>
    <row r="367" spans="1:10" x14ac:dyDescent="0.3">
      <c r="A367" t="s">
        <v>85</v>
      </c>
      <c r="B367" t="s">
        <v>79</v>
      </c>
      <c r="C367" t="s">
        <v>121</v>
      </c>
      <c r="D367" t="s">
        <v>121</v>
      </c>
      <c r="E367" t="s">
        <v>125</v>
      </c>
      <c r="F367" t="s">
        <v>129</v>
      </c>
      <c r="G367" t="s">
        <v>110</v>
      </c>
      <c r="H367" t="s">
        <v>64</v>
      </c>
      <c r="I367">
        <v>0</v>
      </c>
      <c r="J367">
        <v>0</v>
      </c>
    </row>
    <row r="368" spans="1:10" x14ac:dyDescent="0.3">
      <c r="A368" t="s">
        <v>85</v>
      </c>
      <c r="B368" t="s">
        <v>79</v>
      </c>
      <c r="C368" t="s">
        <v>121</v>
      </c>
      <c r="D368" t="s">
        <v>121</v>
      </c>
      <c r="E368" t="s">
        <v>127</v>
      </c>
      <c r="F368" t="s">
        <v>129</v>
      </c>
      <c r="G368" t="s">
        <v>109</v>
      </c>
      <c r="H368" s="33" t="s">
        <v>41</v>
      </c>
      <c r="I368" s="33">
        <v>0</v>
      </c>
      <c r="J368" s="33">
        <v>0</v>
      </c>
    </row>
    <row r="369" spans="1:10" x14ac:dyDescent="0.3">
      <c r="A369" t="s">
        <v>85</v>
      </c>
      <c r="B369" t="s">
        <v>79</v>
      </c>
      <c r="C369" t="s">
        <v>120</v>
      </c>
      <c r="D369" t="s">
        <v>120</v>
      </c>
      <c r="E369" t="s">
        <v>124</v>
      </c>
      <c r="F369" t="s">
        <v>129</v>
      </c>
      <c r="G369">
        <v>304</v>
      </c>
      <c r="H369" t="s">
        <v>61</v>
      </c>
      <c r="I369">
        <v>31444.599999999991</v>
      </c>
      <c r="J369">
        <v>162.36000000000001</v>
      </c>
    </row>
    <row r="370" spans="1:10" x14ac:dyDescent="0.3">
      <c r="A370" t="s">
        <v>85</v>
      </c>
      <c r="B370" t="s">
        <v>79</v>
      </c>
      <c r="C370" t="s">
        <v>120</v>
      </c>
      <c r="D370" t="s">
        <v>120</v>
      </c>
      <c r="E370" t="s">
        <v>125</v>
      </c>
      <c r="F370" t="s">
        <v>133</v>
      </c>
      <c r="G370">
        <v>208</v>
      </c>
      <c r="H370" t="s">
        <v>36</v>
      </c>
      <c r="I370">
        <v>32414.529999999995</v>
      </c>
      <c r="J370">
        <v>31787.590000000011</v>
      </c>
    </row>
    <row r="371" spans="1:10" x14ac:dyDescent="0.3">
      <c r="A371" t="s">
        <v>85</v>
      </c>
      <c r="B371" t="s">
        <v>79</v>
      </c>
      <c r="C371" t="s">
        <v>120</v>
      </c>
      <c r="D371" t="s">
        <v>120</v>
      </c>
      <c r="E371" t="s">
        <v>125</v>
      </c>
      <c r="F371" t="s">
        <v>133</v>
      </c>
      <c r="G371">
        <v>209</v>
      </c>
      <c r="H371" t="s">
        <v>35</v>
      </c>
      <c r="I371">
        <v>13271.670000000002</v>
      </c>
      <c r="J371">
        <v>21020.749999999989</v>
      </c>
    </row>
    <row r="372" spans="1:10" x14ac:dyDescent="0.3">
      <c r="A372" t="s">
        <v>85</v>
      </c>
      <c r="B372" t="s">
        <v>79</v>
      </c>
      <c r="C372" t="s">
        <v>120</v>
      </c>
      <c r="D372" t="s">
        <v>120</v>
      </c>
      <c r="E372" t="s">
        <v>125</v>
      </c>
      <c r="F372" t="s">
        <v>129</v>
      </c>
      <c r="G372">
        <v>202</v>
      </c>
      <c r="H372" t="s">
        <v>4</v>
      </c>
      <c r="I372">
        <v>57355.62</v>
      </c>
      <c r="J372">
        <v>46898.069999999949</v>
      </c>
    </row>
    <row r="373" spans="1:10" x14ac:dyDescent="0.3">
      <c r="A373" t="s">
        <v>85</v>
      </c>
      <c r="B373" t="s">
        <v>79</v>
      </c>
      <c r="C373" t="s">
        <v>120</v>
      </c>
      <c r="D373" t="s">
        <v>120</v>
      </c>
      <c r="E373" t="s">
        <v>127</v>
      </c>
      <c r="F373" t="s">
        <v>133</v>
      </c>
      <c r="G373">
        <v>404</v>
      </c>
      <c r="H373" t="s">
        <v>15</v>
      </c>
      <c r="I373">
        <v>27114.92</v>
      </c>
      <c r="J373">
        <v>0</v>
      </c>
    </row>
    <row r="374" spans="1:10" x14ac:dyDescent="0.3">
      <c r="A374" t="s">
        <v>85</v>
      </c>
      <c r="B374" t="s">
        <v>79</v>
      </c>
      <c r="C374" t="s">
        <v>120</v>
      </c>
      <c r="D374" t="s">
        <v>119</v>
      </c>
      <c r="E374" t="s">
        <v>124</v>
      </c>
      <c r="F374" t="s">
        <v>134</v>
      </c>
      <c r="G374">
        <v>310</v>
      </c>
      <c r="H374" t="s">
        <v>63</v>
      </c>
      <c r="I374">
        <v>6045.77</v>
      </c>
      <c r="J374">
        <v>15849.76</v>
      </c>
    </row>
    <row r="375" spans="1:10" x14ac:dyDescent="0.3">
      <c r="A375" t="s">
        <v>85</v>
      </c>
      <c r="B375" t="s">
        <v>79</v>
      </c>
      <c r="C375" t="s">
        <v>120</v>
      </c>
      <c r="D375" t="s">
        <v>119</v>
      </c>
      <c r="E375" t="s">
        <v>125</v>
      </c>
      <c r="F375" t="s">
        <v>134</v>
      </c>
      <c r="G375">
        <v>206</v>
      </c>
      <c r="H375" t="s">
        <v>18</v>
      </c>
      <c r="I375">
        <v>14995.43</v>
      </c>
      <c r="J375">
        <v>49478.670000000027</v>
      </c>
    </row>
    <row r="376" spans="1:10" x14ac:dyDescent="0.3">
      <c r="A376" t="s">
        <v>85</v>
      </c>
      <c r="B376" t="s">
        <v>79</v>
      </c>
      <c r="C376" t="s">
        <v>120</v>
      </c>
      <c r="D376" t="s">
        <v>119</v>
      </c>
      <c r="E376" t="s">
        <v>125</v>
      </c>
      <c r="F376" t="s">
        <v>132</v>
      </c>
      <c r="G376">
        <v>210</v>
      </c>
      <c r="H376" t="s">
        <v>2</v>
      </c>
      <c r="I376">
        <v>29572.759999999995</v>
      </c>
      <c r="J376">
        <v>34762.689999999981</v>
      </c>
    </row>
    <row r="377" spans="1:10" x14ac:dyDescent="0.3">
      <c r="A377" t="s">
        <v>85</v>
      </c>
      <c r="B377" t="s">
        <v>79</v>
      </c>
      <c r="C377" t="s">
        <v>120</v>
      </c>
      <c r="D377" t="s">
        <v>119</v>
      </c>
      <c r="E377" t="s">
        <v>127</v>
      </c>
      <c r="F377" t="s">
        <v>131</v>
      </c>
      <c r="G377">
        <v>417</v>
      </c>
      <c r="H377" t="s">
        <v>54</v>
      </c>
      <c r="I377">
        <v>81649.509999999995</v>
      </c>
      <c r="J377">
        <v>63810.270000000048</v>
      </c>
    </row>
    <row r="378" spans="1:10" x14ac:dyDescent="0.3">
      <c r="A378" t="s">
        <v>85</v>
      </c>
      <c r="B378" t="s">
        <v>79</v>
      </c>
      <c r="C378" t="s">
        <v>119</v>
      </c>
      <c r="D378" t="s">
        <v>122</v>
      </c>
      <c r="E378" t="s">
        <v>127</v>
      </c>
      <c r="F378" t="s">
        <v>132</v>
      </c>
      <c r="G378">
        <v>416</v>
      </c>
      <c r="H378" t="s">
        <v>66</v>
      </c>
      <c r="I378">
        <v>12957.689999999999</v>
      </c>
      <c r="J378">
        <v>15095.649999999992</v>
      </c>
    </row>
    <row r="379" spans="1:10" x14ac:dyDescent="0.3">
      <c r="A379" t="s">
        <v>85</v>
      </c>
      <c r="B379" t="s">
        <v>79</v>
      </c>
      <c r="C379" t="s">
        <v>119</v>
      </c>
      <c r="D379" t="s">
        <v>120</v>
      </c>
      <c r="E379" t="s">
        <v>124</v>
      </c>
      <c r="F379" t="s">
        <v>134</v>
      </c>
      <c r="G379">
        <v>308</v>
      </c>
      <c r="H379" t="s">
        <v>0</v>
      </c>
      <c r="I379">
        <v>17645.940000000002</v>
      </c>
      <c r="J379">
        <v>28449.960000000017</v>
      </c>
    </row>
    <row r="380" spans="1:10" x14ac:dyDescent="0.3">
      <c r="A380" t="s">
        <v>85</v>
      </c>
      <c r="B380" t="s">
        <v>79</v>
      </c>
      <c r="C380" t="s">
        <v>119</v>
      </c>
      <c r="D380" t="s">
        <v>120</v>
      </c>
      <c r="E380" t="s">
        <v>127</v>
      </c>
      <c r="F380" t="s">
        <v>129</v>
      </c>
      <c r="G380">
        <v>402</v>
      </c>
      <c r="H380" t="s">
        <v>9</v>
      </c>
      <c r="I380">
        <v>19823.7</v>
      </c>
      <c r="J380">
        <v>20955.28</v>
      </c>
    </row>
    <row r="381" spans="1:10" x14ac:dyDescent="0.3">
      <c r="A381" t="s">
        <v>85</v>
      </c>
      <c r="B381" t="s">
        <v>79</v>
      </c>
      <c r="C381" t="s">
        <v>119</v>
      </c>
      <c r="D381" t="s">
        <v>120</v>
      </c>
      <c r="E381" t="s">
        <v>127</v>
      </c>
      <c r="F381" t="s">
        <v>129</v>
      </c>
      <c r="G381">
        <v>406</v>
      </c>
      <c r="H381" t="s">
        <v>57</v>
      </c>
      <c r="I381">
        <v>17480.75</v>
      </c>
      <c r="J381">
        <v>16472.439999999984</v>
      </c>
    </row>
    <row r="382" spans="1:10" x14ac:dyDescent="0.3">
      <c r="A382" t="s">
        <v>85</v>
      </c>
      <c r="B382" t="s">
        <v>79</v>
      </c>
      <c r="C382" t="s">
        <v>119</v>
      </c>
      <c r="D382" t="s">
        <v>120</v>
      </c>
      <c r="E382" t="s">
        <v>127</v>
      </c>
      <c r="F382" t="s">
        <v>135</v>
      </c>
      <c r="G382">
        <v>414</v>
      </c>
      <c r="H382" t="s">
        <v>65</v>
      </c>
      <c r="I382">
        <v>238500.7099999999</v>
      </c>
      <c r="J382">
        <v>244802.3199999994</v>
      </c>
    </row>
    <row r="383" spans="1:10" x14ac:dyDescent="0.3">
      <c r="A383" t="s">
        <v>85</v>
      </c>
      <c r="B383" t="s">
        <v>79</v>
      </c>
      <c r="C383" t="s">
        <v>119</v>
      </c>
      <c r="D383" t="s">
        <v>119</v>
      </c>
      <c r="E383" t="s">
        <v>124</v>
      </c>
      <c r="F383" t="s">
        <v>131</v>
      </c>
      <c r="G383">
        <v>309</v>
      </c>
      <c r="H383" t="s">
        <v>52</v>
      </c>
      <c r="I383">
        <v>106919.19</v>
      </c>
      <c r="J383">
        <v>146862.30000000042</v>
      </c>
    </row>
    <row r="384" spans="1:10" x14ac:dyDescent="0.3">
      <c r="A384" t="s">
        <v>85</v>
      </c>
      <c r="B384" t="s">
        <v>79</v>
      </c>
      <c r="C384" t="s">
        <v>119</v>
      </c>
      <c r="D384" t="s">
        <v>119</v>
      </c>
      <c r="E384" t="s">
        <v>124</v>
      </c>
      <c r="F384" t="s">
        <v>130</v>
      </c>
      <c r="G384">
        <v>305</v>
      </c>
      <c r="H384" t="s">
        <v>6</v>
      </c>
      <c r="I384">
        <v>62420.279999999984</v>
      </c>
      <c r="J384">
        <v>104821.81000000019</v>
      </c>
    </row>
    <row r="385" spans="1:10" x14ac:dyDescent="0.3">
      <c r="A385" t="s">
        <v>85</v>
      </c>
      <c r="B385" t="s">
        <v>79</v>
      </c>
      <c r="C385" t="s">
        <v>119</v>
      </c>
      <c r="D385" t="s">
        <v>119</v>
      </c>
      <c r="E385" t="s">
        <v>124</v>
      </c>
      <c r="F385" t="s">
        <v>134</v>
      </c>
      <c r="G385">
        <v>302</v>
      </c>
      <c r="H385" t="s">
        <v>32</v>
      </c>
      <c r="I385">
        <v>39592.929999999993</v>
      </c>
      <c r="J385">
        <v>65115.969999999965</v>
      </c>
    </row>
    <row r="386" spans="1:10" x14ac:dyDescent="0.3">
      <c r="A386" t="s">
        <v>85</v>
      </c>
      <c r="B386" t="s">
        <v>79</v>
      </c>
      <c r="C386" t="s">
        <v>119</v>
      </c>
      <c r="D386" t="s">
        <v>119</v>
      </c>
      <c r="E386" t="s">
        <v>124</v>
      </c>
      <c r="F386" t="s">
        <v>129</v>
      </c>
      <c r="G386">
        <v>301</v>
      </c>
      <c r="H386" t="s">
        <v>59</v>
      </c>
      <c r="I386">
        <v>20977.22</v>
      </c>
      <c r="J386">
        <v>36894.42</v>
      </c>
    </row>
    <row r="387" spans="1:10" x14ac:dyDescent="0.3">
      <c r="A387" t="s">
        <v>85</v>
      </c>
      <c r="B387" t="s">
        <v>79</v>
      </c>
      <c r="C387" t="s">
        <v>119</v>
      </c>
      <c r="D387" t="s">
        <v>119</v>
      </c>
      <c r="E387" t="s">
        <v>124</v>
      </c>
      <c r="F387" t="s">
        <v>129</v>
      </c>
      <c r="G387">
        <v>311</v>
      </c>
      <c r="H387" t="s">
        <v>13</v>
      </c>
      <c r="I387">
        <v>19872.32</v>
      </c>
      <c r="J387">
        <v>34484.160000000011</v>
      </c>
    </row>
    <row r="388" spans="1:10" x14ac:dyDescent="0.3">
      <c r="A388" t="s">
        <v>85</v>
      </c>
      <c r="B388" t="s">
        <v>79</v>
      </c>
      <c r="C388" t="s">
        <v>119</v>
      </c>
      <c r="D388" t="s">
        <v>119</v>
      </c>
      <c r="E388" t="s">
        <v>125</v>
      </c>
      <c r="F388" t="s">
        <v>131</v>
      </c>
      <c r="G388">
        <v>211</v>
      </c>
      <c r="H388" t="s">
        <v>8</v>
      </c>
      <c r="I388">
        <v>154727.09999999998</v>
      </c>
      <c r="J388">
        <v>130458.40000000049</v>
      </c>
    </row>
    <row r="389" spans="1:10" x14ac:dyDescent="0.3">
      <c r="A389" t="s">
        <v>85</v>
      </c>
      <c r="B389" t="s">
        <v>79</v>
      </c>
      <c r="C389" t="s">
        <v>119</v>
      </c>
      <c r="D389" t="s">
        <v>119</v>
      </c>
      <c r="E389" t="s">
        <v>125</v>
      </c>
      <c r="F389" t="s">
        <v>130</v>
      </c>
      <c r="G389">
        <v>207</v>
      </c>
      <c r="H389" t="s">
        <v>53</v>
      </c>
      <c r="I389">
        <v>89906.97</v>
      </c>
      <c r="J389">
        <v>93463.180000000109</v>
      </c>
    </row>
    <row r="390" spans="1:10" x14ac:dyDescent="0.3">
      <c r="A390" t="s">
        <v>85</v>
      </c>
      <c r="B390" t="s">
        <v>79</v>
      </c>
      <c r="C390" t="s">
        <v>119</v>
      </c>
      <c r="D390" t="s">
        <v>119</v>
      </c>
      <c r="E390" t="s">
        <v>125</v>
      </c>
      <c r="F390" t="s">
        <v>133</v>
      </c>
      <c r="G390">
        <v>203</v>
      </c>
      <c r="H390" t="s">
        <v>60</v>
      </c>
      <c r="I390">
        <v>34753.58</v>
      </c>
      <c r="J390">
        <v>45889.229999999989</v>
      </c>
    </row>
    <row r="391" spans="1:10" x14ac:dyDescent="0.3">
      <c r="A391" t="s">
        <v>85</v>
      </c>
      <c r="B391" t="s">
        <v>79</v>
      </c>
      <c r="C391" t="s">
        <v>119</v>
      </c>
      <c r="D391" t="s">
        <v>119</v>
      </c>
      <c r="E391" t="s">
        <v>125</v>
      </c>
      <c r="F391" t="s">
        <v>133</v>
      </c>
      <c r="G391">
        <v>212</v>
      </c>
      <c r="H391" t="s">
        <v>62</v>
      </c>
      <c r="I391">
        <v>42101.77</v>
      </c>
      <c r="J391">
        <v>49913.029999999948</v>
      </c>
    </row>
    <row r="392" spans="1:10" x14ac:dyDescent="0.3">
      <c r="A392" t="s">
        <v>85</v>
      </c>
      <c r="B392" t="s">
        <v>79</v>
      </c>
      <c r="C392" t="s">
        <v>119</v>
      </c>
      <c r="D392" t="s">
        <v>119</v>
      </c>
      <c r="E392" t="s">
        <v>125</v>
      </c>
      <c r="F392" t="s">
        <v>134</v>
      </c>
      <c r="G392">
        <v>190</v>
      </c>
      <c r="H392" t="s">
        <v>42</v>
      </c>
      <c r="I392">
        <v>38703.099999999991</v>
      </c>
      <c r="J392">
        <v>55492.849999999984</v>
      </c>
    </row>
    <row r="393" spans="1:10" x14ac:dyDescent="0.3">
      <c r="A393" t="s">
        <v>85</v>
      </c>
      <c r="B393" t="s">
        <v>79</v>
      </c>
      <c r="C393" t="s">
        <v>119</v>
      </c>
      <c r="D393" t="s">
        <v>119</v>
      </c>
      <c r="E393" t="s">
        <v>125</v>
      </c>
      <c r="F393" t="s">
        <v>134</v>
      </c>
      <c r="G393">
        <v>214</v>
      </c>
      <c r="H393" t="s">
        <v>17</v>
      </c>
      <c r="I393">
        <v>45228.480000000003</v>
      </c>
      <c r="J393">
        <v>53547.290000000023</v>
      </c>
    </row>
    <row r="394" spans="1:10" x14ac:dyDescent="0.3">
      <c r="A394" t="s">
        <v>85</v>
      </c>
      <c r="B394" t="s">
        <v>79</v>
      </c>
      <c r="C394" t="s">
        <v>119</v>
      </c>
      <c r="D394" t="s">
        <v>119</v>
      </c>
      <c r="E394" t="s">
        <v>127</v>
      </c>
      <c r="F394" t="s">
        <v>130</v>
      </c>
      <c r="G394">
        <v>407</v>
      </c>
      <c r="H394" t="s">
        <v>34</v>
      </c>
      <c r="I394">
        <v>94332.07</v>
      </c>
      <c r="J394">
        <v>95213.169999999955</v>
      </c>
    </row>
    <row r="395" spans="1:10" x14ac:dyDescent="0.3">
      <c r="A395" t="s">
        <v>85</v>
      </c>
      <c r="B395" t="s">
        <v>79</v>
      </c>
      <c r="C395" t="s">
        <v>119</v>
      </c>
      <c r="D395" t="s">
        <v>119</v>
      </c>
      <c r="E395" t="s">
        <v>127</v>
      </c>
      <c r="F395" t="s">
        <v>130</v>
      </c>
      <c r="G395">
        <v>413</v>
      </c>
      <c r="H395" t="s">
        <v>14</v>
      </c>
      <c r="I395">
        <v>115679.51999999999</v>
      </c>
      <c r="J395">
        <v>118591.62000000021</v>
      </c>
    </row>
    <row r="396" spans="1:10" x14ac:dyDescent="0.3">
      <c r="A396" t="s">
        <v>85</v>
      </c>
      <c r="B396" t="s">
        <v>79</v>
      </c>
      <c r="C396" t="s">
        <v>119</v>
      </c>
      <c r="D396" t="s">
        <v>119</v>
      </c>
      <c r="E396" t="s">
        <v>127</v>
      </c>
      <c r="F396" t="s">
        <v>133</v>
      </c>
      <c r="G396">
        <v>412</v>
      </c>
      <c r="H396" t="s">
        <v>11</v>
      </c>
      <c r="I396">
        <v>53099.119999999981</v>
      </c>
      <c r="J396">
        <v>50943.139999999978</v>
      </c>
    </row>
    <row r="397" spans="1:10" x14ac:dyDescent="0.3">
      <c r="A397" t="s">
        <v>85</v>
      </c>
      <c r="B397" t="s">
        <v>79</v>
      </c>
      <c r="C397" t="s">
        <v>119</v>
      </c>
      <c r="D397" t="s">
        <v>119</v>
      </c>
      <c r="E397" t="s">
        <v>127</v>
      </c>
      <c r="F397" t="s">
        <v>134</v>
      </c>
      <c r="G397">
        <v>403</v>
      </c>
      <c r="H397" t="s">
        <v>12</v>
      </c>
      <c r="I397">
        <v>52913.439999999981</v>
      </c>
      <c r="J397">
        <v>63614.539999999979</v>
      </c>
    </row>
    <row r="398" spans="1:10" x14ac:dyDescent="0.3">
      <c r="A398" t="s">
        <v>85</v>
      </c>
      <c r="B398" t="s">
        <v>79</v>
      </c>
      <c r="C398" t="s">
        <v>119</v>
      </c>
      <c r="D398" t="s">
        <v>119</v>
      </c>
      <c r="E398" t="s">
        <v>127</v>
      </c>
      <c r="F398" t="s">
        <v>129</v>
      </c>
      <c r="G398">
        <v>409</v>
      </c>
      <c r="H398" t="s">
        <v>58</v>
      </c>
      <c r="I398">
        <v>32611.279999999999</v>
      </c>
      <c r="J398">
        <v>28361.970000000019</v>
      </c>
    </row>
    <row r="399" spans="1:10" x14ac:dyDescent="0.3">
      <c r="A399" t="s">
        <v>85</v>
      </c>
      <c r="B399" t="s">
        <v>79</v>
      </c>
      <c r="C399" t="s">
        <v>119</v>
      </c>
      <c r="D399" t="s">
        <v>119</v>
      </c>
      <c r="E399" t="s">
        <v>127</v>
      </c>
      <c r="F399" t="s">
        <v>129</v>
      </c>
      <c r="G399">
        <v>410</v>
      </c>
      <c r="H399" t="s">
        <v>40</v>
      </c>
      <c r="I399">
        <v>19248.259999999998</v>
      </c>
      <c r="J399">
        <v>23242</v>
      </c>
    </row>
    <row r="400" spans="1:10" x14ac:dyDescent="0.3">
      <c r="A400" t="s">
        <v>85</v>
      </c>
      <c r="B400" t="s">
        <v>79</v>
      </c>
      <c r="C400" t="s">
        <v>119</v>
      </c>
      <c r="D400" t="s">
        <v>119</v>
      </c>
      <c r="E400" t="s">
        <v>126</v>
      </c>
      <c r="F400" t="s">
        <v>130</v>
      </c>
      <c r="G400">
        <v>101</v>
      </c>
      <c r="H400" t="s">
        <v>10</v>
      </c>
      <c r="I400">
        <v>93187.829999999987</v>
      </c>
      <c r="J400">
        <v>101039.94000000026</v>
      </c>
    </row>
    <row r="401" spans="1:10" x14ac:dyDescent="0.3">
      <c r="A401" t="s">
        <v>85</v>
      </c>
      <c r="B401" t="s">
        <v>79</v>
      </c>
      <c r="C401" t="s">
        <v>119</v>
      </c>
      <c r="D401" t="s">
        <v>119</v>
      </c>
      <c r="E401" t="s">
        <v>126</v>
      </c>
      <c r="F401" t="s">
        <v>130</v>
      </c>
      <c r="G401">
        <v>150</v>
      </c>
      <c r="H401" t="s">
        <v>3</v>
      </c>
      <c r="I401">
        <v>70901.960000000006</v>
      </c>
      <c r="J401">
        <v>93851.150000000096</v>
      </c>
    </row>
    <row r="402" spans="1:10" x14ac:dyDescent="0.3">
      <c r="A402" t="s">
        <v>85</v>
      </c>
      <c r="B402" t="s">
        <v>79</v>
      </c>
      <c r="C402" t="s">
        <v>119</v>
      </c>
      <c r="D402" t="s">
        <v>119</v>
      </c>
      <c r="E402" t="s">
        <v>126</v>
      </c>
      <c r="F402" t="s">
        <v>134</v>
      </c>
      <c r="G402">
        <v>170</v>
      </c>
      <c r="H402" t="s">
        <v>56</v>
      </c>
      <c r="I402">
        <v>44356.710000000006</v>
      </c>
      <c r="J402">
        <v>50646.979999999938</v>
      </c>
    </row>
    <row r="403" spans="1:10" x14ac:dyDescent="0.3">
      <c r="A403" t="s">
        <v>85</v>
      </c>
      <c r="B403" t="s">
        <v>79</v>
      </c>
      <c r="C403" t="s">
        <v>119</v>
      </c>
      <c r="D403" t="s">
        <v>119</v>
      </c>
      <c r="E403" t="s">
        <v>126</v>
      </c>
      <c r="F403" t="s">
        <v>132</v>
      </c>
      <c r="G403">
        <v>131</v>
      </c>
      <c r="H403" t="s">
        <v>67</v>
      </c>
      <c r="I403">
        <v>34681.449999999997</v>
      </c>
      <c r="J403">
        <v>31063.430000000008</v>
      </c>
    </row>
    <row r="404" spans="1:10" x14ac:dyDescent="0.3">
      <c r="A404" t="s">
        <v>85</v>
      </c>
      <c r="B404" t="s">
        <v>79</v>
      </c>
      <c r="C404" t="s">
        <v>119</v>
      </c>
      <c r="D404" t="s">
        <v>119</v>
      </c>
      <c r="E404" t="s">
        <v>126</v>
      </c>
      <c r="F404" t="s">
        <v>132</v>
      </c>
      <c r="G404">
        <v>151</v>
      </c>
      <c r="H404" t="s">
        <v>20</v>
      </c>
      <c r="I404">
        <v>23360.559999999998</v>
      </c>
      <c r="J404">
        <v>33488.54</v>
      </c>
    </row>
    <row r="405" spans="1:10" x14ac:dyDescent="0.3">
      <c r="A405" t="s">
        <v>85</v>
      </c>
      <c r="B405" t="s">
        <v>92</v>
      </c>
      <c r="C405" t="s">
        <v>121</v>
      </c>
      <c r="D405" t="s">
        <v>121</v>
      </c>
      <c r="E405" t="s">
        <v>127</v>
      </c>
      <c r="F405" t="s">
        <v>136</v>
      </c>
      <c r="G405">
        <v>418</v>
      </c>
      <c r="H405" t="s">
        <v>44</v>
      </c>
      <c r="I405">
        <v>0</v>
      </c>
      <c r="J405">
        <v>120142.45000000017</v>
      </c>
    </row>
    <row r="406" spans="1:10" x14ac:dyDescent="0.3">
      <c r="A406" t="s">
        <v>85</v>
      </c>
      <c r="B406" t="s">
        <v>92</v>
      </c>
      <c r="C406" t="s">
        <v>119</v>
      </c>
      <c r="D406" t="s">
        <v>122</v>
      </c>
      <c r="E406" t="s">
        <v>124</v>
      </c>
      <c r="F406" t="s">
        <v>136</v>
      </c>
      <c r="G406">
        <v>307</v>
      </c>
      <c r="H406" t="s">
        <v>19</v>
      </c>
      <c r="I406">
        <v>27691.73</v>
      </c>
      <c r="J406">
        <v>69033.160000000062</v>
      </c>
    </row>
    <row r="407" spans="1:10" x14ac:dyDescent="0.3">
      <c r="A407" t="s">
        <v>85</v>
      </c>
      <c r="B407" t="s">
        <v>92</v>
      </c>
      <c r="C407" t="s">
        <v>119</v>
      </c>
      <c r="D407" t="s">
        <v>122</v>
      </c>
      <c r="E407" t="s">
        <v>127</v>
      </c>
      <c r="F407" t="s">
        <v>136</v>
      </c>
      <c r="G407">
        <v>411</v>
      </c>
      <c r="H407" t="s">
        <v>43</v>
      </c>
      <c r="I407">
        <v>101896.81999999998</v>
      </c>
      <c r="J407">
        <v>86055.559999999881</v>
      </c>
    </row>
    <row r="408" spans="1:10" x14ac:dyDescent="0.3">
      <c r="A408" t="s">
        <v>85</v>
      </c>
      <c r="B408" t="s">
        <v>92</v>
      </c>
      <c r="C408" t="s">
        <v>119</v>
      </c>
      <c r="D408" t="s">
        <v>120</v>
      </c>
      <c r="E408" t="s">
        <v>125</v>
      </c>
      <c r="F408" t="s">
        <v>136</v>
      </c>
      <c r="G408">
        <v>213</v>
      </c>
      <c r="H408" t="s">
        <v>49</v>
      </c>
      <c r="I408">
        <v>56766.17</v>
      </c>
      <c r="J408">
        <v>74890.939999999988</v>
      </c>
    </row>
    <row r="409" spans="1:10" x14ac:dyDescent="0.3">
      <c r="A409" t="s">
        <v>85</v>
      </c>
      <c r="B409" t="s">
        <v>92</v>
      </c>
      <c r="C409" t="s">
        <v>119</v>
      </c>
      <c r="D409" t="s">
        <v>120</v>
      </c>
      <c r="E409" t="s">
        <v>127</v>
      </c>
      <c r="F409" t="s">
        <v>136</v>
      </c>
      <c r="G409">
        <v>415</v>
      </c>
      <c r="H409" t="s">
        <v>47</v>
      </c>
      <c r="I409">
        <v>54932.45</v>
      </c>
      <c r="J409">
        <v>73378.660000000047</v>
      </c>
    </row>
    <row r="410" spans="1:10" x14ac:dyDescent="0.3">
      <c r="A410" t="s">
        <v>85</v>
      </c>
      <c r="B410" t="s">
        <v>92</v>
      </c>
      <c r="C410" t="s">
        <v>119</v>
      </c>
      <c r="D410" t="s">
        <v>119</v>
      </c>
      <c r="E410" t="s">
        <v>124</v>
      </c>
      <c r="F410" t="s">
        <v>136</v>
      </c>
      <c r="G410">
        <v>306</v>
      </c>
      <c r="H410" t="s">
        <v>51</v>
      </c>
      <c r="I410">
        <v>41927.279999999999</v>
      </c>
      <c r="J410">
        <v>78541.850000000064</v>
      </c>
    </row>
    <row r="411" spans="1:10" x14ac:dyDescent="0.3">
      <c r="A411" t="s">
        <v>85</v>
      </c>
      <c r="B411" t="s">
        <v>92</v>
      </c>
      <c r="C411" t="s">
        <v>119</v>
      </c>
      <c r="D411" t="s">
        <v>119</v>
      </c>
      <c r="E411" t="s">
        <v>125</v>
      </c>
      <c r="F411" t="s">
        <v>136</v>
      </c>
      <c r="G411">
        <v>201</v>
      </c>
      <c r="H411" t="s">
        <v>45</v>
      </c>
      <c r="I411">
        <v>39764.700000000012</v>
      </c>
      <c r="J411">
        <v>44158.46</v>
      </c>
    </row>
    <row r="412" spans="1:10" x14ac:dyDescent="0.3">
      <c r="A412" t="s">
        <v>85</v>
      </c>
      <c r="B412" t="s">
        <v>92</v>
      </c>
      <c r="C412" t="s">
        <v>119</v>
      </c>
      <c r="D412" t="s">
        <v>119</v>
      </c>
      <c r="E412" t="s">
        <v>125</v>
      </c>
      <c r="F412" t="s">
        <v>136</v>
      </c>
      <c r="G412">
        <v>204</v>
      </c>
      <c r="H412" t="s">
        <v>46</v>
      </c>
      <c r="I412">
        <v>43574.909999999989</v>
      </c>
      <c r="J412">
        <v>56261.560000000005</v>
      </c>
    </row>
    <row r="413" spans="1:10" x14ac:dyDescent="0.3">
      <c r="A413" t="s">
        <v>85</v>
      </c>
      <c r="B413" t="s">
        <v>92</v>
      </c>
      <c r="C413" t="s">
        <v>119</v>
      </c>
      <c r="D413" t="s">
        <v>119</v>
      </c>
      <c r="E413" t="s">
        <v>126</v>
      </c>
      <c r="F413" t="s">
        <v>136</v>
      </c>
      <c r="G413">
        <v>102</v>
      </c>
      <c r="H413" t="s">
        <v>50</v>
      </c>
      <c r="I413">
        <v>65689.460000000021</v>
      </c>
      <c r="J413">
        <v>73770.740000000034</v>
      </c>
    </row>
    <row r="414" spans="1:10" x14ac:dyDescent="0.3">
      <c r="A414" t="s">
        <v>85</v>
      </c>
      <c r="B414" t="s">
        <v>93</v>
      </c>
      <c r="C414" t="s">
        <v>119</v>
      </c>
      <c r="D414" t="s">
        <v>119</v>
      </c>
      <c r="E414" t="s">
        <v>93</v>
      </c>
      <c r="F414" t="s">
        <v>93</v>
      </c>
      <c r="G414">
        <v>903</v>
      </c>
      <c r="H414" t="s">
        <v>37</v>
      </c>
      <c r="I414">
        <v>126116.24999999997</v>
      </c>
      <c r="J414">
        <v>84084.539999999964</v>
      </c>
    </row>
    <row r="415" spans="1:10" x14ac:dyDescent="0.3">
      <c r="A415" t="s">
        <v>85</v>
      </c>
      <c r="B415" t="s">
        <v>94</v>
      </c>
      <c r="C415" t="s">
        <v>121</v>
      </c>
      <c r="D415" t="s">
        <v>121</v>
      </c>
      <c r="E415" t="s">
        <v>124</v>
      </c>
      <c r="F415" t="s">
        <v>137</v>
      </c>
      <c r="G415" t="s">
        <v>112</v>
      </c>
      <c r="H415" t="s">
        <v>21</v>
      </c>
      <c r="I415">
        <v>0</v>
      </c>
      <c r="J415">
        <v>0</v>
      </c>
    </row>
    <row r="416" spans="1:10" x14ac:dyDescent="0.3">
      <c r="A416" t="s">
        <v>85</v>
      </c>
      <c r="B416" t="s">
        <v>94</v>
      </c>
      <c r="C416" t="s">
        <v>121</v>
      </c>
      <c r="D416" t="s">
        <v>121</v>
      </c>
      <c r="E416" t="s">
        <v>125</v>
      </c>
      <c r="F416" t="s">
        <v>138</v>
      </c>
      <c r="G416">
        <v>470</v>
      </c>
      <c r="H416" t="s">
        <v>26</v>
      </c>
      <c r="I416">
        <v>0</v>
      </c>
      <c r="J416">
        <v>0</v>
      </c>
    </row>
    <row r="417" spans="1:10" x14ac:dyDescent="0.3">
      <c r="A417" t="s">
        <v>85</v>
      </c>
      <c r="B417" t="s">
        <v>94</v>
      </c>
      <c r="C417" t="s">
        <v>121</v>
      </c>
      <c r="D417" t="s">
        <v>121</v>
      </c>
      <c r="E417" t="s">
        <v>125</v>
      </c>
      <c r="F417" t="s">
        <v>137</v>
      </c>
      <c r="G417" t="s">
        <v>114</v>
      </c>
      <c r="H417" t="s">
        <v>23</v>
      </c>
      <c r="I417">
        <v>0</v>
      </c>
      <c r="J417">
        <v>0</v>
      </c>
    </row>
    <row r="418" spans="1:10" x14ac:dyDescent="0.3">
      <c r="A418" t="s">
        <v>85</v>
      </c>
      <c r="B418" t="s">
        <v>94</v>
      </c>
      <c r="C418" t="s">
        <v>121</v>
      </c>
      <c r="D418" t="s">
        <v>121</v>
      </c>
      <c r="E418" t="s">
        <v>125</v>
      </c>
      <c r="F418" t="s">
        <v>137</v>
      </c>
      <c r="G418" t="s">
        <v>113</v>
      </c>
      <c r="H418" t="s">
        <v>22</v>
      </c>
      <c r="I418">
        <v>0</v>
      </c>
      <c r="J418">
        <v>0</v>
      </c>
    </row>
    <row r="419" spans="1:10" x14ac:dyDescent="0.3">
      <c r="A419" t="s">
        <v>85</v>
      </c>
      <c r="B419" t="s">
        <v>94</v>
      </c>
      <c r="C419" t="s">
        <v>121</v>
      </c>
      <c r="D419" t="s">
        <v>121</v>
      </c>
      <c r="E419" t="s">
        <v>127</v>
      </c>
      <c r="F419" t="s">
        <v>137</v>
      </c>
      <c r="G419">
        <v>494</v>
      </c>
      <c r="H419" t="s">
        <v>25</v>
      </c>
      <c r="I419">
        <v>0</v>
      </c>
      <c r="J419">
        <v>0</v>
      </c>
    </row>
    <row r="420" spans="1:10" x14ac:dyDescent="0.3">
      <c r="A420" t="s">
        <v>85</v>
      </c>
      <c r="B420" t="s">
        <v>94</v>
      </c>
      <c r="C420" t="s">
        <v>121</v>
      </c>
      <c r="D420" t="s">
        <v>121</v>
      </c>
      <c r="E420" t="s">
        <v>126</v>
      </c>
      <c r="F420" t="s">
        <v>137</v>
      </c>
      <c r="G420">
        <v>460</v>
      </c>
      <c r="H420" t="s">
        <v>30</v>
      </c>
      <c r="I420">
        <v>0</v>
      </c>
      <c r="J420">
        <v>0</v>
      </c>
    </row>
    <row r="421" spans="1:10" x14ac:dyDescent="0.3">
      <c r="A421" t="s">
        <v>85</v>
      </c>
      <c r="B421" t="s">
        <v>94</v>
      </c>
      <c r="C421" t="s">
        <v>121</v>
      </c>
      <c r="D421" t="s">
        <v>121</v>
      </c>
      <c r="E421" t="s">
        <v>126</v>
      </c>
      <c r="F421" t="s">
        <v>137</v>
      </c>
      <c r="G421">
        <v>461</v>
      </c>
      <c r="H421" t="s">
        <v>29</v>
      </c>
      <c r="I421">
        <v>0</v>
      </c>
      <c r="J421">
        <v>0</v>
      </c>
    </row>
    <row r="422" spans="1:10" x14ac:dyDescent="0.3">
      <c r="A422" t="s">
        <v>85</v>
      </c>
      <c r="B422" t="s">
        <v>94</v>
      </c>
      <c r="C422" t="s">
        <v>121</v>
      </c>
      <c r="D422" t="s">
        <v>119</v>
      </c>
      <c r="E422" t="s">
        <v>124</v>
      </c>
      <c r="F422" t="s">
        <v>138</v>
      </c>
      <c r="G422">
        <v>480</v>
      </c>
      <c r="H422" t="s">
        <v>28</v>
      </c>
      <c r="I422">
        <v>0</v>
      </c>
      <c r="J422">
        <v>27073.54</v>
      </c>
    </row>
    <row r="423" spans="1:10" x14ac:dyDescent="0.3">
      <c r="A423" t="s">
        <v>85</v>
      </c>
      <c r="B423" t="s">
        <v>94</v>
      </c>
      <c r="C423" t="s">
        <v>121</v>
      </c>
      <c r="D423" t="s">
        <v>119</v>
      </c>
      <c r="E423" t="s">
        <v>127</v>
      </c>
      <c r="F423" t="s">
        <v>138</v>
      </c>
      <c r="G423">
        <v>491</v>
      </c>
      <c r="H423" t="s">
        <v>31</v>
      </c>
      <c r="I423">
        <v>0</v>
      </c>
      <c r="J423">
        <v>70385.080000000133</v>
      </c>
    </row>
    <row r="424" spans="1:10" x14ac:dyDescent="0.3">
      <c r="A424" t="s">
        <v>85</v>
      </c>
      <c r="B424" t="s">
        <v>94</v>
      </c>
      <c r="C424" t="s">
        <v>121</v>
      </c>
      <c r="D424" t="s">
        <v>119</v>
      </c>
      <c r="E424" t="s">
        <v>127</v>
      </c>
      <c r="F424" t="s">
        <v>138</v>
      </c>
      <c r="G424">
        <v>492</v>
      </c>
      <c r="H424" t="s">
        <v>27</v>
      </c>
      <c r="I424">
        <v>45246.619999999995</v>
      </c>
      <c r="J424">
        <v>44221.329999999973</v>
      </c>
    </row>
    <row r="425" spans="1:10" x14ac:dyDescent="0.3">
      <c r="A425" t="s">
        <v>85</v>
      </c>
      <c r="B425" t="s">
        <v>94</v>
      </c>
      <c r="C425" t="s">
        <v>121</v>
      </c>
      <c r="D425" t="s">
        <v>119</v>
      </c>
      <c r="E425" t="s">
        <v>127</v>
      </c>
      <c r="F425" t="s">
        <v>138</v>
      </c>
      <c r="G425">
        <v>493</v>
      </c>
      <c r="H425" t="s">
        <v>24</v>
      </c>
      <c r="I425">
        <v>0</v>
      </c>
      <c r="J425">
        <v>28508.999999999993</v>
      </c>
    </row>
    <row r="426" spans="1:10" x14ac:dyDescent="0.3">
      <c r="A426" t="s">
        <v>85</v>
      </c>
      <c r="B426" t="s">
        <v>95</v>
      </c>
      <c r="C426" t="s">
        <v>121</v>
      </c>
      <c r="D426" t="s">
        <v>121</v>
      </c>
      <c r="E426" t="s">
        <v>125</v>
      </c>
      <c r="F426" t="s">
        <v>139</v>
      </c>
      <c r="G426" t="s">
        <v>115</v>
      </c>
      <c r="H426" s="33" t="s">
        <v>71</v>
      </c>
      <c r="I426" s="33">
        <v>0</v>
      </c>
      <c r="J426" s="33">
        <v>0</v>
      </c>
    </row>
    <row r="427" spans="1:10" x14ac:dyDescent="0.3">
      <c r="A427" t="s">
        <v>85</v>
      </c>
      <c r="B427" t="s">
        <v>95</v>
      </c>
      <c r="C427" t="s">
        <v>121</v>
      </c>
      <c r="D427" t="s">
        <v>121</v>
      </c>
      <c r="E427" t="s">
        <v>126</v>
      </c>
      <c r="F427" t="s">
        <v>139</v>
      </c>
      <c r="G427">
        <v>510</v>
      </c>
      <c r="H427" t="s">
        <v>76</v>
      </c>
      <c r="I427">
        <v>0</v>
      </c>
      <c r="J427">
        <v>0</v>
      </c>
    </row>
    <row r="428" spans="1:10" x14ac:dyDescent="0.3">
      <c r="A428" t="s">
        <v>85</v>
      </c>
      <c r="B428" t="s">
        <v>95</v>
      </c>
      <c r="C428" t="s">
        <v>121</v>
      </c>
      <c r="D428" t="s">
        <v>119</v>
      </c>
      <c r="E428" t="s">
        <v>127</v>
      </c>
      <c r="F428" t="s">
        <v>140</v>
      </c>
      <c r="G428">
        <v>541</v>
      </c>
      <c r="H428" t="s">
        <v>74</v>
      </c>
      <c r="I428">
        <v>0</v>
      </c>
      <c r="J428">
        <v>34538.039999999979</v>
      </c>
    </row>
    <row r="429" spans="1:10" x14ac:dyDescent="0.3">
      <c r="A429" t="s">
        <v>85</v>
      </c>
      <c r="B429" t="s">
        <v>95</v>
      </c>
      <c r="C429" t="s">
        <v>121</v>
      </c>
      <c r="D429" t="s">
        <v>119</v>
      </c>
      <c r="E429" t="s">
        <v>127</v>
      </c>
      <c r="F429" t="s">
        <v>140</v>
      </c>
      <c r="G429">
        <v>543</v>
      </c>
      <c r="H429" t="s">
        <v>72</v>
      </c>
      <c r="I429">
        <v>35221.11</v>
      </c>
      <c r="J429">
        <v>32118.389999999985</v>
      </c>
    </row>
    <row r="430" spans="1:10" x14ac:dyDescent="0.3">
      <c r="A430" t="s">
        <v>85</v>
      </c>
      <c r="B430" t="s">
        <v>95</v>
      </c>
      <c r="C430" t="s">
        <v>120</v>
      </c>
      <c r="D430" t="s">
        <v>119</v>
      </c>
      <c r="E430" t="s">
        <v>127</v>
      </c>
      <c r="F430" t="s">
        <v>140</v>
      </c>
      <c r="G430">
        <v>540</v>
      </c>
      <c r="H430" t="s">
        <v>73</v>
      </c>
      <c r="I430">
        <v>55877.11</v>
      </c>
      <c r="J430">
        <v>97150.790000000008</v>
      </c>
    </row>
    <row r="431" spans="1:10" x14ac:dyDescent="0.3">
      <c r="A431" t="s">
        <v>85</v>
      </c>
      <c r="B431" t="s">
        <v>95</v>
      </c>
      <c r="C431" t="s">
        <v>119</v>
      </c>
      <c r="D431" t="s">
        <v>120</v>
      </c>
      <c r="E431" t="s">
        <v>124</v>
      </c>
      <c r="F431" t="s">
        <v>139</v>
      </c>
      <c r="G431">
        <v>530</v>
      </c>
      <c r="H431" t="s">
        <v>68</v>
      </c>
      <c r="I431">
        <v>17822.89</v>
      </c>
      <c r="J431">
        <v>25355.929999999997</v>
      </c>
    </row>
    <row r="432" spans="1:10" x14ac:dyDescent="0.3">
      <c r="A432" t="s">
        <v>85</v>
      </c>
      <c r="B432" t="s">
        <v>95</v>
      </c>
      <c r="C432" t="s">
        <v>119</v>
      </c>
      <c r="D432" t="s">
        <v>119</v>
      </c>
      <c r="E432" t="s">
        <v>125</v>
      </c>
      <c r="F432" t="s">
        <v>140</v>
      </c>
      <c r="G432">
        <v>520</v>
      </c>
      <c r="H432" t="s">
        <v>70</v>
      </c>
      <c r="I432">
        <v>41211.919999999998</v>
      </c>
      <c r="J432">
        <v>41536.189999999959</v>
      </c>
    </row>
    <row r="433" spans="1:10" x14ac:dyDescent="0.3">
      <c r="A433" t="s">
        <v>85</v>
      </c>
      <c r="B433" t="s">
        <v>95</v>
      </c>
      <c r="C433" t="s">
        <v>119</v>
      </c>
      <c r="D433" t="s">
        <v>119</v>
      </c>
      <c r="E433" t="s">
        <v>127</v>
      </c>
      <c r="F433" t="s">
        <v>139</v>
      </c>
      <c r="G433">
        <v>542</v>
      </c>
      <c r="H433" t="s">
        <v>69</v>
      </c>
      <c r="I433">
        <v>34987.789999999994</v>
      </c>
      <c r="J433">
        <v>20528.919999999995</v>
      </c>
    </row>
    <row r="434" spans="1:10" x14ac:dyDescent="0.3">
      <c r="A434" t="s">
        <v>86</v>
      </c>
      <c r="B434" t="s">
        <v>79</v>
      </c>
      <c r="C434" t="s">
        <v>122</v>
      </c>
      <c r="D434" t="s">
        <v>122</v>
      </c>
      <c r="E434" t="s">
        <v>124</v>
      </c>
      <c r="F434" t="s">
        <v>129</v>
      </c>
      <c r="G434">
        <v>303</v>
      </c>
      <c r="H434" t="s">
        <v>1</v>
      </c>
      <c r="I434">
        <v>0</v>
      </c>
      <c r="J434">
        <v>0</v>
      </c>
    </row>
    <row r="435" spans="1:10" x14ac:dyDescent="0.3">
      <c r="A435" t="s">
        <v>86</v>
      </c>
      <c r="B435" t="s">
        <v>79</v>
      </c>
      <c r="C435" t="s">
        <v>122</v>
      </c>
      <c r="D435" t="s">
        <v>122</v>
      </c>
      <c r="E435" t="s">
        <v>125</v>
      </c>
      <c r="F435" t="s">
        <v>129</v>
      </c>
      <c r="G435">
        <v>205</v>
      </c>
      <c r="H435" t="s">
        <v>7</v>
      </c>
      <c r="I435">
        <v>0</v>
      </c>
      <c r="J435">
        <v>0</v>
      </c>
    </row>
    <row r="436" spans="1:10" x14ac:dyDescent="0.3">
      <c r="A436" t="s">
        <v>86</v>
      </c>
      <c r="B436" t="s">
        <v>79</v>
      </c>
      <c r="C436" t="s">
        <v>122</v>
      </c>
      <c r="D436" t="s">
        <v>122</v>
      </c>
      <c r="E436" t="s">
        <v>127</v>
      </c>
      <c r="F436" t="s">
        <v>129</v>
      </c>
      <c r="G436">
        <v>401</v>
      </c>
      <c r="H436" t="s">
        <v>5</v>
      </c>
      <c r="I436">
        <v>0</v>
      </c>
      <c r="J436">
        <v>0</v>
      </c>
    </row>
    <row r="437" spans="1:10" x14ac:dyDescent="0.3">
      <c r="A437" t="s">
        <v>86</v>
      </c>
      <c r="B437" t="s">
        <v>79</v>
      </c>
      <c r="C437" t="s">
        <v>122</v>
      </c>
      <c r="D437" t="s">
        <v>122</v>
      </c>
      <c r="E437" t="s">
        <v>127</v>
      </c>
      <c r="F437" t="s">
        <v>122</v>
      </c>
      <c r="G437">
        <v>408</v>
      </c>
      <c r="H437" t="s">
        <v>33</v>
      </c>
      <c r="I437">
        <v>0</v>
      </c>
      <c r="J437">
        <v>0</v>
      </c>
    </row>
    <row r="438" spans="1:10" x14ac:dyDescent="0.3">
      <c r="A438" t="s">
        <v>86</v>
      </c>
      <c r="B438" t="s">
        <v>79</v>
      </c>
      <c r="C438" t="s">
        <v>122</v>
      </c>
      <c r="D438" t="s">
        <v>122</v>
      </c>
      <c r="E438" t="s">
        <v>126</v>
      </c>
      <c r="F438" t="s">
        <v>122</v>
      </c>
      <c r="G438">
        <v>130</v>
      </c>
      <c r="H438" s="33" t="s">
        <v>55</v>
      </c>
      <c r="I438" s="33">
        <v>0</v>
      </c>
      <c r="J438" s="33">
        <v>0</v>
      </c>
    </row>
    <row r="439" spans="1:10" x14ac:dyDescent="0.3">
      <c r="A439" t="s">
        <v>86</v>
      </c>
      <c r="B439" t="s">
        <v>79</v>
      </c>
      <c r="C439" t="s">
        <v>121</v>
      </c>
      <c r="D439" t="s">
        <v>121</v>
      </c>
      <c r="E439" t="s">
        <v>125</v>
      </c>
      <c r="F439" t="s">
        <v>129</v>
      </c>
      <c r="G439" t="s">
        <v>110</v>
      </c>
      <c r="H439" t="s">
        <v>64</v>
      </c>
      <c r="I439">
        <v>0</v>
      </c>
      <c r="J439">
        <v>0</v>
      </c>
    </row>
    <row r="440" spans="1:10" x14ac:dyDescent="0.3">
      <c r="A440" t="s">
        <v>86</v>
      </c>
      <c r="B440" t="s">
        <v>79</v>
      </c>
      <c r="C440" t="s">
        <v>121</v>
      </c>
      <c r="D440" t="s">
        <v>121</v>
      </c>
      <c r="E440" t="s">
        <v>127</v>
      </c>
      <c r="F440" t="s">
        <v>129</v>
      </c>
      <c r="G440" t="s">
        <v>109</v>
      </c>
      <c r="H440" s="33" t="s">
        <v>41</v>
      </c>
      <c r="I440" s="33">
        <v>0</v>
      </c>
      <c r="J440" s="33">
        <v>0</v>
      </c>
    </row>
    <row r="441" spans="1:10" x14ac:dyDescent="0.3">
      <c r="A441" t="s">
        <v>86</v>
      </c>
      <c r="B441" t="s">
        <v>79</v>
      </c>
      <c r="C441" t="s">
        <v>120</v>
      </c>
      <c r="D441" t="s">
        <v>120</v>
      </c>
      <c r="E441" t="s">
        <v>124</v>
      </c>
      <c r="F441" t="s">
        <v>129</v>
      </c>
      <c r="G441">
        <v>304</v>
      </c>
      <c r="H441" t="s">
        <v>61</v>
      </c>
      <c r="I441">
        <v>48220.12999999999</v>
      </c>
      <c r="J441">
        <v>16392.629999999997</v>
      </c>
    </row>
    <row r="442" spans="1:10" x14ac:dyDescent="0.3">
      <c r="A442" t="s">
        <v>86</v>
      </c>
      <c r="B442" t="s">
        <v>79</v>
      </c>
      <c r="C442" t="s">
        <v>120</v>
      </c>
      <c r="D442" t="s">
        <v>120</v>
      </c>
      <c r="E442" t="s">
        <v>125</v>
      </c>
      <c r="F442" t="s">
        <v>133</v>
      </c>
      <c r="G442">
        <v>208</v>
      </c>
      <c r="H442" t="s">
        <v>36</v>
      </c>
      <c r="I442">
        <v>31011.78999999999</v>
      </c>
      <c r="J442">
        <v>33620.079999999973</v>
      </c>
    </row>
    <row r="443" spans="1:10" x14ac:dyDescent="0.3">
      <c r="A443" t="s">
        <v>86</v>
      </c>
      <c r="B443" t="s">
        <v>79</v>
      </c>
      <c r="C443" t="s">
        <v>120</v>
      </c>
      <c r="D443" t="s">
        <v>120</v>
      </c>
      <c r="E443" t="s">
        <v>125</v>
      </c>
      <c r="F443" t="s">
        <v>133</v>
      </c>
      <c r="G443">
        <v>209</v>
      </c>
      <c r="H443" t="s">
        <v>35</v>
      </c>
      <c r="I443">
        <v>13410.289999999999</v>
      </c>
      <c r="J443">
        <v>20975.170000000013</v>
      </c>
    </row>
    <row r="444" spans="1:10" x14ac:dyDescent="0.3">
      <c r="A444" t="s">
        <v>86</v>
      </c>
      <c r="B444" t="s">
        <v>79</v>
      </c>
      <c r="C444" t="s">
        <v>120</v>
      </c>
      <c r="D444" t="s">
        <v>120</v>
      </c>
      <c r="E444" t="s">
        <v>125</v>
      </c>
      <c r="F444" t="s">
        <v>129</v>
      </c>
      <c r="G444">
        <v>202</v>
      </c>
      <c r="H444" t="s">
        <v>4</v>
      </c>
      <c r="I444">
        <v>50462.8</v>
      </c>
      <c r="J444">
        <v>48943.359999999993</v>
      </c>
    </row>
    <row r="445" spans="1:10" x14ac:dyDescent="0.3">
      <c r="A445" t="s">
        <v>86</v>
      </c>
      <c r="B445" t="s">
        <v>79</v>
      </c>
      <c r="C445" t="s">
        <v>120</v>
      </c>
      <c r="D445" t="s">
        <v>120</v>
      </c>
      <c r="E445" t="s">
        <v>127</v>
      </c>
      <c r="F445" t="s">
        <v>133</v>
      </c>
      <c r="G445">
        <v>404</v>
      </c>
      <c r="H445" t="s">
        <v>15</v>
      </c>
      <c r="I445">
        <v>27589.609999999997</v>
      </c>
      <c r="J445">
        <v>0</v>
      </c>
    </row>
    <row r="446" spans="1:10" x14ac:dyDescent="0.3">
      <c r="A446" t="s">
        <v>86</v>
      </c>
      <c r="B446" t="s">
        <v>79</v>
      </c>
      <c r="C446" t="s">
        <v>120</v>
      </c>
      <c r="D446" t="s">
        <v>119</v>
      </c>
      <c r="E446" t="s">
        <v>124</v>
      </c>
      <c r="F446" t="s">
        <v>134</v>
      </c>
      <c r="G446">
        <v>310</v>
      </c>
      <c r="H446" t="s">
        <v>63</v>
      </c>
      <c r="I446">
        <v>13381.73</v>
      </c>
      <c r="J446">
        <v>42595.01000000006</v>
      </c>
    </row>
    <row r="447" spans="1:10" x14ac:dyDescent="0.3">
      <c r="A447" t="s">
        <v>86</v>
      </c>
      <c r="B447" t="s">
        <v>79</v>
      </c>
      <c r="C447" t="s">
        <v>120</v>
      </c>
      <c r="D447" t="s">
        <v>119</v>
      </c>
      <c r="E447" t="s">
        <v>125</v>
      </c>
      <c r="F447" t="s">
        <v>134</v>
      </c>
      <c r="G447">
        <v>206</v>
      </c>
      <c r="H447" t="s">
        <v>18</v>
      </c>
      <c r="I447">
        <v>73371.709999999992</v>
      </c>
      <c r="J447">
        <v>55693.619999999988</v>
      </c>
    </row>
    <row r="448" spans="1:10" x14ac:dyDescent="0.3">
      <c r="A448" t="s">
        <v>86</v>
      </c>
      <c r="B448" t="s">
        <v>79</v>
      </c>
      <c r="C448" t="s">
        <v>120</v>
      </c>
      <c r="D448" t="s">
        <v>119</v>
      </c>
      <c r="E448" t="s">
        <v>125</v>
      </c>
      <c r="F448" t="s">
        <v>132</v>
      </c>
      <c r="G448">
        <v>210</v>
      </c>
      <c r="H448" t="s">
        <v>2</v>
      </c>
      <c r="I448">
        <v>27818.780000000002</v>
      </c>
      <c r="J448">
        <v>34877.139999999992</v>
      </c>
    </row>
    <row r="449" spans="1:10" x14ac:dyDescent="0.3">
      <c r="A449" t="s">
        <v>86</v>
      </c>
      <c r="B449" t="s">
        <v>79</v>
      </c>
      <c r="C449" t="s">
        <v>120</v>
      </c>
      <c r="D449" t="s">
        <v>119</v>
      </c>
      <c r="E449" t="s">
        <v>127</v>
      </c>
      <c r="F449" t="s">
        <v>131</v>
      </c>
      <c r="G449">
        <v>417</v>
      </c>
      <c r="H449" t="s">
        <v>54</v>
      </c>
      <c r="I449">
        <v>88204.229999999981</v>
      </c>
      <c r="J449">
        <v>65428.23000000001</v>
      </c>
    </row>
    <row r="450" spans="1:10" x14ac:dyDescent="0.3">
      <c r="A450" t="s">
        <v>86</v>
      </c>
      <c r="B450" t="s">
        <v>79</v>
      </c>
      <c r="C450" t="s">
        <v>119</v>
      </c>
      <c r="D450" t="s">
        <v>122</v>
      </c>
      <c r="E450" t="s">
        <v>127</v>
      </c>
      <c r="F450" t="s">
        <v>132</v>
      </c>
      <c r="G450">
        <v>416</v>
      </c>
      <c r="H450" t="s">
        <v>66</v>
      </c>
      <c r="I450">
        <v>19451.670000000006</v>
      </c>
      <c r="J450">
        <v>14246.249999999989</v>
      </c>
    </row>
    <row r="451" spans="1:10" x14ac:dyDescent="0.3">
      <c r="A451" t="s">
        <v>86</v>
      </c>
      <c r="B451" t="s">
        <v>79</v>
      </c>
      <c r="C451" t="s">
        <v>119</v>
      </c>
      <c r="D451" t="s">
        <v>120</v>
      </c>
      <c r="E451" t="s">
        <v>124</v>
      </c>
      <c r="F451" t="s">
        <v>134</v>
      </c>
      <c r="G451">
        <v>308</v>
      </c>
      <c r="H451" t="s">
        <v>0</v>
      </c>
      <c r="I451">
        <v>33021.949999999997</v>
      </c>
      <c r="J451">
        <v>29592.829999999987</v>
      </c>
    </row>
    <row r="452" spans="1:10" x14ac:dyDescent="0.3">
      <c r="A452" t="s">
        <v>86</v>
      </c>
      <c r="B452" t="s">
        <v>79</v>
      </c>
      <c r="C452" t="s">
        <v>119</v>
      </c>
      <c r="D452" t="s">
        <v>120</v>
      </c>
      <c r="E452" t="s">
        <v>127</v>
      </c>
      <c r="F452" t="s">
        <v>129</v>
      </c>
      <c r="G452">
        <v>402</v>
      </c>
      <c r="H452" t="s">
        <v>9</v>
      </c>
      <c r="I452">
        <v>24422.18</v>
      </c>
      <c r="J452">
        <v>22231.510000000002</v>
      </c>
    </row>
    <row r="453" spans="1:10" x14ac:dyDescent="0.3">
      <c r="A453" t="s">
        <v>86</v>
      </c>
      <c r="B453" t="s">
        <v>79</v>
      </c>
      <c r="C453" t="s">
        <v>119</v>
      </c>
      <c r="D453" t="s">
        <v>120</v>
      </c>
      <c r="E453" t="s">
        <v>127</v>
      </c>
      <c r="F453" t="s">
        <v>129</v>
      </c>
      <c r="G453">
        <v>406</v>
      </c>
      <c r="H453" t="s">
        <v>57</v>
      </c>
      <c r="I453">
        <v>21129.540000000005</v>
      </c>
      <c r="J453">
        <v>15451.319999999992</v>
      </c>
    </row>
    <row r="454" spans="1:10" x14ac:dyDescent="0.3">
      <c r="A454" t="s">
        <v>86</v>
      </c>
      <c r="B454" t="s">
        <v>79</v>
      </c>
      <c r="C454" t="s">
        <v>119</v>
      </c>
      <c r="D454" t="s">
        <v>120</v>
      </c>
      <c r="E454" t="s">
        <v>127</v>
      </c>
      <c r="F454" t="s">
        <v>135</v>
      </c>
      <c r="G454">
        <v>414</v>
      </c>
      <c r="H454" t="s">
        <v>65</v>
      </c>
      <c r="I454">
        <v>273787.56999999995</v>
      </c>
      <c r="J454">
        <v>279587.0200000006</v>
      </c>
    </row>
    <row r="455" spans="1:10" x14ac:dyDescent="0.3">
      <c r="A455" t="s">
        <v>86</v>
      </c>
      <c r="B455" t="s">
        <v>79</v>
      </c>
      <c r="C455" t="s">
        <v>119</v>
      </c>
      <c r="D455" t="s">
        <v>119</v>
      </c>
      <c r="E455" t="s">
        <v>124</v>
      </c>
      <c r="F455" t="s">
        <v>131</v>
      </c>
      <c r="G455">
        <v>309</v>
      </c>
      <c r="H455" t="s">
        <v>52</v>
      </c>
      <c r="I455">
        <v>183408.37</v>
      </c>
      <c r="J455">
        <v>163343.75000000064</v>
      </c>
    </row>
    <row r="456" spans="1:10" x14ac:dyDescent="0.3">
      <c r="A456" t="s">
        <v>86</v>
      </c>
      <c r="B456" t="s">
        <v>79</v>
      </c>
      <c r="C456" t="s">
        <v>119</v>
      </c>
      <c r="D456" t="s">
        <v>119</v>
      </c>
      <c r="E456" t="s">
        <v>124</v>
      </c>
      <c r="F456" t="s">
        <v>130</v>
      </c>
      <c r="G456">
        <v>305</v>
      </c>
      <c r="H456" t="s">
        <v>6</v>
      </c>
      <c r="I456">
        <v>107678.10999999997</v>
      </c>
      <c r="J456">
        <v>110063.79000000024</v>
      </c>
    </row>
    <row r="457" spans="1:10" x14ac:dyDescent="0.3">
      <c r="A457" t="s">
        <v>86</v>
      </c>
      <c r="B457" t="s">
        <v>79</v>
      </c>
      <c r="C457" t="s">
        <v>119</v>
      </c>
      <c r="D457" t="s">
        <v>119</v>
      </c>
      <c r="E457" t="s">
        <v>124</v>
      </c>
      <c r="F457" t="s">
        <v>134</v>
      </c>
      <c r="G457">
        <v>302</v>
      </c>
      <c r="H457" t="s">
        <v>32</v>
      </c>
      <c r="I457">
        <v>71219.459999999992</v>
      </c>
      <c r="J457">
        <v>65912.560000000056</v>
      </c>
    </row>
    <row r="458" spans="1:10" x14ac:dyDescent="0.3">
      <c r="A458" t="s">
        <v>86</v>
      </c>
      <c r="B458" t="s">
        <v>79</v>
      </c>
      <c r="C458" t="s">
        <v>119</v>
      </c>
      <c r="D458" t="s">
        <v>119</v>
      </c>
      <c r="E458" t="s">
        <v>124</v>
      </c>
      <c r="F458" t="s">
        <v>129</v>
      </c>
      <c r="G458">
        <v>301</v>
      </c>
      <c r="H458" t="s">
        <v>59</v>
      </c>
      <c r="I458">
        <v>36107.01999999999</v>
      </c>
      <c r="J458">
        <v>35803.489999999969</v>
      </c>
    </row>
    <row r="459" spans="1:10" x14ac:dyDescent="0.3">
      <c r="A459" t="s">
        <v>86</v>
      </c>
      <c r="B459" t="s">
        <v>79</v>
      </c>
      <c r="C459" t="s">
        <v>119</v>
      </c>
      <c r="D459" t="s">
        <v>119</v>
      </c>
      <c r="E459" t="s">
        <v>124</v>
      </c>
      <c r="F459" t="s">
        <v>129</v>
      </c>
      <c r="G459">
        <v>311</v>
      </c>
      <c r="H459" t="s">
        <v>13</v>
      </c>
      <c r="I459">
        <v>39912.629999999997</v>
      </c>
      <c r="J459">
        <v>36938.569999999992</v>
      </c>
    </row>
    <row r="460" spans="1:10" x14ac:dyDescent="0.3">
      <c r="A460" t="s">
        <v>86</v>
      </c>
      <c r="B460" t="s">
        <v>79</v>
      </c>
      <c r="C460" t="s">
        <v>119</v>
      </c>
      <c r="D460" t="s">
        <v>119</v>
      </c>
      <c r="E460" t="s">
        <v>125</v>
      </c>
      <c r="F460" t="s">
        <v>131</v>
      </c>
      <c r="G460">
        <v>211</v>
      </c>
      <c r="H460" t="s">
        <v>8</v>
      </c>
      <c r="I460">
        <v>174253.13</v>
      </c>
      <c r="J460">
        <v>155783.38000000059</v>
      </c>
    </row>
    <row r="461" spans="1:10" x14ac:dyDescent="0.3">
      <c r="A461" t="s">
        <v>86</v>
      </c>
      <c r="B461" t="s">
        <v>79</v>
      </c>
      <c r="C461" t="s">
        <v>119</v>
      </c>
      <c r="D461" t="s">
        <v>119</v>
      </c>
      <c r="E461" t="s">
        <v>125</v>
      </c>
      <c r="F461" t="s">
        <v>130</v>
      </c>
      <c r="G461">
        <v>207</v>
      </c>
      <c r="H461" t="s">
        <v>53</v>
      </c>
      <c r="I461">
        <v>93588.289999999979</v>
      </c>
      <c r="J461">
        <v>94595.380000000237</v>
      </c>
    </row>
    <row r="462" spans="1:10" x14ac:dyDescent="0.3">
      <c r="A462" t="s">
        <v>86</v>
      </c>
      <c r="B462" t="s">
        <v>79</v>
      </c>
      <c r="C462" t="s">
        <v>119</v>
      </c>
      <c r="D462" t="s">
        <v>119</v>
      </c>
      <c r="E462" t="s">
        <v>125</v>
      </c>
      <c r="F462" t="s">
        <v>133</v>
      </c>
      <c r="G462">
        <v>203</v>
      </c>
      <c r="H462" t="s">
        <v>60</v>
      </c>
      <c r="I462">
        <v>47905.08</v>
      </c>
      <c r="J462">
        <v>40094.919999999984</v>
      </c>
    </row>
    <row r="463" spans="1:10" x14ac:dyDescent="0.3">
      <c r="A463" t="s">
        <v>86</v>
      </c>
      <c r="B463" t="s">
        <v>79</v>
      </c>
      <c r="C463" t="s">
        <v>119</v>
      </c>
      <c r="D463" t="s">
        <v>119</v>
      </c>
      <c r="E463" t="s">
        <v>125</v>
      </c>
      <c r="F463" t="s">
        <v>133</v>
      </c>
      <c r="G463">
        <v>212</v>
      </c>
      <c r="H463" t="s">
        <v>62</v>
      </c>
      <c r="I463">
        <v>48214.179999999986</v>
      </c>
      <c r="J463">
        <v>47235.009999999966</v>
      </c>
    </row>
    <row r="464" spans="1:10" x14ac:dyDescent="0.3">
      <c r="A464" t="s">
        <v>86</v>
      </c>
      <c r="B464" t="s">
        <v>79</v>
      </c>
      <c r="C464" t="s">
        <v>119</v>
      </c>
      <c r="D464" t="s">
        <v>119</v>
      </c>
      <c r="E464" t="s">
        <v>125</v>
      </c>
      <c r="F464" t="s">
        <v>134</v>
      </c>
      <c r="G464">
        <v>190</v>
      </c>
      <c r="H464" t="s">
        <v>42</v>
      </c>
      <c r="I464">
        <v>49458.13</v>
      </c>
      <c r="J464">
        <v>49991.019999999968</v>
      </c>
    </row>
    <row r="465" spans="1:10" x14ac:dyDescent="0.3">
      <c r="A465" t="s">
        <v>86</v>
      </c>
      <c r="B465" t="s">
        <v>79</v>
      </c>
      <c r="C465" t="s">
        <v>119</v>
      </c>
      <c r="D465" t="s">
        <v>119</v>
      </c>
      <c r="E465" t="s">
        <v>125</v>
      </c>
      <c r="F465" t="s">
        <v>134</v>
      </c>
      <c r="G465">
        <v>214</v>
      </c>
      <c r="H465" t="s">
        <v>17</v>
      </c>
      <c r="I465">
        <v>46267.899999999994</v>
      </c>
      <c r="J465">
        <v>58164.769999999968</v>
      </c>
    </row>
    <row r="466" spans="1:10" x14ac:dyDescent="0.3">
      <c r="A466" t="s">
        <v>86</v>
      </c>
      <c r="B466" t="s">
        <v>79</v>
      </c>
      <c r="C466" t="s">
        <v>119</v>
      </c>
      <c r="D466" t="s">
        <v>119</v>
      </c>
      <c r="E466" t="s">
        <v>127</v>
      </c>
      <c r="F466" t="s">
        <v>130</v>
      </c>
      <c r="G466">
        <v>407</v>
      </c>
      <c r="H466" t="s">
        <v>34</v>
      </c>
      <c r="I466">
        <v>95023.209999999992</v>
      </c>
      <c r="J466">
        <v>100686.31999999998</v>
      </c>
    </row>
    <row r="467" spans="1:10" x14ac:dyDescent="0.3">
      <c r="A467" t="s">
        <v>86</v>
      </c>
      <c r="B467" t="s">
        <v>79</v>
      </c>
      <c r="C467" t="s">
        <v>119</v>
      </c>
      <c r="D467" t="s">
        <v>119</v>
      </c>
      <c r="E467" t="s">
        <v>127</v>
      </c>
      <c r="F467" t="s">
        <v>130</v>
      </c>
      <c r="G467">
        <v>413</v>
      </c>
      <c r="H467" t="s">
        <v>14</v>
      </c>
      <c r="I467">
        <v>116468.86999999997</v>
      </c>
      <c r="J467">
        <v>113713.8000000001</v>
      </c>
    </row>
    <row r="468" spans="1:10" x14ac:dyDescent="0.3">
      <c r="A468" t="s">
        <v>86</v>
      </c>
      <c r="B468" t="s">
        <v>79</v>
      </c>
      <c r="C468" t="s">
        <v>119</v>
      </c>
      <c r="D468" t="s">
        <v>119</v>
      </c>
      <c r="E468" t="s">
        <v>127</v>
      </c>
      <c r="F468" t="s">
        <v>133</v>
      </c>
      <c r="G468">
        <v>412</v>
      </c>
      <c r="H468" t="s">
        <v>11</v>
      </c>
      <c r="I468">
        <v>48348.689999999995</v>
      </c>
      <c r="J468">
        <v>45723.619999999966</v>
      </c>
    </row>
    <row r="469" spans="1:10" x14ac:dyDescent="0.3">
      <c r="A469" t="s">
        <v>86</v>
      </c>
      <c r="B469" t="s">
        <v>79</v>
      </c>
      <c r="C469" t="s">
        <v>119</v>
      </c>
      <c r="D469" t="s">
        <v>119</v>
      </c>
      <c r="E469" t="s">
        <v>127</v>
      </c>
      <c r="F469" t="s">
        <v>134</v>
      </c>
      <c r="G469">
        <v>403</v>
      </c>
      <c r="H469" t="s">
        <v>12</v>
      </c>
      <c r="I469">
        <v>53927.299999999996</v>
      </c>
      <c r="J469">
        <v>51661.50999999998</v>
      </c>
    </row>
    <row r="470" spans="1:10" x14ac:dyDescent="0.3">
      <c r="A470" t="s">
        <v>86</v>
      </c>
      <c r="B470" t="s">
        <v>79</v>
      </c>
      <c r="C470" t="s">
        <v>119</v>
      </c>
      <c r="D470" t="s">
        <v>119</v>
      </c>
      <c r="E470" t="s">
        <v>127</v>
      </c>
      <c r="F470" t="s">
        <v>129</v>
      </c>
      <c r="G470">
        <v>409</v>
      </c>
      <c r="H470" t="s">
        <v>58</v>
      </c>
      <c r="I470">
        <v>39625.14</v>
      </c>
      <c r="J470">
        <v>29472.979999999989</v>
      </c>
    </row>
    <row r="471" spans="1:10" x14ac:dyDescent="0.3">
      <c r="A471" t="s">
        <v>86</v>
      </c>
      <c r="B471" t="s">
        <v>79</v>
      </c>
      <c r="C471" t="s">
        <v>119</v>
      </c>
      <c r="D471" t="s">
        <v>119</v>
      </c>
      <c r="E471" t="s">
        <v>127</v>
      </c>
      <c r="F471" t="s">
        <v>129</v>
      </c>
      <c r="G471">
        <v>410</v>
      </c>
      <c r="H471" t="s">
        <v>40</v>
      </c>
      <c r="I471">
        <v>24011.800000000003</v>
      </c>
      <c r="J471">
        <v>20775.199999999993</v>
      </c>
    </row>
    <row r="472" spans="1:10" x14ac:dyDescent="0.3">
      <c r="A472" t="s">
        <v>86</v>
      </c>
      <c r="B472" t="s">
        <v>79</v>
      </c>
      <c r="C472" t="s">
        <v>119</v>
      </c>
      <c r="D472" t="s">
        <v>119</v>
      </c>
      <c r="E472" t="s">
        <v>126</v>
      </c>
      <c r="F472" t="s">
        <v>130</v>
      </c>
      <c r="G472">
        <v>101</v>
      </c>
      <c r="H472" t="s">
        <v>10</v>
      </c>
      <c r="I472">
        <v>106292.26999999997</v>
      </c>
      <c r="J472">
        <v>121890.87000000024</v>
      </c>
    </row>
    <row r="473" spans="1:10" x14ac:dyDescent="0.3">
      <c r="A473" t="s">
        <v>86</v>
      </c>
      <c r="B473" t="s">
        <v>79</v>
      </c>
      <c r="C473" t="s">
        <v>119</v>
      </c>
      <c r="D473" t="s">
        <v>119</v>
      </c>
      <c r="E473" t="s">
        <v>126</v>
      </c>
      <c r="F473" t="s">
        <v>130</v>
      </c>
      <c r="G473">
        <v>150</v>
      </c>
      <c r="H473" t="s">
        <v>3</v>
      </c>
      <c r="I473">
        <v>89037.59</v>
      </c>
      <c r="J473">
        <v>104682.03</v>
      </c>
    </row>
    <row r="474" spans="1:10" x14ac:dyDescent="0.3">
      <c r="A474" t="s">
        <v>86</v>
      </c>
      <c r="B474" t="s">
        <v>79</v>
      </c>
      <c r="C474" t="s">
        <v>119</v>
      </c>
      <c r="D474" t="s">
        <v>119</v>
      </c>
      <c r="E474" t="s">
        <v>126</v>
      </c>
      <c r="F474" t="s">
        <v>134</v>
      </c>
      <c r="G474">
        <v>170</v>
      </c>
      <c r="H474" t="s">
        <v>56</v>
      </c>
      <c r="I474">
        <v>63092.6</v>
      </c>
      <c r="J474">
        <v>55693.670000000006</v>
      </c>
    </row>
    <row r="475" spans="1:10" x14ac:dyDescent="0.3">
      <c r="A475" t="s">
        <v>86</v>
      </c>
      <c r="B475" t="s">
        <v>79</v>
      </c>
      <c r="C475" t="s">
        <v>119</v>
      </c>
      <c r="D475" t="s">
        <v>119</v>
      </c>
      <c r="E475" t="s">
        <v>126</v>
      </c>
      <c r="F475" t="s">
        <v>132</v>
      </c>
      <c r="G475">
        <v>131</v>
      </c>
      <c r="H475" t="s">
        <v>67</v>
      </c>
      <c r="I475">
        <v>30752.02</v>
      </c>
      <c r="J475">
        <v>28308.649999999987</v>
      </c>
    </row>
    <row r="476" spans="1:10" x14ac:dyDescent="0.3">
      <c r="A476" t="s">
        <v>86</v>
      </c>
      <c r="B476" t="s">
        <v>79</v>
      </c>
      <c r="C476" t="s">
        <v>119</v>
      </c>
      <c r="D476" t="s">
        <v>119</v>
      </c>
      <c r="E476" t="s">
        <v>126</v>
      </c>
      <c r="F476" t="s">
        <v>132</v>
      </c>
      <c r="G476">
        <v>151</v>
      </c>
      <c r="H476" t="s">
        <v>20</v>
      </c>
      <c r="I476">
        <v>30960.320000000003</v>
      </c>
      <c r="J476">
        <v>30517.109999999993</v>
      </c>
    </row>
    <row r="477" spans="1:10" x14ac:dyDescent="0.3">
      <c r="A477" t="s">
        <v>86</v>
      </c>
      <c r="B477" t="s">
        <v>92</v>
      </c>
      <c r="C477" t="s">
        <v>121</v>
      </c>
      <c r="D477" t="s">
        <v>121</v>
      </c>
      <c r="E477" t="s">
        <v>127</v>
      </c>
      <c r="F477" t="s">
        <v>136</v>
      </c>
      <c r="G477">
        <v>418</v>
      </c>
      <c r="H477" t="s">
        <v>44</v>
      </c>
      <c r="I477">
        <v>0</v>
      </c>
      <c r="J477">
        <v>100098.05999999988</v>
      </c>
    </row>
    <row r="478" spans="1:10" x14ac:dyDescent="0.3">
      <c r="A478" t="s">
        <v>86</v>
      </c>
      <c r="B478" t="s">
        <v>92</v>
      </c>
      <c r="C478" t="s">
        <v>119</v>
      </c>
      <c r="D478" t="s">
        <v>122</v>
      </c>
      <c r="E478" t="s">
        <v>124</v>
      </c>
      <c r="F478" t="s">
        <v>136</v>
      </c>
      <c r="G478">
        <v>307</v>
      </c>
      <c r="H478" t="s">
        <v>19</v>
      </c>
      <c r="I478">
        <v>57451.829999999987</v>
      </c>
      <c r="J478">
        <v>72187.629999999961</v>
      </c>
    </row>
    <row r="479" spans="1:10" x14ac:dyDescent="0.3">
      <c r="A479" t="s">
        <v>86</v>
      </c>
      <c r="B479" t="s">
        <v>92</v>
      </c>
      <c r="C479" t="s">
        <v>119</v>
      </c>
      <c r="D479" t="s">
        <v>122</v>
      </c>
      <c r="E479" t="s">
        <v>127</v>
      </c>
      <c r="F479" t="s">
        <v>136</v>
      </c>
      <c r="G479">
        <v>411</v>
      </c>
      <c r="H479" t="s">
        <v>43</v>
      </c>
      <c r="I479">
        <v>107466.77</v>
      </c>
      <c r="J479">
        <v>79957.609999999986</v>
      </c>
    </row>
    <row r="480" spans="1:10" x14ac:dyDescent="0.3">
      <c r="A480" t="s">
        <v>86</v>
      </c>
      <c r="B480" t="s">
        <v>92</v>
      </c>
      <c r="C480" t="s">
        <v>119</v>
      </c>
      <c r="D480" t="s">
        <v>120</v>
      </c>
      <c r="E480" t="s">
        <v>125</v>
      </c>
      <c r="F480" t="s">
        <v>136</v>
      </c>
      <c r="G480">
        <v>213</v>
      </c>
      <c r="H480" t="s">
        <v>49</v>
      </c>
      <c r="I480">
        <v>68322.099999999991</v>
      </c>
      <c r="J480">
        <v>73325.530000000086</v>
      </c>
    </row>
    <row r="481" spans="1:10" x14ac:dyDescent="0.3">
      <c r="A481" t="s">
        <v>86</v>
      </c>
      <c r="B481" t="s">
        <v>92</v>
      </c>
      <c r="C481" t="s">
        <v>119</v>
      </c>
      <c r="D481" t="s">
        <v>120</v>
      </c>
      <c r="E481" t="s">
        <v>127</v>
      </c>
      <c r="F481" t="s">
        <v>136</v>
      </c>
      <c r="G481">
        <v>415</v>
      </c>
      <c r="H481" t="s">
        <v>47</v>
      </c>
      <c r="I481">
        <v>73868.539999999979</v>
      </c>
      <c r="J481">
        <v>64426.490000000034</v>
      </c>
    </row>
    <row r="482" spans="1:10" x14ac:dyDescent="0.3">
      <c r="A482" t="s">
        <v>86</v>
      </c>
      <c r="B482" t="s">
        <v>92</v>
      </c>
      <c r="C482" t="s">
        <v>119</v>
      </c>
      <c r="D482" t="s">
        <v>119</v>
      </c>
      <c r="E482" t="s">
        <v>124</v>
      </c>
      <c r="F482" t="s">
        <v>136</v>
      </c>
      <c r="G482">
        <v>306</v>
      </c>
      <c r="H482" t="s">
        <v>51</v>
      </c>
      <c r="I482">
        <v>75777.330000000016</v>
      </c>
      <c r="J482">
        <v>80962.240000000107</v>
      </c>
    </row>
    <row r="483" spans="1:10" x14ac:dyDescent="0.3">
      <c r="A483" t="s">
        <v>86</v>
      </c>
      <c r="B483" t="s">
        <v>92</v>
      </c>
      <c r="C483" t="s">
        <v>119</v>
      </c>
      <c r="D483" t="s">
        <v>119</v>
      </c>
      <c r="E483" t="s">
        <v>125</v>
      </c>
      <c r="F483" t="s">
        <v>136</v>
      </c>
      <c r="G483">
        <v>201</v>
      </c>
      <c r="H483" t="s">
        <v>45</v>
      </c>
      <c r="I483">
        <v>41877.130000000005</v>
      </c>
      <c r="J483">
        <v>47004.039999999943</v>
      </c>
    </row>
    <row r="484" spans="1:10" x14ac:dyDescent="0.3">
      <c r="A484" t="s">
        <v>86</v>
      </c>
      <c r="B484" t="s">
        <v>92</v>
      </c>
      <c r="C484" t="s">
        <v>119</v>
      </c>
      <c r="D484" t="s">
        <v>119</v>
      </c>
      <c r="E484" t="s">
        <v>125</v>
      </c>
      <c r="F484" t="s">
        <v>136</v>
      </c>
      <c r="G484">
        <v>204</v>
      </c>
      <c r="H484" t="s">
        <v>46</v>
      </c>
      <c r="I484">
        <v>71455</v>
      </c>
      <c r="J484">
        <v>51283.890000000043</v>
      </c>
    </row>
    <row r="485" spans="1:10" x14ac:dyDescent="0.3">
      <c r="A485" t="s">
        <v>86</v>
      </c>
      <c r="B485" t="s">
        <v>92</v>
      </c>
      <c r="C485" t="s">
        <v>119</v>
      </c>
      <c r="D485" t="s">
        <v>119</v>
      </c>
      <c r="E485" t="s">
        <v>126</v>
      </c>
      <c r="F485" t="s">
        <v>136</v>
      </c>
      <c r="G485">
        <v>102</v>
      </c>
      <c r="H485" t="s">
        <v>50</v>
      </c>
      <c r="I485">
        <v>80226.87000000001</v>
      </c>
      <c r="J485">
        <v>72456.700000000055</v>
      </c>
    </row>
    <row r="486" spans="1:10" x14ac:dyDescent="0.3">
      <c r="A486" t="s">
        <v>86</v>
      </c>
      <c r="B486" t="s">
        <v>93</v>
      </c>
      <c r="C486" t="s">
        <v>119</v>
      </c>
      <c r="D486" t="s">
        <v>119</v>
      </c>
      <c r="E486" t="s">
        <v>93</v>
      </c>
      <c r="F486" t="s">
        <v>93</v>
      </c>
      <c r="G486">
        <v>903</v>
      </c>
      <c r="H486" t="s">
        <v>37</v>
      </c>
      <c r="I486">
        <v>130076.40000000002</v>
      </c>
      <c r="J486">
        <v>62355.189999999959</v>
      </c>
    </row>
    <row r="487" spans="1:10" x14ac:dyDescent="0.3">
      <c r="A487" t="s">
        <v>86</v>
      </c>
      <c r="B487" t="s">
        <v>94</v>
      </c>
      <c r="C487" t="s">
        <v>121</v>
      </c>
      <c r="D487" t="s">
        <v>121</v>
      </c>
      <c r="E487" t="s">
        <v>124</v>
      </c>
      <c r="F487" t="s">
        <v>137</v>
      </c>
      <c r="G487" t="s">
        <v>112</v>
      </c>
      <c r="H487" t="s">
        <v>21</v>
      </c>
      <c r="I487">
        <v>0</v>
      </c>
      <c r="J487">
        <v>0</v>
      </c>
    </row>
    <row r="488" spans="1:10" x14ac:dyDescent="0.3">
      <c r="A488" t="s">
        <v>86</v>
      </c>
      <c r="B488" t="s">
        <v>94</v>
      </c>
      <c r="C488" t="s">
        <v>121</v>
      </c>
      <c r="D488" t="s">
        <v>121</v>
      </c>
      <c r="E488" t="s">
        <v>125</v>
      </c>
      <c r="F488" t="s">
        <v>138</v>
      </c>
      <c r="G488">
        <v>470</v>
      </c>
      <c r="H488" t="s">
        <v>26</v>
      </c>
      <c r="I488">
        <v>0</v>
      </c>
      <c r="J488">
        <v>0</v>
      </c>
    </row>
    <row r="489" spans="1:10" x14ac:dyDescent="0.3">
      <c r="A489" t="s">
        <v>86</v>
      </c>
      <c r="B489" t="s">
        <v>94</v>
      </c>
      <c r="C489" t="s">
        <v>121</v>
      </c>
      <c r="D489" t="s">
        <v>121</v>
      </c>
      <c r="E489" t="s">
        <v>125</v>
      </c>
      <c r="F489" t="s">
        <v>137</v>
      </c>
      <c r="G489" t="s">
        <v>114</v>
      </c>
      <c r="H489" t="s">
        <v>23</v>
      </c>
      <c r="I489">
        <v>0</v>
      </c>
      <c r="J489">
        <v>0</v>
      </c>
    </row>
    <row r="490" spans="1:10" x14ac:dyDescent="0.3">
      <c r="A490" t="s">
        <v>86</v>
      </c>
      <c r="B490" t="s">
        <v>94</v>
      </c>
      <c r="C490" t="s">
        <v>121</v>
      </c>
      <c r="D490" t="s">
        <v>121</v>
      </c>
      <c r="E490" t="s">
        <v>125</v>
      </c>
      <c r="F490" t="s">
        <v>137</v>
      </c>
      <c r="G490" t="s">
        <v>113</v>
      </c>
      <c r="H490" t="s">
        <v>22</v>
      </c>
      <c r="I490">
        <v>0</v>
      </c>
      <c r="J490">
        <v>0</v>
      </c>
    </row>
    <row r="491" spans="1:10" x14ac:dyDescent="0.3">
      <c r="A491" t="s">
        <v>86</v>
      </c>
      <c r="B491" t="s">
        <v>94</v>
      </c>
      <c r="C491" t="s">
        <v>121</v>
      </c>
      <c r="D491" t="s">
        <v>121</v>
      </c>
      <c r="E491" t="s">
        <v>127</v>
      </c>
      <c r="F491" t="s">
        <v>137</v>
      </c>
      <c r="G491">
        <v>494</v>
      </c>
      <c r="H491" t="s">
        <v>25</v>
      </c>
      <c r="I491">
        <v>0</v>
      </c>
      <c r="J491">
        <v>0</v>
      </c>
    </row>
    <row r="492" spans="1:10" x14ac:dyDescent="0.3">
      <c r="A492" t="s">
        <v>86</v>
      </c>
      <c r="B492" t="s">
        <v>94</v>
      </c>
      <c r="C492" t="s">
        <v>121</v>
      </c>
      <c r="D492" t="s">
        <v>121</v>
      </c>
      <c r="E492" t="s">
        <v>126</v>
      </c>
      <c r="F492" t="s">
        <v>137</v>
      </c>
      <c r="G492">
        <v>460</v>
      </c>
      <c r="H492" t="s">
        <v>30</v>
      </c>
      <c r="I492">
        <v>0</v>
      </c>
      <c r="J492">
        <v>0</v>
      </c>
    </row>
    <row r="493" spans="1:10" x14ac:dyDescent="0.3">
      <c r="A493" t="s">
        <v>86</v>
      </c>
      <c r="B493" t="s">
        <v>94</v>
      </c>
      <c r="C493" t="s">
        <v>121</v>
      </c>
      <c r="D493" t="s">
        <v>121</v>
      </c>
      <c r="E493" t="s">
        <v>126</v>
      </c>
      <c r="F493" t="s">
        <v>137</v>
      </c>
      <c r="G493">
        <v>461</v>
      </c>
      <c r="H493" t="s">
        <v>29</v>
      </c>
      <c r="I493">
        <v>0</v>
      </c>
      <c r="J493">
        <v>0</v>
      </c>
    </row>
    <row r="494" spans="1:10" x14ac:dyDescent="0.3">
      <c r="A494" t="s">
        <v>86</v>
      </c>
      <c r="B494" t="s">
        <v>94</v>
      </c>
      <c r="C494" t="s">
        <v>121</v>
      </c>
      <c r="D494" t="s">
        <v>119</v>
      </c>
      <c r="E494" t="s">
        <v>124</v>
      </c>
      <c r="F494" t="s">
        <v>138</v>
      </c>
      <c r="G494">
        <v>480</v>
      </c>
      <c r="H494" t="s">
        <v>28</v>
      </c>
      <c r="I494">
        <v>20700.329999999991</v>
      </c>
      <c r="J494">
        <v>34546.050000000003</v>
      </c>
    </row>
    <row r="495" spans="1:10" x14ac:dyDescent="0.3">
      <c r="A495" t="s">
        <v>86</v>
      </c>
      <c r="B495" t="s">
        <v>94</v>
      </c>
      <c r="C495" t="s">
        <v>121</v>
      </c>
      <c r="D495" t="s">
        <v>119</v>
      </c>
      <c r="E495" t="s">
        <v>127</v>
      </c>
      <c r="F495" t="s">
        <v>138</v>
      </c>
      <c r="G495">
        <v>491</v>
      </c>
      <c r="H495" t="s">
        <v>31</v>
      </c>
      <c r="I495">
        <v>0</v>
      </c>
      <c r="J495">
        <v>74218.220000000132</v>
      </c>
    </row>
    <row r="496" spans="1:10" x14ac:dyDescent="0.3">
      <c r="A496" t="s">
        <v>86</v>
      </c>
      <c r="B496" t="s">
        <v>94</v>
      </c>
      <c r="C496" t="s">
        <v>121</v>
      </c>
      <c r="D496" t="s">
        <v>119</v>
      </c>
      <c r="E496" t="s">
        <v>127</v>
      </c>
      <c r="F496" t="s">
        <v>138</v>
      </c>
      <c r="G496">
        <v>492</v>
      </c>
      <c r="H496" t="s">
        <v>27</v>
      </c>
      <c r="I496">
        <v>77241.439999999973</v>
      </c>
      <c r="J496">
        <v>39128.049999999974</v>
      </c>
    </row>
    <row r="497" spans="1:10" x14ac:dyDescent="0.3">
      <c r="A497" t="s">
        <v>86</v>
      </c>
      <c r="B497" t="s">
        <v>94</v>
      </c>
      <c r="C497" t="s">
        <v>121</v>
      </c>
      <c r="D497" t="s">
        <v>119</v>
      </c>
      <c r="E497" t="s">
        <v>127</v>
      </c>
      <c r="F497" t="s">
        <v>138</v>
      </c>
      <c r="G497">
        <v>493</v>
      </c>
      <c r="H497" t="s">
        <v>24</v>
      </c>
      <c r="I497">
        <v>0</v>
      </c>
      <c r="J497">
        <v>27587.929999999997</v>
      </c>
    </row>
    <row r="498" spans="1:10" x14ac:dyDescent="0.3">
      <c r="A498" t="s">
        <v>86</v>
      </c>
      <c r="B498" t="s">
        <v>95</v>
      </c>
      <c r="C498" t="s">
        <v>121</v>
      </c>
      <c r="D498" t="s">
        <v>121</v>
      </c>
      <c r="E498" t="s">
        <v>125</v>
      </c>
      <c r="F498" t="s">
        <v>139</v>
      </c>
      <c r="G498" t="s">
        <v>115</v>
      </c>
      <c r="H498" s="33" t="s">
        <v>71</v>
      </c>
      <c r="I498" s="33">
        <v>0</v>
      </c>
      <c r="J498" s="33">
        <v>0</v>
      </c>
    </row>
    <row r="499" spans="1:10" x14ac:dyDescent="0.3">
      <c r="A499" t="s">
        <v>86</v>
      </c>
      <c r="B499" t="s">
        <v>95</v>
      </c>
      <c r="C499" t="s">
        <v>121</v>
      </c>
      <c r="D499" t="s">
        <v>121</v>
      </c>
      <c r="E499" t="s">
        <v>126</v>
      </c>
      <c r="F499" t="s">
        <v>139</v>
      </c>
      <c r="G499">
        <v>510</v>
      </c>
      <c r="H499" t="s">
        <v>76</v>
      </c>
      <c r="I499">
        <v>0</v>
      </c>
      <c r="J499">
        <v>0</v>
      </c>
    </row>
    <row r="500" spans="1:10" x14ac:dyDescent="0.3">
      <c r="A500" t="s">
        <v>86</v>
      </c>
      <c r="B500" t="s">
        <v>95</v>
      </c>
      <c r="C500" t="s">
        <v>121</v>
      </c>
      <c r="D500" t="s">
        <v>119</v>
      </c>
      <c r="E500" t="s">
        <v>127</v>
      </c>
      <c r="F500" t="s">
        <v>140</v>
      </c>
      <c r="G500">
        <v>541</v>
      </c>
      <c r="H500" t="s">
        <v>74</v>
      </c>
      <c r="I500">
        <v>0</v>
      </c>
      <c r="J500">
        <v>27448.199999999961</v>
      </c>
    </row>
    <row r="501" spans="1:10" x14ac:dyDescent="0.3">
      <c r="A501" t="s">
        <v>86</v>
      </c>
      <c r="B501" t="s">
        <v>95</v>
      </c>
      <c r="C501" t="s">
        <v>121</v>
      </c>
      <c r="D501" t="s">
        <v>119</v>
      </c>
      <c r="E501" t="s">
        <v>127</v>
      </c>
      <c r="F501" t="s">
        <v>140</v>
      </c>
      <c r="G501">
        <v>543</v>
      </c>
      <c r="H501" t="s">
        <v>72</v>
      </c>
      <c r="I501">
        <v>35885.729999999996</v>
      </c>
      <c r="J501">
        <v>31111.169999999987</v>
      </c>
    </row>
    <row r="502" spans="1:10" x14ac:dyDescent="0.3">
      <c r="A502" t="s">
        <v>86</v>
      </c>
      <c r="B502" t="s">
        <v>95</v>
      </c>
      <c r="C502" t="s">
        <v>120</v>
      </c>
      <c r="D502" t="s">
        <v>119</v>
      </c>
      <c r="E502" t="s">
        <v>127</v>
      </c>
      <c r="F502" t="s">
        <v>140</v>
      </c>
      <c r="G502">
        <v>540</v>
      </c>
      <c r="H502" t="s">
        <v>73</v>
      </c>
      <c r="I502">
        <v>71488.399999999994</v>
      </c>
      <c r="J502">
        <v>106987.01999999996</v>
      </c>
    </row>
    <row r="503" spans="1:10" x14ac:dyDescent="0.3">
      <c r="A503" t="s">
        <v>86</v>
      </c>
      <c r="B503" t="s">
        <v>95</v>
      </c>
      <c r="C503" t="s">
        <v>119</v>
      </c>
      <c r="D503" t="s">
        <v>120</v>
      </c>
      <c r="E503" t="s">
        <v>124</v>
      </c>
      <c r="F503" t="s">
        <v>139</v>
      </c>
      <c r="G503">
        <v>530</v>
      </c>
      <c r="H503" t="s">
        <v>68</v>
      </c>
      <c r="I503">
        <v>29002.23</v>
      </c>
      <c r="J503">
        <v>25519.609999999986</v>
      </c>
    </row>
    <row r="504" spans="1:10" x14ac:dyDescent="0.3">
      <c r="A504" t="s">
        <v>86</v>
      </c>
      <c r="B504" t="s">
        <v>95</v>
      </c>
      <c r="C504" t="s">
        <v>119</v>
      </c>
      <c r="D504" t="s">
        <v>119</v>
      </c>
      <c r="E504" t="s">
        <v>125</v>
      </c>
      <c r="F504" t="s">
        <v>140</v>
      </c>
      <c r="G504">
        <v>520</v>
      </c>
      <c r="H504" t="s">
        <v>70</v>
      </c>
      <c r="I504">
        <v>50378.210000000006</v>
      </c>
      <c r="J504">
        <v>53245.35999999995</v>
      </c>
    </row>
    <row r="505" spans="1:10" x14ac:dyDescent="0.3">
      <c r="A505" t="s">
        <v>86</v>
      </c>
      <c r="B505" t="s">
        <v>95</v>
      </c>
      <c r="C505" t="s">
        <v>119</v>
      </c>
      <c r="D505" t="s">
        <v>119</v>
      </c>
      <c r="E505" t="s">
        <v>127</v>
      </c>
      <c r="F505" t="s">
        <v>139</v>
      </c>
      <c r="G505">
        <v>542</v>
      </c>
      <c r="H505" t="s">
        <v>69</v>
      </c>
      <c r="I505">
        <v>31657.34</v>
      </c>
      <c r="J505">
        <v>19915.240000000013</v>
      </c>
    </row>
    <row r="506" spans="1:10" x14ac:dyDescent="0.3">
      <c r="A506" t="s">
        <v>87</v>
      </c>
      <c r="B506" t="s">
        <v>79</v>
      </c>
      <c r="C506" t="s">
        <v>122</v>
      </c>
      <c r="D506" t="s">
        <v>122</v>
      </c>
      <c r="E506" t="s">
        <v>124</v>
      </c>
      <c r="F506" t="s">
        <v>129</v>
      </c>
      <c r="G506">
        <v>303</v>
      </c>
      <c r="H506" t="s">
        <v>1</v>
      </c>
      <c r="I506">
        <v>0</v>
      </c>
      <c r="J506">
        <v>0</v>
      </c>
    </row>
    <row r="507" spans="1:10" x14ac:dyDescent="0.3">
      <c r="A507" t="s">
        <v>87</v>
      </c>
      <c r="B507" t="s">
        <v>79</v>
      </c>
      <c r="C507" t="s">
        <v>122</v>
      </c>
      <c r="D507" t="s">
        <v>122</v>
      </c>
      <c r="E507" t="s">
        <v>125</v>
      </c>
      <c r="F507" t="s">
        <v>129</v>
      </c>
      <c r="G507">
        <v>205</v>
      </c>
      <c r="H507" t="s">
        <v>7</v>
      </c>
      <c r="I507">
        <v>0</v>
      </c>
      <c r="J507">
        <v>0</v>
      </c>
    </row>
    <row r="508" spans="1:10" x14ac:dyDescent="0.3">
      <c r="A508" t="s">
        <v>87</v>
      </c>
      <c r="B508" t="s">
        <v>79</v>
      </c>
      <c r="C508" t="s">
        <v>122</v>
      </c>
      <c r="D508" t="s">
        <v>122</v>
      </c>
      <c r="E508" t="s">
        <v>127</v>
      </c>
      <c r="F508" t="s">
        <v>129</v>
      </c>
      <c r="G508">
        <v>401</v>
      </c>
      <c r="H508" t="s">
        <v>5</v>
      </c>
      <c r="I508">
        <v>0</v>
      </c>
      <c r="J508">
        <v>0</v>
      </c>
    </row>
    <row r="509" spans="1:10" x14ac:dyDescent="0.3">
      <c r="A509" t="s">
        <v>87</v>
      </c>
      <c r="B509" t="s">
        <v>79</v>
      </c>
      <c r="C509" t="s">
        <v>122</v>
      </c>
      <c r="D509" t="s">
        <v>122</v>
      </c>
      <c r="E509" t="s">
        <v>127</v>
      </c>
      <c r="F509" t="s">
        <v>122</v>
      </c>
      <c r="G509">
        <v>408</v>
      </c>
      <c r="H509" t="s">
        <v>33</v>
      </c>
      <c r="I509">
        <v>0</v>
      </c>
      <c r="J509">
        <v>0</v>
      </c>
    </row>
    <row r="510" spans="1:10" x14ac:dyDescent="0.3">
      <c r="A510" t="s">
        <v>87</v>
      </c>
      <c r="B510" t="s">
        <v>79</v>
      </c>
      <c r="C510" t="s">
        <v>121</v>
      </c>
      <c r="D510" t="s">
        <v>121</v>
      </c>
      <c r="E510" t="s">
        <v>125</v>
      </c>
      <c r="F510" t="s">
        <v>129</v>
      </c>
      <c r="G510" t="s">
        <v>110</v>
      </c>
      <c r="H510" t="s">
        <v>64</v>
      </c>
      <c r="I510">
        <v>0</v>
      </c>
      <c r="J510">
        <v>0</v>
      </c>
    </row>
    <row r="511" spans="1:10" x14ac:dyDescent="0.3">
      <c r="A511" t="s">
        <v>87</v>
      </c>
      <c r="B511" t="s">
        <v>79</v>
      </c>
      <c r="C511" t="s">
        <v>121</v>
      </c>
      <c r="D511" t="s">
        <v>121</v>
      </c>
      <c r="E511" t="s">
        <v>127</v>
      </c>
      <c r="F511" t="s">
        <v>129</v>
      </c>
      <c r="G511" t="s">
        <v>109</v>
      </c>
      <c r="H511" s="33" t="s">
        <v>41</v>
      </c>
      <c r="I511" s="33">
        <v>0</v>
      </c>
      <c r="J511" s="33">
        <v>0</v>
      </c>
    </row>
    <row r="512" spans="1:10" x14ac:dyDescent="0.3">
      <c r="A512" t="s">
        <v>87</v>
      </c>
      <c r="B512" t="s">
        <v>79</v>
      </c>
      <c r="C512" t="s">
        <v>120</v>
      </c>
      <c r="D512" t="s">
        <v>120</v>
      </c>
      <c r="E512" t="s">
        <v>124</v>
      </c>
      <c r="F512" t="s">
        <v>129</v>
      </c>
      <c r="G512">
        <v>304</v>
      </c>
      <c r="H512" t="s">
        <v>61</v>
      </c>
      <c r="I512">
        <v>69956.589999999967</v>
      </c>
      <c r="J512">
        <v>75093.410000000018</v>
      </c>
    </row>
    <row r="513" spans="1:10" x14ac:dyDescent="0.3">
      <c r="A513" t="s">
        <v>87</v>
      </c>
      <c r="B513" t="s">
        <v>79</v>
      </c>
      <c r="C513" t="s">
        <v>120</v>
      </c>
      <c r="D513" t="s">
        <v>120</v>
      </c>
      <c r="E513" t="s">
        <v>125</v>
      </c>
      <c r="F513" t="s">
        <v>133</v>
      </c>
      <c r="G513">
        <v>208</v>
      </c>
      <c r="H513" t="s">
        <v>36</v>
      </c>
      <c r="I513">
        <v>52391.969999999979</v>
      </c>
      <c r="J513">
        <v>65939.419999999955</v>
      </c>
    </row>
    <row r="514" spans="1:10" x14ac:dyDescent="0.3">
      <c r="A514" t="s">
        <v>87</v>
      </c>
      <c r="B514" t="s">
        <v>79</v>
      </c>
      <c r="C514" t="s">
        <v>120</v>
      </c>
      <c r="D514" t="s">
        <v>120</v>
      </c>
      <c r="E514" t="s">
        <v>125</v>
      </c>
      <c r="F514" t="s">
        <v>133</v>
      </c>
      <c r="G514">
        <v>209</v>
      </c>
      <c r="H514" t="s">
        <v>35</v>
      </c>
      <c r="I514">
        <v>27352.62</v>
      </c>
      <c r="J514">
        <v>45247.75999999998</v>
      </c>
    </row>
    <row r="515" spans="1:10" x14ac:dyDescent="0.3">
      <c r="A515" t="s">
        <v>87</v>
      </c>
      <c r="B515" t="s">
        <v>79</v>
      </c>
      <c r="C515" t="s">
        <v>120</v>
      </c>
      <c r="D515" t="s">
        <v>120</v>
      </c>
      <c r="E515" t="s">
        <v>125</v>
      </c>
      <c r="F515" t="s">
        <v>129</v>
      </c>
      <c r="G515">
        <v>202</v>
      </c>
      <c r="H515" t="s">
        <v>4</v>
      </c>
      <c r="I515">
        <v>79886.689999999959</v>
      </c>
      <c r="J515">
        <v>108410.29</v>
      </c>
    </row>
    <row r="516" spans="1:10" x14ac:dyDescent="0.3">
      <c r="A516" t="s">
        <v>87</v>
      </c>
      <c r="B516" t="s">
        <v>79</v>
      </c>
      <c r="C516" t="s">
        <v>120</v>
      </c>
      <c r="D516" t="s">
        <v>120</v>
      </c>
      <c r="E516" t="s">
        <v>127</v>
      </c>
      <c r="F516" t="s">
        <v>133</v>
      </c>
      <c r="G516">
        <v>404</v>
      </c>
      <c r="H516" t="s">
        <v>15</v>
      </c>
      <c r="I516">
        <v>60138.239999999991</v>
      </c>
      <c r="J516">
        <v>43377.35</v>
      </c>
    </row>
    <row r="517" spans="1:10" x14ac:dyDescent="0.3">
      <c r="A517" t="s">
        <v>87</v>
      </c>
      <c r="B517" t="s">
        <v>79</v>
      </c>
      <c r="C517" t="s">
        <v>120</v>
      </c>
      <c r="D517" t="s">
        <v>119</v>
      </c>
      <c r="E517" t="s">
        <v>124</v>
      </c>
      <c r="F517" t="s">
        <v>134</v>
      </c>
      <c r="G517">
        <v>310</v>
      </c>
      <c r="H517" t="s">
        <v>63</v>
      </c>
      <c r="I517">
        <v>24121.789999999997</v>
      </c>
      <c r="J517">
        <v>73896.549999999959</v>
      </c>
    </row>
    <row r="518" spans="1:10" x14ac:dyDescent="0.3">
      <c r="A518" t="s">
        <v>87</v>
      </c>
      <c r="B518" t="s">
        <v>79</v>
      </c>
      <c r="C518" t="s">
        <v>120</v>
      </c>
      <c r="D518" t="s">
        <v>119</v>
      </c>
      <c r="E518" t="s">
        <v>125</v>
      </c>
      <c r="F518" t="s">
        <v>134</v>
      </c>
      <c r="G518">
        <v>206</v>
      </c>
      <c r="H518" t="s">
        <v>18</v>
      </c>
      <c r="I518">
        <v>105040.54</v>
      </c>
      <c r="J518">
        <v>140612.63</v>
      </c>
    </row>
    <row r="519" spans="1:10" x14ac:dyDescent="0.3">
      <c r="A519" t="s">
        <v>87</v>
      </c>
      <c r="B519" t="s">
        <v>79</v>
      </c>
      <c r="C519" t="s">
        <v>120</v>
      </c>
      <c r="D519" t="s">
        <v>119</v>
      </c>
      <c r="E519" t="s">
        <v>125</v>
      </c>
      <c r="F519" t="s">
        <v>132</v>
      </c>
      <c r="G519">
        <v>210</v>
      </c>
      <c r="H519" t="s">
        <v>2</v>
      </c>
      <c r="I519">
        <v>56065.859999999993</v>
      </c>
      <c r="J519">
        <v>70595.590000000069</v>
      </c>
    </row>
    <row r="520" spans="1:10" x14ac:dyDescent="0.3">
      <c r="A520" t="s">
        <v>87</v>
      </c>
      <c r="B520" t="s">
        <v>79</v>
      </c>
      <c r="C520" t="s">
        <v>120</v>
      </c>
      <c r="D520" t="s">
        <v>119</v>
      </c>
      <c r="E520" t="s">
        <v>127</v>
      </c>
      <c r="F520" t="s">
        <v>131</v>
      </c>
      <c r="G520">
        <v>417</v>
      </c>
      <c r="H520" t="s">
        <v>54</v>
      </c>
      <c r="I520">
        <v>110699.69999999998</v>
      </c>
      <c r="J520">
        <v>142959.53999999992</v>
      </c>
    </row>
    <row r="521" spans="1:10" x14ac:dyDescent="0.3">
      <c r="A521" t="s">
        <v>87</v>
      </c>
      <c r="B521" t="s">
        <v>79</v>
      </c>
      <c r="C521" t="s">
        <v>119</v>
      </c>
      <c r="D521" t="s">
        <v>122</v>
      </c>
      <c r="E521" t="s">
        <v>127</v>
      </c>
      <c r="F521" t="s">
        <v>132</v>
      </c>
      <c r="G521">
        <v>416</v>
      </c>
      <c r="H521" t="s">
        <v>66</v>
      </c>
      <c r="I521">
        <v>39860.74</v>
      </c>
      <c r="J521">
        <v>53022.7</v>
      </c>
    </row>
    <row r="522" spans="1:10" x14ac:dyDescent="0.3">
      <c r="A522" t="s">
        <v>87</v>
      </c>
      <c r="B522" t="s">
        <v>79</v>
      </c>
      <c r="C522" t="s">
        <v>119</v>
      </c>
      <c r="D522" t="s">
        <v>120</v>
      </c>
      <c r="E522" t="s">
        <v>124</v>
      </c>
      <c r="F522" t="s">
        <v>134</v>
      </c>
      <c r="G522">
        <v>308</v>
      </c>
      <c r="H522" t="s">
        <v>0</v>
      </c>
      <c r="I522">
        <v>69755.209999999977</v>
      </c>
      <c r="J522">
        <v>65079.250000000044</v>
      </c>
    </row>
    <row r="523" spans="1:10" x14ac:dyDescent="0.3">
      <c r="A523" t="s">
        <v>87</v>
      </c>
      <c r="B523" t="s">
        <v>79</v>
      </c>
      <c r="C523" t="s">
        <v>119</v>
      </c>
      <c r="D523" t="s">
        <v>120</v>
      </c>
      <c r="E523" t="s">
        <v>127</v>
      </c>
      <c r="F523" t="s">
        <v>129</v>
      </c>
      <c r="G523">
        <v>402</v>
      </c>
      <c r="H523" t="s">
        <v>9</v>
      </c>
      <c r="I523">
        <v>54327.139999999985</v>
      </c>
      <c r="J523">
        <v>54039.919999999976</v>
      </c>
    </row>
    <row r="524" spans="1:10" x14ac:dyDescent="0.3">
      <c r="A524" t="s">
        <v>87</v>
      </c>
      <c r="B524" t="s">
        <v>79</v>
      </c>
      <c r="C524" t="s">
        <v>119</v>
      </c>
      <c r="D524" t="s">
        <v>120</v>
      </c>
      <c r="E524" t="s">
        <v>127</v>
      </c>
      <c r="F524" t="s">
        <v>129</v>
      </c>
      <c r="G524">
        <v>406</v>
      </c>
      <c r="H524" t="s">
        <v>57</v>
      </c>
      <c r="I524">
        <v>39274.560000000005</v>
      </c>
      <c r="J524">
        <v>41348.169999999991</v>
      </c>
    </row>
    <row r="525" spans="1:10" x14ac:dyDescent="0.3">
      <c r="A525" t="s">
        <v>87</v>
      </c>
      <c r="B525" t="s">
        <v>79</v>
      </c>
      <c r="C525" t="s">
        <v>119</v>
      </c>
      <c r="D525" t="s">
        <v>120</v>
      </c>
      <c r="E525" t="s">
        <v>127</v>
      </c>
      <c r="F525" t="s">
        <v>135</v>
      </c>
      <c r="G525">
        <v>414</v>
      </c>
      <c r="H525" t="s">
        <v>65</v>
      </c>
      <c r="I525">
        <v>432221.0999999998</v>
      </c>
      <c r="J525">
        <v>515771.43000000226</v>
      </c>
    </row>
    <row r="526" spans="1:10" x14ac:dyDescent="0.3">
      <c r="A526" t="s">
        <v>87</v>
      </c>
      <c r="B526" t="s">
        <v>79</v>
      </c>
      <c r="C526" t="s">
        <v>119</v>
      </c>
      <c r="D526" t="s">
        <v>119</v>
      </c>
      <c r="E526" t="s">
        <v>124</v>
      </c>
      <c r="F526" t="s">
        <v>131</v>
      </c>
      <c r="G526">
        <v>309</v>
      </c>
      <c r="H526" t="s">
        <v>52</v>
      </c>
      <c r="I526">
        <v>255725.45999999996</v>
      </c>
      <c r="J526">
        <v>352680.1100000015</v>
      </c>
    </row>
    <row r="527" spans="1:10" x14ac:dyDescent="0.3">
      <c r="A527" t="s">
        <v>87</v>
      </c>
      <c r="B527" t="s">
        <v>79</v>
      </c>
      <c r="C527" t="s">
        <v>119</v>
      </c>
      <c r="D527" t="s">
        <v>119</v>
      </c>
      <c r="E527" t="s">
        <v>124</v>
      </c>
      <c r="F527" t="s">
        <v>130</v>
      </c>
      <c r="G527">
        <v>305</v>
      </c>
      <c r="H527" t="s">
        <v>6</v>
      </c>
      <c r="I527">
        <v>180852.11999999994</v>
      </c>
      <c r="J527">
        <v>222848.35000000044</v>
      </c>
    </row>
    <row r="528" spans="1:10" x14ac:dyDescent="0.3">
      <c r="A528" t="s">
        <v>87</v>
      </c>
      <c r="B528" t="s">
        <v>79</v>
      </c>
      <c r="C528" t="s">
        <v>119</v>
      </c>
      <c r="D528" t="s">
        <v>119</v>
      </c>
      <c r="E528" t="s">
        <v>124</v>
      </c>
      <c r="F528" t="s">
        <v>134</v>
      </c>
      <c r="G528">
        <v>302</v>
      </c>
      <c r="H528" t="s">
        <v>32</v>
      </c>
      <c r="I528">
        <v>123949.23</v>
      </c>
      <c r="J528">
        <v>145958.08000000016</v>
      </c>
    </row>
    <row r="529" spans="1:10" x14ac:dyDescent="0.3">
      <c r="A529" t="s">
        <v>87</v>
      </c>
      <c r="B529" t="s">
        <v>79</v>
      </c>
      <c r="C529" t="s">
        <v>119</v>
      </c>
      <c r="D529" t="s">
        <v>119</v>
      </c>
      <c r="E529" t="s">
        <v>124</v>
      </c>
      <c r="F529" t="s">
        <v>129</v>
      </c>
      <c r="G529">
        <v>301</v>
      </c>
      <c r="H529" t="s">
        <v>59</v>
      </c>
      <c r="I529">
        <v>71054.049999999988</v>
      </c>
      <c r="J529">
        <v>78747.749999999927</v>
      </c>
    </row>
    <row r="530" spans="1:10" x14ac:dyDescent="0.3">
      <c r="A530" t="s">
        <v>87</v>
      </c>
      <c r="B530" t="s">
        <v>79</v>
      </c>
      <c r="C530" t="s">
        <v>119</v>
      </c>
      <c r="D530" t="s">
        <v>119</v>
      </c>
      <c r="E530" t="s">
        <v>124</v>
      </c>
      <c r="F530" t="s">
        <v>129</v>
      </c>
      <c r="G530">
        <v>311</v>
      </c>
      <c r="H530" t="s">
        <v>13</v>
      </c>
      <c r="I530">
        <v>69921.049999999988</v>
      </c>
      <c r="J530">
        <v>83338.309999999954</v>
      </c>
    </row>
    <row r="531" spans="1:10" x14ac:dyDescent="0.3">
      <c r="A531" t="s">
        <v>87</v>
      </c>
      <c r="B531" t="s">
        <v>79</v>
      </c>
      <c r="C531" t="s">
        <v>119</v>
      </c>
      <c r="D531" t="s">
        <v>119</v>
      </c>
      <c r="E531" t="s">
        <v>125</v>
      </c>
      <c r="F531" t="s">
        <v>131</v>
      </c>
      <c r="G531">
        <v>211</v>
      </c>
      <c r="H531" t="s">
        <v>8</v>
      </c>
      <c r="I531">
        <v>272748.00999999989</v>
      </c>
      <c r="J531">
        <v>359367.37000000174</v>
      </c>
    </row>
    <row r="532" spans="1:10" x14ac:dyDescent="0.3">
      <c r="A532" t="s">
        <v>87</v>
      </c>
      <c r="B532" t="s">
        <v>79</v>
      </c>
      <c r="C532" t="s">
        <v>119</v>
      </c>
      <c r="D532" t="s">
        <v>119</v>
      </c>
      <c r="E532" t="s">
        <v>125</v>
      </c>
      <c r="F532" t="s">
        <v>130</v>
      </c>
      <c r="G532">
        <v>207</v>
      </c>
      <c r="H532" t="s">
        <v>53</v>
      </c>
      <c r="I532">
        <v>168150.88</v>
      </c>
      <c r="J532">
        <v>267293.78000000096</v>
      </c>
    </row>
    <row r="533" spans="1:10" x14ac:dyDescent="0.3">
      <c r="A533" t="s">
        <v>87</v>
      </c>
      <c r="B533" t="s">
        <v>79</v>
      </c>
      <c r="C533" t="s">
        <v>119</v>
      </c>
      <c r="D533" t="s">
        <v>119</v>
      </c>
      <c r="E533" t="s">
        <v>125</v>
      </c>
      <c r="F533" t="s">
        <v>133</v>
      </c>
      <c r="G533">
        <v>203</v>
      </c>
      <c r="H533" t="s">
        <v>60</v>
      </c>
      <c r="I533">
        <v>69673.42</v>
      </c>
      <c r="J533">
        <v>108168.78999999992</v>
      </c>
    </row>
    <row r="534" spans="1:10" x14ac:dyDescent="0.3">
      <c r="A534" t="s">
        <v>87</v>
      </c>
      <c r="B534" t="s">
        <v>79</v>
      </c>
      <c r="C534" t="s">
        <v>119</v>
      </c>
      <c r="D534" t="s">
        <v>119</v>
      </c>
      <c r="E534" t="s">
        <v>125</v>
      </c>
      <c r="F534" t="s">
        <v>133</v>
      </c>
      <c r="G534">
        <v>212</v>
      </c>
      <c r="H534" t="s">
        <v>62</v>
      </c>
      <c r="I534">
        <v>64762.89</v>
      </c>
      <c r="J534">
        <v>115662.23999999992</v>
      </c>
    </row>
    <row r="535" spans="1:10" x14ac:dyDescent="0.3">
      <c r="A535" t="s">
        <v>87</v>
      </c>
      <c r="B535" t="s">
        <v>79</v>
      </c>
      <c r="C535" t="s">
        <v>119</v>
      </c>
      <c r="D535" t="s">
        <v>119</v>
      </c>
      <c r="E535" t="s">
        <v>125</v>
      </c>
      <c r="F535" t="s">
        <v>134</v>
      </c>
      <c r="G535">
        <v>190</v>
      </c>
      <c r="H535" t="s">
        <v>42</v>
      </c>
      <c r="I535">
        <v>101721.26999999999</v>
      </c>
      <c r="J535">
        <v>138514.91000000015</v>
      </c>
    </row>
    <row r="536" spans="1:10" x14ac:dyDescent="0.3">
      <c r="A536" t="s">
        <v>87</v>
      </c>
      <c r="B536" t="s">
        <v>79</v>
      </c>
      <c r="C536" t="s">
        <v>119</v>
      </c>
      <c r="D536" t="s">
        <v>119</v>
      </c>
      <c r="E536" t="s">
        <v>125</v>
      </c>
      <c r="F536" t="s">
        <v>134</v>
      </c>
      <c r="G536">
        <v>214</v>
      </c>
      <c r="H536" t="s">
        <v>17</v>
      </c>
      <c r="I536">
        <v>78366.650000000009</v>
      </c>
      <c r="J536">
        <v>120555.47000000002</v>
      </c>
    </row>
    <row r="537" spans="1:10" x14ac:dyDescent="0.3">
      <c r="A537" t="s">
        <v>87</v>
      </c>
      <c r="B537" t="s">
        <v>79</v>
      </c>
      <c r="C537" t="s">
        <v>119</v>
      </c>
      <c r="D537" t="s">
        <v>119</v>
      </c>
      <c r="E537" t="s">
        <v>127</v>
      </c>
      <c r="F537" t="s">
        <v>130</v>
      </c>
      <c r="G537">
        <v>407</v>
      </c>
      <c r="H537" t="s">
        <v>34</v>
      </c>
      <c r="I537">
        <v>183761.69999999995</v>
      </c>
      <c r="J537">
        <v>263339.09000000049</v>
      </c>
    </row>
    <row r="538" spans="1:10" x14ac:dyDescent="0.3">
      <c r="A538" t="s">
        <v>87</v>
      </c>
      <c r="B538" t="s">
        <v>79</v>
      </c>
      <c r="C538" t="s">
        <v>119</v>
      </c>
      <c r="D538" t="s">
        <v>119</v>
      </c>
      <c r="E538" t="s">
        <v>127</v>
      </c>
      <c r="F538" t="s">
        <v>130</v>
      </c>
      <c r="G538">
        <v>413</v>
      </c>
      <c r="H538" t="s">
        <v>14</v>
      </c>
      <c r="I538">
        <v>210868.24999999994</v>
      </c>
      <c r="J538">
        <v>243138.04000000059</v>
      </c>
    </row>
    <row r="539" spans="1:10" x14ac:dyDescent="0.3">
      <c r="A539" t="s">
        <v>87</v>
      </c>
      <c r="B539" t="s">
        <v>79</v>
      </c>
      <c r="C539" t="s">
        <v>119</v>
      </c>
      <c r="D539" t="s">
        <v>119</v>
      </c>
      <c r="E539" t="s">
        <v>127</v>
      </c>
      <c r="F539" t="s">
        <v>133</v>
      </c>
      <c r="G539">
        <v>412</v>
      </c>
      <c r="H539" t="s">
        <v>11</v>
      </c>
      <c r="I539">
        <v>87056.56</v>
      </c>
      <c r="J539">
        <v>115859.30999999998</v>
      </c>
    </row>
    <row r="540" spans="1:10" x14ac:dyDescent="0.3">
      <c r="A540" t="s">
        <v>87</v>
      </c>
      <c r="B540" t="s">
        <v>79</v>
      </c>
      <c r="C540" t="s">
        <v>119</v>
      </c>
      <c r="D540" t="s">
        <v>119</v>
      </c>
      <c r="E540" t="s">
        <v>127</v>
      </c>
      <c r="F540" t="s">
        <v>134</v>
      </c>
      <c r="G540">
        <v>403</v>
      </c>
      <c r="H540" t="s">
        <v>12</v>
      </c>
      <c r="I540">
        <v>113980.59000000001</v>
      </c>
      <c r="J540">
        <v>124377.05000000008</v>
      </c>
    </row>
    <row r="541" spans="1:10" x14ac:dyDescent="0.3">
      <c r="A541" t="s">
        <v>87</v>
      </c>
      <c r="B541" t="s">
        <v>79</v>
      </c>
      <c r="C541" t="s">
        <v>119</v>
      </c>
      <c r="D541" t="s">
        <v>119</v>
      </c>
      <c r="E541" t="s">
        <v>127</v>
      </c>
      <c r="F541" t="s">
        <v>129</v>
      </c>
      <c r="G541">
        <v>409</v>
      </c>
      <c r="H541" t="s">
        <v>58</v>
      </c>
      <c r="I541">
        <v>91904.320000000022</v>
      </c>
      <c r="J541">
        <v>83583.420000000115</v>
      </c>
    </row>
    <row r="542" spans="1:10" x14ac:dyDescent="0.3">
      <c r="A542" t="s">
        <v>87</v>
      </c>
      <c r="B542" t="s">
        <v>79</v>
      </c>
      <c r="C542" t="s">
        <v>119</v>
      </c>
      <c r="D542" t="s">
        <v>119</v>
      </c>
      <c r="E542" t="s">
        <v>127</v>
      </c>
      <c r="F542" t="s">
        <v>129</v>
      </c>
      <c r="G542">
        <v>410</v>
      </c>
      <c r="H542" t="s">
        <v>40</v>
      </c>
      <c r="I542">
        <v>55937.409999999996</v>
      </c>
      <c r="J542">
        <v>56737.55000000001</v>
      </c>
    </row>
    <row r="543" spans="1:10" x14ac:dyDescent="0.3">
      <c r="A543" t="s">
        <v>87</v>
      </c>
      <c r="B543" t="s">
        <v>79</v>
      </c>
      <c r="C543" t="s">
        <v>119</v>
      </c>
      <c r="D543" t="s">
        <v>119</v>
      </c>
      <c r="E543" t="s">
        <v>126</v>
      </c>
      <c r="F543" t="s">
        <v>130</v>
      </c>
      <c r="G543">
        <v>101</v>
      </c>
      <c r="H543" t="s">
        <v>10</v>
      </c>
      <c r="I543">
        <v>176175.66999999995</v>
      </c>
      <c r="J543">
        <v>246967.59000000113</v>
      </c>
    </row>
    <row r="544" spans="1:10" x14ac:dyDescent="0.3">
      <c r="A544" t="s">
        <v>87</v>
      </c>
      <c r="B544" t="s">
        <v>79</v>
      </c>
      <c r="C544" t="s">
        <v>119</v>
      </c>
      <c r="D544" t="s">
        <v>119</v>
      </c>
      <c r="E544" t="s">
        <v>126</v>
      </c>
      <c r="F544" t="s">
        <v>130</v>
      </c>
      <c r="G544">
        <v>150</v>
      </c>
      <c r="H544" t="s">
        <v>3</v>
      </c>
      <c r="I544">
        <v>165212.55999999994</v>
      </c>
      <c r="J544">
        <v>215353.31000000046</v>
      </c>
    </row>
    <row r="545" spans="1:10" x14ac:dyDescent="0.3">
      <c r="A545" t="s">
        <v>87</v>
      </c>
      <c r="B545" t="s">
        <v>79</v>
      </c>
      <c r="C545" t="s">
        <v>119</v>
      </c>
      <c r="D545" t="s">
        <v>119</v>
      </c>
      <c r="E545" t="s">
        <v>126</v>
      </c>
      <c r="F545" t="s">
        <v>134</v>
      </c>
      <c r="G545">
        <v>170</v>
      </c>
      <c r="H545" t="s">
        <v>56</v>
      </c>
      <c r="I545">
        <v>100350.15</v>
      </c>
      <c r="J545">
        <v>136201.94</v>
      </c>
    </row>
    <row r="546" spans="1:10" x14ac:dyDescent="0.3">
      <c r="A546" t="s">
        <v>87</v>
      </c>
      <c r="B546" t="s">
        <v>79</v>
      </c>
      <c r="C546" t="s">
        <v>119</v>
      </c>
      <c r="D546" t="s">
        <v>119</v>
      </c>
      <c r="E546" t="s">
        <v>126</v>
      </c>
      <c r="F546" t="s">
        <v>132</v>
      </c>
      <c r="G546">
        <v>131</v>
      </c>
      <c r="H546" t="s">
        <v>67</v>
      </c>
      <c r="I546">
        <v>56983.380000000005</v>
      </c>
      <c r="J546">
        <v>63604.279999999962</v>
      </c>
    </row>
    <row r="547" spans="1:10" x14ac:dyDescent="0.3">
      <c r="A547" t="s">
        <v>87</v>
      </c>
      <c r="B547" t="s">
        <v>79</v>
      </c>
      <c r="C547" t="s">
        <v>119</v>
      </c>
      <c r="D547" t="s">
        <v>119</v>
      </c>
      <c r="E547" t="s">
        <v>126</v>
      </c>
      <c r="F547" t="s">
        <v>132</v>
      </c>
      <c r="G547">
        <v>151</v>
      </c>
      <c r="H547" t="s">
        <v>20</v>
      </c>
      <c r="I547">
        <v>54810.710000000006</v>
      </c>
      <c r="J547">
        <v>61822.620000000024</v>
      </c>
    </row>
    <row r="548" spans="1:10" x14ac:dyDescent="0.3">
      <c r="A548" t="s">
        <v>87</v>
      </c>
      <c r="B548" t="s">
        <v>92</v>
      </c>
      <c r="C548" t="s">
        <v>121</v>
      </c>
      <c r="D548" t="s">
        <v>121</v>
      </c>
      <c r="E548" t="s">
        <v>124</v>
      </c>
      <c r="F548" t="s">
        <v>136</v>
      </c>
      <c r="G548" t="s">
        <v>111</v>
      </c>
      <c r="H548" s="33" t="s">
        <v>48</v>
      </c>
      <c r="I548" s="33">
        <v>0</v>
      </c>
      <c r="J548" s="33">
        <v>0</v>
      </c>
    </row>
    <row r="549" spans="1:10" x14ac:dyDescent="0.3">
      <c r="A549" t="s">
        <v>87</v>
      </c>
      <c r="B549" t="s">
        <v>92</v>
      </c>
      <c r="C549" t="s">
        <v>121</v>
      </c>
      <c r="D549" t="s">
        <v>121</v>
      </c>
      <c r="E549" t="s">
        <v>127</v>
      </c>
      <c r="F549" t="s">
        <v>136</v>
      </c>
      <c r="G549">
        <v>418</v>
      </c>
      <c r="H549" t="s">
        <v>44</v>
      </c>
      <c r="I549">
        <v>0</v>
      </c>
      <c r="J549">
        <v>162173.34999999998</v>
      </c>
    </row>
    <row r="550" spans="1:10" x14ac:dyDescent="0.3">
      <c r="A550" t="s">
        <v>87</v>
      </c>
      <c r="B550" t="s">
        <v>92</v>
      </c>
      <c r="C550" t="s">
        <v>119</v>
      </c>
      <c r="D550" t="s">
        <v>122</v>
      </c>
      <c r="E550" t="s">
        <v>124</v>
      </c>
      <c r="F550" t="s">
        <v>136</v>
      </c>
      <c r="G550">
        <v>307</v>
      </c>
      <c r="H550" t="s">
        <v>19</v>
      </c>
      <c r="I550">
        <v>93370.98000000001</v>
      </c>
      <c r="J550">
        <v>120705.11000000026</v>
      </c>
    </row>
    <row r="551" spans="1:10" x14ac:dyDescent="0.3">
      <c r="A551" t="s">
        <v>87</v>
      </c>
      <c r="B551" t="s">
        <v>92</v>
      </c>
      <c r="C551" t="s">
        <v>119</v>
      </c>
      <c r="D551" t="s">
        <v>122</v>
      </c>
      <c r="E551" t="s">
        <v>127</v>
      </c>
      <c r="F551" t="s">
        <v>136</v>
      </c>
      <c r="G551">
        <v>411</v>
      </c>
      <c r="H551" t="s">
        <v>43</v>
      </c>
      <c r="I551">
        <v>122406.73000000001</v>
      </c>
      <c r="J551">
        <v>127599.82000000012</v>
      </c>
    </row>
    <row r="552" spans="1:10" x14ac:dyDescent="0.3">
      <c r="A552" t="s">
        <v>87</v>
      </c>
      <c r="B552" t="s">
        <v>92</v>
      </c>
      <c r="C552" t="s">
        <v>119</v>
      </c>
      <c r="D552" t="s">
        <v>120</v>
      </c>
      <c r="E552" t="s">
        <v>125</v>
      </c>
      <c r="F552" t="s">
        <v>136</v>
      </c>
      <c r="G552">
        <v>213</v>
      </c>
      <c r="H552" t="s">
        <v>49</v>
      </c>
      <c r="I552">
        <v>93273.039999999979</v>
      </c>
      <c r="J552">
        <v>143733.60000000003</v>
      </c>
    </row>
    <row r="553" spans="1:10" x14ac:dyDescent="0.3">
      <c r="A553" t="s">
        <v>87</v>
      </c>
      <c r="B553" t="s">
        <v>92</v>
      </c>
      <c r="C553" t="s">
        <v>119</v>
      </c>
      <c r="D553" t="s">
        <v>120</v>
      </c>
      <c r="E553" t="s">
        <v>127</v>
      </c>
      <c r="F553" t="s">
        <v>136</v>
      </c>
      <c r="G553">
        <v>415</v>
      </c>
      <c r="H553" t="s">
        <v>47</v>
      </c>
      <c r="I553">
        <v>102243.32999999999</v>
      </c>
      <c r="J553">
        <v>118946.09999999995</v>
      </c>
    </row>
    <row r="554" spans="1:10" x14ac:dyDescent="0.3">
      <c r="A554" t="s">
        <v>87</v>
      </c>
      <c r="B554" t="s">
        <v>92</v>
      </c>
      <c r="C554" t="s">
        <v>119</v>
      </c>
      <c r="D554" t="s">
        <v>119</v>
      </c>
      <c r="E554" t="s">
        <v>124</v>
      </c>
      <c r="F554" t="s">
        <v>136</v>
      </c>
      <c r="G554">
        <v>306</v>
      </c>
      <c r="H554" t="s">
        <v>51</v>
      </c>
      <c r="I554">
        <v>111130.9</v>
      </c>
      <c r="J554">
        <v>142105.9000000002</v>
      </c>
    </row>
    <row r="555" spans="1:10" x14ac:dyDescent="0.3">
      <c r="A555" t="s">
        <v>87</v>
      </c>
      <c r="B555" t="s">
        <v>92</v>
      </c>
      <c r="C555" t="s">
        <v>119</v>
      </c>
      <c r="D555" t="s">
        <v>119</v>
      </c>
      <c r="E555" t="s">
        <v>125</v>
      </c>
      <c r="F555" t="s">
        <v>136</v>
      </c>
      <c r="G555">
        <v>201</v>
      </c>
      <c r="H555" t="s">
        <v>45</v>
      </c>
      <c r="I555">
        <v>66435.569999999992</v>
      </c>
      <c r="J555">
        <v>98005.470000000045</v>
      </c>
    </row>
    <row r="556" spans="1:10" x14ac:dyDescent="0.3">
      <c r="A556" t="s">
        <v>87</v>
      </c>
      <c r="B556" t="s">
        <v>92</v>
      </c>
      <c r="C556" t="s">
        <v>119</v>
      </c>
      <c r="D556" t="s">
        <v>119</v>
      </c>
      <c r="E556" t="s">
        <v>125</v>
      </c>
      <c r="F556" t="s">
        <v>136</v>
      </c>
      <c r="G556">
        <v>204</v>
      </c>
      <c r="H556" t="s">
        <v>46</v>
      </c>
      <c r="I556">
        <v>109050.76000000001</v>
      </c>
      <c r="J556">
        <v>93008.560000000085</v>
      </c>
    </row>
    <row r="557" spans="1:10" x14ac:dyDescent="0.3">
      <c r="A557" t="s">
        <v>87</v>
      </c>
      <c r="B557" t="s">
        <v>92</v>
      </c>
      <c r="C557" t="s">
        <v>119</v>
      </c>
      <c r="D557" t="s">
        <v>119</v>
      </c>
      <c r="E557" t="s">
        <v>126</v>
      </c>
      <c r="F557" t="s">
        <v>136</v>
      </c>
      <c r="G557">
        <v>102</v>
      </c>
      <c r="H557" t="s">
        <v>50</v>
      </c>
      <c r="I557">
        <v>133482.73000000001</v>
      </c>
      <c r="J557">
        <v>133231.56000000011</v>
      </c>
    </row>
    <row r="558" spans="1:10" x14ac:dyDescent="0.3">
      <c r="A558" t="s">
        <v>87</v>
      </c>
      <c r="B558" t="s">
        <v>93</v>
      </c>
      <c r="C558" t="s">
        <v>119</v>
      </c>
      <c r="D558" t="s">
        <v>119</v>
      </c>
      <c r="E558" t="s">
        <v>93</v>
      </c>
      <c r="F558" t="s">
        <v>93</v>
      </c>
      <c r="G558">
        <v>903</v>
      </c>
      <c r="H558" t="s">
        <v>37</v>
      </c>
      <c r="I558">
        <v>94992.900000000023</v>
      </c>
      <c r="J558">
        <v>51753.959999999977</v>
      </c>
    </row>
    <row r="559" spans="1:10" x14ac:dyDescent="0.3">
      <c r="A559" t="s">
        <v>87</v>
      </c>
      <c r="B559" t="s">
        <v>94</v>
      </c>
      <c r="C559" t="s">
        <v>121</v>
      </c>
      <c r="D559" t="s">
        <v>121</v>
      </c>
      <c r="E559" t="s">
        <v>124</v>
      </c>
      <c r="F559" t="s">
        <v>137</v>
      </c>
      <c r="G559" t="s">
        <v>112</v>
      </c>
      <c r="H559" t="s">
        <v>21</v>
      </c>
      <c r="I559">
        <v>0</v>
      </c>
      <c r="J559">
        <v>0</v>
      </c>
    </row>
    <row r="560" spans="1:10" x14ac:dyDescent="0.3">
      <c r="A560" t="s">
        <v>87</v>
      </c>
      <c r="B560" t="s">
        <v>94</v>
      </c>
      <c r="C560" t="s">
        <v>121</v>
      </c>
      <c r="D560" t="s">
        <v>121</v>
      </c>
      <c r="E560" t="s">
        <v>125</v>
      </c>
      <c r="F560" t="s">
        <v>138</v>
      </c>
      <c r="G560">
        <v>470</v>
      </c>
      <c r="H560" t="s">
        <v>26</v>
      </c>
      <c r="I560">
        <v>0</v>
      </c>
      <c r="J560">
        <v>0</v>
      </c>
    </row>
    <row r="561" spans="1:10" x14ac:dyDescent="0.3">
      <c r="A561" t="s">
        <v>87</v>
      </c>
      <c r="B561" t="s">
        <v>94</v>
      </c>
      <c r="C561" t="s">
        <v>121</v>
      </c>
      <c r="D561" t="s">
        <v>121</v>
      </c>
      <c r="E561" t="s">
        <v>125</v>
      </c>
      <c r="F561" t="s">
        <v>137</v>
      </c>
      <c r="G561" t="s">
        <v>114</v>
      </c>
      <c r="H561" t="s">
        <v>23</v>
      </c>
      <c r="I561">
        <v>0</v>
      </c>
      <c r="J561">
        <v>0</v>
      </c>
    </row>
    <row r="562" spans="1:10" x14ac:dyDescent="0.3">
      <c r="A562" t="s">
        <v>87</v>
      </c>
      <c r="B562" t="s">
        <v>94</v>
      </c>
      <c r="C562" t="s">
        <v>121</v>
      </c>
      <c r="D562" t="s">
        <v>121</v>
      </c>
      <c r="E562" t="s">
        <v>125</v>
      </c>
      <c r="F562" t="s">
        <v>137</v>
      </c>
      <c r="G562" t="s">
        <v>113</v>
      </c>
      <c r="H562" t="s">
        <v>22</v>
      </c>
      <c r="I562">
        <v>0</v>
      </c>
      <c r="J562">
        <v>0</v>
      </c>
    </row>
    <row r="563" spans="1:10" x14ac:dyDescent="0.3">
      <c r="A563" t="s">
        <v>87</v>
      </c>
      <c r="B563" t="s">
        <v>94</v>
      </c>
      <c r="C563" t="s">
        <v>121</v>
      </c>
      <c r="D563" t="s">
        <v>121</v>
      </c>
      <c r="E563" t="s">
        <v>127</v>
      </c>
      <c r="F563" t="s">
        <v>137</v>
      </c>
      <c r="G563">
        <v>494</v>
      </c>
      <c r="H563" t="s">
        <v>25</v>
      </c>
      <c r="I563">
        <v>0</v>
      </c>
      <c r="J563">
        <v>12563.959999999988</v>
      </c>
    </row>
    <row r="564" spans="1:10" x14ac:dyDescent="0.3">
      <c r="A564" t="s">
        <v>87</v>
      </c>
      <c r="B564" t="s">
        <v>94</v>
      </c>
      <c r="C564" t="s">
        <v>121</v>
      </c>
      <c r="D564" t="s">
        <v>121</v>
      </c>
      <c r="E564" t="s">
        <v>126</v>
      </c>
      <c r="F564" t="s">
        <v>137</v>
      </c>
      <c r="G564">
        <v>460</v>
      </c>
      <c r="H564" t="s">
        <v>30</v>
      </c>
      <c r="I564">
        <v>0</v>
      </c>
      <c r="J564">
        <v>0</v>
      </c>
    </row>
    <row r="565" spans="1:10" x14ac:dyDescent="0.3">
      <c r="A565" t="s">
        <v>87</v>
      </c>
      <c r="B565" t="s">
        <v>94</v>
      </c>
      <c r="C565" t="s">
        <v>121</v>
      </c>
      <c r="D565" t="s">
        <v>121</v>
      </c>
      <c r="E565" t="s">
        <v>126</v>
      </c>
      <c r="F565" t="s">
        <v>137</v>
      </c>
      <c r="G565">
        <v>461</v>
      </c>
      <c r="H565" t="s">
        <v>29</v>
      </c>
      <c r="I565">
        <v>0</v>
      </c>
      <c r="J565">
        <v>0</v>
      </c>
    </row>
    <row r="566" spans="1:10" x14ac:dyDescent="0.3">
      <c r="A566" t="s">
        <v>87</v>
      </c>
      <c r="B566" t="s">
        <v>94</v>
      </c>
      <c r="C566" t="s">
        <v>121</v>
      </c>
      <c r="D566" t="s">
        <v>119</v>
      </c>
      <c r="E566" t="s">
        <v>124</v>
      </c>
      <c r="F566" t="s">
        <v>138</v>
      </c>
      <c r="G566">
        <v>480</v>
      </c>
      <c r="H566" t="s">
        <v>28</v>
      </c>
      <c r="I566">
        <v>46098.52</v>
      </c>
      <c r="J566">
        <v>53297.31</v>
      </c>
    </row>
    <row r="567" spans="1:10" x14ac:dyDescent="0.3">
      <c r="A567" t="s">
        <v>87</v>
      </c>
      <c r="B567" t="s">
        <v>94</v>
      </c>
      <c r="C567" t="s">
        <v>121</v>
      </c>
      <c r="D567" t="s">
        <v>119</v>
      </c>
      <c r="E567" t="s">
        <v>127</v>
      </c>
      <c r="F567" t="s">
        <v>138</v>
      </c>
      <c r="G567">
        <v>491</v>
      </c>
      <c r="H567" t="s">
        <v>31</v>
      </c>
      <c r="I567">
        <v>0</v>
      </c>
      <c r="J567">
        <v>102471.12999999996</v>
      </c>
    </row>
    <row r="568" spans="1:10" x14ac:dyDescent="0.3">
      <c r="A568" t="s">
        <v>87</v>
      </c>
      <c r="B568" t="s">
        <v>94</v>
      </c>
      <c r="C568" t="s">
        <v>121</v>
      </c>
      <c r="D568" t="s">
        <v>119</v>
      </c>
      <c r="E568" t="s">
        <v>127</v>
      </c>
      <c r="F568" t="s">
        <v>138</v>
      </c>
      <c r="G568">
        <v>492</v>
      </c>
      <c r="H568" t="s">
        <v>27</v>
      </c>
      <c r="I568">
        <v>74040.299999999974</v>
      </c>
      <c r="J568">
        <v>61195.029999999962</v>
      </c>
    </row>
    <row r="569" spans="1:10" x14ac:dyDescent="0.3">
      <c r="A569" t="s">
        <v>87</v>
      </c>
      <c r="B569" t="s">
        <v>94</v>
      </c>
      <c r="C569" t="s">
        <v>121</v>
      </c>
      <c r="D569" t="s">
        <v>119</v>
      </c>
      <c r="E569" t="s">
        <v>127</v>
      </c>
      <c r="F569" t="s">
        <v>138</v>
      </c>
      <c r="G569">
        <v>493</v>
      </c>
      <c r="H569" t="s">
        <v>24</v>
      </c>
      <c r="I569">
        <v>0</v>
      </c>
      <c r="J569">
        <v>46968.04</v>
      </c>
    </row>
    <row r="570" spans="1:10" x14ac:dyDescent="0.3">
      <c r="A570" t="s">
        <v>87</v>
      </c>
      <c r="B570" t="s">
        <v>95</v>
      </c>
      <c r="C570" t="s">
        <v>121</v>
      </c>
      <c r="D570" t="s">
        <v>121</v>
      </c>
      <c r="E570" t="s">
        <v>125</v>
      </c>
      <c r="F570" t="s">
        <v>139</v>
      </c>
      <c r="G570" t="s">
        <v>115</v>
      </c>
      <c r="H570" s="33" t="s">
        <v>71</v>
      </c>
      <c r="I570" s="33">
        <v>0</v>
      </c>
      <c r="J570" s="33">
        <v>0</v>
      </c>
    </row>
    <row r="571" spans="1:10" x14ac:dyDescent="0.3">
      <c r="A571" t="s">
        <v>87</v>
      </c>
      <c r="B571" t="s">
        <v>95</v>
      </c>
      <c r="C571" t="s">
        <v>121</v>
      </c>
      <c r="D571" t="s">
        <v>121</v>
      </c>
      <c r="E571" t="s">
        <v>126</v>
      </c>
      <c r="F571" t="s">
        <v>139</v>
      </c>
      <c r="G571">
        <v>510</v>
      </c>
      <c r="H571" t="s">
        <v>76</v>
      </c>
      <c r="I571">
        <v>0</v>
      </c>
      <c r="J571">
        <v>0</v>
      </c>
    </row>
    <row r="572" spans="1:10" x14ac:dyDescent="0.3">
      <c r="A572" t="s">
        <v>87</v>
      </c>
      <c r="B572" t="s">
        <v>95</v>
      </c>
      <c r="C572" t="s">
        <v>121</v>
      </c>
      <c r="D572" t="s">
        <v>119</v>
      </c>
      <c r="E572" t="s">
        <v>127</v>
      </c>
      <c r="F572" t="s">
        <v>140</v>
      </c>
      <c r="G572">
        <v>541</v>
      </c>
      <c r="H572" t="s">
        <v>74</v>
      </c>
      <c r="I572">
        <v>14891.760000000002</v>
      </c>
      <c r="J572">
        <v>38128.079999999973</v>
      </c>
    </row>
    <row r="573" spans="1:10" x14ac:dyDescent="0.3">
      <c r="A573" t="s">
        <v>87</v>
      </c>
      <c r="B573" t="s">
        <v>95</v>
      </c>
      <c r="C573" t="s">
        <v>121</v>
      </c>
      <c r="D573" t="s">
        <v>119</v>
      </c>
      <c r="E573" t="s">
        <v>127</v>
      </c>
      <c r="F573" t="s">
        <v>140</v>
      </c>
      <c r="G573">
        <v>543</v>
      </c>
      <c r="H573" t="s">
        <v>72</v>
      </c>
      <c r="I573">
        <v>49288.05</v>
      </c>
      <c r="J573">
        <v>40655.139999999978</v>
      </c>
    </row>
    <row r="574" spans="1:10" x14ac:dyDescent="0.3">
      <c r="A574" t="s">
        <v>87</v>
      </c>
      <c r="B574" t="s">
        <v>95</v>
      </c>
      <c r="C574" t="s">
        <v>120</v>
      </c>
      <c r="D574" t="s">
        <v>119</v>
      </c>
      <c r="E574" t="s">
        <v>127</v>
      </c>
      <c r="F574" t="s">
        <v>140</v>
      </c>
      <c r="G574">
        <v>540</v>
      </c>
      <c r="H574" t="s">
        <v>73</v>
      </c>
      <c r="I574">
        <v>96492.260000000009</v>
      </c>
      <c r="J574">
        <v>138916.33000000007</v>
      </c>
    </row>
    <row r="575" spans="1:10" x14ac:dyDescent="0.3">
      <c r="A575" t="s">
        <v>87</v>
      </c>
      <c r="B575" t="s">
        <v>95</v>
      </c>
      <c r="C575" t="s">
        <v>119</v>
      </c>
      <c r="D575" t="s">
        <v>120</v>
      </c>
      <c r="E575" t="s">
        <v>124</v>
      </c>
      <c r="F575" t="s">
        <v>139</v>
      </c>
      <c r="G575">
        <v>530</v>
      </c>
      <c r="H575" t="s">
        <v>68</v>
      </c>
      <c r="I575">
        <v>40688.460000000006</v>
      </c>
      <c r="J575">
        <v>52077.98000000001</v>
      </c>
    </row>
    <row r="576" spans="1:10" x14ac:dyDescent="0.3">
      <c r="A576" t="s">
        <v>87</v>
      </c>
      <c r="B576" t="s">
        <v>95</v>
      </c>
      <c r="C576" t="s">
        <v>119</v>
      </c>
      <c r="D576" t="s">
        <v>119</v>
      </c>
      <c r="E576" t="s">
        <v>125</v>
      </c>
      <c r="F576" t="s">
        <v>140</v>
      </c>
      <c r="G576">
        <v>520</v>
      </c>
      <c r="H576" t="s">
        <v>70</v>
      </c>
      <c r="I576">
        <v>62734.950000000004</v>
      </c>
      <c r="J576">
        <v>97837.969999999914</v>
      </c>
    </row>
    <row r="577" spans="1:10" x14ac:dyDescent="0.3">
      <c r="A577" t="s">
        <v>87</v>
      </c>
      <c r="B577" t="s">
        <v>95</v>
      </c>
      <c r="C577" t="s">
        <v>119</v>
      </c>
      <c r="D577" t="s">
        <v>119</v>
      </c>
      <c r="E577" t="s">
        <v>127</v>
      </c>
      <c r="F577" t="s">
        <v>139</v>
      </c>
      <c r="G577">
        <v>542</v>
      </c>
      <c r="H577" t="s">
        <v>69</v>
      </c>
      <c r="I577">
        <v>44314.98</v>
      </c>
      <c r="J577">
        <v>51142.109999999957</v>
      </c>
    </row>
    <row r="578" spans="1:10" x14ac:dyDescent="0.3">
      <c r="A578" t="s">
        <v>88</v>
      </c>
      <c r="B578" t="s">
        <v>79</v>
      </c>
      <c r="C578" t="s">
        <v>122</v>
      </c>
      <c r="D578" t="s">
        <v>122</v>
      </c>
      <c r="E578" t="s">
        <v>124</v>
      </c>
      <c r="F578" t="s">
        <v>129</v>
      </c>
      <c r="G578">
        <v>303</v>
      </c>
      <c r="H578" t="s">
        <v>1</v>
      </c>
      <c r="I578">
        <v>0</v>
      </c>
      <c r="J578">
        <v>0</v>
      </c>
    </row>
    <row r="579" spans="1:10" x14ac:dyDescent="0.3">
      <c r="A579" t="s">
        <v>88</v>
      </c>
      <c r="B579" t="s">
        <v>79</v>
      </c>
      <c r="C579" t="s">
        <v>122</v>
      </c>
      <c r="D579" t="s">
        <v>122</v>
      </c>
      <c r="E579" t="s">
        <v>125</v>
      </c>
      <c r="F579" t="s">
        <v>129</v>
      </c>
      <c r="G579">
        <v>205</v>
      </c>
      <c r="H579" t="s">
        <v>7</v>
      </c>
      <c r="I579">
        <v>0</v>
      </c>
      <c r="J579">
        <v>0</v>
      </c>
    </row>
    <row r="580" spans="1:10" x14ac:dyDescent="0.3">
      <c r="A580" t="s">
        <v>88</v>
      </c>
      <c r="B580" t="s">
        <v>79</v>
      </c>
      <c r="C580" t="s">
        <v>122</v>
      </c>
      <c r="D580" t="s">
        <v>122</v>
      </c>
      <c r="E580" t="s">
        <v>127</v>
      </c>
      <c r="F580" t="s">
        <v>129</v>
      </c>
      <c r="G580">
        <v>401</v>
      </c>
      <c r="H580" t="s">
        <v>5</v>
      </c>
      <c r="I580">
        <v>0</v>
      </c>
      <c r="J580">
        <v>0</v>
      </c>
    </row>
    <row r="581" spans="1:10" x14ac:dyDescent="0.3">
      <c r="A581" t="s">
        <v>88</v>
      </c>
      <c r="B581" t="s">
        <v>79</v>
      </c>
      <c r="C581" t="s">
        <v>122</v>
      </c>
      <c r="D581" t="s">
        <v>122</v>
      </c>
      <c r="E581" t="s">
        <v>127</v>
      </c>
      <c r="F581" t="s">
        <v>122</v>
      </c>
      <c r="G581">
        <v>408</v>
      </c>
      <c r="H581" t="s">
        <v>33</v>
      </c>
      <c r="I581">
        <v>0</v>
      </c>
      <c r="J581">
        <v>0</v>
      </c>
    </row>
    <row r="582" spans="1:10" x14ac:dyDescent="0.3">
      <c r="A582" t="s">
        <v>88</v>
      </c>
      <c r="B582" t="s">
        <v>79</v>
      </c>
      <c r="C582" t="s">
        <v>121</v>
      </c>
      <c r="D582" t="s">
        <v>121</v>
      </c>
      <c r="E582" t="s">
        <v>125</v>
      </c>
      <c r="F582" t="s">
        <v>129</v>
      </c>
      <c r="G582" t="s">
        <v>110</v>
      </c>
      <c r="H582" t="s">
        <v>64</v>
      </c>
      <c r="I582">
        <v>0</v>
      </c>
      <c r="J582">
        <v>0</v>
      </c>
    </row>
    <row r="583" spans="1:10" x14ac:dyDescent="0.3">
      <c r="A583" t="s">
        <v>88</v>
      </c>
      <c r="B583" t="s">
        <v>79</v>
      </c>
      <c r="C583" t="s">
        <v>121</v>
      </c>
      <c r="D583" t="s">
        <v>121</v>
      </c>
      <c r="E583" t="s">
        <v>127</v>
      </c>
      <c r="F583" t="s">
        <v>129</v>
      </c>
      <c r="G583" t="s">
        <v>109</v>
      </c>
      <c r="H583" s="33" t="s">
        <v>41</v>
      </c>
      <c r="I583" s="33">
        <v>0</v>
      </c>
      <c r="J583" s="33">
        <v>0</v>
      </c>
    </row>
    <row r="584" spans="1:10" x14ac:dyDescent="0.3">
      <c r="A584" t="s">
        <v>88</v>
      </c>
      <c r="B584" t="s">
        <v>79</v>
      </c>
      <c r="C584" t="s">
        <v>121</v>
      </c>
      <c r="D584" t="s">
        <v>121</v>
      </c>
      <c r="E584" t="s">
        <v>127</v>
      </c>
      <c r="F584" t="s">
        <v>135</v>
      </c>
      <c r="G584" t="s">
        <v>108</v>
      </c>
      <c r="H584" s="33" t="s">
        <v>16</v>
      </c>
      <c r="I584" s="33">
        <v>0</v>
      </c>
      <c r="J584" s="33">
        <v>0</v>
      </c>
    </row>
    <row r="585" spans="1:10" x14ac:dyDescent="0.3">
      <c r="A585" t="s">
        <v>88</v>
      </c>
      <c r="B585" t="s">
        <v>79</v>
      </c>
      <c r="C585" t="s">
        <v>120</v>
      </c>
      <c r="D585" t="s">
        <v>120</v>
      </c>
      <c r="E585" t="s">
        <v>124</v>
      </c>
      <c r="F585" t="s">
        <v>129</v>
      </c>
      <c r="G585">
        <v>304</v>
      </c>
      <c r="H585" t="s">
        <v>61</v>
      </c>
      <c r="I585">
        <v>43881.159999999982</v>
      </c>
      <c r="J585">
        <v>41027.320000000007</v>
      </c>
    </row>
    <row r="586" spans="1:10" x14ac:dyDescent="0.3">
      <c r="A586" t="s">
        <v>88</v>
      </c>
      <c r="B586" t="s">
        <v>79</v>
      </c>
      <c r="C586" t="s">
        <v>120</v>
      </c>
      <c r="D586" t="s">
        <v>120</v>
      </c>
      <c r="E586" t="s">
        <v>125</v>
      </c>
      <c r="F586" t="s">
        <v>133</v>
      </c>
      <c r="G586">
        <v>208</v>
      </c>
      <c r="H586" t="s">
        <v>36</v>
      </c>
      <c r="I586">
        <v>24333.349999999991</v>
      </c>
      <c r="J586">
        <v>19184.140000000014</v>
      </c>
    </row>
    <row r="587" spans="1:10" x14ac:dyDescent="0.3">
      <c r="A587" t="s">
        <v>88</v>
      </c>
      <c r="B587" t="s">
        <v>79</v>
      </c>
      <c r="C587" t="s">
        <v>120</v>
      </c>
      <c r="D587" t="s">
        <v>120</v>
      </c>
      <c r="E587" t="s">
        <v>125</v>
      </c>
      <c r="F587" t="s">
        <v>133</v>
      </c>
      <c r="G587">
        <v>209</v>
      </c>
      <c r="H587" t="s">
        <v>35</v>
      </c>
      <c r="I587">
        <v>17789.190000000002</v>
      </c>
      <c r="J587">
        <v>17863.150000000001</v>
      </c>
    </row>
    <row r="588" spans="1:10" x14ac:dyDescent="0.3">
      <c r="A588" t="s">
        <v>88</v>
      </c>
      <c r="B588" t="s">
        <v>79</v>
      </c>
      <c r="C588" t="s">
        <v>120</v>
      </c>
      <c r="D588" t="s">
        <v>120</v>
      </c>
      <c r="E588" t="s">
        <v>125</v>
      </c>
      <c r="F588" t="s">
        <v>129</v>
      </c>
      <c r="G588">
        <v>202</v>
      </c>
      <c r="H588" t="s">
        <v>4</v>
      </c>
      <c r="I588">
        <v>49667.529999999992</v>
      </c>
      <c r="J588">
        <v>39564.600000000006</v>
      </c>
    </row>
    <row r="589" spans="1:10" x14ac:dyDescent="0.3">
      <c r="A589" t="s">
        <v>88</v>
      </c>
      <c r="B589" t="s">
        <v>79</v>
      </c>
      <c r="C589" t="s">
        <v>120</v>
      </c>
      <c r="D589" t="s">
        <v>120</v>
      </c>
      <c r="E589" t="s">
        <v>127</v>
      </c>
      <c r="F589" t="s">
        <v>133</v>
      </c>
      <c r="G589">
        <v>404</v>
      </c>
      <c r="H589" t="s">
        <v>15</v>
      </c>
      <c r="I589">
        <v>26133.85</v>
      </c>
      <c r="J589">
        <v>24453.45</v>
      </c>
    </row>
    <row r="590" spans="1:10" x14ac:dyDescent="0.3">
      <c r="A590" t="s">
        <v>88</v>
      </c>
      <c r="B590" t="s">
        <v>79</v>
      </c>
      <c r="C590" t="s">
        <v>120</v>
      </c>
      <c r="D590" t="s">
        <v>119</v>
      </c>
      <c r="E590" t="s">
        <v>124</v>
      </c>
      <c r="F590" t="s">
        <v>134</v>
      </c>
      <c r="G590">
        <v>310</v>
      </c>
      <c r="H590" t="s">
        <v>63</v>
      </c>
      <c r="I590">
        <v>11792.530000000002</v>
      </c>
      <c r="J590">
        <v>14375.310000000007</v>
      </c>
    </row>
    <row r="591" spans="1:10" x14ac:dyDescent="0.3">
      <c r="A591" t="s">
        <v>88</v>
      </c>
      <c r="B591" t="s">
        <v>79</v>
      </c>
      <c r="C591" t="s">
        <v>120</v>
      </c>
      <c r="D591" t="s">
        <v>119</v>
      </c>
      <c r="E591" t="s">
        <v>125</v>
      </c>
      <c r="F591" t="s">
        <v>134</v>
      </c>
      <c r="G591">
        <v>206</v>
      </c>
      <c r="H591" t="s">
        <v>18</v>
      </c>
      <c r="I591">
        <v>57255.72</v>
      </c>
      <c r="J591">
        <v>50891.64999999998</v>
      </c>
    </row>
    <row r="592" spans="1:10" x14ac:dyDescent="0.3">
      <c r="A592" t="s">
        <v>88</v>
      </c>
      <c r="B592" t="s">
        <v>79</v>
      </c>
      <c r="C592" t="s">
        <v>120</v>
      </c>
      <c r="D592" t="s">
        <v>119</v>
      </c>
      <c r="E592" t="s">
        <v>125</v>
      </c>
      <c r="F592" t="s">
        <v>132</v>
      </c>
      <c r="G592">
        <v>210</v>
      </c>
      <c r="H592" t="s">
        <v>2</v>
      </c>
      <c r="I592">
        <v>32998.980000000003</v>
      </c>
      <c r="J592">
        <v>33527.240000000027</v>
      </c>
    </row>
    <row r="593" spans="1:10" x14ac:dyDescent="0.3">
      <c r="A593" t="s">
        <v>88</v>
      </c>
      <c r="B593" t="s">
        <v>79</v>
      </c>
      <c r="C593" t="s">
        <v>120</v>
      </c>
      <c r="D593" t="s">
        <v>119</v>
      </c>
      <c r="E593" t="s">
        <v>127</v>
      </c>
      <c r="F593" t="s">
        <v>131</v>
      </c>
      <c r="G593">
        <v>417</v>
      </c>
      <c r="H593" t="s">
        <v>54</v>
      </c>
      <c r="I593">
        <v>42022.380000000005</v>
      </c>
      <c r="J593">
        <v>59805.989999999983</v>
      </c>
    </row>
    <row r="594" spans="1:10" x14ac:dyDescent="0.3">
      <c r="A594" t="s">
        <v>88</v>
      </c>
      <c r="B594" t="s">
        <v>79</v>
      </c>
      <c r="C594" t="s">
        <v>119</v>
      </c>
      <c r="D594" t="s">
        <v>122</v>
      </c>
      <c r="E594" t="s">
        <v>127</v>
      </c>
      <c r="F594" t="s">
        <v>132</v>
      </c>
      <c r="G594">
        <v>416</v>
      </c>
      <c r="H594" t="s">
        <v>66</v>
      </c>
      <c r="I594">
        <v>15922.61</v>
      </c>
      <c r="J594">
        <v>11982.39</v>
      </c>
    </row>
    <row r="595" spans="1:10" x14ac:dyDescent="0.3">
      <c r="A595" t="s">
        <v>88</v>
      </c>
      <c r="B595" t="s">
        <v>79</v>
      </c>
      <c r="C595" t="s">
        <v>119</v>
      </c>
      <c r="D595" t="s">
        <v>120</v>
      </c>
      <c r="E595" t="s">
        <v>124</v>
      </c>
      <c r="F595" t="s">
        <v>134</v>
      </c>
      <c r="G595">
        <v>308</v>
      </c>
      <c r="H595" t="s">
        <v>0</v>
      </c>
      <c r="I595">
        <v>35510.759999999995</v>
      </c>
      <c r="J595">
        <v>20616.05000000001</v>
      </c>
    </row>
    <row r="596" spans="1:10" x14ac:dyDescent="0.3">
      <c r="A596" t="s">
        <v>88</v>
      </c>
      <c r="B596" t="s">
        <v>79</v>
      </c>
      <c r="C596" t="s">
        <v>119</v>
      </c>
      <c r="D596" t="s">
        <v>120</v>
      </c>
      <c r="E596" t="s">
        <v>127</v>
      </c>
      <c r="F596" t="s">
        <v>129</v>
      </c>
      <c r="G596">
        <v>402</v>
      </c>
      <c r="H596" t="s">
        <v>9</v>
      </c>
      <c r="I596">
        <v>24013.050000000003</v>
      </c>
      <c r="J596">
        <v>16383.620000000003</v>
      </c>
    </row>
    <row r="597" spans="1:10" x14ac:dyDescent="0.3">
      <c r="A597" t="s">
        <v>88</v>
      </c>
      <c r="B597" t="s">
        <v>79</v>
      </c>
      <c r="C597" t="s">
        <v>119</v>
      </c>
      <c r="D597" t="s">
        <v>120</v>
      </c>
      <c r="E597" t="s">
        <v>127</v>
      </c>
      <c r="F597" t="s">
        <v>129</v>
      </c>
      <c r="G597">
        <v>406</v>
      </c>
      <c r="H597" t="s">
        <v>57</v>
      </c>
      <c r="I597">
        <v>17462.080000000002</v>
      </c>
      <c r="J597">
        <v>14217.239999999996</v>
      </c>
    </row>
    <row r="598" spans="1:10" x14ac:dyDescent="0.3">
      <c r="A598" t="s">
        <v>88</v>
      </c>
      <c r="B598" t="s">
        <v>79</v>
      </c>
      <c r="C598" t="s">
        <v>119</v>
      </c>
      <c r="D598" t="s">
        <v>120</v>
      </c>
      <c r="E598" t="s">
        <v>127</v>
      </c>
      <c r="F598" t="s">
        <v>135</v>
      </c>
      <c r="G598">
        <v>414</v>
      </c>
      <c r="H598" t="s">
        <v>65</v>
      </c>
      <c r="I598">
        <v>230791.73999999996</v>
      </c>
      <c r="J598">
        <v>259017.49000000081</v>
      </c>
    </row>
    <row r="599" spans="1:10" x14ac:dyDescent="0.3">
      <c r="A599" t="s">
        <v>88</v>
      </c>
      <c r="B599" t="s">
        <v>79</v>
      </c>
      <c r="C599" t="s">
        <v>119</v>
      </c>
      <c r="D599" t="s">
        <v>119</v>
      </c>
      <c r="E599" t="s">
        <v>124</v>
      </c>
      <c r="F599" t="s">
        <v>131</v>
      </c>
      <c r="G599">
        <v>309</v>
      </c>
      <c r="H599" t="s">
        <v>52</v>
      </c>
      <c r="I599">
        <v>168292.75000000003</v>
      </c>
      <c r="J599">
        <v>159670.37000000075</v>
      </c>
    </row>
    <row r="600" spans="1:10" x14ac:dyDescent="0.3">
      <c r="A600" t="s">
        <v>88</v>
      </c>
      <c r="B600" t="s">
        <v>79</v>
      </c>
      <c r="C600" t="s">
        <v>119</v>
      </c>
      <c r="D600" t="s">
        <v>119</v>
      </c>
      <c r="E600" t="s">
        <v>124</v>
      </c>
      <c r="F600" t="s">
        <v>130</v>
      </c>
      <c r="G600">
        <v>305</v>
      </c>
      <c r="H600" t="s">
        <v>6</v>
      </c>
      <c r="I600">
        <v>107783.14999999998</v>
      </c>
      <c r="J600">
        <v>90033.040000000023</v>
      </c>
    </row>
    <row r="601" spans="1:10" x14ac:dyDescent="0.3">
      <c r="A601" t="s">
        <v>88</v>
      </c>
      <c r="B601" t="s">
        <v>79</v>
      </c>
      <c r="C601" t="s">
        <v>119</v>
      </c>
      <c r="D601" t="s">
        <v>119</v>
      </c>
      <c r="E601" t="s">
        <v>124</v>
      </c>
      <c r="F601" t="s">
        <v>134</v>
      </c>
      <c r="G601">
        <v>302</v>
      </c>
      <c r="H601" t="s">
        <v>32</v>
      </c>
      <c r="I601">
        <v>71309.489999999991</v>
      </c>
      <c r="J601">
        <v>56693.089999999982</v>
      </c>
    </row>
    <row r="602" spans="1:10" x14ac:dyDescent="0.3">
      <c r="A602" t="s">
        <v>88</v>
      </c>
      <c r="B602" t="s">
        <v>79</v>
      </c>
      <c r="C602" t="s">
        <v>119</v>
      </c>
      <c r="D602" t="s">
        <v>119</v>
      </c>
      <c r="E602" t="s">
        <v>124</v>
      </c>
      <c r="F602" t="s">
        <v>129</v>
      </c>
      <c r="G602">
        <v>301</v>
      </c>
      <c r="H602" t="s">
        <v>59</v>
      </c>
      <c r="I602">
        <v>40005.919999999998</v>
      </c>
      <c r="J602">
        <v>31389.860000000022</v>
      </c>
    </row>
    <row r="603" spans="1:10" x14ac:dyDescent="0.3">
      <c r="A603" t="s">
        <v>88</v>
      </c>
      <c r="B603" t="s">
        <v>79</v>
      </c>
      <c r="C603" t="s">
        <v>119</v>
      </c>
      <c r="D603" t="s">
        <v>119</v>
      </c>
      <c r="E603" t="s">
        <v>124</v>
      </c>
      <c r="F603" t="s">
        <v>129</v>
      </c>
      <c r="G603">
        <v>311</v>
      </c>
      <c r="H603" t="s">
        <v>13</v>
      </c>
      <c r="I603">
        <v>42263.259999999995</v>
      </c>
      <c r="J603">
        <v>30020.729999999996</v>
      </c>
    </row>
    <row r="604" spans="1:10" x14ac:dyDescent="0.3">
      <c r="A604" t="s">
        <v>88</v>
      </c>
      <c r="B604" t="s">
        <v>79</v>
      </c>
      <c r="C604" t="s">
        <v>119</v>
      </c>
      <c r="D604" t="s">
        <v>119</v>
      </c>
      <c r="E604" t="s">
        <v>125</v>
      </c>
      <c r="F604" t="s">
        <v>131</v>
      </c>
      <c r="G604">
        <v>211</v>
      </c>
      <c r="H604" t="s">
        <v>8</v>
      </c>
      <c r="I604">
        <v>165338.41</v>
      </c>
      <c r="J604">
        <v>127915.93000000028</v>
      </c>
    </row>
    <row r="605" spans="1:10" x14ac:dyDescent="0.3">
      <c r="A605" t="s">
        <v>88</v>
      </c>
      <c r="B605" t="s">
        <v>79</v>
      </c>
      <c r="C605" t="s">
        <v>119</v>
      </c>
      <c r="D605" t="s">
        <v>119</v>
      </c>
      <c r="E605" t="s">
        <v>125</v>
      </c>
      <c r="F605" t="s">
        <v>130</v>
      </c>
      <c r="G605">
        <v>207</v>
      </c>
      <c r="H605" t="s">
        <v>53</v>
      </c>
      <c r="I605">
        <v>100909.23999999998</v>
      </c>
      <c r="J605">
        <v>97527.710000000225</v>
      </c>
    </row>
    <row r="606" spans="1:10" x14ac:dyDescent="0.3">
      <c r="A606" t="s">
        <v>88</v>
      </c>
      <c r="B606" t="s">
        <v>79</v>
      </c>
      <c r="C606" t="s">
        <v>119</v>
      </c>
      <c r="D606" t="s">
        <v>119</v>
      </c>
      <c r="E606" t="s">
        <v>125</v>
      </c>
      <c r="F606" t="s">
        <v>133</v>
      </c>
      <c r="G606">
        <v>203</v>
      </c>
      <c r="H606" t="s">
        <v>60</v>
      </c>
      <c r="I606">
        <v>53540.2</v>
      </c>
      <c r="J606">
        <v>38708.520000000004</v>
      </c>
    </row>
    <row r="607" spans="1:10" x14ac:dyDescent="0.3">
      <c r="A607" t="s">
        <v>88</v>
      </c>
      <c r="B607" t="s">
        <v>79</v>
      </c>
      <c r="C607" t="s">
        <v>119</v>
      </c>
      <c r="D607" t="s">
        <v>119</v>
      </c>
      <c r="E607" t="s">
        <v>125</v>
      </c>
      <c r="F607" t="s">
        <v>133</v>
      </c>
      <c r="G607">
        <v>212</v>
      </c>
      <c r="H607" t="s">
        <v>62</v>
      </c>
      <c r="I607">
        <v>38233.93</v>
      </c>
      <c r="J607">
        <v>41860.049999999988</v>
      </c>
    </row>
    <row r="608" spans="1:10" x14ac:dyDescent="0.3">
      <c r="A608" t="s">
        <v>88</v>
      </c>
      <c r="B608" t="s">
        <v>79</v>
      </c>
      <c r="C608" t="s">
        <v>119</v>
      </c>
      <c r="D608" t="s">
        <v>119</v>
      </c>
      <c r="E608" t="s">
        <v>125</v>
      </c>
      <c r="F608" t="s">
        <v>134</v>
      </c>
      <c r="G608">
        <v>190</v>
      </c>
      <c r="H608" t="s">
        <v>42</v>
      </c>
      <c r="I608">
        <v>67563.039999999994</v>
      </c>
      <c r="J608">
        <v>46876.219999999943</v>
      </c>
    </row>
    <row r="609" spans="1:10" x14ac:dyDescent="0.3">
      <c r="A609" t="s">
        <v>88</v>
      </c>
      <c r="B609" t="s">
        <v>79</v>
      </c>
      <c r="C609" t="s">
        <v>119</v>
      </c>
      <c r="D609" t="s">
        <v>119</v>
      </c>
      <c r="E609" t="s">
        <v>125</v>
      </c>
      <c r="F609" t="s">
        <v>134</v>
      </c>
      <c r="G609">
        <v>214</v>
      </c>
      <c r="H609" t="s">
        <v>17</v>
      </c>
      <c r="I609">
        <v>54052.95</v>
      </c>
      <c r="J609">
        <v>53268.19999999999</v>
      </c>
    </row>
    <row r="610" spans="1:10" x14ac:dyDescent="0.3">
      <c r="A610" t="s">
        <v>88</v>
      </c>
      <c r="B610" t="s">
        <v>79</v>
      </c>
      <c r="C610" t="s">
        <v>119</v>
      </c>
      <c r="D610" t="s">
        <v>119</v>
      </c>
      <c r="E610" t="s">
        <v>127</v>
      </c>
      <c r="F610" t="s">
        <v>130</v>
      </c>
      <c r="G610">
        <v>407</v>
      </c>
      <c r="H610" t="s">
        <v>34</v>
      </c>
      <c r="I610">
        <v>94631.03</v>
      </c>
      <c r="J610">
        <v>93935.100000000108</v>
      </c>
    </row>
    <row r="611" spans="1:10" x14ac:dyDescent="0.3">
      <c r="A611" t="s">
        <v>88</v>
      </c>
      <c r="B611" t="s">
        <v>79</v>
      </c>
      <c r="C611" t="s">
        <v>119</v>
      </c>
      <c r="D611" t="s">
        <v>119</v>
      </c>
      <c r="E611" t="s">
        <v>127</v>
      </c>
      <c r="F611" t="s">
        <v>130</v>
      </c>
      <c r="G611">
        <v>413</v>
      </c>
      <c r="H611" t="s">
        <v>14</v>
      </c>
      <c r="I611">
        <v>96459.469999999987</v>
      </c>
      <c r="J611">
        <v>110291.6500000003</v>
      </c>
    </row>
    <row r="612" spans="1:10" x14ac:dyDescent="0.3">
      <c r="A612" t="s">
        <v>88</v>
      </c>
      <c r="B612" t="s">
        <v>79</v>
      </c>
      <c r="C612" t="s">
        <v>119</v>
      </c>
      <c r="D612" t="s">
        <v>119</v>
      </c>
      <c r="E612" t="s">
        <v>127</v>
      </c>
      <c r="F612" t="s">
        <v>133</v>
      </c>
      <c r="G612">
        <v>412</v>
      </c>
      <c r="H612" t="s">
        <v>11</v>
      </c>
      <c r="I612">
        <v>52120.479999999996</v>
      </c>
      <c r="J612">
        <v>44763.28999999995</v>
      </c>
    </row>
    <row r="613" spans="1:10" x14ac:dyDescent="0.3">
      <c r="A613" t="s">
        <v>88</v>
      </c>
      <c r="B613" t="s">
        <v>79</v>
      </c>
      <c r="C613" t="s">
        <v>119</v>
      </c>
      <c r="D613" t="s">
        <v>119</v>
      </c>
      <c r="E613" t="s">
        <v>127</v>
      </c>
      <c r="F613" t="s">
        <v>134</v>
      </c>
      <c r="G613">
        <v>403</v>
      </c>
      <c r="H613" t="s">
        <v>12</v>
      </c>
      <c r="I613">
        <v>52734.889999999992</v>
      </c>
      <c r="J613">
        <v>51987.230000000025</v>
      </c>
    </row>
    <row r="614" spans="1:10" x14ac:dyDescent="0.3">
      <c r="A614" t="s">
        <v>88</v>
      </c>
      <c r="B614" t="s">
        <v>79</v>
      </c>
      <c r="C614" t="s">
        <v>119</v>
      </c>
      <c r="D614" t="s">
        <v>119</v>
      </c>
      <c r="E614" t="s">
        <v>127</v>
      </c>
      <c r="F614" t="s">
        <v>129</v>
      </c>
      <c r="G614">
        <v>409</v>
      </c>
      <c r="H614" t="s">
        <v>58</v>
      </c>
      <c r="I614">
        <v>40711.74</v>
      </c>
      <c r="J614">
        <v>30387.150000000012</v>
      </c>
    </row>
    <row r="615" spans="1:10" x14ac:dyDescent="0.3">
      <c r="A615" t="s">
        <v>88</v>
      </c>
      <c r="B615" t="s">
        <v>79</v>
      </c>
      <c r="C615" t="s">
        <v>119</v>
      </c>
      <c r="D615" t="s">
        <v>119</v>
      </c>
      <c r="E615" t="s">
        <v>127</v>
      </c>
      <c r="F615" t="s">
        <v>129</v>
      </c>
      <c r="G615">
        <v>410</v>
      </c>
      <c r="H615" t="s">
        <v>40</v>
      </c>
      <c r="I615">
        <v>24024.759999999995</v>
      </c>
      <c r="J615">
        <v>16562.590000000004</v>
      </c>
    </row>
    <row r="616" spans="1:10" x14ac:dyDescent="0.3">
      <c r="A616" t="s">
        <v>88</v>
      </c>
      <c r="B616" t="s">
        <v>79</v>
      </c>
      <c r="C616" t="s">
        <v>119</v>
      </c>
      <c r="D616" t="s">
        <v>119</v>
      </c>
      <c r="E616" t="s">
        <v>126</v>
      </c>
      <c r="F616" t="s">
        <v>130</v>
      </c>
      <c r="G616">
        <v>101</v>
      </c>
      <c r="H616" t="s">
        <v>10</v>
      </c>
      <c r="I616">
        <v>122310.29999999999</v>
      </c>
      <c r="J616">
        <v>110107.60000000031</v>
      </c>
    </row>
    <row r="617" spans="1:10" x14ac:dyDescent="0.3">
      <c r="A617" t="s">
        <v>88</v>
      </c>
      <c r="B617" t="s">
        <v>79</v>
      </c>
      <c r="C617" t="s">
        <v>119</v>
      </c>
      <c r="D617" t="s">
        <v>119</v>
      </c>
      <c r="E617" t="s">
        <v>126</v>
      </c>
      <c r="F617" t="s">
        <v>130</v>
      </c>
      <c r="G617">
        <v>150</v>
      </c>
      <c r="H617" t="s">
        <v>3</v>
      </c>
      <c r="I617">
        <v>102825.35999999999</v>
      </c>
      <c r="J617">
        <v>88379.520000000091</v>
      </c>
    </row>
    <row r="618" spans="1:10" x14ac:dyDescent="0.3">
      <c r="A618" t="s">
        <v>88</v>
      </c>
      <c r="B618" t="s">
        <v>79</v>
      </c>
      <c r="C618" t="s">
        <v>119</v>
      </c>
      <c r="D618" t="s">
        <v>119</v>
      </c>
      <c r="E618" t="s">
        <v>126</v>
      </c>
      <c r="F618" t="s">
        <v>134</v>
      </c>
      <c r="G618">
        <v>170</v>
      </c>
      <c r="H618" t="s">
        <v>56</v>
      </c>
      <c r="I618">
        <v>58295.69</v>
      </c>
      <c r="J618">
        <v>48305.099999999977</v>
      </c>
    </row>
    <row r="619" spans="1:10" x14ac:dyDescent="0.3">
      <c r="A619" t="s">
        <v>88</v>
      </c>
      <c r="B619" t="s">
        <v>79</v>
      </c>
      <c r="C619" t="s">
        <v>119</v>
      </c>
      <c r="D619" t="s">
        <v>119</v>
      </c>
      <c r="E619" t="s">
        <v>126</v>
      </c>
      <c r="F619" t="s">
        <v>132</v>
      </c>
      <c r="G619">
        <v>131</v>
      </c>
      <c r="H619" t="s">
        <v>67</v>
      </c>
      <c r="I619">
        <v>40097.269999999997</v>
      </c>
      <c r="J619">
        <v>34147.39</v>
      </c>
    </row>
    <row r="620" spans="1:10" x14ac:dyDescent="0.3">
      <c r="A620" t="s">
        <v>88</v>
      </c>
      <c r="B620" t="s">
        <v>79</v>
      </c>
      <c r="C620" t="s">
        <v>119</v>
      </c>
      <c r="D620" t="s">
        <v>119</v>
      </c>
      <c r="E620" t="s">
        <v>126</v>
      </c>
      <c r="F620" t="s">
        <v>132</v>
      </c>
      <c r="G620">
        <v>151</v>
      </c>
      <c r="H620" t="s">
        <v>20</v>
      </c>
      <c r="I620">
        <v>38286.759999999995</v>
      </c>
      <c r="J620">
        <v>23372.590000000018</v>
      </c>
    </row>
    <row r="621" spans="1:10" x14ac:dyDescent="0.3">
      <c r="A621" t="s">
        <v>88</v>
      </c>
      <c r="B621" t="s">
        <v>92</v>
      </c>
      <c r="C621" t="s">
        <v>121</v>
      </c>
      <c r="D621" t="s">
        <v>121</v>
      </c>
      <c r="E621" t="s">
        <v>124</v>
      </c>
      <c r="F621" t="s">
        <v>136</v>
      </c>
      <c r="G621" t="s">
        <v>111</v>
      </c>
      <c r="H621" s="33" t="s">
        <v>48</v>
      </c>
      <c r="I621" s="33">
        <v>0</v>
      </c>
      <c r="J621" s="33">
        <v>0</v>
      </c>
    </row>
    <row r="622" spans="1:10" x14ac:dyDescent="0.3">
      <c r="A622" t="s">
        <v>88</v>
      </c>
      <c r="B622" t="s">
        <v>92</v>
      </c>
      <c r="C622" t="s">
        <v>121</v>
      </c>
      <c r="D622" t="s">
        <v>121</v>
      </c>
      <c r="E622" t="s">
        <v>127</v>
      </c>
      <c r="F622" t="s">
        <v>136</v>
      </c>
      <c r="G622">
        <v>418</v>
      </c>
      <c r="H622" t="s">
        <v>44</v>
      </c>
      <c r="I622">
        <v>0</v>
      </c>
      <c r="J622">
        <v>84944.220000000103</v>
      </c>
    </row>
    <row r="623" spans="1:10" x14ac:dyDescent="0.3">
      <c r="A623" t="s">
        <v>88</v>
      </c>
      <c r="B623" t="s">
        <v>92</v>
      </c>
      <c r="C623" t="s">
        <v>119</v>
      </c>
      <c r="D623" t="s">
        <v>122</v>
      </c>
      <c r="E623" t="s">
        <v>124</v>
      </c>
      <c r="F623" t="s">
        <v>136</v>
      </c>
      <c r="G623">
        <v>307</v>
      </c>
      <c r="H623" t="s">
        <v>19</v>
      </c>
      <c r="I623">
        <v>59148.039999999979</v>
      </c>
      <c r="J623">
        <v>61925.210000000079</v>
      </c>
    </row>
    <row r="624" spans="1:10" x14ac:dyDescent="0.3">
      <c r="A624" t="s">
        <v>88</v>
      </c>
      <c r="B624" t="s">
        <v>92</v>
      </c>
      <c r="C624" t="s">
        <v>119</v>
      </c>
      <c r="D624" t="s">
        <v>122</v>
      </c>
      <c r="E624" t="s">
        <v>127</v>
      </c>
      <c r="F624" t="s">
        <v>136</v>
      </c>
      <c r="G624">
        <v>411</v>
      </c>
      <c r="H624" t="s">
        <v>43</v>
      </c>
      <c r="I624">
        <v>89690.760000000009</v>
      </c>
      <c r="J624">
        <v>88872.530000000072</v>
      </c>
    </row>
    <row r="625" spans="1:10" x14ac:dyDescent="0.3">
      <c r="A625" t="s">
        <v>88</v>
      </c>
      <c r="B625" t="s">
        <v>92</v>
      </c>
      <c r="C625" t="s">
        <v>119</v>
      </c>
      <c r="D625" t="s">
        <v>120</v>
      </c>
      <c r="E625" t="s">
        <v>125</v>
      </c>
      <c r="F625" t="s">
        <v>136</v>
      </c>
      <c r="G625">
        <v>213</v>
      </c>
      <c r="H625" t="s">
        <v>49</v>
      </c>
      <c r="I625">
        <v>65615.960000000006</v>
      </c>
      <c r="J625">
        <v>68561.920000000042</v>
      </c>
    </row>
    <row r="626" spans="1:10" x14ac:dyDescent="0.3">
      <c r="A626" t="s">
        <v>88</v>
      </c>
      <c r="B626" t="s">
        <v>92</v>
      </c>
      <c r="C626" t="s">
        <v>119</v>
      </c>
      <c r="D626" t="s">
        <v>120</v>
      </c>
      <c r="E626" t="s">
        <v>127</v>
      </c>
      <c r="F626" t="s">
        <v>136</v>
      </c>
      <c r="G626">
        <v>415</v>
      </c>
      <c r="H626" t="s">
        <v>47</v>
      </c>
      <c r="I626">
        <v>66529.66</v>
      </c>
      <c r="J626">
        <v>57137.09000000004</v>
      </c>
    </row>
    <row r="627" spans="1:10" x14ac:dyDescent="0.3">
      <c r="A627" t="s">
        <v>88</v>
      </c>
      <c r="B627" t="s">
        <v>92</v>
      </c>
      <c r="C627" t="s">
        <v>119</v>
      </c>
      <c r="D627" t="s">
        <v>119</v>
      </c>
      <c r="E627" t="s">
        <v>124</v>
      </c>
      <c r="F627" t="s">
        <v>136</v>
      </c>
      <c r="G627">
        <v>306</v>
      </c>
      <c r="H627" t="s">
        <v>51</v>
      </c>
      <c r="I627">
        <v>74490.69</v>
      </c>
      <c r="J627">
        <v>79510.450000000201</v>
      </c>
    </row>
    <row r="628" spans="1:10" x14ac:dyDescent="0.3">
      <c r="A628" t="s">
        <v>88</v>
      </c>
      <c r="B628" t="s">
        <v>92</v>
      </c>
      <c r="C628" t="s">
        <v>119</v>
      </c>
      <c r="D628" t="s">
        <v>119</v>
      </c>
      <c r="E628" t="s">
        <v>125</v>
      </c>
      <c r="F628" t="s">
        <v>136</v>
      </c>
      <c r="G628">
        <v>201</v>
      </c>
      <c r="H628" t="s">
        <v>45</v>
      </c>
      <c r="I628">
        <v>55985.48</v>
      </c>
      <c r="J628">
        <v>39067.97</v>
      </c>
    </row>
    <row r="629" spans="1:10" x14ac:dyDescent="0.3">
      <c r="A629" t="s">
        <v>88</v>
      </c>
      <c r="B629" t="s">
        <v>92</v>
      </c>
      <c r="C629" t="s">
        <v>119</v>
      </c>
      <c r="D629" t="s">
        <v>119</v>
      </c>
      <c r="E629" t="s">
        <v>125</v>
      </c>
      <c r="F629" t="s">
        <v>136</v>
      </c>
      <c r="G629">
        <v>204</v>
      </c>
      <c r="H629" t="s">
        <v>46</v>
      </c>
      <c r="I629">
        <v>56047.039999999994</v>
      </c>
      <c r="J629">
        <v>50050.270000000004</v>
      </c>
    </row>
    <row r="630" spans="1:10" x14ac:dyDescent="0.3">
      <c r="A630" t="s">
        <v>88</v>
      </c>
      <c r="B630" t="s">
        <v>92</v>
      </c>
      <c r="C630" t="s">
        <v>119</v>
      </c>
      <c r="D630" t="s">
        <v>119</v>
      </c>
      <c r="E630" t="s">
        <v>126</v>
      </c>
      <c r="F630" t="s">
        <v>136</v>
      </c>
      <c r="G630">
        <v>102</v>
      </c>
      <c r="H630" t="s">
        <v>50</v>
      </c>
      <c r="I630">
        <v>90480.09</v>
      </c>
      <c r="J630">
        <v>65086.699999999917</v>
      </c>
    </row>
    <row r="631" spans="1:10" x14ac:dyDescent="0.3">
      <c r="A631" t="s">
        <v>88</v>
      </c>
      <c r="B631" t="s">
        <v>93</v>
      </c>
      <c r="C631" t="s">
        <v>119</v>
      </c>
      <c r="D631" t="s">
        <v>119</v>
      </c>
      <c r="E631" t="s">
        <v>93</v>
      </c>
      <c r="F631" t="s">
        <v>93</v>
      </c>
      <c r="G631">
        <v>903</v>
      </c>
      <c r="H631" t="s">
        <v>37</v>
      </c>
      <c r="I631">
        <v>108010.31000000004</v>
      </c>
      <c r="J631">
        <v>80118.01999999999</v>
      </c>
    </row>
    <row r="632" spans="1:10" x14ac:dyDescent="0.3">
      <c r="A632" t="s">
        <v>88</v>
      </c>
      <c r="B632" t="s">
        <v>94</v>
      </c>
      <c r="C632" t="s">
        <v>121</v>
      </c>
      <c r="D632" t="s">
        <v>121</v>
      </c>
      <c r="E632" t="s">
        <v>124</v>
      </c>
      <c r="F632" t="s">
        <v>137</v>
      </c>
      <c r="G632" t="s">
        <v>112</v>
      </c>
      <c r="H632" t="s">
        <v>21</v>
      </c>
      <c r="I632">
        <v>0</v>
      </c>
      <c r="J632">
        <v>0</v>
      </c>
    </row>
    <row r="633" spans="1:10" x14ac:dyDescent="0.3">
      <c r="A633" t="s">
        <v>88</v>
      </c>
      <c r="B633" t="s">
        <v>94</v>
      </c>
      <c r="C633" t="s">
        <v>121</v>
      </c>
      <c r="D633" t="s">
        <v>121</v>
      </c>
      <c r="E633" t="s">
        <v>125</v>
      </c>
      <c r="F633" t="s">
        <v>138</v>
      </c>
      <c r="G633">
        <v>470</v>
      </c>
      <c r="H633" t="s">
        <v>26</v>
      </c>
      <c r="I633">
        <v>0</v>
      </c>
      <c r="J633">
        <v>0</v>
      </c>
    </row>
    <row r="634" spans="1:10" x14ac:dyDescent="0.3">
      <c r="A634" t="s">
        <v>88</v>
      </c>
      <c r="B634" t="s">
        <v>94</v>
      </c>
      <c r="C634" t="s">
        <v>121</v>
      </c>
      <c r="D634" t="s">
        <v>121</v>
      </c>
      <c r="E634" t="s">
        <v>125</v>
      </c>
      <c r="F634" t="s">
        <v>137</v>
      </c>
      <c r="G634" t="s">
        <v>114</v>
      </c>
      <c r="H634" t="s">
        <v>23</v>
      </c>
      <c r="I634">
        <v>0</v>
      </c>
      <c r="J634">
        <v>0</v>
      </c>
    </row>
    <row r="635" spans="1:10" x14ac:dyDescent="0.3">
      <c r="A635" t="s">
        <v>88</v>
      </c>
      <c r="B635" t="s">
        <v>94</v>
      </c>
      <c r="C635" t="s">
        <v>121</v>
      </c>
      <c r="D635" t="s">
        <v>121</v>
      </c>
      <c r="E635" t="s">
        <v>125</v>
      </c>
      <c r="F635" t="s">
        <v>137</v>
      </c>
      <c r="G635" t="s">
        <v>113</v>
      </c>
      <c r="H635" t="s">
        <v>22</v>
      </c>
      <c r="I635">
        <v>0</v>
      </c>
      <c r="J635">
        <v>0</v>
      </c>
    </row>
    <row r="636" spans="1:10" x14ac:dyDescent="0.3">
      <c r="A636" t="s">
        <v>88</v>
      </c>
      <c r="B636" t="s">
        <v>94</v>
      </c>
      <c r="C636" t="s">
        <v>121</v>
      </c>
      <c r="D636" t="s">
        <v>121</v>
      </c>
      <c r="E636" t="s">
        <v>127</v>
      </c>
      <c r="F636" t="s">
        <v>137</v>
      </c>
      <c r="G636">
        <v>494</v>
      </c>
      <c r="H636" t="s">
        <v>25</v>
      </c>
      <c r="I636">
        <v>0</v>
      </c>
      <c r="J636">
        <v>11701.019999999993</v>
      </c>
    </row>
    <row r="637" spans="1:10" x14ac:dyDescent="0.3">
      <c r="A637" t="s">
        <v>88</v>
      </c>
      <c r="B637" t="s">
        <v>94</v>
      </c>
      <c r="C637" t="s">
        <v>121</v>
      </c>
      <c r="D637" t="s">
        <v>121</v>
      </c>
      <c r="E637" t="s">
        <v>126</v>
      </c>
      <c r="F637" t="s">
        <v>137</v>
      </c>
      <c r="G637">
        <v>460</v>
      </c>
      <c r="H637" t="s">
        <v>30</v>
      </c>
      <c r="I637">
        <v>0</v>
      </c>
      <c r="J637">
        <v>0</v>
      </c>
    </row>
    <row r="638" spans="1:10" x14ac:dyDescent="0.3">
      <c r="A638" t="s">
        <v>88</v>
      </c>
      <c r="B638" t="s">
        <v>94</v>
      </c>
      <c r="C638" t="s">
        <v>121</v>
      </c>
      <c r="D638" t="s">
        <v>121</v>
      </c>
      <c r="E638" t="s">
        <v>126</v>
      </c>
      <c r="F638" t="s">
        <v>137</v>
      </c>
      <c r="G638">
        <v>461</v>
      </c>
      <c r="H638" t="s">
        <v>29</v>
      </c>
      <c r="I638">
        <v>0</v>
      </c>
      <c r="J638">
        <v>0</v>
      </c>
    </row>
    <row r="639" spans="1:10" x14ac:dyDescent="0.3">
      <c r="A639" t="s">
        <v>88</v>
      </c>
      <c r="B639" t="s">
        <v>94</v>
      </c>
      <c r="C639" t="s">
        <v>121</v>
      </c>
      <c r="D639" t="s">
        <v>119</v>
      </c>
      <c r="E639" t="s">
        <v>124</v>
      </c>
      <c r="F639" t="s">
        <v>138</v>
      </c>
      <c r="G639">
        <v>480</v>
      </c>
      <c r="H639" t="s">
        <v>28</v>
      </c>
      <c r="I639">
        <v>34782.979999999996</v>
      </c>
      <c r="J639">
        <v>23506.760000000013</v>
      </c>
    </row>
    <row r="640" spans="1:10" x14ac:dyDescent="0.3">
      <c r="A640" t="s">
        <v>88</v>
      </c>
      <c r="B640" t="s">
        <v>94</v>
      </c>
      <c r="C640" t="s">
        <v>121</v>
      </c>
      <c r="D640" t="s">
        <v>119</v>
      </c>
      <c r="E640" t="s">
        <v>127</v>
      </c>
      <c r="F640" t="s">
        <v>138</v>
      </c>
      <c r="G640">
        <v>491</v>
      </c>
      <c r="H640" t="s">
        <v>31</v>
      </c>
      <c r="I640">
        <v>0</v>
      </c>
      <c r="J640">
        <v>75815.370000000199</v>
      </c>
    </row>
    <row r="641" spans="1:10" x14ac:dyDescent="0.3">
      <c r="A641" t="s">
        <v>88</v>
      </c>
      <c r="B641" t="s">
        <v>94</v>
      </c>
      <c r="C641" t="s">
        <v>121</v>
      </c>
      <c r="D641" t="s">
        <v>119</v>
      </c>
      <c r="E641" t="s">
        <v>127</v>
      </c>
      <c r="F641" t="s">
        <v>138</v>
      </c>
      <c r="G641">
        <v>492</v>
      </c>
      <c r="H641" t="s">
        <v>27</v>
      </c>
      <c r="I641">
        <v>46942.679999999993</v>
      </c>
      <c r="J641">
        <v>33309.390000000014</v>
      </c>
    </row>
    <row r="642" spans="1:10" x14ac:dyDescent="0.3">
      <c r="A642" t="s">
        <v>88</v>
      </c>
      <c r="B642" t="s">
        <v>94</v>
      </c>
      <c r="C642" t="s">
        <v>121</v>
      </c>
      <c r="D642" t="s">
        <v>119</v>
      </c>
      <c r="E642" t="s">
        <v>127</v>
      </c>
      <c r="F642" t="s">
        <v>138</v>
      </c>
      <c r="G642">
        <v>493</v>
      </c>
      <c r="H642" t="s">
        <v>24</v>
      </c>
      <c r="I642">
        <v>21718.23</v>
      </c>
      <c r="J642">
        <v>24290.630000000005</v>
      </c>
    </row>
    <row r="643" spans="1:10" x14ac:dyDescent="0.3">
      <c r="A643" t="s">
        <v>88</v>
      </c>
      <c r="B643" t="s">
        <v>95</v>
      </c>
      <c r="C643" t="s">
        <v>121</v>
      </c>
      <c r="D643" t="s">
        <v>121</v>
      </c>
      <c r="E643" t="s">
        <v>125</v>
      </c>
      <c r="F643" t="s">
        <v>139</v>
      </c>
      <c r="G643" t="s">
        <v>115</v>
      </c>
      <c r="H643" s="33" t="s">
        <v>71</v>
      </c>
      <c r="I643" s="33">
        <v>0</v>
      </c>
      <c r="J643" s="33">
        <v>0</v>
      </c>
    </row>
    <row r="644" spans="1:10" x14ac:dyDescent="0.3">
      <c r="A644" t="s">
        <v>88</v>
      </c>
      <c r="B644" t="s">
        <v>95</v>
      </c>
      <c r="C644" t="s">
        <v>121</v>
      </c>
      <c r="D644" t="s">
        <v>121</v>
      </c>
      <c r="E644" t="s">
        <v>126</v>
      </c>
      <c r="F644" t="s">
        <v>139</v>
      </c>
      <c r="G644">
        <v>510</v>
      </c>
      <c r="H644" t="s">
        <v>76</v>
      </c>
      <c r="I644">
        <v>0</v>
      </c>
      <c r="J644">
        <v>0</v>
      </c>
    </row>
    <row r="645" spans="1:10" x14ac:dyDescent="0.3">
      <c r="A645" t="s">
        <v>88</v>
      </c>
      <c r="B645" t="s">
        <v>95</v>
      </c>
      <c r="C645" t="s">
        <v>121</v>
      </c>
      <c r="D645" t="s">
        <v>121</v>
      </c>
      <c r="E645" t="s">
        <v>126</v>
      </c>
      <c r="F645" t="s">
        <v>139</v>
      </c>
      <c r="G645" t="s">
        <v>116</v>
      </c>
      <c r="H645" s="33" t="s">
        <v>75</v>
      </c>
      <c r="I645" s="33">
        <v>0</v>
      </c>
      <c r="J645" s="33">
        <v>0</v>
      </c>
    </row>
    <row r="646" spans="1:10" x14ac:dyDescent="0.3">
      <c r="A646" t="s">
        <v>88</v>
      </c>
      <c r="B646" t="s">
        <v>95</v>
      </c>
      <c r="C646" t="s">
        <v>121</v>
      </c>
      <c r="D646" t="s">
        <v>119</v>
      </c>
      <c r="E646" t="s">
        <v>127</v>
      </c>
      <c r="F646" t="s">
        <v>140</v>
      </c>
      <c r="G646">
        <v>541</v>
      </c>
      <c r="H646" t="s">
        <v>74</v>
      </c>
      <c r="I646">
        <v>21284.879999999997</v>
      </c>
      <c r="J646">
        <v>22849.42</v>
      </c>
    </row>
    <row r="647" spans="1:10" x14ac:dyDescent="0.3">
      <c r="A647" t="s">
        <v>88</v>
      </c>
      <c r="B647" t="s">
        <v>95</v>
      </c>
      <c r="C647" t="s">
        <v>121</v>
      </c>
      <c r="D647" t="s">
        <v>119</v>
      </c>
      <c r="E647" t="s">
        <v>127</v>
      </c>
      <c r="F647" t="s">
        <v>140</v>
      </c>
      <c r="G647">
        <v>543</v>
      </c>
      <c r="H647" t="s">
        <v>72</v>
      </c>
      <c r="I647">
        <v>27495.82</v>
      </c>
      <c r="J647">
        <v>21563.429999999993</v>
      </c>
    </row>
    <row r="648" spans="1:10" x14ac:dyDescent="0.3">
      <c r="A648" t="s">
        <v>88</v>
      </c>
      <c r="B648" t="s">
        <v>95</v>
      </c>
      <c r="C648" t="s">
        <v>120</v>
      </c>
      <c r="D648" t="s">
        <v>119</v>
      </c>
      <c r="E648" t="s">
        <v>127</v>
      </c>
      <c r="F648" t="s">
        <v>140</v>
      </c>
      <c r="G648">
        <v>540</v>
      </c>
      <c r="H648" t="s">
        <v>73</v>
      </c>
      <c r="I648">
        <v>53827.17</v>
      </c>
      <c r="J648">
        <v>82727.760000000009</v>
      </c>
    </row>
    <row r="649" spans="1:10" x14ac:dyDescent="0.3">
      <c r="A649" t="s">
        <v>88</v>
      </c>
      <c r="B649" t="s">
        <v>95</v>
      </c>
      <c r="C649" t="s">
        <v>119</v>
      </c>
      <c r="D649" t="s">
        <v>120</v>
      </c>
      <c r="E649" t="s">
        <v>124</v>
      </c>
      <c r="F649" t="s">
        <v>139</v>
      </c>
      <c r="G649">
        <v>530</v>
      </c>
      <c r="H649" t="s">
        <v>68</v>
      </c>
      <c r="I649">
        <v>24636.149999999994</v>
      </c>
      <c r="J649">
        <v>18638.560000000005</v>
      </c>
    </row>
    <row r="650" spans="1:10" x14ac:dyDescent="0.3">
      <c r="A650" t="s">
        <v>88</v>
      </c>
      <c r="B650" t="s">
        <v>95</v>
      </c>
      <c r="C650" t="s">
        <v>119</v>
      </c>
      <c r="D650" t="s">
        <v>119</v>
      </c>
      <c r="E650" t="s">
        <v>125</v>
      </c>
      <c r="F650" t="s">
        <v>140</v>
      </c>
      <c r="G650">
        <v>520</v>
      </c>
      <c r="H650" t="s">
        <v>70</v>
      </c>
      <c r="I650">
        <v>42361.03</v>
      </c>
      <c r="J650">
        <v>30002.289999999979</v>
      </c>
    </row>
    <row r="651" spans="1:10" x14ac:dyDescent="0.3">
      <c r="A651" t="s">
        <v>88</v>
      </c>
      <c r="B651" t="s">
        <v>95</v>
      </c>
      <c r="C651" t="s">
        <v>119</v>
      </c>
      <c r="D651" t="s">
        <v>119</v>
      </c>
      <c r="E651" t="s">
        <v>127</v>
      </c>
      <c r="F651" t="s">
        <v>139</v>
      </c>
      <c r="G651">
        <v>542</v>
      </c>
      <c r="H651" t="s">
        <v>69</v>
      </c>
      <c r="I651">
        <v>21766.019999999997</v>
      </c>
      <c r="J651">
        <v>15647.370000000017</v>
      </c>
    </row>
    <row r="652" spans="1:10" x14ac:dyDescent="0.3">
      <c r="A652" t="s">
        <v>89</v>
      </c>
      <c r="B652" t="s">
        <v>79</v>
      </c>
      <c r="C652" t="s">
        <v>122</v>
      </c>
      <c r="D652" t="s">
        <v>122</v>
      </c>
      <c r="E652" t="s">
        <v>124</v>
      </c>
      <c r="F652" t="s">
        <v>129</v>
      </c>
      <c r="G652">
        <v>303</v>
      </c>
      <c r="H652" t="s">
        <v>1</v>
      </c>
      <c r="I652">
        <v>0</v>
      </c>
      <c r="J652">
        <v>0</v>
      </c>
    </row>
    <row r="653" spans="1:10" x14ac:dyDescent="0.3">
      <c r="A653" t="s">
        <v>89</v>
      </c>
      <c r="B653" t="s">
        <v>79</v>
      </c>
      <c r="C653" t="s">
        <v>122</v>
      </c>
      <c r="D653" t="s">
        <v>122</v>
      </c>
      <c r="E653" t="s">
        <v>125</v>
      </c>
      <c r="F653" t="s">
        <v>129</v>
      </c>
      <c r="G653">
        <v>205</v>
      </c>
      <c r="H653" t="s">
        <v>7</v>
      </c>
      <c r="I653">
        <v>0</v>
      </c>
      <c r="J653">
        <v>0</v>
      </c>
    </row>
    <row r="654" spans="1:10" x14ac:dyDescent="0.3">
      <c r="A654" t="s">
        <v>89</v>
      </c>
      <c r="B654" t="s">
        <v>79</v>
      </c>
      <c r="C654" t="s">
        <v>122</v>
      </c>
      <c r="D654" t="s">
        <v>122</v>
      </c>
      <c r="E654" t="s">
        <v>127</v>
      </c>
      <c r="F654" t="s">
        <v>129</v>
      </c>
      <c r="G654">
        <v>401</v>
      </c>
      <c r="H654" t="s">
        <v>5</v>
      </c>
      <c r="I654">
        <v>0</v>
      </c>
      <c r="J654">
        <v>0</v>
      </c>
    </row>
    <row r="655" spans="1:10" x14ac:dyDescent="0.3">
      <c r="A655" t="s">
        <v>89</v>
      </c>
      <c r="B655" t="s">
        <v>79</v>
      </c>
      <c r="C655" t="s">
        <v>122</v>
      </c>
      <c r="D655" t="s">
        <v>122</v>
      </c>
      <c r="E655" t="s">
        <v>127</v>
      </c>
      <c r="F655" t="s">
        <v>122</v>
      </c>
      <c r="G655">
        <v>408</v>
      </c>
      <c r="H655" t="s">
        <v>33</v>
      </c>
      <c r="I655">
        <v>0</v>
      </c>
      <c r="J655">
        <v>0</v>
      </c>
    </row>
    <row r="656" spans="1:10" x14ac:dyDescent="0.3">
      <c r="A656" t="s">
        <v>89</v>
      </c>
      <c r="B656" t="s">
        <v>79</v>
      </c>
      <c r="C656" t="s">
        <v>121</v>
      </c>
      <c r="D656" t="s">
        <v>121</v>
      </c>
      <c r="E656" t="s">
        <v>125</v>
      </c>
      <c r="F656" t="s">
        <v>129</v>
      </c>
      <c r="G656" t="s">
        <v>110</v>
      </c>
      <c r="H656" t="s">
        <v>64</v>
      </c>
      <c r="I656">
        <v>0</v>
      </c>
      <c r="J656">
        <v>0</v>
      </c>
    </row>
    <row r="657" spans="1:10" x14ac:dyDescent="0.3">
      <c r="A657" t="s">
        <v>89</v>
      </c>
      <c r="B657" t="s">
        <v>79</v>
      </c>
      <c r="C657" t="s">
        <v>121</v>
      </c>
      <c r="D657" t="s">
        <v>121</v>
      </c>
      <c r="E657" t="s">
        <v>127</v>
      </c>
      <c r="F657" t="s">
        <v>129</v>
      </c>
      <c r="G657" t="s">
        <v>109</v>
      </c>
      <c r="H657" s="33" t="s">
        <v>41</v>
      </c>
      <c r="I657" s="33">
        <v>0</v>
      </c>
      <c r="J657" s="33">
        <v>0</v>
      </c>
    </row>
    <row r="658" spans="1:10" x14ac:dyDescent="0.3">
      <c r="A658" t="s">
        <v>89</v>
      </c>
      <c r="B658" t="s">
        <v>79</v>
      </c>
      <c r="C658" t="s">
        <v>121</v>
      </c>
      <c r="D658" t="s">
        <v>121</v>
      </c>
      <c r="E658" t="s">
        <v>127</v>
      </c>
      <c r="F658" t="s">
        <v>135</v>
      </c>
      <c r="G658" t="s">
        <v>108</v>
      </c>
      <c r="H658" s="33" t="s">
        <v>16</v>
      </c>
      <c r="I658" s="33">
        <v>0</v>
      </c>
      <c r="J658" s="33">
        <v>0</v>
      </c>
    </row>
    <row r="659" spans="1:10" x14ac:dyDescent="0.3">
      <c r="A659" t="s">
        <v>89</v>
      </c>
      <c r="B659" t="s">
        <v>79</v>
      </c>
      <c r="C659" t="s">
        <v>120</v>
      </c>
      <c r="D659" t="s">
        <v>120</v>
      </c>
      <c r="E659" t="s">
        <v>124</v>
      </c>
      <c r="F659" t="s">
        <v>129</v>
      </c>
      <c r="G659">
        <v>304</v>
      </c>
      <c r="H659" t="s">
        <v>61</v>
      </c>
      <c r="I659">
        <v>36114.359999999993</v>
      </c>
      <c r="J659">
        <v>39199.440000000017</v>
      </c>
    </row>
    <row r="660" spans="1:10" x14ac:dyDescent="0.3">
      <c r="A660" t="s">
        <v>89</v>
      </c>
      <c r="B660" t="s">
        <v>79</v>
      </c>
      <c r="C660" t="s">
        <v>120</v>
      </c>
      <c r="D660" t="s">
        <v>120</v>
      </c>
      <c r="E660" t="s">
        <v>125</v>
      </c>
      <c r="F660" t="s">
        <v>133</v>
      </c>
      <c r="G660">
        <v>208</v>
      </c>
      <c r="H660" t="s">
        <v>36</v>
      </c>
      <c r="I660">
        <v>30566.729999999996</v>
      </c>
      <c r="J660">
        <v>0</v>
      </c>
    </row>
    <row r="661" spans="1:10" x14ac:dyDescent="0.3">
      <c r="A661" t="s">
        <v>89</v>
      </c>
      <c r="B661" t="s">
        <v>79</v>
      </c>
      <c r="C661" t="s">
        <v>120</v>
      </c>
      <c r="D661" t="s">
        <v>120</v>
      </c>
      <c r="E661" t="s">
        <v>125</v>
      </c>
      <c r="F661" t="s">
        <v>133</v>
      </c>
      <c r="G661">
        <v>209</v>
      </c>
      <c r="H661" t="s">
        <v>35</v>
      </c>
      <c r="I661">
        <v>18624.669999999998</v>
      </c>
      <c r="J661">
        <v>15616.98</v>
      </c>
    </row>
    <row r="662" spans="1:10" x14ac:dyDescent="0.3">
      <c r="A662" t="s">
        <v>89</v>
      </c>
      <c r="B662" t="s">
        <v>79</v>
      </c>
      <c r="C662" t="s">
        <v>120</v>
      </c>
      <c r="D662" t="s">
        <v>120</v>
      </c>
      <c r="E662" t="s">
        <v>125</v>
      </c>
      <c r="F662" t="s">
        <v>129</v>
      </c>
      <c r="G662">
        <v>202</v>
      </c>
      <c r="H662" t="s">
        <v>4</v>
      </c>
      <c r="I662">
        <v>45911.979999999996</v>
      </c>
      <c r="J662">
        <v>44153.089999999989</v>
      </c>
    </row>
    <row r="663" spans="1:10" x14ac:dyDescent="0.3">
      <c r="A663" t="s">
        <v>89</v>
      </c>
      <c r="B663" t="s">
        <v>79</v>
      </c>
      <c r="C663" t="s">
        <v>120</v>
      </c>
      <c r="D663" t="s">
        <v>120</v>
      </c>
      <c r="E663" t="s">
        <v>127</v>
      </c>
      <c r="F663" t="s">
        <v>133</v>
      </c>
      <c r="G663">
        <v>404</v>
      </c>
      <c r="H663" t="s">
        <v>15</v>
      </c>
      <c r="I663">
        <v>21151.23</v>
      </c>
      <c r="J663">
        <v>20914.389999999989</v>
      </c>
    </row>
    <row r="664" spans="1:10" x14ac:dyDescent="0.3">
      <c r="A664" t="s">
        <v>89</v>
      </c>
      <c r="B664" t="s">
        <v>79</v>
      </c>
      <c r="C664" t="s">
        <v>120</v>
      </c>
      <c r="D664" t="s">
        <v>119</v>
      </c>
      <c r="E664" t="s">
        <v>124</v>
      </c>
      <c r="F664" t="s">
        <v>134</v>
      </c>
      <c r="G664">
        <v>310</v>
      </c>
      <c r="H664" t="s">
        <v>63</v>
      </c>
      <c r="I664">
        <v>10340.669999999998</v>
      </c>
      <c r="J664">
        <v>18345.670000000002</v>
      </c>
    </row>
    <row r="665" spans="1:10" x14ac:dyDescent="0.3">
      <c r="A665" t="s">
        <v>89</v>
      </c>
      <c r="B665" t="s">
        <v>79</v>
      </c>
      <c r="C665" t="s">
        <v>120</v>
      </c>
      <c r="D665" t="s">
        <v>119</v>
      </c>
      <c r="E665" t="s">
        <v>125</v>
      </c>
      <c r="F665" t="s">
        <v>134</v>
      </c>
      <c r="G665">
        <v>206</v>
      </c>
      <c r="H665" t="s">
        <v>18</v>
      </c>
      <c r="I665">
        <v>64514.819999999992</v>
      </c>
      <c r="J665">
        <v>53563.100000000035</v>
      </c>
    </row>
    <row r="666" spans="1:10" x14ac:dyDescent="0.3">
      <c r="A666" t="s">
        <v>89</v>
      </c>
      <c r="B666" t="s">
        <v>79</v>
      </c>
      <c r="C666" t="s">
        <v>120</v>
      </c>
      <c r="D666" t="s">
        <v>119</v>
      </c>
      <c r="E666" t="s">
        <v>125</v>
      </c>
      <c r="F666" t="s">
        <v>132</v>
      </c>
      <c r="G666">
        <v>210</v>
      </c>
      <c r="H666" t="s">
        <v>2</v>
      </c>
      <c r="I666">
        <v>28612.490000000005</v>
      </c>
      <c r="J666">
        <v>36225.399999999994</v>
      </c>
    </row>
    <row r="667" spans="1:10" x14ac:dyDescent="0.3">
      <c r="A667" t="s">
        <v>89</v>
      </c>
      <c r="B667" t="s">
        <v>79</v>
      </c>
      <c r="C667" t="s">
        <v>120</v>
      </c>
      <c r="D667" t="s">
        <v>119</v>
      </c>
      <c r="E667" t="s">
        <v>127</v>
      </c>
      <c r="F667" t="s">
        <v>131</v>
      </c>
      <c r="G667">
        <v>417</v>
      </c>
      <c r="H667" t="s">
        <v>54</v>
      </c>
      <c r="I667">
        <v>50542.01999999999</v>
      </c>
      <c r="J667">
        <v>48312.750000000116</v>
      </c>
    </row>
    <row r="668" spans="1:10" x14ac:dyDescent="0.3">
      <c r="A668" t="s">
        <v>89</v>
      </c>
      <c r="B668" t="s">
        <v>79</v>
      </c>
      <c r="C668" t="s">
        <v>119</v>
      </c>
      <c r="D668" t="s">
        <v>122</v>
      </c>
      <c r="E668" t="s">
        <v>127</v>
      </c>
      <c r="F668" t="s">
        <v>132</v>
      </c>
      <c r="G668">
        <v>416</v>
      </c>
      <c r="H668" t="s">
        <v>66</v>
      </c>
      <c r="I668">
        <v>13668.680000000004</v>
      </c>
      <c r="J668">
        <v>10788.499999999995</v>
      </c>
    </row>
    <row r="669" spans="1:10" x14ac:dyDescent="0.3">
      <c r="A669" t="s">
        <v>89</v>
      </c>
      <c r="B669" t="s">
        <v>79</v>
      </c>
      <c r="C669" t="s">
        <v>119</v>
      </c>
      <c r="D669" t="s">
        <v>120</v>
      </c>
      <c r="E669" t="s">
        <v>124</v>
      </c>
      <c r="F669" t="s">
        <v>134</v>
      </c>
      <c r="G669">
        <v>308</v>
      </c>
      <c r="H669" t="s">
        <v>0</v>
      </c>
      <c r="I669">
        <v>28670.819999999996</v>
      </c>
      <c r="J669">
        <v>22646.869999999992</v>
      </c>
    </row>
    <row r="670" spans="1:10" x14ac:dyDescent="0.3">
      <c r="A670" t="s">
        <v>89</v>
      </c>
      <c r="B670" t="s">
        <v>79</v>
      </c>
      <c r="C670" t="s">
        <v>119</v>
      </c>
      <c r="D670" t="s">
        <v>120</v>
      </c>
      <c r="E670" t="s">
        <v>127</v>
      </c>
      <c r="F670" t="s">
        <v>129</v>
      </c>
      <c r="G670">
        <v>402</v>
      </c>
      <c r="H670" t="s">
        <v>9</v>
      </c>
      <c r="I670">
        <v>19824.68</v>
      </c>
      <c r="J670">
        <v>14915.830000000011</v>
      </c>
    </row>
    <row r="671" spans="1:10" x14ac:dyDescent="0.3">
      <c r="A671" t="s">
        <v>89</v>
      </c>
      <c r="B671" t="s">
        <v>79</v>
      </c>
      <c r="C671" t="s">
        <v>119</v>
      </c>
      <c r="D671" t="s">
        <v>120</v>
      </c>
      <c r="E671" t="s">
        <v>127</v>
      </c>
      <c r="F671" t="s">
        <v>129</v>
      </c>
      <c r="G671">
        <v>406</v>
      </c>
      <c r="H671" t="s">
        <v>57</v>
      </c>
      <c r="I671">
        <v>17251.260000000002</v>
      </c>
      <c r="J671">
        <v>8919.8899999999976</v>
      </c>
    </row>
    <row r="672" spans="1:10" x14ac:dyDescent="0.3">
      <c r="A672" t="s">
        <v>89</v>
      </c>
      <c r="B672" t="s">
        <v>79</v>
      </c>
      <c r="C672" t="s">
        <v>119</v>
      </c>
      <c r="D672" t="s">
        <v>120</v>
      </c>
      <c r="E672" t="s">
        <v>127</v>
      </c>
      <c r="F672" t="s">
        <v>135</v>
      </c>
      <c r="G672">
        <v>414</v>
      </c>
      <c r="H672" t="s">
        <v>65</v>
      </c>
      <c r="I672">
        <v>238951.20999999993</v>
      </c>
      <c r="J672">
        <v>170382.07000000033</v>
      </c>
    </row>
    <row r="673" spans="1:10" x14ac:dyDescent="0.3">
      <c r="A673" t="s">
        <v>89</v>
      </c>
      <c r="B673" t="s">
        <v>79</v>
      </c>
      <c r="C673" t="s">
        <v>119</v>
      </c>
      <c r="D673" t="s">
        <v>119</v>
      </c>
      <c r="E673" t="s">
        <v>124</v>
      </c>
      <c r="F673" t="s">
        <v>131</v>
      </c>
      <c r="G673">
        <v>309</v>
      </c>
      <c r="H673" t="s">
        <v>52</v>
      </c>
      <c r="I673">
        <v>155622.03999999998</v>
      </c>
      <c r="J673">
        <v>203085.41000000111</v>
      </c>
    </row>
    <row r="674" spans="1:10" x14ac:dyDescent="0.3">
      <c r="A674" t="s">
        <v>89</v>
      </c>
      <c r="B674" t="s">
        <v>79</v>
      </c>
      <c r="C674" t="s">
        <v>119</v>
      </c>
      <c r="D674" t="s">
        <v>119</v>
      </c>
      <c r="E674" t="s">
        <v>124</v>
      </c>
      <c r="F674" t="s">
        <v>130</v>
      </c>
      <c r="G674">
        <v>305</v>
      </c>
      <c r="H674" t="s">
        <v>6</v>
      </c>
      <c r="I674">
        <v>105478.66999999998</v>
      </c>
      <c r="J674">
        <v>110522.87000000017</v>
      </c>
    </row>
    <row r="675" spans="1:10" x14ac:dyDescent="0.3">
      <c r="A675" t="s">
        <v>89</v>
      </c>
      <c r="B675" t="s">
        <v>79</v>
      </c>
      <c r="C675" t="s">
        <v>119</v>
      </c>
      <c r="D675" t="s">
        <v>119</v>
      </c>
      <c r="E675" t="s">
        <v>124</v>
      </c>
      <c r="F675" t="s">
        <v>134</v>
      </c>
      <c r="G675">
        <v>302</v>
      </c>
      <c r="H675" t="s">
        <v>32</v>
      </c>
      <c r="I675">
        <v>63530.689999999988</v>
      </c>
      <c r="J675">
        <v>61151.780000000079</v>
      </c>
    </row>
    <row r="676" spans="1:10" x14ac:dyDescent="0.3">
      <c r="A676" t="s">
        <v>89</v>
      </c>
      <c r="B676" t="s">
        <v>79</v>
      </c>
      <c r="C676" t="s">
        <v>119</v>
      </c>
      <c r="D676" t="s">
        <v>119</v>
      </c>
      <c r="E676" t="s">
        <v>124</v>
      </c>
      <c r="F676" t="s">
        <v>129</v>
      </c>
      <c r="G676">
        <v>301</v>
      </c>
      <c r="H676" t="s">
        <v>59</v>
      </c>
      <c r="I676">
        <v>32819.54</v>
      </c>
      <c r="J676">
        <v>33968.200000000048</v>
      </c>
    </row>
    <row r="677" spans="1:10" x14ac:dyDescent="0.3">
      <c r="A677" t="s">
        <v>89</v>
      </c>
      <c r="B677" t="s">
        <v>79</v>
      </c>
      <c r="C677" t="s">
        <v>119</v>
      </c>
      <c r="D677" t="s">
        <v>119</v>
      </c>
      <c r="E677" t="s">
        <v>124</v>
      </c>
      <c r="F677" t="s">
        <v>129</v>
      </c>
      <c r="G677">
        <v>311</v>
      </c>
      <c r="H677" t="s">
        <v>13</v>
      </c>
      <c r="I677">
        <v>37954.709999999992</v>
      </c>
      <c r="J677">
        <v>39113.930000000037</v>
      </c>
    </row>
    <row r="678" spans="1:10" x14ac:dyDescent="0.3">
      <c r="A678" t="s">
        <v>89</v>
      </c>
      <c r="B678" t="s">
        <v>79</v>
      </c>
      <c r="C678" t="s">
        <v>119</v>
      </c>
      <c r="D678" t="s">
        <v>119</v>
      </c>
      <c r="E678" t="s">
        <v>125</v>
      </c>
      <c r="F678" t="s">
        <v>131</v>
      </c>
      <c r="G678">
        <v>211</v>
      </c>
      <c r="H678" t="s">
        <v>8</v>
      </c>
      <c r="I678">
        <v>135279.73000000001</v>
      </c>
      <c r="J678">
        <v>162556.16000000079</v>
      </c>
    </row>
    <row r="679" spans="1:10" x14ac:dyDescent="0.3">
      <c r="A679" t="s">
        <v>89</v>
      </c>
      <c r="B679" t="s">
        <v>79</v>
      </c>
      <c r="C679" t="s">
        <v>119</v>
      </c>
      <c r="D679" t="s">
        <v>119</v>
      </c>
      <c r="E679" t="s">
        <v>125</v>
      </c>
      <c r="F679" t="s">
        <v>130</v>
      </c>
      <c r="G679">
        <v>207</v>
      </c>
      <c r="H679" t="s">
        <v>53</v>
      </c>
      <c r="I679">
        <v>98707.49000000002</v>
      </c>
      <c r="J679">
        <v>115756.58000000023</v>
      </c>
    </row>
    <row r="680" spans="1:10" x14ac:dyDescent="0.3">
      <c r="A680" t="s">
        <v>89</v>
      </c>
      <c r="B680" t="s">
        <v>79</v>
      </c>
      <c r="C680" t="s">
        <v>119</v>
      </c>
      <c r="D680" t="s">
        <v>119</v>
      </c>
      <c r="E680" t="s">
        <v>125</v>
      </c>
      <c r="F680" t="s">
        <v>133</v>
      </c>
      <c r="G680">
        <v>203</v>
      </c>
      <c r="H680" t="s">
        <v>60</v>
      </c>
      <c r="I680">
        <v>46931.02</v>
      </c>
      <c r="J680">
        <v>39045.330000000016</v>
      </c>
    </row>
    <row r="681" spans="1:10" x14ac:dyDescent="0.3">
      <c r="A681" t="s">
        <v>89</v>
      </c>
      <c r="B681" t="s">
        <v>79</v>
      </c>
      <c r="C681" t="s">
        <v>119</v>
      </c>
      <c r="D681" t="s">
        <v>119</v>
      </c>
      <c r="E681" t="s">
        <v>125</v>
      </c>
      <c r="F681" t="s">
        <v>133</v>
      </c>
      <c r="G681">
        <v>212</v>
      </c>
      <c r="H681" t="s">
        <v>62</v>
      </c>
      <c r="I681">
        <v>38049.979999999996</v>
      </c>
      <c r="J681">
        <v>58293.329999999922</v>
      </c>
    </row>
    <row r="682" spans="1:10" x14ac:dyDescent="0.3">
      <c r="A682" t="s">
        <v>89</v>
      </c>
      <c r="B682" t="s">
        <v>79</v>
      </c>
      <c r="C682" t="s">
        <v>119</v>
      </c>
      <c r="D682" t="s">
        <v>119</v>
      </c>
      <c r="E682" t="s">
        <v>125</v>
      </c>
      <c r="F682" t="s">
        <v>134</v>
      </c>
      <c r="G682">
        <v>190</v>
      </c>
      <c r="H682" t="s">
        <v>42</v>
      </c>
      <c r="I682">
        <v>61191.05999999999</v>
      </c>
      <c r="J682">
        <v>62482.580000000038</v>
      </c>
    </row>
    <row r="683" spans="1:10" x14ac:dyDescent="0.3">
      <c r="A683" t="s">
        <v>89</v>
      </c>
      <c r="B683" t="s">
        <v>79</v>
      </c>
      <c r="C683" t="s">
        <v>119</v>
      </c>
      <c r="D683" t="s">
        <v>119</v>
      </c>
      <c r="E683" t="s">
        <v>125</v>
      </c>
      <c r="F683" t="s">
        <v>134</v>
      </c>
      <c r="G683">
        <v>214</v>
      </c>
      <c r="H683" t="s">
        <v>17</v>
      </c>
      <c r="I683">
        <v>52370.499999999985</v>
      </c>
      <c r="J683">
        <v>62793.780000000086</v>
      </c>
    </row>
    <row r="684" spans="1:10" x14ac:dyDescent="0.3">
      <c r="A684" t="s">
        <v>89</v>
      </c>
      <c r="B684" t="s">
        <v>79</v>
      </c>
      <c r="C684" t="s">
        <v>119</v>
      </c>
      <c r="D684" t="s">
        <v>119</v>
      </c>
      <c r="E684" t="s">
        <v>127</v>
      </c>
      <c r="F684" t="s">
        <v>130</v>
      </c>
      <c r="G684">
        <v>407</v>
      </c>
      <c r="H684" t="s">
        <v>34</v>
      </c>
      <c r="I684">
        <v>69407.899999999994</v>
      </c>
      <c r="J684">
        <v>72666.590000000273</v>
      </c>
    </row>
    <row r="685" spans="1:10" x14ac:dyDescent="0.3">
      <c r="A685" t="s">
        <v>89</v>
      </c>
      <c r="B685" t="s">
        <v>79</v>
      </c>
      <c r="C685" t="s">
        <v>119</v>
      </c>
      <c r="D685" t="s">
        <v>119</v>
      </c>
      <c r="E685" t="s">
        <v>127</v>
      </c>
      <c r="F685" t="s">
        <v>130</v>
      </c>
      <c r="G685">
        <v>413</v>
      </c>
      <c r="H685" t="s">
        <v>14</v>
      </c>
      <c r="I685">
        <v>101269.28999999996</v>
      </c>
      <c r="J685">
        <v>87377.830000000598</v>
      </c>
    </row>
    <row r="686" spans="1:10" x14ac:dyDescent="0.3">
      <c r="A686" t="s">
        <v>89</v>
      </c>
      <c r="B686" t="s">
        <v>79</v>
      </c>
      <c r="C686" t="s">
        <v>119</v>
      </c>
      <c r="D686" t="s">
        <v>119</v>
      </c>
      <c r="E686" t="s">
        <v>127</v>
      </c>
      <c r="F686" t="s">
        <v>133</v>
      </c>
      <c r="G686">
        <v>412</v>
      </c>
      <c r="H686" t="s">
        <v>11</v>
      </c>
      <c r="I686">
        <v>43521.719999999994</v>
      </c>
      <c r="J686">
        <v>34183.26999999996</v>
      </c>
    </row>
    <row r="687" spans="1:10" x14ac:dyDescent="0.3">
      <c r="A687" t="s">
        <v>89</v>
      </c>
      <c r="B687" t="s">
        <v>79</v>
      </c>
      <c r="C687" t="s">
        <v>119</v>
      </c>
      <c r="D687" t="s">
        <v>119</v>
      </c>
      <c r="E687" t="s">
        <v>127</v>
      </c>
      <c r="F687" t="s">
        <v>134</v>
      </c>
      <c r="G687">
        <v>403</v>
      </c>
      <c r="H687" t="s">
        <v>12</v>
      </c>
      <c r="I687">
        <v>53211.059999999983</v>
      </c>
      <c r="J687">
        <v>33945.320000000014</v>
      </c>
    </row>
    <row r="688" spans="1:10" x14ac:dyDescent="0.3">
      <c r="A688" t="s">
        <v>89</v>
      </c>
      <c r="B688" t="s">
        <v>79</v>
      </c>
      <c r="C688" t="s">
        <v>119</v>
      </c>
      <c r="D688" t="s">
        <v>119</v>
      </c>
      <c r="E688" t="s">
        <v>127</v>
      </c>
      <c r="F688" t="s">
        <v>129</v>
      </c>
      <c r="G688">
        <v>409</v>
      </c>
      <c r="H688" t="s">
        <v>58</v>
      </c>
      <c r="I688">
        <v>33788.01999999999</v>
      </c>
      <c r="J688">
        <v>18249.290000000008</v>
      </c>
    </row>
    <row r="689" spans="1:10" x14ac:dyDescent="0.3">
      <c r="A689" t="s">
        <v>89</v>
      </c>
      <c r="B689" t="s">
        <v>79</v>
      </c>
      <c r="C689" t="s">
        <v>119</v>
      </c>
      <c r="D689" t="s">
        <v>119</v>
      </c>
      <c r="E689" t="s">
        <v>127</v>
      </c>
      <c r="F689" t="s">
        <v>129</v>
      </c>
      <c r="G689">
        <v>410</v>
      </c>
      <c r="H689" t="s">
        <v>40</v>
      </c>
      <c r="I689">
        <v>17290.660000000003</v>
      </c>
      <c r="J689">
        <v>12868.570000000005</v>
      </c>
    </row>
    <row r="690" spans="1:10" x14ac:dyDescent="0.3">
      <c r="A690" t="s">
        <v>89</v>
      </c>
      <c r="B690" t="s">
        <v>79</v>
      </c>
      <c r="C690" t="s">
        <v>119</v>
      </c>
      <c r="D690" t="s">
        <v>119</v>
      </c>
      <c r="E690" t="s">
        <v>126</v>
      </c>
      <c r="F690" t="s">
        <v>130</v>
      </c>
      <c r="G690">
        <v>101</v>
      </c>
      <c r="H690" t="s">
        <v>10</v>
      </c>
      <c r="I690">
        <v>103284.38999999998</v>
      </c>
      <c r="J690">
        <v>122257.95000000046</v>
      </c>
    </row>
    <row r="691" spans="1:10" x14ac:dyDescent="0.3">
      <c r="A691" t="s">
        <v>89</v>
      </c>
      <c r="B691" t="s">
        <v>79</v>
      </c>
      <c r="C691" t="s">
        <v>119</v>
      </c>
      <c r="D691" t="s">
        <v>119</v>
      </c>
      <c r="E691" t="s">
        <v>126</v>
      </c>
      <c r="F691" t="s">
        <v>130</v>
      </c>
      <c r="G691">
        <v>150</v>
      </c>
      <c r="H691" t="s">
        <v>3</v>
      </c>
      <c r="I691">
        <v>85383.360000000001</v>
      </c>
      <c r="J691">
        <v>108997.39000000022</v>
      </c>
    </row>
    <row r="692" spans="1:10" x14ac:dyDescent="0.3">
      <c r="A692" t="s">
        <v>89</v>
      </c>
      <c r="B692" t="s">
        <v>79</v>
      </c>
      <c r="C692" t="s">
        <v>119</v>
      </c>
      <c r="D692" t="s">
        <v>119</v>
      </c>
      <c r="E692" t="s">
        <v>126</v>
      </c>
      <c r="F692" t="s">
        <v>134</v>
      </c>
      <c r="G692">
        <v>170</v>
      </c>
      <c r="H692" t="s">
        <v>56</v>
      </c>
      <c r="I692">
        <v>56877.069999999992</v>
      </c>
      <c r="J692">
        <v>63166.03000000005</v>
      </c>
    </row>
    <row r="693" spans="1:10" x14ac:dyDescent="0.3">
      <c r="A693" t="s">
        <v>89</v>
      </c>
      <c r="B693" t="s">
        <v>79</v>
      </c>
      <c r="C693" t="s">
        <v>119</v>
      </c>
      <c r="D693" t="s">
        <v>119</v>
      </c>
      <c r="E693" t="s">
        <v>126</v>
      </c>
      <c r="F693" t="s">
        <v>132</v>
      </c>
      <c r="G693">
        <v>131</v>
      </c>
      <c r="H693" t="s">
        <v>67</v>
      </c>
      <c r="I693">
        <v>29096.81</v>
      </c>
      <c r="J693">
        <v>35924.980000000018</v>
      </c>
    </row>
    <row r="694" spans="1:10" x14ac:dyDescent="0.3">
      <c r="A694" t="s">
        <v>89</v>
      </c>
      <c r="B694" t="s">
        <v>79</v>
      </c>
      <c r="C694" t="s">
        <v>119</v>
      </c>
      <c r="D694" t="s">
        <v>119</v>
      </c>
      <c r="E694" t="s">
        <v>126</v>
      </c>
      <c r="F694" t="s">
        <v>132</v>
      </c>
      <c r="G694">
        <v>151</v>
      </c>
      <c r="H694" t="s">
        <v>20</v>
      </c>
      <c r="I694">
        <v>35196.099999999991</v>
      </c>
      <c r="J694">
        <v>23736.179999999993</v>
      </c>
    </row>
    <row r="695" spans="1:10" x14ac:dyDescent="0.3">
      <c r="A695" t="s">
        <v>89</v>
      </c>
      <c r="B695" t="s">
        <v>92</v>
      </c>
      <c r="C695" t="s">
        <v>121</v>
      </c>
      <c r="D695" t="s">
        <v>121</v>
      </c>
      <c r="E695" t="s">
        <v>124</v>
      </c>
      <c r="F695" t="s">
        <v>136</v>
      </c>
      <c r="G695" t="s">
        <v>111</v>
      </c>
      <c r="H695" s="33" t="s">
        <v>48</v>
      </c>
      <c r="I695" s="33">
        <v>0</v>
      </c>
      <c r="J695" s="33">
        <v>0</v>
      </c>
    </row>
    <row r="696" spans="1:10" x14ac:dyDescent="0.3">
      <c r="A696" t="s">
        <v>89</v>
      </c>
      <c r="B696" t="s">
        <v>92</v>
      </c>
      <c r="C696" t="s">
        <v>121</v>
      </c>
      <c r="D696" t="s">
        <v>121</v>
      </c>
      <c r="E696" t="s">
        <v>127</v>
      </c>
      <c r="F696" t="s">
        <v>136</v>
      </c>
      <c r="G696">
        <v>418</v>
      </c>
      <c r="H696" t="s">
        <v>44</v>
      </c>
      <c r="I696">
        <v>0</v>
      </c>
      <c r="J696">
        <v>62054.210000000043</v>
      </c>
    </row>
    <row r="697" spans="1:10" x14ac:dyDescent="0.3">
      <c r="A697" t="s">
        <v>89</v>
      </c>
      <c r="B697" t="s">
        <v>92</v>
      </c>
      <c r="C697" t="s">
        <v>119</v>
      </c>
      <c r="D697" t="s">
        <v>122</v>
      </c>
      <c r="E697" t="s">
        <v>124</v>
      </c>
      <c r="F697" t="s">
        <v>136</v>
      </c>
      <c r="G697">
        <v>307</v>
      </c>
      <c r="H697" t="s">
        <v>19</v>
      </c>
      <c r="I697">
        <v>62839.86</v>
      </c>
      <c r="J697">
        <v>53592.860000000073</v>
      </c>
    </row>
    <row r="698" spans="1:10" x14ac:dyDescent="0.3">
      <c r="A698" t="s">
        <v>89</v>
      </c>
      <c r="B698" t="s">
        <v>92</v>
      </c>
      <c r="C698" t="s">
        <v>119</v>
      </c>
      <c r="D698" t="s">
        <v>122</v>
      </c>
      <c r="E698" t="s">
        <v>127</v>
      </c>
      <c r="F698" t="s">
        <v>136</v>
      </c>
      <c r="G698">
        <v>411</v>
      </c>
      <c r="H698" t="s">
        <v>43</v>
      </c>
      <c r="I698">
        <v>86405.83</v>
      </c>
      <c r="J698">
        <v>55497.850000000079</v>
      </c>
    </row>
    <row r="699" spans="1:10" x14ac:dyDescent="0.3">
      <c r="A699" t="s">
        <v>89</v>
      </c>
      <c r="B699" t="s">
        <v>92</v>
      </c>
      <c r="C699" t="s">
        <v>119</v>
      </c>
      <c r="D699" t="s">
        <v>120</v>
      </c>
      <c r="E699" t="s">
        <v>125</v>
      </c>
      <c r="F699" t="s">
        <v>136</v>
      </c>
      <c r="G699">
        <v>213</v>
      </c>
      <c r="H699" t="s">
        <v>49</v>
      </c>
      <c r="I699">
        <v>71381.119999999995</v>
      </c>
      <c r="J699">
        <v>67374.310000000143</v>
      </c>
    </row>
    <row r="700" spans="1:10" x14ac:dyDescent="0.3">
      <c r="A700" t="s">
        <v>89</v>
      </c>
      <c r="B700" t="s">
        <v>92</v>
      </c>
      <c r="C700" t="s">
        <v>119</v>
      </c>
      <c r="D700" t="s">
        <v>120</v>
      </c>
      <c r="E700" t="s">
        <v>127</v>
      </c>
      <c r="F700" t="s">
        <v>136</v>
      </c>
      <c r="G700">
        <v>415</v>
      </c>
      <c r="H700" t="s">
        <v>47</v>
      </c>
      <c r="I700">
        <v>68079.570000000007</v>
      </c>
      <c r="J700">
        <v>37747.219999999972</v>
      </c>
    </row>
    <row r="701" spans="1:10" x14ac:dyDescent="0.3">
      <c r="A701" t="s">
        <v>89</v>
      </c>
      <c r="B701" t="s">
        <v>92</v>
      </c>
      <c r="C701" t="s">
        <v>119</v>
      </c>
      <c r="D701" t="s">
        <v>119</v>
      </c>
      <c r="E701" t="s">
        <v>124</v>
      </c>
      <c r="F701" t="s">
        <v>136</v>
      </c>
      <c r="G701">
        <v>306</v>
      </c>
      <c r="H701" t="s">
        <v>51</v>
      </c>
      <c r="I701">
        <v>85805.900000000009</v>
      </c>
      <c r="J701">
        <v>82560.349999999948</v>
      </c>
    </row>
    <row r="702" spans="1:10" x14ac:dyDescent="0.3">
      <c r="A702" t="s">
        <v>89</v>
      </c>
      <c r="B702" t="s">
        <v>92</v>
      </c>
      <c r="C702" t="s">
        <v>119</v>
      </c>
      <c r="D702" t="s">
        <v>119</v>
      </c>
      <c r="E702" t="s">
        <v>125</v>
      </c>
      <c r="F702" t="s">
        <v>136</v>
      </c>
      <c r="G702">
        <v>201</v>
      </c>
      <c r="H702" t="s">
        <v>45</v>
      </c>
      <c r="I702">
        <v>48265.259999999995</v>
      </c>
      <c r="J702">
        <v>37982.049999999996</v>
      </c>
    </row>
    <row r="703" spans="1:10" x14ac:dyDescent="0.3">
      <c r="A703" t="s">
        <v>89</v>
      </c>
      <c r="B703" t="s">
        <v>92</v>
      </c>
      <c r="C703" t="s">
        <v>119</v>
      </c>
      <c r="D703" t="s">
        <v>119</v>
      </c>
      <c r="E703" t="s">
        <v>125</v>
      </c>
      <c r="F703" t="s">
        <v>136</v>
      </c>
      <c r="G703">
        <v>204</v>
      </c>
      <c r="H703" t="s">
        <v>46</v>
      </c>
      <c r="I703">
        <v>50055.079999999987</v>
      </c>
      <c r="J703">
        <v>48181.950000000063</v>
      </c>
    </row>
    <row r="704" spans="1:10" x14ac:dyDescent="0.3">
      <c r="A704" t="s">
        <v>89</v>
      </c>
      <c r="B704" t="s">
        <v>92</v>
      </c>
      <c r="C704" t="s">
        <v>119</v>
      </c>
      <c r="D704" t="s">
        <v>119</v>
      </c>
      <c r="E704" t="s">
        <v>126</v>
      </c>
      <c r="F704" t="s">
        <v>136</v>
      </c>
      <c r="G704">
        <v>102</v>
      </c>
      <c r="H704" t="s">
        <v>50</v>
      </c>
      <c r="I704">
        <v>87231.62</v>
      </c>
      <c r="J704">
        <v>60508.140000000014</v>
      </c>
    </row>
    <row r="705" spans="1:10" x14ac:dyDescent="0.3">
      <c r="A705" t="s">
        <v>89</v>
      </c>
      <c r="B705" t="s">
        <v>93</v>
      </c>
      <c r="C705" t="s">
        <v>119</v>
      </c>
      <c r="D705" t="s">
        <v>119</v>
      </c>
      <c r="E705" t="s">
        <v>93</v>
      </c>
      <c r="F705" t="s">
        <v>93</v>
      </c>
      <c r="G705">
        <v>903</v>
      </c>
      <c r="H705" t="s">
        <v>37</v>
      </c>
      <c r="I705">
        <v>97760.489999999991</v>
      </c>
      <c r="J705">
        <v>91318.749999999985</v>
      </c>
    </row>
    <row r="706" spans="1:10" x14ac:dyDescent="0.3">
      <c r="A706" t="s">
        <v>89</v>
      </c>
      <c r="B706" t="s">
        <v>94</v>
      </c>
      <c r="C706" t="s">
        <v>121</v>
      </c>
      <c r="D706" t="s">
        <v>121</v>
      </c>
      <c r="E706" t="s">
        <v>124</v>
      </c>
      <c r="F706" t="s">
        <v>137</v>
      </c>
      <c r="G706" t="s">
        <v>112</v>
      </c>
      <c r="H706" t="s">
        <v>21</v>
      </c>
      <c r="I706">
        <v>0</v>
      </c>
      <c r="J706">
        <v>0</v>
      </c>
    </row>
    <row r="707" spans="1:10" x14ac:dyDescent="0.3">
      <c r="A707" t="s">
        <v>89</v>
      </c>
      <c r="B707" t="s">
        <v>94</v>
      </c>
      <c r="C707" t="s">
        <v>121</v>
      </c>
      <c r="D707" t="s">
        <v>121</v>
      </c>
      <c r="E707" t="s">
        <v>125</v>
      </c>
      <c r="F707" t="s">
        <v>138</v>
      </c>
      <c r="G707">
        <v>470</v>
      </c>
      <c r="H707" t="s">
        <v>26</v>
      </c>
      <c r="I707">
        <v>0</v>
      </c>
      <c r="J707">
        <v>52417.430000000168</v>
      </c>
    </row>
    <row r="708" spans="1:10" x14ac:dyDescent="0.3">
      <c r="A708" t="s">
        <v>89</v>
      </c>
      <c r="B708" t="s">
        <v>94</v>
      </c>
      <c r="C708" t="s">
        <v>121</v>
      </c>
      <c r="D708" t="s">
        <v>121</v>
      </c>
      <c r="E708" t="s">
        <v>125</v>
      </c>
      <c r="F708" t="s">
        <v>137</v>
      </c>
      <c r="G708" t="s">
        <v>114</v>
      </c>
      <c r="H708" t="s">
        <v>23</v>
      </c>
      <c r="I708">
        <v>0</v>
      </c>
      <c r="J708">
        <v>0</v>
      </c>
    </row>
    <row r="709" spans="1:10" x14ac:dyDescent="0.3">
      <c r="A709" t="s">
        <v>89</v>
      </c>
      <c r="B709" t="s">
        <v>94</v>
      </c>
      <c r="C709" t="s">
        <v>121</v>
      </c>
      <c r="D709" t="s">
        <v>121</v>
      </c>
      <c r="E709" t="s">
        <v>125</v>
      </c>
      <c r="F709" t="s">
        <v>137</v>
      </c>
      <c r="G709" t="s">
        <v>113</v>
      </c>
      <c r="H709" t="s">
        <v>22</v>
      </c>
      <c r="I709">
        <v>0</v>
      </c>
      <c r="J709">
        <v>0</v>
      </c>
    </row>
    <row r="710" spans="1:10" x14ac:dyDescent="0.3">
      <c r="A710" t="s">
        <v>89</v>
      </c>
      <c r="B710" t="s">
        <v>94</v>
      </c>
      <c r="C710" t="s">
        <v>121</v>
      </c>
      <c r="D710" t="s">
        <v>121</v>
      </c>
      <c r="E710" t="s">
        <v>127</v>
      </c>
      <c r="F710" t="s">
        <v>137</v>
      </c>
      <c r="G710">
        <v>494</v>
      </c>
      <c r="H710" t="s">
        <v>25</v>
      </c>
      <c r="I710">
        <v>0</v>
      </c>
      <c r="J710">
        <v>9828.5400000000009</v>
      </c>
    </row>
    <row r="711" spans="1:10" x14ac:dyDescent="0.3">
      <c r="A711" t="s">
        <v>89</v>
      </c>
      <c r="B711" t="s">
        <v>94</v>
      </c>
      <c r="C711" t="s">
        <v>121</v>
      </c>
      <c r="D711" t="s">
        <v>121</v>
      </c>
      <c r="E711" t="s">
        <v>126</v>
      </c>
      <c r="F711" t="s">
        <v>137</v>
      </c>
      <c r="G711">
        <v>460</v>
      </c>
      <c r="H711" t="s">
        <v>30</v>
      </c>
      <c r="I711">
        <v>0</v>
      </c>
      <c r="J711">
        <v>0</v>
      </c>
    </row>
    <row r="712" spans="1:10" x14ac:dyDescent="0.3">
      <c r="A712" t="s">
        <v>89</v>
      </c>
      <c r="B712" t="s">
        <v>94</v>
      </c>
      <c r="C712" t="s">
        <v>121</v>
      </c>
      <c r="D712" t="s">
        <v>121</v>
      </c>
      <c r="E712" t="s">
        <v>126</v>
      </c>
      <c r="F712" t="s">
        <v>137</v>
      </c>
      <c r="G712">
        <v>461</v>
      </c>
      <c r="H712" t="s">
        <v>29</v>
      </c>
      <c r="I712">
        <v>0</v>
      </c>
      <c r="J712">
        <v>0</v>
      </c>
    </row>
    <row r="713" spans="1:10" x14ac:dyDescent="0.3">
      <c r="A713" t="s">
        <v>89</v>
      </c>
      <c r="B713" t="s">
        <v>94</v>
      </c>
      <c r="C713" t="s">
        <v>121</v>
      </c>
      <c r="D713" t="s">
        <v>119</v>
      </c>
      <c r="E713" t="s">
        <v>124</v>
      </c>
      <c r="F713" t="s">
        <v>138</v>
      </c>
      <c r="G713">
        <v>480</v>
      </c>
      <c r="H713" t="s">
        <v>28</v>
      </c>
      <c r="I713">
        <v>33364.300000000003</v>
      </c>
      <c r="J713">
        <v>31593.43</v>
      </c>
    </row>
    <row r="714" spans="1:10" x14ac:dyDescent="0.3">
      <c r="A714" t="s">
        <v>89</v>
      </c>
      <c r="B714" t="s">
        <v>94</v>
      </c>
      <c r="C714" t="s">
        <v>121</v>
      </c>
      <c r="D714" t="s">
        <v>119</v>
      </c>
      <c r="E714" t="s">
        <v>127</v>
      </c>
      <c r="F714" t="s">
        <v>138</v>
      </c>
      <c r="G714">
        <v>491</v>
      </c>
      <c r="H714" t="s">
        <v>31</v>
      </c>
      <c r="I714">
        <v>0</v>
      </c>
      <c r="J714">
        <v>53501.380000000114</v>
      </c>
    </row>
    <row r="715" spans="1:10" x14ac:dyDescent="0.3">
      <c r="A715" t="s">
        <v>89</v>
      </c>
      <c r="B715" t="s">
        <v>94</v>
      </c>
      <c r="C715" t="s">
        <v>121</v>
      </c>
      <c r="D715" t="s">
        <v>119</v>
      </c>
      <c r="E715" t="s">
        <v>127</v>
      </c>
      <c r="F715" t="s">
        <v>138</v>
      </c>
      <c r="G715">
        <v>492</v>
      </c>
      <c r="H715" t="s">
        <v>27</v>
      </c>
      <c r="I715">
        <v>48339.819999999992</v>
      </c>
      <c r="J715">
        <v>25419.900000000005</v>
      </c>
    </row>
    <row r="716" spans="1:10" x14ac:dyDescent="0.3">
      <c r="A716" t="s">
        <v>89</v>
      </c>
      <c r="B716" t="s">
        <v>94</v>
      </c>
      <c r="C716" t="s">
        <v>121</v>
      </c>
      <c r="D716" t="s">
        <v>119</v>
      </c>
      <c r="E716" t="s">
        <v>127</v>
      </c>
      <c r="F716" t="s">
        <v>138</v>
      </c>
      <c r="G716">
        <v>493</v>
      </c>
      <c r="H716" t="s">
        <v>24</v>
      </c>
      <c r="I716">
        <v>30167.03</v>
      </c>
      <c r="J716">
        <v>20284.129999999997</v>
      </c>
    </row>
    <row r="717" spans="1:10" x14ac:dyDescent="0.3">
      <c r="A717" t="s">
        <v>89</v>
      </c>
      <c r="B717" t="s">
        <v>95</v>
      </c>
      <c r="C717" t="s">
        <v>121</v>
      </c>
      <c r="D717" t="s">
        <v>121</v>
      </c>
      <c r="E717" t="s">
        <v>125</v>
      </c>
      <c r="F717" t="s">
        <v>139</v>
      </c>
      <c r="G717" t="s">
        <v>115</v>
      </c>
      <c r="H717" s="33" t="s">
        <v>71</v>
      </c>
      <c r="I717" s="33">
        <v>0</v>
      </c>
      <c r="J717" s="33">
        <v>0</v>
      </c>
    </row>
    <row r="718" spans="1:10" x14ac:dyDescent="0.3">
      <c r="A718" t="s">
        <v>89</v>
      </c>
      <c r="B718" t="s">
        <v>95</v>
      </c>
      <c r="C718" t="s">
        <v>121</v>
      </c>
      <c r="D718" t="s">
        <v>121</v>
      </c>
      <c r="E718" t="s">
        <v>126</v>
      </c>
      <c r="F718" t="s">
        <v>139</v>
      </c>
      <c r="G718">
        <v>510</v>
      </c>
      <c r="H718" t="s">
        <v>76</v>
      </c>
      <c r="I718">
        <v>0</v>
      </c>
      <c r="J718">
        <v>0</v>
      </c>
    </row>
    <row r="719" spans="1:10" x14ac:dyDescent="0.3">
      <c r="A719" t="s">
        <v>89</v>
      </c>
      <c r="B719" t="s">
        <v>95</v>
      </c>
      <c r="C719" t="s">
        <v>121</v>
      </c>
      <c r="D719" t="s">
        <v>121</v>
      </c>
      <c r="E719" t="s">
        <v>126</v>
      </c>
      <c r="F719" t="s">
        <v>139</v>
      </c>
      <c r="G719" t="s">
        <v>116</v>
      </c>
      <c r="H719" s="33" t="s">
        <v>75</v>
      </c>
      <c r="I719" s="33">
        <v>0</v>
      </c>
      <c r="J719" s="33">
        <v>0</v>
      </c>
    </row>
    <row r="720" spans="1:10" x14ac:dyDescent="0.3">
      <c r="A720" t="s">
        <v>89</v>
      </c>
      <c r="B720" t="s">
        <v>95</v>
      </c>
      <c r="C720" t="s">
        <v>121</v>
      </c>
      <c r="D720" t="s">
        <v>119</v>
      </c>
      <c r="E720" t="s">
        <v>127</v>
      </c>
      <c r="F720" t="s">
        <v>140</v>
      </c>
      <c r="G720">
        <v>541</v>
      </c>
      <c r="H720" t="s">
        <v>74</v>
      </c>
      <c r="I720">
        <v>24955.449999999997</v>
      </c>
      <c r="J720">
        <v>17395.649999999991</v>
      </c>
    </row>
    <row r="721" spans="1:10" x14ac:dyDescent="0.3">
      <c r="A721" t="s">
        <v>89</v>
      </c>
      <c r="B721" t="s">
        <v>95</v>
      </c>
      <c r="C721" t="s">
        <v>121</v>
      </c>
      <c r="D721" t="s">
        <v>119</v>
      </c>
      <c r="E721" t="s">
        <v>127</v>
      </c>
      <c r="F721" t="s">
        <v>140</v>
      </c>
      <c r="G721">
        <v>543</v>
      </c>
      <c r="H721" t="s">
        <v>72</v>
      </c>
      <c r="I721">
        <v>20500.87</v>
      </c>
      <c r="J721">
        <v>15980.069999999994</v>
      </c>
    </row>
    <row r="722" spans="1:10" x14ac:dyDescent="0.3">
      <c r="A722" t="s">
        <v>89</v>
      </c>
      <c r="B722" t="s">
        <v>95</v>
      </c>
      <c r="C722" t="s">
        <v>120</v>
      </c>
      <c r="D722" t="s">
        <v>119</v>
      </c>
      <c r="E722" t="s">
        <v>127</v>
      </c>
      <c r="F722" t="s">
        <v>140</v>
      </c>
      <c r="G722">
        <v>540</v>
      </c>
      <c r="H722" t="s">
        <v>73</v>
      </c>
      <c r="I722">
        <v>55833.630000000005</v>
      </c>
      <c r="J722">
        <v>49988.359999999986</v>
      </c>
    </row>
    <row r="723" spans="1:10" x14ac:dyDescent="0.3">
      <c r="A723" t="s">
        <v>89</v>
      </c>
      <c r="B723" t="s">
        <v>95</v>
      </c>
      <c r="C723" t="s">
        <v>119</v>
      </c>
      <c r="D723" t="s">
        <v>120</v>
      </c>
      <c r="E723" t="s">
        <v>124</v>
      </c>
      <c r="F723" t="s">
        <v>139</v>
      </c>
      <c r="G723">
        <v>530</v>
      </c>
      <c r="H723" t="s">
        <v>68</v>
      </c>
      <c r="I723">
        <v>25932.14</v>
      </c>
      <c r="J723">
        <v>22672.379999999986</v>
      </c>
    </row>
    <row r="724" spans="1:10" x14ac:dyDescent="0.3">
      <c r="A724" t="s">
        <v>89</v>
      </c>
      <c r="B724" t="s">
        <v>95</v>
      </c>
      <c r="C724" t="s">
        <v>119</v>
      </c>
      <c r="D724" t="s">
        <v>119</v>
      </c>
      <c r="E724" t="s">
        <v>125</v>
      </c>
      <c r="F724" t="s">
        <v>140</v>
      </c>
      <c r="G724">
        <v>520</v>
      </c>
      <c r="H724" t="s">
        <v>70</v>
      </c>
      <c r="I724">
        <v>39617.68</v>
      </c>
      <c r="J724">
        <v>42824.899999999965</v>
      </c>
    </row>
    <row r="725" spans="1:10" x14ac:dyDescent="0.3">
      <c r="A725" t="s">
        <v>89</v>
      </c>
      <c r="B725" t="s">
        <v>95</v>
      </c>
      <c r="C725" t="s">
        <v>119</v>
      </c>
      <c r="D725" t="s">
        <v>119</v>
      </c>
      <c r="E725" t="s">
        <v>127</v>
      </c>
      <c r="F725" t="s">
        <v>139</v>
      </c>
      <c r="G725">
        <v>542</v>
      </c>
      <c r="H725" t="s">
        <v>69</v>
      </c>
      <c r="I725">
        <v>15490.260000000002</v>
      </c>
      <c r="J725">
        <v>9247.6200000000044</v>
      </c>
    </row>
    <row r="726" spans="1:10" x14ac:dyDescent="0.3">
      <c r="A726" t="s">
        <v>90</v>
      </c>
      <c r="B726" t="s">
        <v>79</v>
      </c>
      <c r="C726" t="s">
        <v>122</v>
      </c>
      <c r="D726" t="s">
        <v>122</v>
      </c>
      <c r="E726" t="s">
        <v>124</v>
      </c>
      <c r="F726" t="s">
        <v>129</v>
      </c>
      <c r="G726">
        <v>303</v>
      </c>
      <c r="H726" t="s">
        <v>1</v>
      </c>
      <c r="I726">
        <v>0</v>
      </c>
      <c r="J726">
        <v>0</v>
      </c>
    </row>
    <row r="727" spans="1:10" x14ac:dyDescent="0.3">
      <c r="A727" t="s">
        <v>90</v>
      </c>
      <c r="B727" t="s">
        <v>79</v>
      </c>
      <c r="C727" t="s">
        <v>122</v>
      </c>
      <c r="D727" t="s">
        <v>122</v>
      </c>
      <c r="E727" t="s">
        <v>125</v>
      </c>
      <c r="F727" t="s">
        <v>129</v>
      </c>
      <c r="G727">
        <v>205</v>
      </c>
      <c r="H727" t="s">
        <v>7</v>
      </c>
      <c r="I727">
        <v>0</v>
      </c>
      <c r="J727">
        <v>0</v>
      </c>
    </row>
    <row r="728" spans="1:10" x14ac:dyDescent="0.3">
      <c r="A728" t="s">
        <v>90</v>
      </c>
      <c r="B728" t="s">
        <v>79</v>
      </c>
      <c r="C728" t="s">
        <v>122</v>
      </c>
      <c r="D728" t="s">
        <v>122</v>
      </c>
      <c r="E728" t="s">
        <v>127</v>
      </c>
      <c r="F728" t="s">
        <v>129</v>
      </c>
      <c r="G728">
        <v>401</v>
      </c>
      <c r="H728" t="s">
        <v>5</v>
      </c>
      <c r="I728">
        <v>0</v>
      </c>
      <c r="J728">
        <v>0</v>
      </c>
    </row>
    <row r="729" spans="1:10" x14ac:dyDescent="0.3">
      <c r="A729" t="s">
        <v>90</v>
      </c>
      <c r="B729" t="s">
        <v>79</v>
      </c>
      <c r="C729" t="s">
        <v>122</v>
      </c>
      <c r="D729" t="s">
        <v>122</v>
      </c>
      <c r="E729" t="s">
        <v>127</v>
      </c>
      <c r="F729" t="s">
        <v>122</v>
      </c>
      <c r="G729">
        <v>408</v>
      </c>
      <c r="H729" t="s">
        <v>33</v>
      </c>
      <c r="I729">
        <v>0</v>
      </c>
      <c r="J729">
        <v>0</v>
      </c>
    </row>
    <row r="730" spans="1:10" x14ac:dyDescent="0.3">
      <c r="A730" t="s">
        <v>90</v>
      </c>
      <c r="B730" t="s">
        <v>79</v>
      </c>
      <c r="C730" t="s">
        <v>121</v>
      </c>
      <c r="D730" t="s">
        <v>121</v>
      </c>
      <c r="E730" t="s">
        <v>125</v>
      </c>
      <c r="F730" t="s">
        <v>129</v>
      </c>
      <c r="G730" t="s">
        <v>110</v>
      </c>
      <c r="H730" t="s">
        <v>64</v>
      </c>
      <c r="I730">
        <v>0</v>
      </c>
      <c r="J730">
        <v>0</v>
      </c>
    </row>
    <row r="731" spans="1:10" x14ac:dyDescent="0.3">
      <c r="A731" t="s">
        <v>90</v>
      </c>
      <c r="B731" t="s">
        <v>79</v>
      </c>
      <c r="C731" t="s">
        <v>121</v>
      </c>
      <c r="D731" t="s">
        <v>121</v>
      </c>
      <c r="E731" t="s">
        <v>127</v>
      </c>
      <c r="F731" t="s">
        <v>129</v>
      </c>
      <c r="G731" t="s">
        <v>109</v>
      </c>
      <c r="H731" s="33" t="s">
        <v>41</v>
      </c>
      <c r="I731" s="33">
        <v>0</v>
      </c>
      <c r="J731" s="33">
        <v>0</v>
      </c>
    </row>
    <row r="732" spans="1:10" x14ac:dyDescent="0.3">
      <c r="A732" t="s">
        <v>90</v>
      </c>
      <c r="B732" t="s">
        <v>79</v>
      </c>
      <c r="C732" t="s">
        <v>121</v>
      </c>
      <c r="D732" t="s">
        <v>121</v>
      </c>
      <c r="E732" t="s">
        <v>127</v>
      </c>
      <c r="F732" t="s">
        <v>135</v>
      </c>
      <c r="G732" t="s">
        <v>108</v>
      </c>
      <c r="H732" s="33" t="s">
        <v>16</v>
      </c>
      <c r="I732" s="33">
        <v>0</v>
      </c>
      <c r="J732" s="33">
        <v>0</v>
      </c>
    </row>
    <row r="733" spans="1:10" x14ac:dyDescent="0.3">
      <c r="A733" t="s">
        <v>90</v>
      </c>
      <c r="B733" t="s">
        <v>79</v>
      </c>
      <c r="C733" t="s">
        <v>120</v>
      </c>
      <c r="D733" t="s">
        <v>120</v>
      </c>
      <c r="E733" t="s">
        <v>124</v>
      </c>
      <c r="F733" t="s">
        <v>129</v>
      </c>
      <c r="G733">
        <v>304</v>
      </c>
      <c r="H733" t="s">
        <v>61</v>
      </c>
      <c r="I733">
        <v>34160.909999999996</v>
      </c>
      <c r="J733">
        <v>45873.706896551725</v>
      </c>
    </row>
    <row r="734" spans="1:10" x14ac:dyDescent="0.3">
      <c r="A734" t="s">
        <v>90</v>
      </c>
      <c r="B734" t="s">
        <v>79</v>
      </c>
      <c r="C734" t="s">
        <v>120</v>
      </c>
      <c r="D734" t="s">
        <v>120</v>
      </c>
      <c r="E734" t="s">
        <v>125</v>
      </c>
      <c r="F734" t="s">
        <v>133</v>
      </c>
      <c r="G734">
        <v>208</v>
      </c>
      <c r="H734" t="s">
        <v>36</v>
      </c>
      <c r="I734">
        <v>49851.829999999987</v>
      </c>
      <c r="J734">
        <v>124150.83333333334</v>
      </c>
    </row>
    <row r="735" spans="1:10" x14ac:dyDescent="0.3">
      <c r="A735" t="s">
        <v>90</v>
      </c>
      <c r="B735" t="s">
        <v>79</v>
      </c>
      <c r="C735" t="s">
        <v>120</v>
      </c>
      <c r="D735" t="s">
        <v>120</v>
      </c>
      <c r="E735" t="s">
        <v>125</v>
      </c>
      <c r="F735" t="s">
        <v>133</v>
      </c>
      <c r="G735">
        <v>209</v>
      </c>
      <c r="H735" t="s">
        <v>35</v>
      </c>
      <c r="I735">
        <v>26006.990000000005</v>
      </c>
      <c r="J735">
        <v>0</v>
      </c>
    </row>
    <row r="736" spans="1:10" x14ac:dyDescent="0.3">
      <c r="A736" t="s">
        <v>90</v>
      </c>
      <c r="B736" t="s">
        <v>79</v>
      </c>
      <c r="C736" t="s">
        <v>120</v>
      </c>
      <c r="D736" t="s">
        <v>120</v>
      </c>
      <c r="E736" t="s">
        <v>125</v>
      </c>
      <c r="F736" t="s">
        <v>129</v>
      </c>
      <c r="G736">
        <v>202</v>
      </c>
      <c r="H736" t="s">
        <v>4</v>
      </c>
      <c r="I736">
        <v>45726.819999999992</v>
      </c>
      <c r="J736">
        <v>56206.178160919531</v>
      </c>
    </row>
    <row r="737" spans="1:10" x14ac:dyDescent="0.3">
      <c r="A737" t="s">
        <v>90</v>
      </c>
      <c r="B737" t="s">
        <v>79</v>
      </c>
      <c r="C737" t="s">
        <v>120</v>
      </c>
      <c r="D737" t="s">
        <v>120</v>
      </c>
      <c r="E737" t="s">
        <v>127</v>
      </c>
      <c r="F737" t="s">
        <v>133</v>
      </c>
      <c r="G737">
        <v>404</v>
      </c>
      <c r="H737" t="s">
        <v>15</v>
      </c>
      <c r="I737">
        <v>21287.56</v>
      </c>
      <c r="J737">
        <v>27054.597701149414</v>
      </c>
    </row>
    <row r="738" spans="1:10" x14ac:dyDescent="0.3">
      <c r="A738" t="s">
        <v>90</v>
      </c>
      <c r="B738" t="s">
        <v>79</v>
      </c>
      <c r="C738" t="s">
        <v>120</v>
      </c>
      <c r="D738" t="s">
        <v>119</v>
      </c>
      <c r="E738" t="s">
        <v>124</v>
      </c>
      <c r="F738" t="s">
        <v>134</v>
      </c>
      <c r="G738">
        <v>310</v>
      </c>
      <c r="H738" t="s">
        <v>63</v>
      </c>
      <c r="I738">
        <v>29524.47</v>
      </c>
      <c r="J738">
        <v>41358.620689655159</v>
      </c>
    </row>
    <row r="739" spans="1:10" x14ac:dyDescent="0.3">
      <c r="A739" t="s">
        <v>90</v>
      </c>
      <c r="B739" t="s">
        <v>79</v>
      </c>
      <c r="C739" t="s">
        <v>120</v>
      </c>
      <c r="D739" t="s">
        <v>119</v>
      </c>
      <c r="E739" t="s">
        <v>125</v>
      </c>
      <c r="F739" t="s">
        <v>134</v>
      </c>
      <c r="G739">
        <v>206</v>
      </c>
      <c r="H739" t="s">
        <v>18</v>
      </c>
      <c r="I739">
        <v>67786.699999999983</v>
      </c>
      <c r="J739">
        <v>66999.856321839077</v>
      </c>
    </row>
    <row r="740" spans="1:10" x14ac:dyDescent="0.3">
      <c r="A740" t="s">
        <v>90</v>
      </c>
      <c r="B740" t="s">
        <v>79</v>
      </c>
      <c r="C740" t="s">
        <v>120</v>
      </c>
      <c r="D740" t="s">
        <v>119</v>
      </c>
      <c r="E740" t="s">
        <v>125</v>
      </c>
      <c r="F740" t="s">
        <v>132</v>
      </c>
      <c r="G740">
        <v>210</v>
      </c>
      <c r="H740" t="s">
        <v>2</v>
      </c>
      <c r="I740">
        <v>40963.56</v>
      </c>
      <c r="J740">
        <v>45513.074712643669</v>
      </c>
    </row>
    <row r="741" spans="1:10" x14ac:dyDescent="0.3">
      <c r="A741" t="s">
        <v>90</v>
      </c>
      <c r="B741" t="s">
        <v>79</v>
      </c>
      <c r="C741" t="s">
        <v>120</v>
      </c>
      <c r="D741" t="s">
        <v>119</v>
      </c>
      <c r="E741" t="s">
        <v>127</v>
      </c>
      <c r="F741" t="s">
        <v>131</v>
      </c>
      <c r="G741">
        <v>417</v>
      </c>
      <c r="H741" t="s">
        <v>54</v>
      </c>
      <c r="I741">
        <v>52174.51999999999</v>
      </c>
      <c r="J741">
        <v>39206.6091954023</v>
      </c>
    </row>
    <row r="742" spans="1:10" x14ac:dyDescent="0.3">
      <c r="A742" t="s">
        <v>90</v>
      </c>
      <c r="B742" t="s">
        <v>79</v>
      </c>
      <c r="C742" t="s">
        <v>119</v>
      </c>
      <c r="D742" t="s">
        <v>122</v>
      </c>
      <c r="E742" t="s">
        <v>127</v>
      </c>
      <c r="F742" t="s">
        <v>132</v>
      </c>
      <c r="G742">
        <v>416</v>
      </c>
      <c r="H742" t="s">
        <v>66</v>
      </c>
      <c r="I742">
        <v>13212.670000000002</v>
      </c>
      <c r="J742">
        <v>7780.0287356321842</v>
      </c>
    </row>
    <row r="743" spans="1:10" x14ac:dyDescent="0.3">
      <c r="A743" t="s">
        <v>90</v>
      </c>
      <c r="B743" t="s">
        <v>79</v>
      </c>
      <c r="C743" t="s">
        <v>119</v>
      </c>
      <c r="D743" t="s">
        <v>120</v>
      </c>
      <c r="E743" t="s">
        <v>124</v>
      </c>
      <c r="F743" t="s">
        <v>134</v>
      </c>
      <c r="G743">
        <v>308</v>
      </c>
      <c r="H743" t="s">
        <v>0</v>
      </c>
      <c r="I743">
        <v>34186.33</v>
      </c>
      <c r="J743">
        <v>35122.84482758621</v>
      </c>
    </row>
    <row r="744" spans="1:10" x14ac:dyDescent="0.3">
      <c r="A744" t="s">
        <v>90</v>
      </c>
      <c r="B744" t="s">
        <v>79</v>
      </c>
      <c r="C744" t="s">
        <v>119</v>
      </c>
      <c r="D744" t="s">
        <v>120</v>
      </c>
      <c r="E744" t="s">
        <v>127</v>
      </c>
      <c r="F744" t="s">
        <v>129</v>
      </c>
      <c r="G744">
        <v>402</v>
      </c>
      <c r="H744" t="s">
        <v>9</v>
      </c>
      <c r="I744">
        <v>20032.600000000002</v>
      </c>
      <c r="J744">
        <v>14411.063218390804</v>
      </c>
    </row>
    <row r="745" spans="1:10" x14ac:dyDescent="0.3">
      <c r="A745" t="s">
        <v>90</v>
      </c>
      <c r="B745" t="s">
        <v>79</v>
      </c>
      <c r="C745" t="s">
        <v>119</v>
      </c>
      <c r="D745" t="s">
        <v>120</v>
      </c>
      <c r="E745" t="s">
        <v>127</v>
      </c>
      <c r="F745" t="s">
        <v>129</v>
      </c>
      <c r="G745">
        <v>406</v>
      </c>
      <c r="H745" t="s">
        <v>57</v>
      </c>
      <c r="I745">
        <v>14408.12</v>
      </c>
      <c r="J745">
        <v>8452.5862068965507</v>
      </c>
    </row>
    <row r="746" spans="1:10" x14ac:dyDescent="0.3">
      <c r="A746" t="s">
        <v>90</v>
      </c>
      <c r="B746" t="s">
        <v>79</v>
      </c>
      <c r="C746" t="s">
        <v>119</v>
      </c>
      <c r="D746" t="s">
        <v>120</v>
      </c>
      <c r="E746" t="s">
        <v>127</v>
      </c>
      <c r="F746" t="s">
        <v>135</v>
      </c>
      <c r="G746">
        <v>414</v>
      </c>
      <c r="H746" t="s">
        <v>65</v>
      </c>
      <c r="I746">
        <v>250229.34</v>
      </c>
      <c r="J746">
        <v>132136.78160919558</v>
      </c>
    </row>
    <row r="747" spans="1:10" x14ac:dyDescent="0.3">
      <c r="A747" t="s">
        <v>90</v>
      </c>
      <c r="B747" t="s">
        <v>79</v>
      </c>
      <c r="C747" t="s">
        <v>119</v>
      </c>
      <c r="D747" t="s">
        <v>119</v>
      </c>
      <c r="E747" t="s">
        <v>124</v>
      </c>
      <c r="F747" t="s">
        <v>131</v>
      </c>
      <c r="G747">
        <v>309</v>
      </c>
      <c r="H747" t="s">
        <v>52</v>
      </c>
      <c r="I747">
        <v>181271.45999999996</v>
      </c>
      <c r="J747">
        <v>289461.92528735637</v>
      </c>
    </row>
    <row r="748" spans="1:10" x14ac:dyDescent="0.3">
      <c r="A748" t="s">
        <v>90</v>
      </c>
      <c r="B748" t="s">
        <v>79</v>
      </c>
      <c r="C748" t="s">
        <v>119</v>
      </c>
      <c r="D748" t="s">
        <v>119</v>
      </c>
      <c r="E748" t="s">
        <v>124</v>
      </c>
      <c r="F748" t="s">
        <v>130</v>
      </c>
      <c r="G748">
        <v>305</v>
      </c>
      <c r="H748" t="s">
        <v>6</v>
      </c>
      <c r="I748">
        <v>110509.34999999998</v>
      </c>
      <c r="J748">
        <v>170853.73563218393</v>
      </c>
    </row>
    <row r="749" spans="1:10" x14ac:dyDescent="0.3">
      <c r="A749" t="s">
        <v>90</v>
      </c>
      <c r="B749" t="s">
        <v>79</v>
      </c>
      <c r="C749" t="s">
        <v>119</v>
      </c>
      <c r="D749" t="s">
        <v>119</v>
      </c>
      <c r="E749" t="s">
        <v>124</v>
      </c>
      <c r="F749" t="s">
        <v>134</v>
      </c>
      <c r="G749">
        <v>302</v>
      </c>
      <c r="H749" t="s">
        <v>32</v>
      </c>
      <c r="I749">
        <v>77017.52</v>
      </c>
      <c r="J749">
        <v>97362.212643678155</v>
      </c>
    </row>
    <row r="750" spans="1:10" x14ac:dyDescent="0.3">
      <c r="A750" t="s">
        <v>90</v>
      </c>
      <c r="B750" t="s">
        <v>79</v>
      </c>
      <c r="C750" t="s">
        <v>119</v>
      </c>
      <c r="D750" t="s">
        <v>119</v>
      </c>
      <c r="E750" t="s">
        <v>124</v>
      </c>
      <c r="F750" t="s">
        <v>129</v>
      </c>
      <c r="G750">
        <v>301</v>
      </c>
      <c r="H750" t="s">
        <v>59</v>
      </c>
      <c r="I750">
        <v>34301.869999999995</v>
      </c>
      <c r="J750">
        <v>48653.017241379304</v>
      </c>
    </row>
    <row r="751" spans="1:10" x14ac:dyDescent="0.3">
      <c r="A751" t="s">
        <v>90</v>
      </c>
      <c r="B751" t="s">
        <v>79</v>
      </c>
      <c r="C751" t="s">
        <v>119</v>
      </c>
      <c r="D751" t="s">
        <v>119</v>
      </c>
      <c r="E751" t="s">
        <v>124</v>
      </c>
      <c r="F751" t="s">
        <v>129</v>
      </c>
      <c r="G751">
        <v>311</v>
      </c>
      <c r="H751" t="s">
        <v>13</v>
      </c>
      <c r="I751">
        <v>33359.58</v>
      </c>
      <c r="J751">
        <v>44616.666666666657</v>
      </c>
    </row>
    <row r="752" spans="1:10" x14ac:dyDescent="0.3">
      <c r="A752" t="s">
        <v>90</v>
      </c>
      <c r="B752" t="s">
        <v>79</v>
      </c>
      <c r="C752" t="s">
        <v>119</v>
      </c>
      <c r="D752" t="s">
        <v>119</v>
      </c>
      <c r="E752" t="s">
        <v>125</v>
      </c>
      <c r="F752" t="s">
        <v>131</v>
      </c>
      <c r="G752">
        <v>211</v>
      </c>
      <c r="H752" t="s">
        <v>8</v>
      </c>
      <c r="I752">
        <v>207269.88</v>
      </c>
      <c r="J752">
        <v>279482.04022988508</v>
      </c>
    </row>
    <row r="753" spans="1:10" x14ac:dyDescent="0.3">
      <c r="A753" t="s">
        <v>90</v>
      </c>
      <c r="B753" t="s">
        <v>79</v>
      </c>
      <c r="C753" t="s">
        <v>119</v>
      </c>
      <c r="D753" t="s">
        <v>119</v>
      </c>
      <c r="E753" t="s">
        <v>125</v>
      </c>
      <c r="F753" t="s">
        <v>130</v>
      </c>
      <c r="G753">
        <v>207</v>
      </c>
      <c r="H753" t="s">
        <v>53</v>
      </c>
      <c r="I753">
        <v>129413.23999999996</v>
      </c>
      <c r="J753">
        <v>215571.98275862072</v>
      </c>
    </row>
    <row r="754" spans="1:10" x14ac:dyDescent="0.3">
      <c r="A754" t="s">
        <v>90</v>
      </c>
      <c r="B754" t="s">
        <v>79</v>
      </c>
      <c r="C754" t="s">
        <v>119</v>
      </c>
      <c r="D754" t="s">
        <v>119</v>
      </c>
      <c r="E754" t="s">
        <v>125</v>
      </c>
      <c r="F754" t="s">
        <v>133</v>
      </c>
      <c r="G754">
        <v>203</v>
      </c>
      <c r="H754" t="s">
        <v>60</v>
      </c>
      <c r="I754">
        <v>62515.17</v>
      </c>
      <c r="J754">
        <v>76664.080459770106</v>
      </c>
    </row>
    <row r="755" spans="1:10" x14ac:dyDescent="0.3">
      <c r="A755" t="s">
        <v>90</v>
      </c>
      <c r="B755" t="s">
        <v>79</v>
      </c>
      <c r="C755" t="s">
        <v>119</v>
      </c>
      <c r="D755" t="s">
        <v>119</v>
      </c>
      <c r="E755" t="s">
        <v>125</v>
      </c>
      <c r="F755" t="s">
        <v>133</v>
      </c>
      <c r="G755">
        <v>212</v>
      </c>
      <c r="H755" t="s">
        <v>62</v>
      </c>
      <c r="I755">
        <v>61274.039999999994</v>
      </c>
      <c r="J755">
        <v>100144.54022988505</v>
      </c>
    </row>
    <row r="756" spans="1:10" x14ac:dyDescent="0.3">
      <c r="A756" t="s">
        <v>90</v>
      </c>
      <c r="B756" t="s">
        <v>79</v>
      </c>
      <c r="C756" t="s">
        <v>119</v>
      </c>
      <c r="D756" t="s">
        <v>119</v>
      </c>
      <c r="E756" t="s">
        <v>125</v>
      </c>
      <c r="F756" t="s">
        <v>134</v>
      </c>
      <c r="G756">
        <v>190</v>
      </c>
      <c r="H756" t="s">
        <v>42</v>
      </c>
      <c r="I756">
        <v>74884.179999999993</v>
      </c>
      <c r="J756">
        <v>97796.551724137913</v>
      </c>
    </row>
    <row r="757" spans="1:10" x14ac:dyDescent="0.3">
      <c r="A757" t="s">
        <v>90</v>
      </c>
      <c r="B757" t="s">
        <v>79</v>
      </c>
      <c r="C757" t="s">
        <v>119</v>
      </c>
      <c r="D757" t="s">
        <v>119</v>
      </c>
      <c r="E757" t="s">
        <v>125</v>
      </c>
      <c r="F757" t="s">
        <v>134</v>
      </c>
      <c r="G757">
        <v>214</v>
      </c>
      <c r="H757" t="s">
        <v>17</v>
      </c>
      <c r="I757">
        <v>59375.77</v>
      </c>
      <c r="J757">
        <v>89151.293103448261</v>
      </c>
    </row>
    <row r="758" spans="1:10" x14ac:dyDescent="0.3">
      <c r="A758" t="s">
        <v>90</v>
      </c>
      <c r="B758" t="s">
        <v>79</v>
      </c>
      <c r="C758" t="s">
        <v>119</v>
      </c>
      <c r="D758" t="s">
        <v>119</v>
      </c>
      <c r="E758" t="s">
        <v>127</v>
      </c>
      <c r="F758" t="s">
        <v>130</v>
      </c>
      <c r="G758">
        <v>407</v>
      </c>
      <c r="H758" t="s">
        <v>34</v>
      </c>
      <c r="I758">
        <v>80339.849999999977</v>
      </c>
      <c r="J758">
        <v>69509.626436781618</v>
      </c>
    </row>
    <row r="759" spans="1:10" x14ac:dyDescent="0.3">
      <c r="A759" t="s">
        <v>90</v>
      </c>
      <c r="B759" t="s">
        <v>79</v>
      </c>
      <c r="C759" t="s">
        <v>119</v>
      </c>
      <c r="D759" t="s">
        <v>119</v>
      </c>
      <c r="E759" t="s">
        <v>127</v>
      </c>
      <c r="F759" t="s">
        <v>130</v>
      </c>
      <c r="G759">
        <v>413</v>
      </c>
      <c r="H759" t="s">
        <v>14</v>
      </c>
      <c r="I759">
        <v>102587.80999999997</v>
      </c>
      <c r="J759">
        <v>54834.770114942541</v>
      </c>
    </row>
    <row r="760" spans="1:10" x14ac:dyDescent="0.3">
      <c r="A760" t="s">
        <v>90</v>
      </c>
      <c r="B760" t="s">
        <v>79</v>
      </c>
      <c r="C760" t="s">
        <v>119</v>
      </c>
      <c r="D760" t="s">
        <v>119</v>
      </c>
      <c r="E760" t="s">
        <v>127</v>
      </c>
      <c r="F760" t="s">
        <v>133</v>
      </c>
      <c r="G760">
        <v>412</v>
      </c>
      <c r="H760" t="s">
        <v>11</v>
      </c>
      <c r="I760">
        <v>38497.149999999994</v>
      </c>
      <c r="J760">
        <v>25451.005747126434</v>
      </c>
    </row>
    <row r="761" spans="1:10" x14ac:dyDescent="0.3">
      <c r="A761" t="s">
        <v>90</v>
      </c>
      <c r="B761" t="s">
        <v>79</v>
      </c>
      <c r="C761" t="s">
        <v>119</v>
      </c>
      <c r="D761" t="s">
        <v>119</v>
      </c>
      <c r="E761" t="s">
        <v>127</v>
      </c>
      <c r="F761" t="s">
        <v>134</v>
      </c>
      <c r="G761">
        <v>403</v>
      </c>
      <c r="H761" t="s">
        <v>12</v>
      </c>
      <c r="I761">
        <v>44792.969999999994</v>
      </c>
      <c r="J761">
        <v>30655.028735632175</v>
      </c>
    </row>
    <row r="762" spans="1:10" x14ac:dyDescent="0.3">
      <c r="A762" t="s">
        <v>90</v>
      </c>
      <c r="B762" t="s">
        <v>79</v>
      </c>
      <c r="C762" t="s">
        <v>119</v>
      </c>
      <c r="D762" t="s">
        <v>119</v>
      </c>
      <c r="E762" t="s">
        <v>127</v>
      </c>
      <c r="F762" t="s">
        <v>129</v>
      </c>
      <c r="G762">
        <v>409</v>
      </c>
      <c r="H762" t="s">
        <v>58</v>
      </c>
      <c r="I762">
        <v>25850.739999999998</v>
      </c>
      <c r="J762">
        <v>17444.540229885057</v>
      </c>
    </row>
    <row r="763" spans="1:10" x14ac:dyDescent="0.3">
      <c r="A763" t="s">
        <v>90</v>
      </c>
      <c r="B763" t="s">
        <v>79</v>
      </c>
      <c r="C763" t="s">
        <v>119</v>
      </c>
      <c r="D763" t="s">
        <v>119</v>
      </c>
      <c r="E763" t="s">
        <v>127</v>
      </c>
      <c r="F763" t="s">
        <v>129</v>
      </c>
      <c r="G763">
        <v>410</v>
      </c>
      <c r="H763" t="s">
        <v>40</v>
      </c>
      <c r="I763">
        <v>14330.63</v>
      </c>
      <c r="J763">
        <v>14456.17816091954</v>
      </c>
    </row>
    <row r="764" spans="1:10" x14ac:dyDescent="0.3">
      <c r="A764" t="s">
        <v>90</v>
      </c>
      <c r="B764" t="s">
        <v>79</v>
      </c>
      <c r="C764" t="s">
        <v>119</v>
      </c>
      <c r="D764" t="s">
        <v>119</v>
      </c>
      <c r="E764" t="s">
        <v>126</v>
      </c>
      <c r="F764" t="s">
        <v>130</v>
      </c>
      <c r="G764">
        <v>101</v>
      </c>
      <c r="H764" t="s">
        <v>10</v>
      </c>
      <c r="I764">
        <v>112447.40999999997</v>
      </c>
      <c r="J764">
        <v>184777.01149425289</v>
      </c>
    </row>
    <row r="765" spans="1:10" x14ac:dyDescent="0.3">
      <c r="A765" t="s">
        <v>90</v>
      </c>
      <c r="B765" t="s">
        <v>79</v>
      </c>
      <c r="C765" t="s">
        <v>119</v>
      </c>
      <c r="D765" t="s">
        <v>119</v>
      </c>
      <c r="E765" t="s">
        <v>126</v>
      </c>
      <c r="F765" t="s">
        <v>130</v>
      </c>
      <c r="G765">
        <v>150</v>
      </c>
      <c r="H765" t="s">
        <v>3</v>
      </c>
      <c r="I765">
        <v>114117.72999999998</v>
      </c>
      <c r="J765">
        <v>198384.33908045982</v>
      </c>
    </row>
    <row r="766" spans="1:10" x14ac:dyDescent="0.3">
      <c r="A766" t="s">
        <v>90</v>
      </c>
      <c r="B766" t="s">
        <v>79</v>
      </c>
      <c r="C766" t="s">
        <v>119</v>
      </c>
      <c r="D766" t="s">
        <v>119</v>
      </c>
      <c r="E766" t="s">
        <v>126</v>
      </c>
      <c r="F766" t="s">
        <v>134</v>
      </c>
      <c r="G766">
        <v>170</v>
      </c>
      <c r="H766" t="s">
        <v>56</v>
      </c>
      <c r="I766">
        <v>59420.969999999987</v>
      </c>
      <c r="J766">
        <v>103380.31609195402</v>
      </c>
    </row>
    <row r="767" spans="1:10" x14ac:dyDescent="0.3">
      <c r="A767" t="s">
        <v>90</v>
      </c>
      <c r="B767" t="s">
        <v>79</v>
      </c>
      <c r="C767" t="s">
        <v>119</v>
      </c>
      <c r="D767" t="s">
        <v>119</v>
      </c>
      <c r="E767" t="s">
        <v>126</v>
      </c>
      <c r="F767" t="s">
        <v>132</v>
      </c>
      <c r="G767">
        <v>131</v>
      </c>
      <c r="H767" t="s">
        <v>67</v>
      </c>
      <c r="I767">
        <v>29931.29</v>
      </c>
      <c r="J767">
        <v>30636.637931034486</v>
      </c>
    </row>
    <row r="768" spans="1:10" x14ac:dyDescent="0.3">
      <c r="A768" t="s">
        <v>90</v>
      </c>
      <c r="B768" t="s">
        <v>79</v>
      </c>
      <c r="C768" t="s">
        <v>119</v>
      </c>
      <c r="D768" t="s">
        <v>119</v>
      </c>
      <c r="E768" t="s">
        <v>126</v>
      </c>
      <c r="F768" t="s">
        <v>132</v>
      </c>
      <c r="G768">
        <v>151</v>
      </c>
      <c r="H768" t="s">
        <v>20</v>
      </c>
      <c r="I768">
        <v>34637.549999999996</v>
      </c>
      <c r="J768">
        <v>30815.229885057466</v>
      </c>
    </row>
    <row r="769" spans="1:10" x14ac:dyDescent="0.3">
      <c r="A769" t="s">
        <v>90</v>
      </c>
      <c r="B769" t="s">
        <v>92</v>
      </c>
      <c r="C769" t="s">
        <v>121</v>
      </c>
      <c r="D769" t="s">
        <v>121</v>
      </c>
      <c r="E769" t="s">
        <v>124</v>
      </c>
      <c r="F769" t="s">
        <v>136</v>
      </c>
      <c r="G769" t="s">
        <v>111</v>
      </c>
      <c r="H769" s="33" t="s">
        <v>48</v>
      </c>
      <c r="I769" s="33">
        <v>0</v>
      </c>
      <c r="J769" s="33">
        <v>0</v>
      </c>
    </row>
    <row r="770" spans="1:10" x14ac:dyDescent="0.3">
      <c r="A770" t="s">
        <v>90</v>
      </c>
      <c r="B770" t="s">
        <v>92</v>
      </c>
      <c r="C770" t="s">
        <v>121</v>
      </c>
      <c r="D770" t="s">
        <v>121</v>
      </c>
      <c r="E770" t="s">
        <v>127</v>
      </c>
      <c r="F770" t="s">
        <v>136</v>
      </c>
      <c r="G770">
        <v>418</v>
      </c>
      <c r="H770" t="s">
        <v>44</v>
      </c>
      <c r="I770">
        <v>0</v>
      </c>
      <c r="J770">
        <v>22858.620689655174</v>
      </c>
    </row>
    <row r="771" spans="1:10" x14ac:dyDescent="0.3">
      <c r="A771" t="s">
        <v>90</v>
      </c>
      <c r="B771" t="s">
        <v>92</v>
      </c>
      <c r="C771" t="s">
        <v>119</v>
      </c>
      <c r="D771" t="s">
        <v>122</v>
      </c>
      <c r="E771" t="s">
        <v>124</v>
      </c>
      <c r="F771" t="s">
        <v>136</v>
      </c>
      <c r="G771">
        <v>307</v>
      </c>
      <c r="H771" t="s">
        <v>19</v>
      </c>
      <c r="I771">
        <v>70138.399999999994</v>
      </c>
      <c r="J771">
        <v>44794.683908045983</v>
      </c>
    </row>
    <row r="772" spans="1:10" x14ac:dyDescent="0.3">
      <c r="A772" t="s">
        <v>90</v>
      </c>
      <c r="B772" t="s">
        <v>92</v>
      </c>
      <c r="C772" t="s">
        <v>119</v>
      </c>
      <c r="D772" t="s">
        <v>122</v>
      </c>
      <c r="E772" t="s">
        <v>127</v>
      </c>
      <c r="F772" t="s">
        <v>136</v>
      </c>
      <c r="G772">
        <v>411</v>
      </c>
      <c r="H772" t="s">
        <v>43</v>
      </c>
      <c r="I772">
        <v>76520.36</v>
      </c>
      <c r="J772">
        <v>18890.804597701146</v>
      </c>
    </row>
    <row r="773" spans="1:10" x14ac:dyDescent="0.3">
      <c r="A773" t="s">
        <v>90</v>
      </c>
      <c r="B773" t="s">
        <v>92</v>
      </c>
      <c r="C773" t="s">
        <v>119</v>
      </c>
      <c r="D773" t="s">
        <v>120</v>
      </c>
      <c r="E773" t="s">
        <v>125</v>
      </c>
      <c r="F773" t="s">
        <v>136</v>
      </c>
      <c r="G773">
        <v>213</v>
      </c>
      <c r="H773" t="s">
        <v>49</v>
      </c>
      <c r="I773">
        <v>93044.76999999996</v>
      </c>
      <c r="J773">
        <v>52636.637931034493</v>
      </c>
    </row>
    <row r="774" spans="1:10" x14ac:dyDescent="0.3">
      <c r="A774" t="s">
        <v>90</v>
      </c>
      <c r="B774" t="s">
        <v>92</v>
      </c>
      <c r="C774" t="s">
        <v>119</v>
      </c>
      <c r="D774" t="s">
        <v>120</v>
      </c>
      <c r="E774" t="s">
        <v>127</v>
      </c>
      <c r="F774" t="s">
        <v>136</v>
      </c>
      <c r="G774">
        <v>415</v>
      </c>
      <c r="H774" t="s">
        <v>47</v>
      </c>
      <c r="I774">
        <v>58754.659999999989</v>
      </c>
      <c r="J774">
        <v>13851.293103448275</v>
      </c>
    </row>
    <row r="775" spans="1:10" x14ac:dyDescent="0.3">
      <c r="A775" t="s">
        <v>90</v>
      </c>
      <c r="B775" t="s">
        <v>92</v>
      </c>
      <c r="C775" t="s">
        <v>119</v>
      </c>
      <c r="D775" t="s">
        <v>119</v>
      </c>
      <c r="E775" t="s">
        <v>124</v>
      </c>
      <c r="F775" t="s">
        <v>136</v>
      </c>
      <c r="G775">
        <v>306</v>
      </c>
      <c r="H775" t="s">
        <v>51</v>
      </c>
      <c r="I775">
        <v>90620.619999999981</v>
      </c>
      <c r="J775">
        <v>54577.011494252874</v>
      </c>
    </row>
    <row r="776" spans="1:10" x14ac:dyDescent="0.3">
      <c r="A776" t="s">
        <v>90</v>
      </c>
      <c r="B776" t="s">
        <v>92</v>
      </c>
      <c r="C776" t="s">
        <v>119</v>
      </c>
      <c r="D776" t="s">
        <v>119</v>
      </c>
      <c r="E776" t="s">
        <v>125</v>
      </c>
      <c r="F776" t="s">
        <v>136</v>
      </c>
      <c r="G776">
        <v>201</v>
      </c>
      <c r="H776" t="s">
        <v>45</v>
      </c>
      <c r="I776">
        <v>50026.50999999998</v>
      </c>
      <c r="J776">
        <v>34247.557471264357</v>
      </c>
    </row>
    <row r="777" spans="1:10" x14ac:dyDescent="0.3">
      <c r="A777" t="s">
        <v>90</v>
      </c>
      <c r="B777" t="s">
        <v>92</v>
      </c>
      <c r="C777" t="s">
        <v>119</v>
      </c>
      <c r="D777" t="s">
        <v>119</v>
      </c>
      <c r="E777" t="s">
        <v>125</v>
      </c>
      <c r="F777" t="s">
        <v>136</v>
      </c>
      <c r="G777">
        <v>204</v>
      </c>
      <c r="H777" t="s">
        <v>46</v>
      </c>
      <c r="I777">
        <v>66584.539999999964</v>
      </c>
      <c r="J777">
        <v>31373.275862068967</v>
      </c>
    </row>
    <row r="778" spans="1:10" x14ac:dyDescent="0.3">
      <c r="A778" t="s">
        <v>90</v>
      </c>
      <c r="B778" t="s">
        <v>92</v>
      </c>
      <c r="C778" t="s">
        <v>119</v>
      </c>
      <c r="D778" t="s">
        <v>119</v>
      </c>
      <c r="E778" t="s">
        <v>126</v>
      </c>
      <c r="F778" t="s">
        <v>136</v>
      </c>
      <c r="G778">
        <v>102</v>
      </c>
      <c r="H778" t="s">
        <v>50</v>
      </c>
      <c r="I778">
        <v>78034.219999999987</v>
      </c>
      <c r="J778">
        <v>37902.442528735628</v>
      </c>
    </row>
    <row r="779" spans="1:10" x14ac:dyDescent="0.3">
      <c r="A779" t="s">
        <v>90</v>
      </c>
      <c r="B779" t="s">
        <v>93</v>
      </c>
      <c r="C779" t="s">
        <v>119</v>
      </c>
      <c r="D779" t="s">
        <v>119</v>
      </c>
      <c r="E779" t="s">
        <v>93</v>
      </c>
      <c r="F779" t="s">
        <v>93</v>
      </c>
      <c r="G779">
        <v>903</v>
      </c>
      <c r="H779" t="s">
        <v>37</v>
      </c>
      <c r="I779">
        <v>81165.51999999999</v>
      </c>
      <c r="J779">
        <v>68422</v>
      </c>
    </row>
    <row r="780" spans="1:10" x14ac:dyDescent="0.3">
      <c r="A780" t="s">
        <v>90</v>
      </c>
      <c r="B780" t="s">
        <v>94</v>
      </c>
      <c r="C780" t="s">
        <v>121</v>
      </c>
      <c r="D780" t="s">
        <v>121</v>
      </c>
      <c r="E780" t="s">
        <v>124</v>
      </c>
      <c r="F780" t="s">
        <v>137</v>
      </c>
      <c r="G780" t="s">
        <v>112</v>
      </c>
      <c r="H780" t="s">
        <v>21</v>
      </c>
      <c r="I780">
        <v>0</v>
      </c>
      <c r="J780">
        <v>0</v>
      </c>
    </row>
    <row r="781" spans="1:10" x14ac:dyDescent="0.3">
      <c r="A781" t="s">
        <v>90</v>
      </c>
      <c r="B781" t="s">
        <v>94</v>
      </c>
      <c r="C781" t="s">
        <v>121</v>
      </c>
      <c r="D781" t="s">
        <v>121</v>
      </c>
      <c r="E781" t="s">
        <v>125</v>
      </c>
      <c r="F781" t="s">
        <v>138</v>
      </c>
      <c r="G781">
        <v>470</v>
      </c>
      <c r="H781" t="s">
        <v>26</v>
      </c>
      <c r="I781">
        <v>0</v>
      </c>
      <c r="J781">
        <v>54802.729885057459</v>
      </c>
    </row>
    <row r="782" spans="1:10" x14ac:dyDescent="0.3">
      <c r="A782" t="s">
        <v>90</v>
      </c>
      <c r="B782" t="s">
        <v>94</v>
      </c>
      <c r="C782" t="s">
        <v>121</v>
      </c>
      <c r="D782" t="s">
        <v>121</v>
      </c>
      <c r="E782" t="s">
        <v>125</v>
      </c>
      <c r="F782" t="s">
        <v>137</v>
      </c>
      <c r="G782" t="s">
        <v>114</v>
      </c>
      <c r="H782" t="s">
        <v>23</v>
      </c>
      <c r="I782">
        <v>0</v>
      </c>
      <c r="J782">
        <v>0</v>
      </c>
    </row>
    <row r="783" spans="1:10" x14ac:dyDescent="0.3">
      <c r="A783" t="s">
        <v>90</v>
      </c>
      <c r="B783" t="s">
        <v>94</v>
      </c>
      <c r="C783" t="s">
        <v>121</v>
      </c>
      <c r="D783" t="s">
        <v>121</v>
      </c>
      <c r="E783" t="s">
        <v>125</v>
      </c>
      <c r="F783" t="s">
        <v>137</v>
      </c>
      <c r="G783" t="s">
        <v>113</v>
      </c>
      <c r="H783" t="s">
        <v>22</v>
      </c>
      <c r="I783">
        <v>0</v>
      </c>
      <c r="J783">
        <v>0</v>
      </c>
    </row>
    <row r="784" spans="1:10" x14ac:dyDescent="0.3">
      <c r="A784" t="s">
        <v>90</v>
      </c>
      <c r="B784" t="s">
        <v>94</v>
      </c>
      <c r="C784" t="s">
        <v>121</v>
      </c>
      <c r="D784" t="s">
        <v>121</v>
      </c>
      <c r="E784" t="s">
        <v>127</v>
      </c>
      <c r="F784" t="s">
        <v>137</v>
      </c>
      <c r="G784">
        <v>494</v>
      </c>
      <c r="H784" t="s">
        <v>25</v>
      </c>
      <c r="I784">
        <v>0</v>
      </c>
      <c r="J784">
        <v>11544.540229885059</v>
      </c>
    </row>
    <row r="785" spans="1:10" x14ac:dyDescent="0.3">
      <c r="A785" t="s">
        <v>90</v>
      </c>
      <c r="B785" t="s">
        <v>94</v>
      </c>
      <c r="C785" t="s">
        <v>121</v>
      </c>
      <c r="D785" t="s">
        <v>121</v>
      </c>
      <c r="E785" t="s">
        <v>126</v>
      </c>
      <c r="F785" t="s">
        <v>137</v>
      </c>
      <c r="G785">
        <v>460</v>
      </c>
      <c r="H785" t="s">
        <v>30</v>
      </c>
      <c r="I785">
        <v>0</v>
      </c>
      <c r="J785">
        <v>26961.206896551717</v>
      </c>
    </row>
    <row r="786" spans="1:10" x14ac:dyDescent="0.3">
      <c r="A786" t="s">
        <v>90</v>
      </c>
      <c r="B786" t="s">
        <v>94</v>
      </c>
      <c r="C786" t="s">
        <v>121</v>
      </c>
      <c r="D786" t="s">
        <v>121</v>
      </c>
      <c r="E786" t="s">
        <v>126</v>
      </c>
      <c r="F786" t="s">
        <v>137</v>
      </c>
      <c r="G786">
        <v>461</v>
      </c>
      <c r="H786" t="s">
        <v>29</v>
      </c>
      <c r="I786">
        <v>0</v>
      </c>
      <c r="J786">
        <v>0</v>
      </c>
    </row>
    <row r="787" spans="1:10" x14ac:dyDescent="0.3">
      <c r="A787" t="s">
        <v>90</v>
      </c>
      <c r="B787" t="s">
        <v>94</v>
      </c>
      <c r="C787" t="s">
        <v>121</v>
      </c>
      <c r="D787" t="s">
        <v>119</v>
      </c>
      <c r="E787" t="s">
        <v>124</v>
      </c>
      <c r="F787" t="s">
        <v>138</v>
      </c>
      <c r="G787">
        <v>480</v>
      </c>
      <c r="H787" t="s">
        <v>28</v>
      </c>
      <c r="I787">
        <v>33767.249999999993</v>
      </c>
      <c r="J787">
        <v>50601.724137931036</v>
      </c>
    </row>
    <row r="788" spans="1:10" x14ac:dyDescent="0.3">
      <c r="A788" t="s">
        <v>90</v>
      </c>
      <c r="B788" t="s">
        <v>94</v>
      </c>
      <c r="C788" t="s">
        <v>121</v>
      </c>
      <c r="D788" t="s">
        <v>119</v>
      </c>
      <c r="E788" t="s">
        <v>127</v>
      </c>
      <c r="F788" t="s">
        <v>138</v>
      </c>
      <c r="G788">
        <v>491</v>
      </c>
      <c r="H788" t="s">
        <v>31</v>
      </c>
      <c r="I788">
        <v>0</v>
      </c>
      <c r="J788">
        <v>40784.482758620703</v>
      </c>
    </row>
    <row r="789" spans="1:10" x14ac:dyDescent="0.3">
      <c r="A789" t="s">
        <v>90</v>
      </c>
      <c r="B789" t="s">
        <v>94</v>
      </c>
      <c r="C789" t="s">
        <v>121</v>
      </c>
      <c r="D789" t="s">
        <v>119</v>
      </c>
      <c r="E789" t="s">
        <v>127</v>
      </c>
      <c r="F789" t="s">
        <v>138</v>
      </c>
      <c r="G789">
        <v>492</v>
      </c>
      <c r="H789" t="s">
        <v>27</v>
      </c>
      <c r="I789">
        <v>47061.999999999985</v>
      </c>
      <c r="J789">
        <v>18589.080459770117</v>
      </c>
    </row>
    <row r="790" spans="1:10" x14ac:dyDescent="0.3">
      <c r="A790" t="s">
        <v>90</v>
      </c>
      <c r="B790" t="s">
        <v>94</v>
      </c>
      <c r="C790" t="s">
        <v>121</v>
      </c>
      <c r="D790" t="s">
        <v>119</v>
      </c>
      <c r="E790" t="s">
        <v>127</v>
      </c>
      <c r="F790" t="s">
        <v>138</v>
      </c>
      <c r="G790">
        <v>493</v>
      </c>
      <c r="H790" t="s">
        <v>24</v>
      </c>
      <c r="I790">
        <v>24558.6</v>
      </c>
      <c r="J790">
        <v>8912.3563218390809</v>
      </c>
    </row>
    <row r="791" spans="1:10" x14ac:dyDescent="0.3">
      <c r="A791" t="s">
        <v>90</v>
      </c>
      <c r="B791" t="s">
        <v>95</v>
      </c>
      <c r="C791" t="s">
        <v>121</v>
      </c>
      <c r="D791" t="s">
        <v>121</v>
      </c>
      <c r="E791" t="s">
        <v>125</v>
      </c>
      <c r="F791" t="s">
        <v>139</v>
      </c>
      <c r="G791" t="s">
        <v>115</v>
      </c>
      <c r="H791" s="33" t="s">
        <v>71</v>
      </c>
      <c r="I791" s="33">
        <v>0</v>
      </c>
      <c r="J791" s="33">
        <v>0</v>
      </c>
    </row>
    <row r="792" spans="1:10" x14ac:dyDescent="0.3">
      <c r="A792" t="s">
        <v>90</v>
      </c>
      <c r="B792" t="s">
        <v>95</v>
      </c>
      <c r="C792" t="s">
        <v>121</v>
      </c>
      <c r="D792" t="s">
        <v>121</v>
      </c>
      <c r="E792" t="s">
        <v>126</v>
      </c>
      <c r="F792" t="s">
        <v>139</v>
      </c>
      <c r="G792">
        <v>510</v>
      </c>
      <c r="H792" t="s">
        <v>76</v>
      </c>
      <c r="I792">
        <v>0</v>
      </c>
      <c r="J792">
        <v>11229.597701149423</v>
      </c>
    </row>
    <row r="793" spans="1:10" x14ac:dyDescent="0.3">
      <c r="A793" t="s">
        <v>90</v>
      </c>
      <c r="B793" t="s">
        <v>95</v>
      </c>
      <c r="C793" t="s">
        <v>121</v>
      </c>
      <c r="D793" t="s">
        <v>121</v>
      </c>
      <c r="E793" t="s">
        <v>126</v>
      </c>
      <c r="F793" t="s">
        <v>139</v>
      </c>
      <c r="G793" t="s">
        <v>116</v>
      </c>
      <c r="H793" s="33" t="s">
        <v>75</v>
      </c>
      <c r="I793" s="33">
        <v>0</v>
      </c>
      <c r="J793" s="33">
        <v>0</v>
      </c>
    </row>
    <row r="794" spans="1:10" x14ac:dyDescent="0.3">
      <c r="A794" t="s">
        <v>90</v>
      </c>
      <c r="B794" t="s">
        <v>95</v>
      </c>
      <c r="C794" t="s">
        <v>121</v>
      </c>
      <c r="D794" t="s">
        <v>119</v>
      </c>
      <c r="E794" t="s">
        <v>127</v>
      </c>
      <c r="F794" t="s">
        <v>140</v>
      </c>
      <c r="G794">
        <v>541</v>
      </c>
      <c r="H794" t="s">
        <v>74</v>
      </c>
      <c r="I794">
        <v>22930.21</v>
      </c>
      <c r="J794">
        <v>18688.505747126437</v>
      </c>
    </row>
    <row r="795" spans="1:10" x14ac:dyDescent="0.3">
      <c r="A795" t="s">
        <v>90</v>
      </c>
      <c r="B795" t="s">
        <v>95</v>
      </c>
      <c r="C795" t="s">
        <v>121</v>
      </c>
      <c r="D795" t="s">
        <v>119</v>
      </c>
      <c r="E795" t="s">
        <v>127</v>
      </c>
      <c r="F795" t="s">
        <v>140</v>
      </c>
      <c r="G795">
        <v>543</v>
      </c>
      <c r="H795" t="s">
        <v>72</v>
      </c>
      <c r="I795">
        <v>22595.809999999998</v>
      </c>
      <c r="J795">
        <v>14881.034482758623</v>
      </c>
    </row>
    <row r="796" spans="1:10" x14ac:dyDescent="0.3">
      <c r="A796" t="s">
        <v>90</v>
      </c>
      <c r="B796" t="s">
        <v>95</v>
      </c>
      <c r="C796" t="s">
        <v>120</v>
      </c>
      <c r="D796" t="s">
        <v>119</v>
      </c>
      <c r="E796" t="s">
        <v>127</v>
      </c>
      <c r="F796" t="s">
        <v>140</v>
      </c>
      <c r="G796">
        <v>540</v>
      </c>
      <c r="H796" t="s">
        <v>73</v>
      </c>
      <c r="I796">
        <v>50842.680000000008</v>
      </c>
      <c r="J796">
        <v>35909.482758620688</v>
      </c>
    </row>
    <row r="797" spans="1:10" x14ac:dyDescent="0.3">
      <c r="A797" t="s">
        <v>90</v>
      </c>
      <c r="B797" t="s">
        <v>95</v>
      </c>
      <c r="C797" t="s">
        <v>119</v>
      </c>
      <c r="D797" t="s">
        <v>120</v>
      </c>
      <c r="E797" t="s">
        <v>124</v>
      </c>
      <c r="F797" t="s">
        <v>139</v>
      </c>
      <c r="G797">
        <v>530</v>
      </c>
      <c r="H797" t="s">
        <v>68</v>
      </c>
      <c r="I797">
        <v>26149.910000000003</v>
      </c>
      <c r="J797">
        <v>38837.931034482761</v>
      </c>
    </row>
    <row r="798" spans="1:10" x14ac:dyDescent="0.3">
      <c r="A798" t="s">
        <v>90</v>
      </c>
      <c r="B798" t="s">
        <v>95</v>
      </c>
      <c r="C798" t="s">
        <v>119</v>
      </c>
      <c r="D798" t="s">
        <v>119</v>
      </c>
      <c r="E798" t="s">
        <v>125</v>
      </c>
      <c r="F798" t="s">
        <v>140</v>
      </c>
      <c r="G798">
        <v>520</v>
      </c>
      <c r="H798" t="s">
        <v>70</v>
      </c>
      <c r="I798">
        <v>44517.43</v>
      </c>
      <c r="J798">
        <v>66580.531609195401</v>
      </c>
    </row>
    <row r="799" spans="1:10" x14ac:dyDescent="0.3">
      <c r="A799" t="s">
        <v>90</v>
      </c>
      <c r="B799" t="s">
        <v>95</v>
      </c>
      <c r="C799" t="s">
        <v>119</v>
      </c>
      <c r="D799" t="s">
        <v>119</v>
      </c>
      <c r="E799" t="s">
        <v>127</v>
      </c>
      <c r="F799" t="s">
        <v>139</v>
      </c>
      <c r="G799">
        <v>542</v>
      </c>
      <c r="H799" t="s">
        <v>69</v>
      </c>
      <c r="I799">
        <v>11705.079999999998</v>
      </c>
      <c r="J799">
        <v>15207.183908045976</v>
      </c>
    </row>
    <row r="800" spans="1:10" x14ac:dyDescent="0.3">
      <c r="A800" t="s">
        <v>91</v>
      </c>
      <c r="B800" t="s">
        <v>79</v>
      </c>
      <c r="C800" t="s">
        <v>122</v>
      </c>
      <c r="D800" t="s">
        <v>122</v>
      </c>
      <c r="E800" t="s">
        <v>124</v>
      </c>
      <c r="F800" t="s">
        <v>129</v>
      </c>
      <c r="G800">
        <v>303</v>
      </c>
      <c r="H800" t="s">
        <v>1</v>
      </c>
      <c r="I800">
        <v>0</v>
      </c>
      <c r="J800">
        <v>0</v>
      </c>
    </row>
    <row r="801" spans="1:10" x14ac:dyDescent="0.3">
      <c r="A801" t="s">
        <v>91</v>
      </c>
      <c r="B801" t="s">
        <v>79</v>
      </c>
      <c r="C801" t="s">
        <v>122</v>
      </c>
      <c r="D801" t="s">
        <v>122</v>
      </c>
      <c r="E801" t="s">
        <v>125</v>
      </c>
      <c r="F801" t="s">
        <v>129</v>
      </c>
      <c r="G801">
        <v>205</v>
      </c>
      <c r="H801" t="s">
        <v>7</v>
      </c>
      <c r="I801">
        <v>0</v>
      </c>
      <c r="J801">
        <v>0</v>
      </c>
    </row>
    <row r="802" spans="1:10" x14ac:dyDescent="0.3">
      <c r="A802" t="s">
        <v>91</v>
      </c>
      <c r="B802" t="s">
        <v>79</v>
      </c>
      <c r="C802" t="s">
        <v>122</v>
      </c>
      <c r="D802" t="s">
        <v>122</v>
      </c>
      <c r="E802" t="s">
        <v>127</v>
      </c>
      <c r="F802" t="s">
        <v>129</v>
      </c>
      <c r="G802">
        <v>401</v>
      </c>
      <c r="H802" t="s">
        <v>5</v>
      </c>
      <c r="I802">
        <v>0</v>
      </c>
      <c r="J802">
        <v>0</v>
      </c>
    </row>
    <row r="803" spans="1:10" x14ac:dyDescent="0.3">
      <c r="A803" t="s">
        <v>91</v>
      </c>
      <c r="B803" t="s">
        <v>79</v>
      </c>
      <c r="C803" t="s">
        <v>122</v>
      </c>
      <c r="D803" t="s">
        <v>122</v>
      </c>
      <c r="E803" t="s">
        <v>127</v>
      </c>
      <c r="F803" t="s">
        <v>122</v>
      </c>
      <c r="G803">
        <v>408</v>
      </c>
      <c r="H803" t="s">
        <v>33</v>
      </c>
      <c r="I803">
        <v>0</v>
      </c>
      <c r="J803">
        <v>0</v>
      </c>
    </row>
    <row r="804" spans="1:10" x14ac:dyDescent="0.3">
      <c r="A804" t="s">
        <v>91</v>
      </c>
      <c r="B804" t="s">
        <v>79</v>
      </c>
      <c r="C804" t="s">
        <v>121</v>
      </c>
      <c r="D804" t="s">
        <v>121</v>
      </c>
      <c r="E804" t="s">
        <v>125</v>
      </c>
      <c r="F804" t="s">
        <v>129</v>
      </c>
      <c r="G804" t="s">
        <v>110</v>
      </c>
      <c r="H804" t="s">
        <v>64</v>
      </c>
      <c r="I804">
        <v>0</v>
      </c>
      <c r="J804">
        <v>0</v>
      </c>
    </row>
    <row r="805" spans="1:10" x14ac:dyDescent="0.3">
      <c r="A805" t="s">
        <v>91</v>
      </c>
      <c r="B805" t="s">
        <v>79</v>
      </c>
      <c r="C805" t="s">
        <v>121</v>
      </c>
      <c r="D805" t="s">
        <v>121</v>
      </c>
      <c r="E805" t="s">
        <v>127</v>
      </c>
      <c r="F805" t="s">
        <v>129</v>
      </c>
      <c r="G805" t="s">
        <v>109</v>
      </c>
      <c r="H805" s="33" t="s">
        <v>41</v>
      </c>
      <c r="I805" s="33">
        <v>0</v>
      </c>
      <c r="J805" s="33">
        <v>0</v>
      </c>
    </row>
    <row r="806" spans="1:10" x14ac:dyDescent="0.3">
      <c r="A806" t="s">
        <v>91</v>
      </c>
      <c r="B806" t="s">
        <v>79</v>
      </c>
      <c r="C806" t="s">
        <v>121</v>
      </c>
      <c r="D806" t="s">
        <v>121</v>
      </c>
      <c r="E806" t="s">
        <v>127</v>
      </c>
      <c r="F806" t="s">
        <v>135</v>
      </c>
      <c r="G806" t="s">
        <v>108</v>
      </c>
      <c r="H806" s="33" t="s">
        <v>16</v>
      </c>
      <c r="I806" s="33">
        <v>0</v>
      </c>
      <c r="J806" s="33">
        <v>0</v>
      </c>
    </row>
    <row r="807" spans="1:10" x14ac:dyDescent="0.3">
      <c r="A807" t="s">
        <v>91</v>
      </c>
      <c r="B807" t="s">
        <v>79</v>
      </c>
      <c r="C807" t="s">
        <v>120</v>
      </c>
      <c r="D807" t="s">
        <v>120</v>
      </c>
      <c r="E807" t="s">
        <v>124</v>
      </c>
      <c r="F807" t="s">
        <v>129</v>
      </c>
      <c r="G807">
        <v>304</v>
      </c>
      <c r="H807" t="s">
        <v>61</v>
      </c>
      <c r="I807">
        <v>79232.439999999988</v>
      </c>
      <c r="J807">
        <v>76141.810344827565</v>
      </c>
    </row>
    <row r="808" spans="1:10" x14ac:dyDescent="0.3">
      <c r="A808" t="s">
        <v>91</v>
      </c>
      <c r="B808" t="s">
        <v>79</v>
      </c>
      <c r="C808" t="s">
        <v>120</v>
      </c>
      <c r="D808" t="s">
        <v>120</v>
      </c>
      <c r="E808" t="s">
        <v>125</v>
      </c>
      <c r="F808" t="s">
        <v>133</v>
      </c>
      <c r="G808">
        <v>208</v>
      </c>
      <c r="H808" t="s">
        <v>36</v>
      </c>
      <c r="I808">
        <v>81150.869999999981</v>
      </c>
      <c r="J808">
        <v>124245.83333333333</v>
      </c>
    </row>
    <row r="809" spans="1:10" x14ac:dyDescent="0.3">
      <c r="A809" t="s">
        <v>91</v>
      </c>
      <c r="B809" t="s">
        <v>79</v>
      </c>
      <c r="C809" t="s">
        <v>120</v>
      </c>
      <c r="D809" t="s">
        <v>120</v>
      </c>
      <c r="E809" t="s">
        <v>125</v>
      </c>
      <c r="F809" t="s">
        <v>133</v>
      </c>
      <c r="G809">
        <v>209</v>
      </c>
      <c r="H809" t="s">
        <v>35</v>
      </c>
      <c r="I809">
        <v>48187.66</v>
      </c>
      <c r="J809">
        <v>0</v>
      </c>
    </row>
    <row r="810" spans="1:10" x14ac:dyDescent="0.3">
      <c r="A810" t="s">
        <v>91</v>
      </c>
      <c r="B810" t="s">
        <v>79</v>
      </c>
      <c r="C810" t="s">
        <v>120</v>
      </c>
      <c r="D810" t="s">
        <v>120</v>
      </c>
      <c r="E810" t="s">
        <v>125</v>
      </c>
      <c r="F810" t="s">
        <v>129</v>
      </c>
      <c r="G810">
        <v>202</v>
      </c>
      <c r="H810" t="s">
        <v>4</v>
      </c>
      <c r="I810">
        <v>122951.73000000001</v>
      </c>
      <c r="J810">
        <v>89319.899425287309</v>
      </c>
    </row>
    <row r="811" spans="1:10" x14ac:dyDescent="0.3">
      <c r="A811" t="s">
        <v>91</v>
      </c>
      <c r="B811" t="s">
        <v>79</v>
      </c>
      <c r="C811" t="s">
        <v>120</v>
      </c>
      <c r="D811" t="s">
        <v>120</v>
      </c>
      <c r="E811" t="s">
        <v>127</v>
      </c>
      <c r="F811" t="s">
        <v>133</v>
      </c>
      <c r="G811">
        <v>404</v>
      </c>
      <c r="H811" t="s">
        <v>15</v>
      </c>
      <c r="I811">
        <v>62037.03</v>
      </c>
      <c r="J811">
        <v>90573.448275862072</v>
      </c>
    </row>
    <row r="812" spans="1:10" x14ac:dyDescent="0.3">
      <c r="A812" t="s">
        <v>91</v>
      </c>
      <c r="B812" t="s">
        <v>79</v>
      </c>
      <c r="C812" t="s">
        <v>120</v>
      </c>
      <c r="D812" t="s">
        <v>119</v>
      </c>
      <c r="E812" t="s">
        <v>124</v>
      </c>
      <c r="F812" t="s">
        <v>134</v>
      </c>
      <c r="G812">
        <v>310</v>
      </c>
      <c r="H812" t="s">
        <v>63</v>
      </c>
      <c r="I812">
        <v>58525.890000000007</v>
      </c>
      <c r="J812">
        <v>50217.456896551732</v>
      </c>
    </row>
    <row r="813" spans="1:10" x14ac:dyDescent="0.3">
      <c r="A813" t="s">
        <v>91</v>
      </c>
      <c r="B813" t="s">
        <v>79</v>
      </c>
      <c r="C813" t="s">
        <v>120</v>
      </c>
      <c r="D813" t="s">
        <v>119</v>
      </c>
      <c r="E813" t="s">
        <v>125</v>
      </c>
      <c r="F813" t="s">
        <v>134</v>
      </c>
      <c r="G813">
        <v>206</v>
      </c>
      <c r="H813" t="s">
        <v>18</v>
      </c>
      <c r="I813">
        <v>143034.68</v>
      </c>
      <c r="J813">
        <v>139439.08045977011</v>
      </c>
    </row>
    <row r="814" spans="1:10" x14ac:dyDescent="0.3">
      <c r="A814" t="s">
        <v>91</v>
      </c>
      <c r="B814" t="s">
        <v>79</v>
      </c>
      <c r="C814" t="s">
        <v>120</v>
      </c>
      <c r="D814" t="s">
        <v>119</v>
      </c>
      <c r="E814" t="s">
        <v>125</v>
      </c>
      <c r="F814" t="s">
        <v>132</v>
      </c>
      <c r="G814">
        <v>210</v>
      </c>
      <c r="H814" t="s">
        <v>2</v>
      </c>
      <c r="I814">
        <v>72285.97</v>
      </c>
      <c r="J814">
        <v>63348.132183908041</v>
      </c>
    </row>
    <row r="815" spans="1:10" x14ac:dyDescent="0.3">
      <c r="A815" t="s">
        <v>91</v>
      </c>
      <c r="B815" t="s">
        <v>79</v>
      </c>
      <c r="C815" t="s">
        <v>120</v>
      </c>
      <c r="D815" t="s">
        <v>119</v>
      </c>
      <c r="E815" t="s">
        <v>127</v>
      </c>
      <c r="F815" t="s">
        <v>131</v>
      </c>
      <c r="G815">
        <v>417</v>
      </c>
      <c r="H815" t="s">
        <v>54</v>
      </c>
      <c r="I815">
        <v>130441.87</v>
      </c>
      <c r="J815">
        <v>183617.31321839083</v>
      </c>
    </row>
    <row r="816" spans="1:10" x14ac:dyDescent="0.3">
      <c r="A816" t="s">
        <v>91</v>
      </c>
      <c r="B816" t="s">
        <v>79</v>
      </c>
      <c r="C816" t="s">
        <v>119</v>
      </c>
      <c r="D816" t="s">
        <v>122</v>
      </c>
      <c r="E816" t="s">
        <v>127</v>
      </c>
      <c r="F816" t="s">
        <v>132</v>
      </c>
      <c r="G816">
        <v>416</v>
      </c>
      <c r="H816" t="s">
        <v>66</v>
      </c>
      <c r="I816">
        <v>29663.549999999996</v>
      </c>
      <c r="J816">
        <v>36527.083333333314</v>
      </c>
    </row>
    <row r="817" spans="1:10" x14ac:dyDescent="0.3">
      <c r="A817" t="s">
        <v>91</v>
      </c>
      <c r="B817" t="s">
        <v>79</v>
      </c>
      <c r="C817" t="s">
        <v>119</v>
      </c>
      <c r="D817" t="s">
        <v>120</v>
      </c>
      <c r="E817" t="s">
        <v>124</v>
      </c>
      <c r="F817" t="s">
        <v>134</v>
      </c>
      <c r="G817">
        <v>308</v>
      </c>
      <c r="H817" t="s">
        <v>0</v>
      </c>
      <c r="I817">
        <v>78130.399999999994</v>
      </c>
      <c r="J817">
        <v>66329.382183908063</v>
      </c>
    </row>
    <row r="818" spans="1:10" x14ac:dyDescent="0.3">
      <c r="A818" t="s">
        <v>91</v>
      </c>
      <c r="B818" t="s">
        <v>79</v>
      </c>
      <c r="C818" t="s">
        <v>119</v>
      </c>
      <c r="D818" t="s">
        <v>120</v>
      </c>
      <c r="E818" t="s">
        <v>127</v>
      </c>
      <c r="F818" t="s">
        <v>129</v>
      </c>
      <c r="G818">
        <v>402</v>
      </c>
      <c r="H818" t="s">
        <v>9</v>
      </c>
      <c r="I818">
        <v>46750</v>
      </c>
      <c r="J818">
        <v>53921.752873563215</v>
      </c>
    </row>
    <row r="819" spans="1:10" x14ac:dyDescent="0.3">
      <c r="A819" t="s">
        <v>91</v>
      </c>
      <c r="B819" t="s">
        <v>79</v>
      </c>
      <c r="C819" t="s">
        <v>119</v>
      </c>
      <c r="D819" t="s">
        <v>120</v>
      </c>
      <c r="E819" t="s">
        <v>127</v>
      </c>
      <c r="F819" t="s">
        <v>129</v>
      </c>
      <c r="G819">
        <v>406</v>
      </c>
      <c r="H819" t="s">
        <v>57</v>
      </c>
      <c r="I819">
        <v>40631.210000000006</v>
      </c>
      <c r="J819">
        <v>32429.798850574709</v>
      </c>
    </row>
    <row r="820" spans="1:10" x14ac:dyDescent="0.3">
      <c r="A820" t="s">
        <v>91</v>
      </c>
      <c r="B820" t="s">
        <v>79</v>
      </c>
      <c r="C820" t="s">
        <v>119</v>
      </c>
      <c r="D820" t="s">
        <v>120</v>
      </c>
      <c r="E820" t="s">
        <v>127</v>
      </c>
      <c r="F820" t="s">
        <v>135</v>
      </c>
      <c r="G820">
        <v>414</v>
      </c>
      <c r="H820" t="s">
        <v>65</v>
      </c>
      <c r="I820">
        <v>496588.48999999993</v>
      </c>
      <c r="J820">
        <v>585910.5747126441</v>
      </c>
    </row>
    <row r="821" spans="1:10" x14ac:dyDescent="0.3">
      <c r="A821" t="s">
        <v>91</v>
      </c>
      <c r="B821" t="s">
        <v>79</v>
      </c>
      <c r="C821" t="s">
        <v>119</v>
      </c>
      <c r="D821" t="s">
        <v>119</v>
      </c>
      <c r="E821" t="s">
        <v>124</v>
      </c>
      <c r="F821" t="s">
        <v>131</v>
      </c>
      <c r="G821">
        <v>309</v>
      </c>
      <c r="H821" t="s">
        <v>52</v>
      </c>
      <c r="I821">
        <v>408656.4</v>
      </c>
      <c r="J821">
        <v>410406.89655172429</v>
      </c>
    </row>
    <row r="822" spans="1:10" x14ac:dyDescent="0.3">
      <c r="A822" t="s">
        <v>91</v>
      </c>
      <c r="B822" t="s">
        <v>79</v>
      </c>
      <c r="C822" t="s">
        <v>119</v>
      </c>
      <c r="D822" t="s">
        <v>119</v>
      </c>
      <c r="E822" t="s">
        <v>124</v>
      </c>
      <c r="F822" t="s">
        <v>130</v>
      </c>
      <c r="G822">
        <v>305</v>
      </c>
      <c r="H822" t="s">
        <v>6</v>
      </c>
      <c r="I822">
        <v>241072.48999999993</v>
      </c>
      <c r="J822">
        <v>235560.34482758629</v>
      </c>
    </row>
    <row r="823" spans="1:10" x14ac:dyDescent="0.3">
      <c r="A823" t="s">
        <v>91</v>
      </c>
      <c r="B823" t="s">
        <v>79</v>
      </c>
      <c r="C823" t="s">
        <v>119</v>
      </c>
      <c r="D823" t="s">
        <v>119</v>
      </c>
      <c r="E823" t="s">
        <v>124</v>
      </c>
      <c r="F823" t="s">
        <v>134</v>
      </c>
      <c r="G823">
        <v>302</v>
      </c>
      <c r="H823" t="s">
        <v>32</v>
      </c>
      <c r="I823">
        <v>157911.32999999996</v>
      </c>
      <c r="J823">
        <v>134622.91666666669</v>
      </c>
    </row>
    <row r="824" spans="1:10" x14ac:dyDescent="0.3">
      <c r="A824" t="s">
        <v>91</v>
      </c>
      <c r="B824" t="s">
        <v>79</v>
      </c>
      <c r="C824" t="s">
        <v>119</v>
      </c>
      <c r="D824" t="s">
        <v>119</v>
      </c>
      <c r="E824" t="s">
        <v>124</v>
      </c>
      <c r="F824" t="s">
        <v>129</v>
      </c>
      <c r="G824">
        <v>301</v>
      </c>
      <c r="H824" t="s">
        <v>59</v>
      </c>
      <c r="I824">
        <v>85321.989999999976</v>
      </c>
      <c r="J824">
        <v>74920.114942528715</v>
      </c>
    </row>
    <row r="825" spans="1:10" x14ac:dyDescent="0.3">
      <c r="A825" t="s">
        <v>91</v>
      </c>
      <c r="B825" t="s">
        <v>79</v>
      </c>
      <c r="C825" t="s">
        <v>119</v>
      </c>
      <c r="D825" t="s">
        <v>119</v>
      </c>
      <c r="E825" t="s">
        <v>124</v>
      </c>
      <c r="F825" t="s">
        <v>129</v>
      </c>
      <c r="G825">
        <v>311</v>
      </c>
      <c r="H825" t="s">
        <v>13</v>
      </c>
      <c r="I825">
        <v>72635.799999999988</v>
      </c>
      <c r="J825">
        <v>74281.321839080469</v>
      </c>
    </row>
    <row r="826" spans="1:10" x14ac:dyDescent="0.3">
      <c r="A826" t="s">
        <v>91</v>
      </c>
      <c r="B826" t="s">
        <v>79</v>
      </c>
      <c r="C826" t="s">
        <v>119</v>
      </c>
      <c r="D826" t="s">
        <v>119</v>
      </c>
      <c r="E826" t="s">
        <v>125</v>
      </c>
      <c r="F826" t="s">
        <v>131</v>
      </c>
      <c r="G826">
        <v>211</v>
      </c>
      <c r="H826" t="s">
        <v>8</v>
      </c>
      <c r="I826">
        <v>356036.86999999994</v>
      </c>
      <c r="J826">
        <v>305103.37643678172</v>
      </c>
    </row>
    <row r="827" spans="1:10" x14ac:dyDescent="0.3">
      <c r="A827" t="s">
        <v>91</v>
      </c>
      <c r="B827" t="s">
        <v>79</v>
      </c>
      <c r="C827" t="s">
        <v>119</v>
      </c>
      <c r="D827" t="s">
        <v>119</v>
      </c>
      <c r="E827" t="s">
        <v>125</v>
      </c>
      <c r="F827" t="s">
        <v>130</v>
      </c>
      <c r="G827">
        <v>207</v>
      </c>
      <c r="H827" t="s">
        <v>53</v>
      </c>
      <c r="I827">
        <v>238460.24</v>
      </c>
      <c r="J827">
        <v>242514.87068965516</v>
      </c>
    </row>
    <row r="828" spans="1:10" x14ac:dyDescent="0.3">
      <c r="A828" t="s">
        <v>91</v>
      </c>
      <c r="B828" t="s">
        <v>79</v>
      </c>
      <c r="C828" t="s">
        <v>119</v>
      </c>
      <c r="D828" t="s">
        <v>119</v>
      </c>
      <c r="E828" t="s">
        <v>125</v>
      </c>
      <c r="F828" t="s">
        <v>133</v>
      </c>
      <c r="G828">
        <v>203</v>
      </c>
      <c r="H828" t="s">
        <v>60</v>
      </c>
      <c r="I828">
        <v>129331.34</v>
      </c>
      <c r="J828">
        <v>125708.83620689655</v>
      </c>
    </row>
    <row r="829" spans="1:10" x14ac:dyDescent="0.3">
      <c r="A829" t="s">
        <v>91</v>
      </c>
      <c r="B829" t="s">
        <v>79</v>
      </c>
      <c r="C829" t="s">
        <v>119</v>
      </c>
      <c r="D829" t="s">
        <v>119</v>
      </c>
      <c r="E829" t="s">
        <v>125</v>
      </c>
      <c r="F829" t="s">
        <v>133</v>
      </c>
      <c r="G829">
        <v>212</v>
      </c>
      <c r="H829" t="s">
        <v>62</v>
      </c>
      <c r="I829">
        <v>116109.75</v>
      </c>
      <c r="J829">
        <v>132551.29310344826</v>
      </c>
    </row>
    <row r="830" spans="1:10" x14ac:dyDescent="0.3">
      <c r="A830" t="s">
        <v>91</v>
      </c>
      <c r="B830" t="s">
        <v>79</v>
      </c>
      <c r="C830" t="s">
        <v>119</v>
      </c>
      <c r="D830" t="s">
        <v>119</v>
      </c>
      <c r="E830" t="s">
        <v>125</v>
      </c>
      <c r="F830" t="s">
        <v>134</v>
      </c>
      <c r="G830">
        <v>190</v>
      </c>
      <c r="H830" t="s">
        <v>42</v>
      </c>
      <c r="I830">
        <v>138236.94</v>
      </c>
      <c r="J830">
        <v>138991.52298850578</v>
      </c>
    </row>
    <row r="831" spans="1:10" x14ac:dyDescent="0.3">
      <c r="A831" t="s">
        <v>91</v>
      </c>
      <c r="B831" t="s">
        <v>79</v>
      </c>
      <c r="C831" t="s">
        <v>119</v>
      </c>
      <c r="D831" t="s">
        <v>119</v>
      </c>
      <c r="E831" t="s">
        <v>125</v>
      </c>
      <c r="F831" t="s">
        <v>134</v>
      </c>
      <c r="G831">
        <v>214</v>
      </c>
      <c r="H831" t="s">
        <v>17</v>
      </c>
      <c r="I831">
        <v>109868.87999999999</v>
      </c>
      <c r="J831">
        <v>125218.10344827586</v>
      </c>
    </row>
    <row r="832" spans="1:10" x14ac:dyDescent="0.3">
      <c r="A832" t="s">
        <v>91</v>
      </c>
      <c r="B832" t="s">
        <v>79</v>
      </c>
      <c r="C832" t="s">
        <v>119</v>
      </c>
      <c r="D832" t="s">
        <v>119</v>
      </c>
      <c r="E832" t="s">
        <v>127</v>
      </c>
      <c r="F832" t="s">
        <v>130</v>
      </c>
      <c r="G832">
        <v>407</v>
      </c>
      <c r="H832" t="s">
        <v>34</v>
      </c>
      <c r="I832">
        <v>262795.90999999992</v>
      </c>
      <c r="J832">
        <v>275222.08333333343</v>
      </c>
    </row>
    <row r="833" spans="1:10" x14ac:dyDescent="0.3">
      <c r="A833" t="s">
        <v>91</v>
      </c>
      <c r="B833" t="s">
        <v>79</v>
      </c>
      <c r="C833" t="s">
        <v>119</v>
      </c>
      <c r="D833" t="s">
        <v>119</v>
      </c>
      <c r="E833" t="s">
        <v>127</v>
      </c>
      <c r="F833" t="s">
        <v>130</v>
      </c>
      <c r="G833">
        <v>413</v>
      </c>
      <c r="H833" t="s">
        <v>14</v>
      </c>
      <c r="I833">
        <v>216928.40999999995</v>
      </c>
      <c r="J833">
        <v>260479.31034482762</v>
      </c>
    </row>
    <row r="834" spans="1:10" x14ac:dyDescent="0.3">
      <c r="A834" t="s">
        <v>91</v>
      </c>
      <c r="B834" t="s">
        <v>79</v>
      </c>
      <c r="C834" t="s">
        <v>119</v>
      </c>
      <c r="D834" t="s">
        <v>119</v>
      </c>
      <c r="E834" t="s">
        <v>127</v>
      </c>
      <c r="F834" t="s">
        <v>133</v>
      </c>
      <c r="G834">
        <v>412</v>
      </c>
      <c r="H834" t="s">
        <v>11</v>
      </c>
      <c r="I834">
        <v>100462.68</v>
      </c>
      <c r="J834">
        <v>129268.9224137931</v>
      </c>
    </row>
    <row r="835" spans="1:10" x14ac:dyDescent="0.3">
      <c r="A835" t="s">
        <v>91</v>
      </c>
      <c r="B835" t="s">
        <v>79</v>
      </c>
      <c r="C835" t="s">
        <v>119</v>
      </c>
      <c r="D835" t="s">
        <v>119</v>
      </c>
      <c r="E835" t="s">
        <v>127</v>
      </c>
      <c r="F835" t="s">
        <v>134</v>
      </c>
      <c r="G835">
        <v>403</v>
      </c>
      <c r="H835" t="s">
        <v>12</v>
      </c>
      <c r="I835">
        <v>116754.80999999998</v>
      </c>
      <c r="J835">
        <v>145647.29885057476</v>
      </c>
    </row>
    <row r="836" spans="1:10" x14ac:dyDescent="0.3">
      <c r="A836" t="s">
        <v>91</v>
      </c>
      <c r="B836" t="s">
        <v>79</v>
      </c>
      <c r="C836" t="s">
        <v>119</v>
      </c>
      <c r="D836" t="s">
        <v>119</v>
      </c>
      <c r="E836" t="s">
        <v>127</v>
      </c>
      <c r="F836" t="s">
        <v>129</v>
      </c>
      <c r="G836">
        <v>409</v>
      </c>
      <c r="H836" t="s">
        <v>58</v>
      </c>
      <c r="I836">
        <v>63440.45</v>
      </c>
      <c r="J836">
        <v>56886.594827586203</v>
      </c>
    </row>
    <row r="837" spans="1:10" x14ac:dyDescent="0.3">
      <c r="A837" t="s">
        <v>91</v>
      </c>
      <c r="B837" t="s">
        <v>79</v>
      </c>
      <c r="C837" t="s">
        <v>119</v>
      </c>
      <c r="D837" t="s">
        <v>119</v>
      </c>
      <c r="E837" t="s">
        <v>127</v>
      </c>
      <c r="F837" t="s">
        <v>129</v>
      </c>
      <c r="G837">
        <v>410</v>
      </c>
      <c r="H837" t="s">
        <v>40</v>
      </c>
      <c r="I837">
        <v>44290.23</v>
      </c>
      <c r="J837">
        <v>53000.229885057473</v>
      </c>
    </row>
    <row r="838" spans="1:10" x14ac:dyDescent="0.3">
      <c r="A838" t="s">
        <v>91</v>
      </c>
      <c r="B838" t="s">
        <v>79</v>
      </c>
      <c r="C838" t="s">
        <v>119</v>
      </c>
      <c r="D838" t="s">
        <v>119</v>
      </c>
      <c r="E838" t="s">
        <v>126</v>
      </c>
      <c r="F838" t="s">
        <v>130</v>
      </c>
      <c r="G838">
        <v>101</v>
      </c>
      <c r="H838" t="s">
        <v>10</v>
      </c>
      <c r="I838">
        <v>278893.5799999999</v>
      </c>
      <c r="J838">
        <v>247261.7816091954</v>
      </c>
    </row>
    <row r="839" spans="1:10" x14ac:dyDescent="0.3">
      <c r="A839" t="s">
        <v>91</v>
      </c>
      <c r="B839" t="s">
        <v>79</v>
      </c>
      <c r="C839" t="s">
        <v>119</v>
      </c>
      <c r="D839" t="s">
        <v>119</v>
      </c>
      <c r="E839" t="s">
        <v>126</v>
      </c>
      <c r="F839" t="s">
        <v>130</v>
      </c>
      <c r="G839">
        <v>150</v>
      </c>
      <c r="H839" t="s">
        <v>3</v>
      </c>
      <c r="I839">
        <v>277513.82999999996</v>
      </c>
      <c r="J839">
        <v>253460.48850574726</v>
      </c>
    </row>
    <row r="840" spans="1:10" x14ac:dyDescent="0.3">
      <c r="A840" t="s">
        <v>91</v>
      </c>
      <c r="B840" t="s">
        <v>79</v>
      </c>
      <c r="C840" t="s">
        <v>119</v>
      </c>
      <c r="D840" t="s">
        <v>119</v>
      </c>
      <c r="E840" t="s">
        <v>126</v>
      </c>
      <c r="F840" t="s">
        <v>134</v>
      </c>
      <c r="G840">
        <v>170</v>
      </c>
      <c r="H840" t="s">
        <v>56</v>
      </c>
      <c r="I840">
        <v>151874.21</v>
      </c>
      <c r="J840">
        <v>130660.05747126436</v>
      </c>
    </row>
    <row r="841" spans="1:10" x14ac:dyDescent="0.3">
      <c r="A841" t="s">
        <v>91</v>
      </c>
      <c r="B841" t="s">
        <v>79</v>
      </c>
      <c r="C841" t="s">
        <v>119</v>
      </c>
      <c r="D841" t="s">
        <v>119</v>
      </c>
      <c r="E841" t="s">
        <v>126</v>
      </c>
      <c r="F841" t="s">
        <v>132</v>
      </c>
      <c r="G841">
        <v>131</v>
      </c>
      <c r="H841" t="s">
        <v>67</v>
      </c>
      <c r="I841">
        <v>69476.460000000006</v>
      </c>
      <c r="J841">
        <v>49252.155172413775</v>
      </c>
    </row>
    <row r="842" spans="1:10" x14ac:dyDescent="0.3">
      <c r="A842" t="s">
        <v>91</v>
      </c>
      <c r="B842" t="s">
        <v>79</v>
      </c>
      <c r="C842" t="s">
        <v>119</v>
      </c>
      <c r="D842" t="s">
        <v>119</v>
      </c>
      <c r="E842" t="s">
        <v>126</v>
      </c>
      <c r="F842" t="s">
        <v>132</v>
      </c>
      <c r="G842">
        <v>151</v>
      </c>
      <c r="H842" t="s">
        <v>20</v>
      </c>
      <c r="I842">
        <v>81058.800000000017</v>
      </c>
      <c r="J842">
        <v>51078.591954022988</v>
      </c>
    </row>
    <row r="843" spans="1:10" x14ac:dyDescent="0.3">
      <c r="A843" t="s">
        <v>91</v>
      </c>
      <c r="B843" t="s">
        <v>92</v>
      </c>
      <c r="C843" t="s">
        <v>121</v>
      </c>
      <c r="D843" t="s">
        <v>121</v>
      </c>
      <c r="E843" t="s">
        <v>124</v>
      </c>
      <c r="F843" t="s">
        <v>136</v>
      </c>
      <c r="G843" t="s">
        <v>111</v>
      </c>
      <c r="H843" s="33" t="s">
        <v>48</v>
      </c>
      <c r="I843" s="33">
        <v>0</v>
      </c>
      <c r="J843" s="33">
        <v>0</v>
      </c>
    </row>
    <row r="844" spans="1:10" x14ac:dyDescent="0.3">
      <c r="A844" t="s">
        <v>91</v>
      </c>
      <c r="B844" t="s">
        <v>92</v>
      </c>
      <c r="C844" t="s">
        <v>121</v>
      </c>
      <c r="D844" t="s">
        <v>121</v>
      </c>
      <c r="E844" t="s">
        <v>127</v>
      </c>
      <c r="F844" t="s">
        <v>136</v>
      </c>
      <c r="G844">
        <v>418</v>
      </c>
      <c r="H844" t="s">
        <v>44</v>
      </c>
      <c r="I844">
        <v>0</v>
      </c>
      <c r="J844">
        <v>166062.06896551725</v>
      </c>
    </row>
    <row r="845" spans="1:10" x14ac:dyDescent="0.3">
      <c r="A845" t="s">
        <v>91</v>
      </c>
      <c r="B845" t="s">
        <v>92</v>
      </c>
      <c r="C845" t="s">
        <v>119</v>
      </c>
      <c r="D845" t="s">
        <v>122</v>
      </c>
      <c r="E845" t="s">
        <v>124</v>
      </c>
      <c r="F845" t="s">
        <v>136</v>
      </c>
      <c r="G845">
        <v>307</v>
      </c>
      <c r="H845" t="s">
        <v>19</v>
      </c>
      <c r="I845">
        <v>141676.30999999997</v>
      </c>
      <c r="J845">
        <v>99236.637931034449</v>
      </c>
    </row>
    <row r="846" spans="1:10" x14ac:dyDescent="0.3">
      <c r="A846" t="s">
        <v>91</v>
      </c>
      <c r="B846" t="s">
        <v>92</v>
      </c>
      <c r="C846" t="s">
        <v>119</v>
      </c>
      <c r="D846" t="s">
        <v>122</v>
      </c>
      <c r="E846" t="s">
        <v>127</v>
      </c>
      <c r="F846" t="s">
        <v>136</v>
      </c>
      <c r="G846">
        <v>411</v>
      </c>
      <c r="H846" t="s">
        <v>43</v>
      </c>
      <c r="I846">
        <v>186469.13</v>
      </c>
      <c r="J846">
        <v>112545.25862068964</v>
      </c>
    </row>
    <row r="847" spans="1:10" x14ac:dyDescent="0.3">
      <c r="A847" t="s">
        <v>91</v>
      </c>
      <c r="B847" t="s">
        <v>92</v>
      </c>
      <c r="C847" t="s">
        <v>119</v>
      </c>
      <c r="D847" t="s">
        <v>120</v>
      </c>
      <c r="E847" t="s">
        <v>125</v>
      </c>
      <c r="F847" t="s">
        <v>136</v>
      </c>
      <c r="G847">
        <v>213</v>
      </c>
      <c r="H847" t="s">
        <v>49</v>
      </c>
      <c r="I847">
        <v>142629.68</v>
      </c>
      <c r="J847">
        <v>134526.00574712644</v>
      </c>
    </row>
    <row r="848" spans="1:10" x14ac:dyDescent="0.3">
      <c r="A848" t="s">
        <v>91</v>
      </c>
      <c r="B848" t="s">
        <v>92</v>
      </c>
      <c r="C848" t="s">
        <v>119</v>
      </c>
      <c r="D848" t="s">
        <v>120</v>
      </c>
      <c r="E848" t="s">
        <v>127</v>
      </c>
      <c r="F848" t="s">
        <v>136</v>
      </c>
      <c r="G848">
        <v>415</v>
      </c>
      <c r="H848" t="s">
        <v>47</v>
      </c>
      <c r="I848">
        <v>129899.92</v>
      </c>
      <c r="J848">
        <v>100574.13793103452</v>
      </c>
    </row>
    <row r="849" spans="1:10" x14ac:dyDescent="0.3">
      <c r="A849" t="s">
        <v>91</v>
      </c>
      <c r="B849" t="s">
        <v>92</v>
      </c>
      <c r="C849" t="s">
        <v>119</v>
      </c>
      <c r="D849" t="s">
        <v>119</v>
      </c>
      <c r="E849" t="s">
        <v>124</v>
      </c>
      <c r="F849" t="s">
        <v>136</v>
      </c>
      <c r="G849">
        <v>306</v>
      </c>
      <c r="H849" t="s">
        <v>51</v>
      </c>
      <c r="I849">
        <v>157404.21000000002</v>
      </c>
      <c r="J849">
        <v>129824.56896551723</v>
      </c>
    </row>
    <row r="850" spans="1:10" x14ac:dyDescent="0.3">
      <c r="A850" t="s">
        <v>91</v>
      </c>
      <c r="B850" t="s">
        <v>92</v>
      </c>
      <c r="C850" t="s">
        <v>119</v>
      </c>
      <c r="D850" t="s">
        <v>119</v>
      </c>
      <c r="E850" t="s">
        <v>125</v>
      </c>
      <c r="F850" t="s">
        <v>136</v>
      </c>
      <c r="G850">
        <v>201</v>
      </c>
      <c r="H850" t="s">
        <v>45</v>
      </c>
      <c r="I850">
        <v>86898.770000000019</v>
      </c>
      <c r="J850">
        <v>57614.942528735628</v>
      </c>
    </row>
    <row r="851" spans="1:10" x14ac:dyDescent="0.3">
      <c r="A851" t="s">
        <v>91</v>
      </c>
      <c r="B851" t="s">
        <v>92</v>
      </c>
      <c r="C851" t="s">
        <v>119</v>
      </c>
      <c r="D851" t="s">
        <v>119</v>
      </c>
      <c r="E851" t="s">
        <v>125</v>
      </c>
      <c r="F851" t="s">
        <v>136</v>
      </c>
      <c r="G851">
        <v>204</v>
      </c>
      <c r="H851" t="s">
        <v>46</v>
      </c>
      <c r="I851">
        <v>111007.13999999997</v>
      </c>
      <c r="J851">
        <v>79882.614942528729</v>
      </c>
    </row>
    <row r="852" spans="1:10" x14ac:dyDescent="0.3">
      <c r="A852" t="s">
        <v>91</v>
      </c>
      <c r="B852" t="s">
        <v>92</v>
      </c>
      <c r="C852" t="s">
        <v>119</v>
      </c>
      <c r="D852" t="s">
        <v>119</v>
      </c>
      <c r="E852" t="s">
        <v>126</v>
      </c>
      <c r="F852" t="s">
        <v>136</v>
      </c>
      <c r="G852">
        <v>102</v>
      </c>
      <c r="H852" t="s">
        <v>50</v>
      </c>
      <c r="I852">
        <v>179066.02999999997</v>
      </c>
      <c r="J852">
        <v>102726.00574712643</v>
      </c>
    </row>
    <row r="853" spans="1:10" x14ac:dyDescent="0.3">
      <c r="A853" t="s">
        <v>91</v>
      </c>
      <c r="B853" t="s">
        <v>93</v>
      </c>
      <c r="C853" t="s">
        <v>119</v>
      </c>
      <c r="D853" t="s">
        <v>119</v>
      </c>
      <c r="E853" t="s">
        <v>93</v>
      </c>
      <c r="F853" t="s">
        <v>93</v>
      </c>
      <c r="G853">
        <v>903</v>
      </c>
      <c r="H853" t="s">
        <v>37</v>
      </c>
      <c r="I853">
        <v>101278.61000000002</v>
      </c>
      <c r="J853">
        <v>160526.32</v>
      </c>
    </row>
    <row r="854" spans="1:10" x14ac:dyDescent="0.3">
      <c r="A854" t="s">
        <v>91</v>
      </c>
      <c r="B854" t="s">
        <v>94</v>
      </c>
      <c r="C854" t="s">
        <v>121</v>
      </c>
      <c r="D854" t="s">
        <v>121</v>
      </c>
      <c r="E854" t="s">
        <v>124</v>
      </c>
      <c r="F854" t="s">
        <v>137</v>
      </c>
      <c r="G854" t="s">
        <v>112</v>
      </c>
      <c r="H854" t="s">
        <v>21</v>
      </c>
      <c r="I854">
        <v>0</v>
      </c>
      <c r="J854">
        <v>0</v>
      </c>
    </row>
    <row r="855" spans="1:10" x14ac:dyDescent="0.3">
      <c r="A855" t="s">
        <v>91</v>
      </c>
      <c r="B855" t="s">
        <v>94</v>
      </c>
      <c r="C855" t="s">
        <v>121</v>
      </c>
      <c r="D855" t="s">
        <v>121</v>
      </c>
      <c r="E855" t="s">
        <v>125</v>
      </c>
      <c r="F855" t="s">
        <v>138</v>
      </c>
      <c r="G855">
        <v>470</v>
      </c>
      <c r="H855" t="s">
        <v>26</v>
      </c>
      <c r="I855">
        <v>0</v>
      </c>
      <c r="J855">
        <v>66363.14655172416</v>
      </c>
    </row>
    <row r="856" spans="1:10" x14ac:dyDescent="0.3">
      <c r="A856" t="s">
        <v>91</v>
      </c>
      <c r="B856" t="s">
        <v>94</v>
      </c>
      <c r="C856" t="s">
        <v>121</v>
      </c>
      <c r="D856" t="s">
        <v>121</v>
      </c>
      <c r="E856" t="s">
        <v>125</v>
      </c>
      <c r="F856" t="s">
        <v>137</v>
      </c>
      <c r="G856" t="s">
        <v>114</v>
      </c>
      <c r="H856" t="s">
        <v>23</v>
      </c>
      <c r="I856">
        <v>0</v>
      </c>
      <c r="J856">
        <v>0</v>
      </c>
    </row>
    <row r="857" spans="1:10" x14ac:dyDescent="0.3">
      <c r="A857" t="s">
        <v>91</v>
      </c>
      <c r="B857" t="s">
        <v>94</v>
      </c>
      <c r="C857" t="s">
        <v>121</v>
      </c>
      <c r="D857" t="s">
        <v>121</v>
      </c>
      <c r="E857" t="s">
        <v>125</v>
      </c>
      <c r="F857" t="s">
        <v>137</v>
      </c>
      <c r="G857" t="s">
        <v>113</v>
      </c>
      <c r="H857" t="s">
        <v>22</v>
      </c>
      <c r="I857">
        <v>0</v>
      </c>
      <c r="J857">
        <v>0</v>
      </c>
    </row>
    <row r="858" spans="1:10" x14ac:dyDescent="0.3">
      <c r="A858" t="s">
        <v>91</v>
      </c>
      <c r="B858" t="s">
        <v>94</v>
      </c>
      <c r="C858" t="s">
        <v>121</v>
      </c>
      <c r="D858" t="s">
        <v>121</v>
      </c>
      <c r="E858" t="s">
        <v>127</v>
      </c>
      <c r="F858" t="s">
        <v>137</v>
      </c>
      <c r="G858">
        <v>494</v>
      </c>
      <c r="H858" t="s">
        <v>25</v>
      </c>
      <c r="I858">
        <v>0</v>
      </c>
      <c r="J858">
        <v>54975.287356321838</v>
      </c>
    </row>
    <row r="859" spans="1:10" x14ac:dyDescent="0.3">
      <c r="A859" t="s">
        <v>91</v>
      </c>
      <c r="B859" t="s">
        <v>94</v>
      </c>
      <c r="C859" t="s">
        <v>121</v>
      </c>
      <c r="D859" t="s">
        <v>121</v>
      </c>
      <c r="E859" t="s">
        <v>126</v>
      </c>
      <c r="F859" t="s">
        <v>137</v>
      </c>
      <c r="G859">
        <v>460</v>
      </c>
      <c r="H859" t="s">
        <v>30</v>
      </c>
      <c r="I859">
        <v>0</v>
      </c>
      <c r="J859">
        <v>56532.183908045976</v>
      </c>
    </row>
    <row r="860" spans="1:10" x14ac:dyDescent="0.3">
      <c r="A860" t="s">
        <v>91</v>
      </c>
      <c r="B860" t="s">
        <v>94</v>
      </c>
      <c r="C860" t="s">
        <v>121</v>
      </c>
      <c r="D860" t="s">
        <v>121</v>
      </c>
      <c r="E860" t="s">
        <v>126</v>
      </c>
      <c r="F860" t="s">
        <v>137</v>
      </c>
      <c r="G860">
        <v>461</v>
      </c>
      <c r="H860" t="s">
        <v>29</v>
      </c>
      <c r="I860">
        <v>0</v>
      </c>
      <c r="J860">
        <v>15301</v>
      </c>
    </row>
    <row r="861" spans="1:10" x14ac:dyDescent="0.3">
      <c r="A861" t="s">
        <v>91</v>
      </c>
      <c r="B861" t="s">
        <v>94</v>
      </c>
      <c r="C861" t="s">
        <v>121</v>
      </c>
      <c r="D861" t="s">
        <v>119</v>
      </c>
      <c r="E861" t="s">
        <v>124</v>
      </c>
      <c r="F861" t="s">
        <v>138</v>
      </c>
      <c r="G861">
        <v>480</v>
      </c>
      <c r="H861" t="s">
        <v>28</v>
      </c>
      <c r="I861">
        <v>81175.87999999999</v>
      </c>
      <c r="J861">
        <v>73996.695402298836</v>
      </c>
    </row>
    <row r="862" spans="1:10" x14ac:dyDescent="0.3">
      <c r="A862" t="s">
        <v>91</v>
      </c>
      <c r="B862" t="s">
        <v>94</v>
      </c>
      <c r="C862" t="s">
        <v>121</v>
      </c>
      <c r="D862" t="s">
        <v>119</v>
      </c>
      <c r="E862" t="s">
        <v>127</v>
      </c>
      <c r="F862" t="s">
        <v>138</v>
      </c>
      <c r="G862">
        <v>491</v>
      </c>
      <c r="H862" t="s">
        <v>31</v>
      </c>
      <c r="I862">
        <v>9320.4</v>
      </c>
      <c r="J862">
        <v>187011.78160919543</v>
      </c>
    </row>
    <row r="863" spans="1:10" x14ac:dyDescent="0.3">
      <c r="A863" t="s">
        <v>91</v>
      </c>
      <c r="B863" t="s">
        <v>94</v>
      </c>
      <c r="C863" t="s">
        <v>121</v>
      </c>
      <c r="D863" t="s">
        <v>119</v>
      </c>
      <c r="E863" t="s">
        <v>127</v>
      </c>
      <c r="F863" t="s">
        <v>138</v>
      </c>
      <c r="G863">
        <v>492</v>
      </c>
      <c r="H863" t="s">
        <v>27</v>
      </c>
      <c r="I863">
        <v>105611.84999999998</v>
      </c>
      <c r="J863">
        <v>104681.6091954023</v>
      </c>
    </row>
    <row r="864" spans="1:10" x14ac:dyDescent="0.3">
      <c r="A864" t="s">
        <v>91</v>
      </c>
      <c r="B864" t="s">
        <v>94</v>
      </c>
      <c r="C864" t="s">
        <v>121</v>
      </c>
      <c r="D864" t="s">
        <v>119</v>
      </c>
      <c r="E864" t="s">
        <v>127</v>
      </c>
      <c r="F864" t="s">
        <v>138</v>
      </c>
      <c r="G864">
        <v>493</v>
      </c>
      <c r="H864" t="s">
        <v>24</v>
      </c>
      <c r="I864">
        <v>62069.249999999993</v>
      </c>
      <c r="J864">
        <v>75777.155172413812</v>
      </c>
    </row>
    <row r="865" spans="1:10" x14ac:dyDescent="0.3">
      <c r="A865" t="s">
        <v>91</v>
      </c>
      <c r="B865" t="s">
        <v>95</v>
      </c>
      <c r="C865" t="s">
        <v>121</v>
      </c>
      <c r="D865" t="s">
        <v>121</v>
      </c>
      <c r="E865" t="s">
        <v>125</v>
      </c>
      <c r="F865" t="s">
        <v>139</v>
      </c>
      <c r="G865" t="s">
        <v>115</v>
      </c>
      <c r="H865" s="33" t="s">
        <v>71</v>
      </c>
      <c r="I865" s="33">
        <v>0</v>
      </c>
      <c r="J865" s="33">
        <v>0</v>
      </c>
    </row>
    <row r="866" spans="1:10" x14ac:dyDescent="0.3">
      <c r="A866" t="s">
        <v>91</v>
      </c>
      <c r="B866" t="s">
        <v>95</v>
      </c>
      <c r="C866" t="s">
        <v>121</v>
      </c>
      <c r="D866" t="s">
        <v>121</v>
      </c>
      <c r="E866" t="s">
        <v>126</v>
      </c>
      <c r="F866" t="s">
        <v>139</v>
      </c>
      <c r="G866">
        <v>510</v>
      </c>
      <c r="H866" t="s">
        <v>76</v>
      </c>
      <c r="I866">
        <v>0</v>
      </c>
      <c r="J866">
        <v>36304.310344827587</v>
      </c>
    </row>
    <row r="867" spans="1:10" x14ac:dyDescent="0.3">
      <c r="A867" t="s">
        <v>91</v>
      </c>
      <c r="B867" t="s">
        <v>95</v>
      </c>
      <c r="C867" t="s">
        <v>121</v>
      </c>
      <c r="D867" t="s">
        <v>121</v>
      </c>
      <c r="E867" t="s">
        <v>126</v>
      </c>
      <c r="F867" t="s">
        <v>139</v>
      </c>
      <c r="G867" t="s">
        <v>116</v>
      </c>
      <c r="H867" s="33" t="s">
        <v>75</v>
      </c>
      <c r="I867" s="33">
        <v>0</v>
      </c>
      <c r="J867" s="33">
        <v>0</v>
      </c>
    </row>
    <row r="868" spans="1:10" x14ac:dyDescent="0.3">
      <c r="A868" t="s">
        <v>91</v>
      </c>
      <c r="B868" t="s">
        <v>95</v>
      </c>
      <c r="C868" t="s">
        <v>121</v>
      </c>
      <c r="D868" t="s">
        <v>119</v>
      </c>
      <c r="E868" t="s">
        <v>127</v>
      </c>
      <c r="F868" t="s">
        <v>140</v>
      </c>
      <c r="G868">
        <v>541</v>
      </c>
      <c r="H868" t="s">
        <v>74</v>
      </c>
      <c r="I868">
        <v>59582.39</v>
      </c>
      <c r="J868">
        <v>63067.816091954017</v>
      </c>
    </row>
    <row r="869" spans="1:10" x14ac:dyDescent="0.3">
      <c r="A869" t="s">
        <v>91</v>
      </c>
      <c r="B869" t="s">
        <v>95</v>
      </c>
      <c r="C869" t="s">
        <v>121</v>
      </c>
      <c r="D869" t="s">
        <v>119</v>
      </c>
      <c r="E869" t="s">
        <v>127</v>
      </c>
      <c r="F869" t="s">
        <v>140</v>
      </c>
      <c r="G869">
        <v>543</v>
      </c>
      <c r="H869" t="s">
        <v>72</v>
      </c>
      <c r="I869">
        <v>68125.75</v>
      </c>
      <c r="J869">
        <v>70020.617816091937</v>
      </c>
    </row>
    <row r="870" spans="1:10" x14ac:dyDescent="0.3">
      <c r="A870" t="s">
        <v>91</v>
      </c>
      <c r="B870" t="s">
        <v>95</v>
      </c>
      <c r="C870" t="s">
        <v>120</v>
      </c>
      <c r="D870" t="s">
        <v>119</v>
      </c>
      <c r="E870" t="s">
        <v>127</v>
      </c>
      <c r="F870" t="s">
        <v>140</v>
      </c>
      <c r="G870">
        <v>540</v>
      </c>
      <c r="H870" t="s">
        <v>73</v>
      </c>
      <c r="I870">
        <v>135747.45000000004</v>
      </c>
      <c r="J870">
        <v>167897.55747126433</v>
      </c>
    </row>
    <row r="871" spans="1:10" x14ac:dyDescent="0.3">
      <c r="A871" t="s">
        <v>91</v>
      </c>
      <c r="B871" t="s">
        <v>95</v>
      </c>
      <c r="C871" t="s">
        <v>119</v>
      </c>
      <c r="D871" t="s">
        <v>120</v>
      </c>
      <c r="E871" t="s">
        <v>124</v>
      </c>
      <c r="F871" t="s">
        <v>139</v>
      </c>
      <c r="G871">
        <v>530</v>
      </c>
      <c r="H871" t="s">
        <v>68</v>
      </c>
      <c r="I871">
        <v>84589.800000000017</v>
      </c>
      <c r="J871">
        <v>50716.235632183911</v>
      </c>
    </row>
    <row r="872" spans="1:10" x14ac:dyDescent="0.3">
      <c r="A872" t="s">
        <v>91</v>
      </c>
      <c r="B872" t="s">
        <v>95</v>
      </c>
      <c r="C872" t="s">
        <v>119</v>
      </c>
      <c r="D872" t="s">
        <v>119</v>
      </c>
      <c r="E872" t="s">
        <v>125</v>
      </c>
      <c r="F872" t="s">
        <v>140</v>
      </c>
      <c r="G872">
        <v>520</v>
      </c>
      <c r="H872" t="s">
        <v>70</v>
      </c>
      <c r="I872">
        <v>103720.40000000002</v>
      </c>
      <c r="J872">
        <v>90892.385057471256</v>
      </c>
    </row>
    <row r="873" spans="1:10" x14ac:dyDescent="0.3">
      <c r="A873" t="s">
        <v>91</v>
      </c>
      <c r="B873" t="s">
        <v>95</v>
      </c>
      <c r="C873" t="s">
        <v>119</v>
      </c>
      <c r="D873" t="s">
        <v>119</v>
      </c>
      <c r="E873" t="s">
        <v>127</v>
      </c>
      <c r="F873" t="s">
        <v>139</v>
      </c>
      <c r="G873">
        <v>542</v>
      </c>
      <c r="H873" t="s">
        <v>69</v>
      </c>
      <c r="I873">
        <v>58898.41</v>
      </c>
      <c r="J873">
        <v>45787.356321839077</v>
      </c>
    </row>
    <row r="874" spans="1:10" x14ac:dyDescent="0.3">
      <c r="A874" t="s">
        <v>146</v>
      </c>
      <c r="I874">
        <v>44596823.140000001</v>
      </c>
      <c r="J874">
        <v>49249057.134482838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2D14-EB4F-43E0-BC1C-EAB0B712C340}">
  <dimension ref="A1:K873"/>
  <sheetViews>
    <sheetView topLeftCell="A843" workbookViewId="0">
      <selection activeCell="D6" sqref="D6"/>
    </sheetView>
  </sheetViews>
  <sheetFormatPr baseColWidth="10" defaultRowHeight="14.4" x14ac:dyDescent="0.3"/>
  <sheetData>
    <row r="1" spans="1:11" x14ac:dyDescent="0.3">
      <c r="A1" s="32" t="s">
        <v>78</v>
      </c>
      <c r="B1" s="32" t="s">
        <v>207</v>
      </c>
      <c r="C1" s="32" t="s">
        <v>77</v>
      </c>
      <c r="D1" s="32" t="s">
        <v>117</v>
      </c>
      <c r="E1" s="32" t="s">
        <v>118</v>
      </c>
      <c r="F1" s="32" t="s">
        <v>123</v>
      </c>
      <c r="G1" s="32" t="s">
        <v>128</v>
      </c>
      <c r="H1" s="32" t="s">
        <v>106</v>
      </c>
      <c r="I1" s="32" t="s">
        <v>107</v>
      </c>
      <c r="J1" s="32" t="s">
        <v>98</v>
      </c>
      <c r="K1" s="32" t="s">
        <v>102</v>
      </c>
    </row>
    <row r="2" spans="1:11" x14ac:dyDescent="0.3">
      <c r="A2" s="1" t="s">
        <v>80</v>
      </c>
      <c r="B2" s="1" t="s">
        <v>208</v>
      </c>
      <c r="C2" s="1" t="s">
        <v>79</v>
      </c>
      <c r="D2" t="s">
        <v>122</v>
      </c>
      <c r="E2" s="1" t="s">
        <v>122</v>
      </c>
      <c r="F2" t="s">
        <v>124</v>
      </c>
      <c r="G2" s="1" t="s">
        <v>129</v>
      </c>
      <c r="H2" t="s">
        <v>196</v>
      </c>
      <c r="I2" t="s">
        <v>1</v>
      </c>
      <c r="J2">
        <v>0</v>
      </c>
      <c r="K2">
        <v>0</v>
      </c>
    </row>
    <row r="3" spans="1:11" x14ac:dyDescent="0.3">
      <c r="A3" s="1" t="s">
        <v>80</v>
      </c>
      <c r="B3" s="1" t="s">
        <v>208</v>
      </c>
      <c r="C3" s="1" t="s">
        <v>79</v>
      </c>
      <c r="D3" t="s">
        <v>122</v>
      </c>
      <c r="E3" s="1" t="s">
        <v>122</v>
      </c>
      <c r="F3" t="s">
        <v>125</v>
      </c>
      <c r="G3" s="1" t="s">
        <v>129</v>
      </c>
      <c r="H3" t="s">
        <v>196</v>
      </c>
      <c r="I3" t="s">
        <v>7</v>
      </c>
      <c r="J3">
        <v>0</v>
      </c>
      <c r="K3">
        <v>0</v>
      </c>
    </row>
    <row r="4" spans="1:11" x14ac:dyDescent="0.3">
      <c r="A4" s="1" t="s">
        <v>80</v>
      </c>
      <c r="B4" s="1" t="s">
        <v>208</v>
      </c>
      <c r="C4" s="1" t="s">
        <v>79</v>
      </c>
      <c r="D4" t="s">
        <v>122</v>
      </c>
      <c r="E4" s="1" t="s">
        <v>122</v>
      </c>
      <c r="F4" t="s">
        <v>127</v>
      </c>
      <c r="G4" s="1" t="s">
        <v>129</v>
      </c>
      <c r="H4" t="s">
        <v>196</v>
      </c>
      <c r="I4" t="s">
        <v>5</v>
      </c>
      <c r="J4">
        <v>0</v>
      </c>
      <c r="K4">
        <v>0</v>
      </c>
    </row>
    <row r="5" spans="1:11" x14ac:dyDescent="0.3">
      <c r="A5" s="1" t="s">
        <v>80</v>
      </c>
      <c r="B5" s="1" t="s">
        <v>208</v>
      </c>
      <c r="C5" s="1" t="s">
        <v>79</v>
      </c>
      <c r="D5" t="s">
        <v>122</v>
      </c>
      <c r="E5" s="1" t="s">
        <v>122</v>
      </c>
      <c r="F5" t="s">
        <v>127</v>
      </c>
      <c r="G5" s="1" t="s">
        <v>122</v>
      </c>
      <c r="H5" t="s">
        <v>196</v>
      </c>
      <c r="I5" t="s">
        <v>33</v>
      </c>
      <c r="J5">
        <v>13869.81</v>
      </c>
      <c r="K5">
        <v>0</v>
      </c>
    </row>
    <row r="6" spans="1:11" x14ac:dyDescent="0.3">
      <c r="A6" s="1" t="s">
        <v>80</v>
      </c>
      <c r="B6" s="1" t="s">
        <v>208</v>
      </c>
      <c r="C6" s="1" t="s">
        <v>79</v>
      </c>
      <c r="D6" t="s">
        <v>122</v>
      </c>
      <c r="E6" s="1" t="s">
        <v>122</v>
      </c>
      <c r="F6" t="s">
        <v>126</v>
      </c>
      <c r="G6" s="1" t="s">
        <v>122</v>
      </c>
      <c r="H6" t="s">
        <v>196</v>
      </c>
      <c r="I6" s="33" t="s">
        <v>55</v>
      </c>
      <c r="J6" s="33">
        <v>0</v>
      </c>
      <c r="K6" s="33">
        <v>0</v>
      </c>
    </row>
    <row r="7" spans="1:11" x14ac:dyDescent="0.3">
      <c r="A7" s="1" t="s">
        <v>80</v>
      </c>
      <c r="B7" s="1" t="s">
        <v>208</v>
      </c>
      <c r="C7" s="1" t="s">
        <v>79</v>
      </c>
      <c r="D7" t="s">
        <v>121</v>
      </c>
      <c r="E7" s="1" t="s">
        <v>121</v>
      </c>
      <c r="F7" t="s">
        <v>125</v>
      </c>
      <c r="G7" s="1" t="s">
        <v>129</v>
      </c>
      <c r="H7" t="s">
        <v>110</v>
      </c>
      <c r="I7" t="s">
        <v>64</v>
      </c>
      <c r="J7">
        <v>0</v>
      </c>
      <c r="K7">
        <v>0</v>
      </c>
    </row>
    <row r="8" spans="1:11" x14ac:dyDescent="0.3">
      <c r="A8" s="1" t="s">
        <v>80</v>
      </c>
      <c r="B8" s="1" t="s">
        <v>208</v>
      </c>
      <c r="C8" s="1" t="s">
        <v>79</v>
      </c>
      <c r="D8" t="s">
        <v>120</v>
      </c>
      <c r="E8" s="1" t="s">
        <v>120</v>
      </c>
      <c r="F8" t="s">
        <v>124</v>
      </c>
      <c r="G8" s="1" t="s">
        <v>129</v>
      </c>
      <c r="H8">
        <v>304</v>
      </c>
      <c r="I8" t="s">
        <v>61</v>
      </c>
      <c r="J8">
        <v>50056.74</v>
      </c>
      <c r="K8">
        <v>37460.619999999966</v>
      </c>
    </row>
    <row r="9" spans="1:11" x14ac:dyDescent="0.3">
      <c r="A9" s="1" t="s">
        <v>80</v>
      </c>
      <c r="B9" s="1" t="s">
        <v>208</v>
      </c>
      <c r="C9" s="1" t="s">
        <v>79</v>
      </c>
      <c r="D9" t="s">
        <v>120</v>
      </c>
      <c r="E9" s="1" t="s">
        <v>120</v>
      </c>
      <c r="F9" t="s">
        <v>125</v>
      </c>
      <c r="G9" s="1" t="s">
        <v>133</v>
      </c>
      <c r="H9">
        <v>208</v>
      </c>
      <c r="I9" t="s">
        <v>36</v>
      </c>
      <c r="J9">
        <v>24865.309999999998</v>
      </c>
      <c r="K9">
        <v>28443.33000000002</v>
      </c>
    </row>
    <row r="10" spans="1:11" x14ac:dyDescent="0.3">
      <c r="A10" s="1" t="s">
        <v>80</v>
      </c>
      <c r="B10" s="1" t="s">
        <v>208</v>
      </c>
      <c r="C10" s="1" t="s">
        <v>79</v>
      </c>
      <c r="D10" t="s">
        <v>120</v>
      </c>
      <c r="E10" s="1" t="s">
        <v>120</v>
      </c>
      <c r="F10" t="s">
        <v>125</v>
      </c>
      <c r="G10" s="1" t="s">
        <v>133</v>
      </c>
      <c r="H10">
        <v>209</v>
      </c>
      <c r="I10" t="s">
        <v>35</v>
      </c>
      <c r="J10">
        <v>14761.010000000006</v>
      </c>
      <c r="K10">
        <v>21128.160000000014</v>
      </c>
    </row>
    <row r="11" spans="1:11" x14ac:dyDescent="0.3">
      <c r="A11" s="1" t="s">
        <v>80</v>
      </c>
      <c r="B11" s="1" t="s">
        <v>208</v>
      </c>
      <c r="C11" s="1" t="s">
        <v>79</v>
      </c>
      <c r="D11" t="s">
        <v>120</v>
      </c>
      <c r="E11" s="1" t="s">
        <v>120</v>
      </c>
      <c r="F11" t="s">
        <v>125</v>
      </c>
      <c r="G11" s="1" t="s">
        <v>129</v>
      </c>
      <c r="H11">
        <v>202</v>
      </c>
      <c r="I11" t="s">
        <v>4</v>
      </c>
      <c r="J11">
        <v>46035.81</v>
      </c>
      <c r="K11">
        <v>35077.929999999971</v>
      </c>
    </row>
    <row r="12" spans="1:11" x14ac:dyDescent="0.3">
      <c r="A12" s="1" t="s">
        <v>80</v>
      </c>
      <c r="B12" s="1" t="s">
        <v>208</v>
      </c>
      <c r="C12" s="1" t="s">
        <v>79</v>
      </c>
      <c r="D12" t="s">
        <v>120</v>
      </c>
      <c r="E12" s="1" t="s">
        <v>120</v>
      </c>
      <c r="F12" t="s">
        <v>127</v>
      </c>
      <c r="G12" s="1" t="s">
        <v>133</v>
      </c>
      <c r="H12">
        <v>404</v>
      </c>
      <c r="I12" t="s">
        <v>15</v>
      </c>
      <c r="J12">
        <v>20789.12</v>
      </c>
      <c r="K12">
        <v>19622.639999999992</v>
      </c>
    </row>
    <row r="13" spans="1:11" x14ac:dyDescent="0.3">
      <c r="A13" s="1" t="s">
        <v>80</v>
      </c>
      <c r="B13" s="1" t="s">
        <v>208</v>
      </c>
      <c r="C13" s="1" t="s">
        <v>79</v>
      </c>
      <c r="D13" t="s">
        <v>120</v>
      </c>
      <c r="E13" s="1" t="s">
        <v>119</v>
      </c>
      <c r="F13" t="s">
        <v>124</v>
      </c>
      <c r="G13" s="1" t="s">
        <v>129</v>
      </c>
      <c r="H13">
        <v>310</v>
      </c>
      <c r="I13" t="s">
        <v>63</v>
      </c>
      <c r="J13">
        <v>17301.519999999997</v>
      </c>
      <c r="K13">
        <v>19709.490000000005</v>
      </c>
    </row>
    <row r="14" spans="1:11" x14ac:dyDescent="0.3">
      <c r="A14" s="1" t="s">
        <v>80</v>
      </c>
      <c r="B14" s="1" t="s">
        <v>208</v>
      </c>
      <c r="C14" s="1" t="s">
        <v>79</v>
      </c>
      <c r="D14" t="s">
        <v>120</v>
      </c>
      <c r="E14" s="1" t="s">
        <v>119</v>
      </c>
      <c r="F14" t="s">
        <v>125</v>
      </c>
      <c r="G14" s="1" t="s">
        <v>134</v>
      </c>
      <c r="H14">
        <v>206</v>
      </c>
      <c r="I14" t="s">
        <v>18</v>
      </c>
      <c r="J14">
        <v>47856.17</v>
      </c>
      <c r="K14">
        <v>49556.250000000022</v>
      </c>
    </row>
    <row r="15" spans="1:11" x14ac:dyDescent="0.3">
      <c r="A15" s="1" t="s">
        <v>80</v>
      </c>
      <c r="B15" s="1" t="s">
        <v>208</v>
      </c>
      <c r="C15" s="1" t="s">
        <v>79</v>
      </c>
      <c r="D15" t="s">
        <v>120</v>
      </c>
      <c r="E15" s="1" t="s">
        <v>119</v>
      </c>
      <c r="F15" t="s">
        <v>125</v>
      </c>
      <c r="G15" s="1" t="s">
        <v>129</v>
      </c>
      <c r="H15">
        <v>210</v>
      </c>
      <c r="I15" t="s">
        <v>2</v>
      </c>
      <c r="J15">
        <v>26642.520000000004</v>
      </c>
      <c r="K15">
        <v>36413.97</v>
      </c>
    </row>
    <row r="16" spans="1:11" x14ac:dyDescent="0.3">
      <c r="A16" s="1" t="s">
        <v>80</v>
      </c>
      <c r="B16" s="1" t="s">
        <v>208</v>
      </c>
      <c r="C16" s="1" t="s">
        <v>79</v>
      </c>
      <c r="D16" t="s">
        <v>120</v>
      </c>
      <c r="E16" s="1" t="s">
        <v>119</v>
      </c>
      <c r="F16" t="s">
        <v>127</v>
      </c>
      <c r="G16" s="1" t="s">
        <v>131</v>
      </c>
      <c r="H16">
        <v>417</v>
      </c>
      <c r="I16" t="s">
        <v>54</v>
      </c>
      <c r="J16">
        <v>69361.739999999991</v>
      </c>
      <c r="K16">
        <v>47723.300000000032</v>
      </c>
    </row>
    <row r="17" spans="1:11" x14ac:dyDescent="0.3">
      <c r="A17" s="1" t="s">
        <v>80</v>
      </c>
      <c r="B17" s="1" t="s">
        <v>208</v>
      </c>
      <c r="C17" s="1" t="s">
        <v>79</v>
      </c>
      <c r="D17" t="s">
        <v>119</v>
      </c>
      <c r="E17" s="1" t="s">
        <v>120</v>
      </c>
      <c r="F17" t="s">
        <v>124</v>
      </c>
      <c r="G17" s="1" t="s">
        <v>129</v>
      </c>
      <c r="H17">
        <v>308</v>
      </c>
      <c r="I17" t="s">
        <v>0</v>
      </c>
      <c r="J17">
        <v>31088.38</v>
      </c>
      <c r="K17">
        <v>29710.119999999988</v>
      </c>
    </row>
    <row r="18" spans="1:11" x14ac:dyDescent="0.3">
      <c r="A18" s="1" t="s">
        <v>80</v>
      </c>
      <c r="B18" s="1" t="s">
        <v>208</v>
      </c>
      <c r="C18" s="1" t="s">
        <v>79</v>
      </c>
      <c r="D18" t="s">
        <v>119</v>
      </c>
      <c r="E18" s="1" t="s">
        <v>120</v>
      </c>
      <c r="F18" t="s">
        <v>127</v>
      </c>
      <c r="G18" s="1" t="s">
        <v>132</v>
      </c>
      <c r="H18">
        <v>402</v>
      </c>
      <c r="I18" t="s">
        <v>9</v>
      </c>
      <c r="J18">
        <v>17595.439999999999</v>
      </c>
      <c r="K18">
        <v>20503.210000000006</v>
      </c>
    </row>
    <row r="19" spans="1:11" x14ac:dyDescent="0.3">
      <c r="A19" s="1" t="s">
        <v>80</v>
      </c>
      <c r="B19" s="1" t="s">
        <v>208</v>
      </c>
      <c r="C19" s="1" t="s">
        <v>79</v>
      </c>
      <c r="D19" t="s">
        <v>119</v>
      </c>
      <c r="E19" s="1" t="s">
        <v>120</v>
      </c>
      <c r="F19" t="s">
        <v>127</v>
      </c>
      <c r="G19" s="1" t="s">
        <v>132</v>
      </c>
      <c r="H19">
        <v>406</v>
      </c>
      <c r="I19" t="s">
        <v>57</v>
      </c>
      <c r="J19">
        <v>17813.77</v>
      </c>
      <c r="K19">
        <v>13855.249999999996</v>
      </c>
    </row>
    <row r="20" spans="1:11" x14ac:dyDescent="0.3">
      <c r="A20" s="1" t="s">
        <v>80</v>
      </c>
      <c r="B20" s="1" t="s">
        <v>208</v>
      </c>
      <c r="C20" s="1" t="s">
        <v>79</v>
      </c>
      <c r="D20" t="s">
        <v>119</v>
      </c>
      <c r="E20" s="1" t="s">
        <v>120</v>
      </c>
      <c r="F20" t="s">
        <v>127</v>
      </c>
      <c r="G20" s="1" t="s">
        <v>132</v>
      </c>
      <c r="H20">
        <v>416</v>
      </c>
      <c r="I20" t="s">
        <v>66</v>
      </c>
      <c r="J20">
        <v>16115.030000000002</v>
      </c>
      <c r="K20">
        <v>13096.829999999998</v>
      </c>
    </row>
    <row r="21" spans="1:11" x14ac:dyDescent="0.3">
      <c r="A21" s="1" t="s">
        <v>80</v>
      </c>
      <c r="B21" s="1" t="s">
        <v>208</v>
      </c>
      <c r="C21" s="1" t="s">
        <v>79</v>
      </c>
      <c r="D21" t="s">
        <v>119</v>
      </c>
      <c r="E21" s="1" t="s">
        <v>120</v>
      </c>
      <c r="F21" t="s">
        <v>127</v>
      </c>
      <c r="G21" s="1" t="s">
        <v>135</v>
      </c>
      <c r="H21">
        <v>414</v>
      </c>
      <c r="I21" t="s">
        <v>65</v>
      </c>
      <c r="J21">
        <v>216549.51999999993</v>
      </c>
      <c r="K21">
        <v>197419.85000000044</v>
      </c>
    </row>
    <row r="22" spans="1:11" x14ac:dyDescent="0.3">
      <c r="A22" s="1" t="s">
        <v>80</v>
      </c>
      <c r="B22" s="1" t="s">
        <v>208</v>
      </c>
      <c r="C22" s="1" t="s">
        <v>79</v>
      </c>
      <c r="D22" t="s">
        <v>119</v>
      </c>
      <c r="E22" s="1" t="s">
        <v>119</v>
      </c>
      <c r="F22" t="s">
        <v>124</v>
      </c>
      <c r="G22" s="1" t="s">
        <v>131</v>
      </c>
      <c r="H22">
        <v>309</v>
      </c>
      <c r="I22" t="s">
        <v>52</v>
      </c>
      <c r="J22">
        <v>167219.47</v>
      </c>
      <c r="K22">
        <v>148019.73000000024</v>
      </c>
    </row>
    <row r="23" spans="1:11" x14ac:dyDescent="0.3">
      <c r="A23" s="1" t="s">
        <v>80</v>
      </c>
      <c r="B23" s="1" t="s">
        <v>208</v>
      </c>
      <c r="C23" s="1" t="s">
        <v>79</v>
      </c>
      <c r="D23" t="s">
        <v>119</v>
      </c>
      <c r="E23" s="1" t="s">
        <v>119</v>
      </c>
      <c r="F23" t="s">
        <v>124</v>
      </c>
      <c r="G23" s="1" t="s">
        <v>130</v>
      </c>
      <c r="H23">
        <v>305</v>
      </c>
      <c r="I23" t="s">
        <v>6</v>
      </c>
      <c r="J23">
        <v>103612.24999999999</v>
      </c>
      <c r="K23">
        <v>94913.910000000178</v>
      </c>
    </row>
    <row r="24" spans="1:11" x14ac:dyDescent="0.3">
      <c r="A24" s="1" t="s">
        <v>80</v>
      </c>
      <c r="B24" s="1" t="s">
        <v>208</v>
      </c>
      <c r="C24" s="1" t="s">
        <v>79</v>
      </c>
      <c r="D24" t="s">
        <v>119</v>
      </c>
      <c r="E24" s="1" t="s">
        <v>119</v>
      </c>
      <c r="F24" t="s">
        <v>124</v>
      </c>
      <c r="G24" s="1" t="s">
        <v>134</v>
      </c>
      <c r="H24">
        <v>302</v>
      </c>
      <c r="I24" t="s">
        <v>32</v>
      </c>
      <c r="J24">
        <v>69748.17</v>
      </c>
      <c r="K24">
        <v>50447.079999999958</v>
      </c>
    </row>
    <row r="25" spans="1:11" x14ac:dyDescent="0.3">
      <c r="A25" s="1" t="s">
        <v>80</v>
      </c>
      <c r="B25" s="1" t="s">
        <v>208</v>
      </c>
      <c r="C25" s="1" t="s">
        <v>79</v>
      </c>
      <c r="D25" t="s">
        <v>119</v>
      </c>
      <c r="E25" s="1" t="s">
        <v>119</v>
      </c>
      <c r="F25" t="s">
        <v>124</v>
      </c>
      <c r="G25" s="1" t="s">
        <v>129</v>
      </c>
      <c r="H25">
        <v>301</v>
      </c>
      <c r="I25" t="s">
        <v>59</v>
      </c>
      <c r="J25">
        <v>40623.100000000006</v>
      </c>
      <c r="K25">
        <v>34338.87000000001</v>
      </c>
    </row>
    <row r="26" spans="1:11" x14ac:dyDescent="0.3">
      <c r="A26" s="1" t="s">
        <v>80</v>
      </c>
      <c r="B26" s="1" t="s">
        <v>208</v>
      </c>
      <c r="C26" s="1" t="s">
        <v>79</v>
      </c>
      <c r="D26" t="s">
        <v>119</v>
      </c>
      <c r="E26" s="1" t="s">
        <v>119</v>
      </c>
      <c r="F26" t="s">
        <v>124</v>
      </c>
      <c r="G26" s="1" t="s">
        <v>129</v>
      </c>
      <c r="H26">
        <v>311</v>
      </c>
      <c r="I26" t="s">
        <v>13</v>
      </c>
      <c r="J26">
        <v>32841.960000000006</v>
      </c>
      <c r="K26">
        <v>26355.550000000014</v>
      </c>
    </row>
    <row r="27" spans="1:11" x14ac:dyDescent="0.3">
      <c r="A27" s="1" t="s">
        <v>80</v>
      </c>
      <c r="B27" s="1" t="s">
        <v>208</v>
      </c>
      <c r="C27" s="1" t="s">
        <v>79</v>
      </c>
      <c r="D27" t="s">
        <v>119</v>
      </c>
      <c r="E27" s="1" t="s">
        <v>119</v>
      </c>
      <c r="F27" t="s">
        <v>125</v>
      </c>
      <c r="G27" s="1" t="s">
        <v>131</v>
      </c>
      <c r="H27">
        <v>211</v>
      </c>
      <c r="I27" t="s">
        <v>8</v>
      </c>
      <c r="J27">
        <v>144928.28</v>
      </c>
      <c r="K27">
        <v>157566.82000000044</v>
      </c>
    </row>
    <row r="28" spans="1:11" x14ac:dyDescent="0.3">
      <c r="A28" s="1" t="s">
        <v>80</v>
      </c>
      <c r="B28" s="1" t="s">
        <v>208</v>
      </c>
      <c r="C28" s="1" t="s">
        <v>79</v>
      </c>
      <c r="D28" t="s">
        <v>119</v>
      </c>
      <c r="E28" s="1" t="s">
        <v>119</v>
      </c>
      <c r="F28" t="s">
        <v>125</v>
      </c>
      <c r="G28" s="1" t="s">
        <v>130</v>
      </c>
      <c r="H28">
        <v>207</v>
      </c>
      <c r="I28" t="s">
        <v>53</v>
      </c>
      <c r="J28">
        <v>82232.579999999987</v>
      </c>
      <c r="K28">
        <v>84799.240000000151</v>
      </c>
    </row>
    <row r="29" spans="1:11" x14ac:dyDescent="0.3">
      <c r="A29" s="1" t="s">
        <v>80</v>
      </c>
      <c r="B29" s="1" t="s">
        <v>208</v>
      </c>
      <c r="C29" s="1" t="s">
        <v>79</v>
      </c>
      <c r="D29" t="s">
        <v>119</v>
      </c>
      <c r="E29" s="1" t="s">
        <v>119</v>
      </c>
      <c r="F29" t="s">
        <v>125</v>
      </c>
      <c r="G29" s="1" t="s">
        <v>133</v>
      </c>
      <c r="H29">
        <v>203</v>
      </c>
      <c r="I29" t="s">
        <v>60</v>
      </c>
      <c r="J29">
        <v>35894.569999999992</v>
      </c>
      <c r="K29">
        <v>33410.260000000009</v>
      </c>
    </row>
    <row r="30" spans="1:11" x14ac:dyDescent="0.3">
      <c r="A30" s="1" t="s">
        <v>80</v>
      </c>
      <c r="B30" s="1" t="s">
        <v>208</v>
      </c>
      <c r="C30" s="1" t="s">
        <v>79</v>
      </c>
      <c r="D30" t="s">
        <v>119</v>
      </c>
      <c r="E30" s="1" t="s">
        <v>119</v>
      </c>
      <c r="F30" t="s">
        <v>125</v>
      </c>
      <c r="G30" s="1" t="s">
        <v>133</v>
      </c>
      <c r="H30">
        <v>212</v>
      </c>
      <c r="I30" t="s">
        <v>62</v>
      </c>
      <c r="J30">
        <v>41867.359999999993</v>
      </c>
      <c r="K30">
        <v>39744.020000000055</v>
      </c>
    </row>
    <row r="31" spans="1:11" x14ac:dyDescent="0.3">
      <c r="A31" s="1" t="s">
        <v>80</v>
      </c>
      <c r="B31" s="1" t="s">
        <v>208</v>
      </c>
      <c r="C31" s="1" t="s">
        <v>79</v>
      </c>
      <c r="D31" t="s">
        <v>119</v>
      </c>
      <c r="E31" s="1" t="s">
        <v>119</v>
      </c>
      <c r="F31" t="s">
        <v>125</v>
      </c>
      <c r="G31" s="1" t="s">
        <v>134</v>
      </c>
      <c r="H31">
        <v>190</v>
      </c>
      <c r="I31" t="s">
        <v>42</v>
      </c>
      <c r="J31">
        <v>51777.02</v>
      </c>
      <c r="K31">
        <v>54494.250000000015</v>
      </c>
    </row>
    <row r="32" spans="1:11" x14ac:dyDescent="0.3">
      <c r="A32" s="1" t="s">
        <v>80</v>
      </c>
      <c r="B32" s="1" t="s">
        <v>208</v>
      </c>
      <c r="C32" s="1" t="s">
        <v>79</v>
      </c>
      <c r="D32" t="s">
        <v>119</v>
      </c>
      <c r="E32" s="1" t="s">
        <v>119</v>
      </c>
      <c r="F32" t="s">
        <v>125</v>
      </c>
      <c r="G32" s="1" t="s">
        <v>134</v>
      </c>
      <c r="H32">
        <v>214</v>
      </c>
      <c r="I32" t="s">
        <v>17</v>
      </c>
      <c r="J32">
        <v>50886.789999999994</v>
      </c>
      <c r="K32">
        <v>50177.870000000024</v>
      </c>
    </row>
    <row r="33" spans="1:11" x14ac:dyDescent="0.3">
      <c r="A33" s="1" t="s">
        <v>80</v>
      </c>
      <c r="B33" s="1" t="s">
        <v>208</v>
      </c>
      <c r="C33" s="1" t="s">
        <v>79</v>
      </c>
      <c r="D33" t="s">
        <v>119</v>
      </c>
      <c r="E33" s="1" t="s">
        <v>119</v>
      </c>
      <c r="F33" t="s">
        <v>127</v>
      </c>
      <c r="G33" s="1" t="s">
        <v>130</v>
      </c>
      <c r="H33">
        <v>407</v>
      </c>
      <c r="I33" t="s">
        <v>34</v>
      </c>
      <c r="J33">
        <v>92287.479999999981</v>
      </c>
      <c r="K33">
        <v>70926.910000000091</v>
      </c>
    </row>
    <row r="34" spans="1:11" x14ac:dyDescent="0.3">
      <c r="A34" s="1" t="s">
        <v>80</v>
      </c>
      <c r="B34" s="1" t="s">
        <v>208</v>
      </c>
      <c r="C34" s="1" t="s">
        <v>79</v>
      </c>
      <c r="D34" t="s">
        <v>119</v>
      </c>
      <c r="E34" s="1" t="s">
        <v>119</v>
      </c>
      <c r="F34" t="s">
        <v>127</v>
      </c>
      <c r="G34" s="1" t="s">
        <v>130</v>
      </c>
      <c r="H34">
        <v>413</v>
      </c>
      <c r="I34" t="s">
        <v>14</v>
      </c>
      <c r="J34">
        <v>77482.739999999976</v>
      </c>
      <c r="K34">
        <v>79863.210000000021</v>
      </c>
    </row>
    <row r="35" spans="1:11" x14ac:dyDescent="0.3">
      <c r="A35" s="1" t="s">
        <v>80</v>
      </c>
      <c r="B35" s="1" t="s">
        <v>208</v>
      </c>
      <c r="C35" s="1" t="s">
        <v>79</v>
      </c>
      <c r="D35" t="s">
        <v>119</v>
      </c>
      <c r="E35" s="1" t="s">
        <v>119</v>
      </c>
      <c r="F35" t="s">
        <v>127</v>
      </c>
      <c r="G35" s="1" t="s">
        <v>133</v>
      </c>
      <c r="H35">
        <v>412</v>
      </c>
      <c r="I35" t="s">
        <v>11</v>
      </c>
      <c r="J35">
        <v>35725.599999999991</v>
      </c>
      <c r="K35">
        <v>36931.470000000023</v>
      </c>
    </row>
    <row r="36" spans="1:11" x14ac:dyDescent="0.3">
      <c r="A36" s="1" t="s">
        <v>80</v>
      </c>
      <c r="B36" s="1" t="s">
        <v>208</v>
      </c>
      <c r="C36" s="1" t="s">
        <v>79</v>
      </c>
      <c r="D36" t="s">
        <v>119</v>
      </c>
      <c r="E36" s="1" t="s">
        <v>119</v>
      </c>
      <c r="F36" t="s">
        <v>127</v>
      </c>
      <c r="G36" s="1" t="s">
        <v>134</v>
      </c>
      <c r="H36">
        <v>403</v>
      </c>
      <c r="I36" t="s">
        <v>12</v>
      </c>
      <c r="J36">
        <v>39899.61</v>
      </c>
      <c r="K36">
        <v>41134.299999999996</v>
      </c>
    </row>
    <row r="37" spans="1:11" x14ac:dyDescent="0.3">
      <c r="A37" s="1" t="s">
        <v>80</v>
      </c>
      <c r="B37" s="1" t="s">
        <v>208</v>
      </c>
      <c r="C37" s="1" t="s">
        <v>79</v>
      </c>
      <c r="D37" t="s">
        <v>119</v>
      </c>
      <c r="E37" s="1" t="s">
        <v>119</v>
      </c>
      <c r="F37" t="s">
        <v>127</v>
      </c>
      <c r="G37" s="1" t="s">
        <v>129</v>
      </c>
      <c r="H37">
        <v>409</v>
      </c>
      <c r="I37" t="s">
        <v>58</v>
      </c>
      <c r="J37">
        <v>36282.36</v>
      </c>
      <c r="K37">
        <v>25052.150000000023</v>
      </c>
    </row>
    <row r="38" spans="1:11" x14ac:dyDescent="0.3">
      <c r="A38" s="1" t="s">
        <v>80</v>
      </c>
      <c r="B38" s="1" t="s">
        <v>208</v>
      </c>
      <c r="C38" s="1" t="s">
        <v>79</v>
      </c>
      <c r="D38" t="s">
        <v>119</v>
      </c>
      <c r="E38" s="1" t="s">
        <v>119</v>
      </c>
      <c r="F38" t="s">
        <v>127</v>
      </c>
      <c r="G38" s="1" t="s">
        <v>132</v>
      </c>
      <c r="H38">
        <v>410</v>
      </c>
      <c r="I38" t="s">
        <v>40</v>
      </c>
      <c r="J38">
        <v>23138.739999999998</v>
      </c>
      <c r="K38">
        <v>17504.01999999999</v>
      </c>
    </row>
    <row r="39" spans="1:11" x14ac:dyDescent="0.3">
      <c r="A39" s="1" t="s">
        <v>80</v>
      </c>
      <c r="B39" s="1" t="s">
        <v>208</v>
      </c>
      <c r="C39" s="1" t="s">
        <v>79</v>
      </c>
      <c r="D39" t="s">
        <v>119</v>
      </c>
      <c r="E39" s="1" t="s">
        <v>119</v>
      </c>
      <c r="F39" t="s">
        <v>126</v>
      </c>
      <c r="G39" s="1" t="s">
        <v>130</v>
      </c>
      <c r="H39">
        <v>101</v>
      </c>
      <c r="I39" t="s">
        <v>10</v>
      </c>
      <c r="J39">
        <v>127888.13999999998</v>
      </c>
      <c r="K39">
        <v>120471.05000000025</v>
      </c>
    </row>
    <row r="40" spans="1:11" x14ac:dyDescent="0.3">
      <c r="A40" s="1" t="s">
        <v>80</v>
      </c>
      <c r="B40" s="1" t="s">
        <v>208</v>
      </c>
      <c r="C40" s="1" t="s">
        <v>79</v>
      </c>
      <c r="D40" t="s">
        <v>119</v>
      </c>
      <c r="E40" s="1" t="s">
        <v>119</v>
      </c>
      <c r="F40" t="s">
        <v>126</v>
      </c>
      <c r="G40" s="1" t="s">
        <v>130</v>
      </c>
      <c r="H40">
        <v>150</v>
      </c>
      <c r="I40" t="s">
        <v>3</v>
      </c>
      <c r="J40">
        <v>106746.95999999999</v>
      </c>
      <c r="K40">
        <v>102430.84000000024</v>
      </c>
    </row>
    <row r="41" spans="1:11" x14ac:dyDescent="0.3">
      <c r="A41" s="1" t="s">
        <v>80</v>
      </c>
      <c r="B41" s="1" t="s">
        <v>208</v>
      </c>
      <c r="C41" s="1" t="s">
        <v>79</v>
      </c>
      <c r="D41" t="s">
        <v>119</v>
      </c>
      <c r="E41" s="1" t="s">
        <v>119</v>
      </c>
      <c r="F41" t="s">
        <v>126</v>
      </c>
      <c r="G41" s="1" t="s">
        <v>134</v>
      </c>
      <c r="H41">
        <v>170</v>
      </c>
      <c r="I41" t="s">
        <v>56</v>
      </c>
      <c r="J41">
        <v>51010.04</v>
      </c>
      <c r="K41">
        <v>48775.349999999991</v>
      </c>
    </row>
    <row r="42" spans="1:11" x14ac:dyDescent="0.3">
      <c r="A42" s="1" t="s">
        <v>80</v>
      </c>
      <c r="B42" s="1" t="s">
        <v>208</v>
      </c>
      <c r="C42" s="1" t="s">
        <v>79</v>
      </c>
      <c r="D42" t="s">
        <v>119</v>
      </c>
      <c r="E42" s="1" t="s">
        <v>119</v>
      </c>
      <c r="F42" t="s">
        <v>126</v>
      </c>
      <c r="G42" s="1" t="s">
        <v>129</v>
      </c>
      <c r="H42">
        <v>131</v>
      </c>
      <c r="I42" t="s">
        <v>67</v>
      </c>
      <c r="J42">
        <v>27333.749999999996</v>
      </c>
      <c r="K42">
        <v>24658.309999999998</v>
      </c>
    </row>
    <row r="43" spans="1:11" x14ac:dyDescent="0.3">
      <c r="A43" s="1" t="s">
        <v>80</v>
      </c>
      <c r="B43" s="1" t="s">
        <v>208</v>
      </c>
      <c r="C43" s="1" t="s">
        <v>79</v>
      </c>
      <c r="D43" t="s">
        <v>119</v>
      </c>
      <c r="E43" s="1" t="s">
        <v>119</v>
      </c>
      <c r="F43" t="s">
        <v>126</v>
      </c>
      <c r="G43" s="1" t="s">
        <v>132</v>
      </c>
      <c r="H43">
        <v>151</v>
      </c>
      <c r="I43" t="s">
        <v>20</v>
      </c>
      <c r="J43">
        <v>27576.320000000003</v>
      </c>
      <c r="K43">
        <v>30556.169999999987</v>
      </c>
    </row>
    <row r="44" spans="1:11" x14ac:dyDescent="0.3">
      <c r="A44" s="1" t="s">
        <v>80</v>
      </c>
      <c r="B44" s="1" t="s">
        <v>208</v>
      </c>
      <c r="C44" s="1" t="s">
        <v>92</v>
      </c>
      <c r="D44" t="s">
        <v>121</v>
      </c>
      <c r="E44" s="1" t="s">
        <v>121</v>
      </c>
      <c r="F44" t="s">
        <v>127</v>
      </c>
      <c r="G44" s="1" t="s">
        <v>136</v>
      </c>
      <c r="H44">
        <v>418</v>
      </c>
      <c r="I44" t="s">
        <v>44</v>
      </c>
      <c r="J44">
        <v>0</v>
      </c>
      <c r="K44">
        <v>0</v>
      </c>
    </row>
    <row r="45" spans="1:11" x14ac:dyDescent="0.3">
      <c r="A45" s="1" t="s">
        <v>80</v>
      </c>
      <c r="B45" s="1" t="s">
        <v>208</v>
      </c>
      <c r="C45" s="1" t="s">
        <v>92</v>
      </c>
      <c r="D45" t="s">
        <v>119</v>
      </c>
      <c r="E45" s="1" t="s">
        <v>122</v>
      </c>
      <c r="F45" t="s">
        <v>124</v>
      </c>
      <c r="G45" s="1" t="s">
        <v>136</v>
      </c>
      <c r="H45">
        <v>307</v>
      </c>
      <c r="I45" t="s">
        <v>19</v>
      </c>
      <c r="J45">
        <v>56226.840000000011</v>
      </c>
      <c r="K45">
        <v>56839.659999999974</v>
      </c>
    </row>
    <row r="46" spans="1:11" x14ac:dyDescent="0.3">
      <c r="A46" s="1" t="s">
        <v>80</v>
      </c>
      <c r="B46" s="1" t="s">
        <v>208</v>
      </c>
      <c r="C46" s="1" t="s">
        <v>92</v>
      </c>
      <c r="D46" t="s">
        <v>119</v>
      </c>
      <c r="E46" s="1" t="s">
        <v>122</v>
      </c>
      <c r="F46" t="s">
        <v>127</v>
      </c>
      <c r="G46" s="1" t="s">
        <v>136</v>
      </c>
      <c r="H46">
        <v>411</v>
      </c>
      <c r="I46" t="s">
        <v>43</v>
      </c>
      <c r="J46">
        <v>73729.840000000011</v>
      </c>
      <c r="K46">
        <v>59564.509999999966</v>
      </c>
    </row>
    <row r="47" spans="1:11" x14ac:dyDescent="0.3">
      <c r="A47" s="1" t="s">
        <v>80</v>
      </c>
      <c r="B47" s="1" t="s">
        <v>208</v>
      </c>
      <c r="C47" s="1" t="s">
        <v>92</v>
      </c>
      <c r="D47" t="s">
        <v>119</v>
      </c>
      <c r="E47" s="1" t="s">
        <v>120</v>
      </c>
      <c r="F47" t="s">
        <v>125</v>
      </c>
      <c r="G47" s="1" t="s">
        <v>136</v>
      </c>
      <c r="H47">
        <v>213</v>
      </c>
      <c r="I47" t="s">
        <v>49</v>
      </c>
      <c r="J47">
        <v>50578.359999999993</v>
      </c>
      <c r="K47">
        <v>46071.499999999985</v>
      </c>
    </row>
    <row r="48" spans="1:11" x14ac:dyDescent="0.3">
      <c r="A48" s="1" t="s">
        <v>80</v>
      </c>
      <c r="B48" s="1" t="s">
        <v>208</v>
      </c>
      <c r="C48" s="1" t="s">
        <v>92</v>
      </c>
      <c r="D48" t="s">
        <v>119</v>
      </c>
      <c r="E48" s="1" t="s">
        <v>120</v>
      </c>
      <c r="F48" t="s">
        <v>127</v>
      </c>
      <c r="G48" s="1" t="s">
        <v>136</v>
      </c>
      <c r="H48">
        <v>415</v>
      </c>
      <c r="I48" t="s">
        <v>47</v>
      </c>
      <c r="J48">
        <v>43180.6</v>
      </c>
      <c r="K48">
        <v>48646.749999999971</v>
      </c>
    </row>
    <row r="49" spans="1:11" x14ac:dyDescent="0.3">
      <c r="A49" s="1" t="s">
        <v>80</v>
      </c>
      <c r="B49" s="1" t="s">
        <v>208</v>
      </c>
      <c r="C49" s="1" t="s">
        <v>92</v>
      </c>
      <c r="D49" t="s">
        <v>119</v>
      </c>
      <c r="E49" s="1" t="s">
        <v>119</v>
      </c>
      <c r="F49" t="s">
        <v>124</v>
      </c>
      <c r="G49" s="1" t="s">
        <v>136</v>
      </c>
      <c r="H49">
        <v>306</v>
      </c>
      <c r="I49" t="s">
        <v>51</v>
      </c>
      <c r="J49">
        <v>55391.23000000001</v>
      </c>
      <c r="K49">
        <v>60167.089999999982</v>
      </c>
    </row>
    <row r="50" spans="1:11" x14ac:dyDescent="0.3">
      <c r="A50" s="1" t="s">
        <v>80</v>
      </c>
      <c r="B50" s="1" t="s">
        <v>208</v>
      </c>
      <c r="C50" s="1" t="s">
        <v>92</v>
      </c>
      <c r="D50" t="s">
        <v>119</v>
      </c>
      <c r="E50" s="1" t="s">
        <v>119</v>
      </c>
      <c r="F50" t="s">
        <v>125</v>
      </c>
      <c r="G50" s="1" t="s">
        <v>136</v>
      </c>
      <c r="H50">
        <v>201</v>
      </c>
      <c r="I50" t="s">
        <v>45</v>
      </c>
      <c r="J50">
        <v>43773.03</v>
      </c>
      <c r="K50">
        <v>42478.80999999999</v>
      </c>
    </row>
    <row r="51" spans="1:11" x14ac:dyDescent="0.3">
      <c r="A51" s="1" t="s">
        <v>80</v>
      </c>
      <c r="B51" s="1" t="s">
        <v>208</v>
      </c>
      <c r="C51" s="1" t="s">
        <v>92</v>
      </c>
      <c r="D51" t="s">
        <v>119</v>
      </c>
      <c r="E51" s="1" t="s">
        <v>119</v>
      </c>
      <c r="F51" t="s">
        <v>125</v>
      </c>
      <c r="G51" s="1" t="s">
        <v>136</v>
      </c>
      <c r="H51">
        <v>204</v>
      </c>
      <c r="I51" t="s">
        <v>46</v>
      </c>
      <c r="J51">
        <v>34978.300000000003</v>
      </c>
      <c r="K51">
        <v>42241.099999999933</v>
      </c>
    </row>
    <row r="52" spans="1:11" x14ac:dyDescent="0.3">
      <c r="A52" s="1" t="s">
        <v>80</v>
      </c>
      <c r="B52" s="1" t="s">
        <v>208</v>
      </c>
      <c r="C52" s="1" t="s">
        <v>92</v>
      </c>
      <c r="D52" t="s">
        <v>119</v>
      </c>
      <c r="E52" s="1" t="s">
        <v>119</v>
      </c>
      <c r="F52" t="s">
        <v>126</v>
      </c>
      <c r="G52" s="1" t="s">
        <v>136</v>
      </c>
      <c r="H52">
        <v>102</v>
      </c>
      <c r="I52" t="s">
        <v>50</v>
      </c>
      <c r="J52">
        <v>73091.400000000023</v>
      </c>
      <c r="K52">
        <v>71059.879999999961</v>
      </c>
    </row>
    <row r="53" spans="1:11" x14ac:dyDescent="0.3">
      <c r="A53" s="1" t="s">
        <v>80</v>
      </c>
      <c r="B53" s="1" t="s">
        <v>208</v>
      </c>
      <c r="C53" s="1" t="s">
        <v>93</v>
      </c>
      <c r="D53" t="s">
        <v>122</v>
      </c>
      <c r="E53" s="1" t="s">
        <v>122</v>
      </c>
      <c r="F53" t="s">
        <v>93</v>
      </c>
      <c r="G53" s="1" t="s">
        <v>93</v>
      </c>
      <c r="H53" t="s">
        <v>196</v>
      </c>
      <c r="I53" s="33" t="s">
        <v>38</v>
      </c>
      <c r="J53" s="33">
        <v>0</v>
      </c>
      <c r="K53" s="33">
        <v>0</v>
      </c>
    </row>
    <row r="54" spans="1:11" x14ac:dyDescent="0.3">
      <c r="A54" s="1" t="s">
        <v>80</v>
      </c>
      <c r="B54" s="1" t="s">
        <v>208</v>
      </c>
      <c r="C54" s="1" t="s">
        <v>93</v>
      </c>
      <c r="D54" t="s">
        <v>122</v>
      </c>
      <c r="E54" s="1" t="s">
        <v>122</v>
      </c>
      <c r="F54" t="s">
        <v>93</v>
      </c>
      <c r="G54" s="1" t="s">
        <v>93</v>
      </c>
      <c r="H54" t="s">
        <v>196</v>
      </c>
      <c r="I54" s="33" t="s">
        <v>39</v>
      </c>
      <c r="J54" s="33">
        <v>0</v>
      </c>
      <c r="K54" s="33">
        <v>0</v>
      </c>
    </row>
    <row r="55" spans="1:11" x14ac:dyDescent="0.3">
      <c r="A55" s="1" t="s">
        <v>80</v>
      </c>
      <c r="B55" s="1" t="s">
        <v>208</v>
      </c>
      <c r="C55" s="1" t="s">
        <v>93</v>
      </c>
      <c r="D55" t="s">
        <v>119</v>
      </c>
      <c r="E55" s="1" t="s">
        <v>119</v>
      </c>
      <c r="F55" t="s">
        <v>93</v>
      </c>
      <c r="G55" s="1" t="s">
        <v>93</v>
      </c>
      <c r="H55">
        <v>903</v>
      </c>
      <c r="I55" t="s">
        <v>37</v>
      </c>
      <c r="J55">
        <v>6405.2300000000005</v>
      </c>
      <c r="K55">
        <v>35255.659999999989</v>
      </c>
    </row>
    <row r="56" spans="1:11" x14ac:dyDescent="0.3">
      <c r="A56" s="1" t="s">
        <v>80</v>
      </c>
      <c r="B56" s="1" t="s">
        <v>208</v>
      </c>
      <c r="C56" s="1" t="s">
        <v>94</v>
      </c>
      <c r="D56" t="s">
        <v>121</v>
      </c>
      <c r="E56" s="1" t="s">
        <v>121</v>
      </c>
      <c r="F56" t="s">
        <v>124</v>
      </c>
      <c r="G56" s="1" t="s">
        <v>137</v>
      </c>
      <c r="H56" t="s">
        <v>112</v>
      </c>
      <c r="I56" t="s">
        <v>21</v>
      </c>
      <c r="J56">
        <v>0</v>
      </c>
      <c r="K56">
        <v>0</v>
      </c>
    </row>
    <row r="57" spans="1:11" x14ac:dyDescent="0.3">
      <c r="A57" s="1" t="s">
        <v>80</v>
      </c>
      <c r="B57" s="1" t="s">
        <v>208</v>
      </c>
      <c r="C57" s="1" t="s">
        <v>94</v>
      </c>
      <c r="D57" t="s">
        <v>121</v>
      </c>
      <c r="E57" s="1" t="s">
        <v>121</v>
      </c>
      <c r="F57" t="s">
        <v>125</v>
      </c>
      <c r="G57" s="1" t="s">
        <v>138</v>
      </c>
      <c r="H57">
        <v>470</v>
      </c>
      <c r="I57" t="s">
        <v>26</v>
      </c>
      <c r="J57">
        <v>0</v>
      </c>
      <c r="K57">
        <v>0</v>
      </c>
    </row>
    <row r="58" spans="1:11" x14ac:dyDescent="0.3">
      <c r="A58" s="1" t="s">
        <v>80</v>
      </c>
      <c r="B58" s="1" t="s">
        <v>208</v>
      </c>
      <c r="C58" s="1" t="s">
        <v>94</v>
      </c>
      <c r="D58" t="s">
        <v>121</v>
      </c>
      <c r="E58" s="1" t="s">
        <v>121</v>
      </c>
      <c r="F58" t="s">
        <v>125</v>
      </c>
      <c r="G58" s="1" t="s">
        <v>137</v>
      </c>
      <c r="H58" t="s">
        <v>114</v>
      </c>
      <c r="I58" t="s">
        <v>23</v>
      </c>
      <c r="J58">
        <v>0</v>
      </c>
      <c r="K58">
        <v>0</v>
      </c>
    </row>
    <row r="59" spans="1:11" x14ac:dyDescent="0.3">
      <c r="A59" s="1" t="s">
        <v>80</v>
      </c>
      <c r="B59" s="1" t="s">
        <v>208</v>
      </c>
      <c r="C59" s="1" t="s">
        <v>94</v>
      </c>
      <c r="D59" t="s">
        <v>121</v>
      </c>
      <c r="E59" s="1" t="s">
        <v>121</v>
      </c>
      <c r="F59" t="s">
        <v>125</v>
      </c>
      <c r="G59" s="1" t="s">
        <v>137</v>
      </c>
      <c r="H59" t="s">
        <v>113</v>
      </c>
      <c r="I59" t="s">
        <v>22</v>
      </c>
      <c r="J59">
        <v>0</v>
      </c>
      <c r="K59">
        <v>0</v>
      </c>
    </row>
    <row r="60" spans="1:11" x14ac:dyDescent="0.3">
      <c r="A60" s="1" t="s">
        <v>80</v>
      </c>
      <c r="B60" s="1" t="s">
        <v>208</v>
      </c>
      <c r="C60" s="1" t="s">
        <v>94</v>
      </c>
      <c r="D60" t="s">
        <v>121</v>
      </c>
      <c r="E60" s="1" t="s">
        <v>121</v>
      </c>
      <c r="F60" t="s">
        <v>127</v>
      </c>
      <c r="G60" s="1" t="s">
        <v>137</v>
      </c>
      <c r="H60">
        <v>494</v>
      </c>
      <c r="I60" t="s">
        <v>25</v>
      </c>
      <c r="J60">
        <v>0</v>
      </c>
      <c r="K60">
        <v>0</v>
      </c>
    </row>
    <row r="61" spans="1:11" x14ac:dyDescent="0.3">
      <c r="A61" s="1" t="s">
        <v>80</v>
      </c>
      <c r="B61" s="1" t="s">
        <v>208</v>
      </c>
      <c r="C61" s="1" t="s">
        <v>94</v>
      </c>
      <c r="D61" t="s">
        <v>121</v>
      </c>
      <c r="E61" s="1" t="s">
        <v>121</v>
      </c>
      <c r="F61" t="s">
        <v>126</v>
      </c>
      <c r="G61" s="1" t="s">
        <v>137</v>
      </c>
      <c r="H61">
        <v>460</v>
      </c>
      <c r="I61" t="s">
        <v>30</v>
      </c>
      <c r="J61">
        <v>0</v>
      </c>
      <c r="K61">
        <v>0</v>
      </c>
    </row>
    <row r="62" spans="1:11" x14ac:dyDescent="0.3">
      <c r="A62" s="1" t="s">
        <v>80</v>
      </c>
      <c r="B62" s="1" t="s">
        <v>208</v>
      </c>
      <c r="C62" s="1" t="s">
        <v>94</v>
      </c>
      <c r="D62" t="s">
        <v>121</v>
      </c>
      <c r="E62" s="1" t="s">
        <v>121</v>
      </c>
      <c r="F62" t="s">
        <v>126</v>
      </c>
      <c r="G62" s="1" t="s">
        <v>137</v>
      </c>
      <c r="H62">
        <v>461</v>
      </c>
      <c r="I62" t="s">
        <v>29</v>
      </c>
      <c r="J62">
        <v>0</v>
      </c>
      <c r="K62">
        <v>0</v>
      </c>
    </row>
    <row r="63" spans="1:11" x14ac:dyDescent="0.3">
      <c r="A63" s="1" t="s">
        <v>80</v>
      </c>
      <c r="B63" s="1" t="s">
        <v>208</v>
      </c>
      <c r="C63" s="1" t="s">
        <v>94</v>
      </c>
      <c r="D63" t="s">
        <v>121</v>
      </c>
      <c r="E63" s="1" t="s">
        <v>119</v>
      </c>
      <c r="F63" t="s">
        <v>124</v>
      </c>
      <c r="G63" s="1" t="s">
        <v>138</v>
      </c>
      <c r="H63">
        <v>480</v>
      </c>
      <c r="I63" t="s">
        <v>28</v>
      </c>
      <c r="J63">
        <v>0</v>
      </c>
      <c r="K63">
        <v>25308.86</v>
      </c>
    </row>
    <row r="64" spans="1:11" x14ac:dyDescent="0.3">
      <c r="A64" s="1" t="s">
        <v>80</v>
      </c>
      <c r="B64" s="1" t="s">
        <v>208</v>
      </c>
      <c r="C64" s="1" t="s">
        <v>94</v>
      </c>
      <c r="D64" t="s">
        <v>121</v>
      </c>
      <c r="E64" s="1" t="s">
        <v>119</v>
      </c>
      <c r="F64" t="s">
        <v>127</v>
      </c>
      <c r="G64" s="1" t="s">
        <v>138</v>
      </c>
      <c r="H64">
        <v>491</v>
      </c>
      <c r="I64" t="s">
        <v>31</v>
      </c>
      <c r="J64">
        <v>0</v>
      </c>
      <c r="K64">
        <v>56474.590000000069</v>
      </c>
    </row>
    <row r="65" spans="1:11" x14ac:dyDescent="0.3">
      <c r="A65" s="1" t="s">
        <v>80</v>
      </c>
      <c r="B65" s="1" t="s">
        <v>208</v>
      </c>
      <c r="C65" s="1" t="s">
        <v>94</v>
      </c>
      <c r="D65" t="s">
        <v>121</v>
      </c>
      <c r="E65" s="1" t="s">
        <v>119</v>
      </c>
      <c r="F65" t="s">
        <v>127</v>
      </c>
      <c r="G65" s="1" t="s">
        <v>138</v>
      </c>
      <c r="H65">
        <v>492</v>
      </c>
      <c r="I65" t="s">
        <v>27</v>
      </c>
      <c r="J65">
        <v>0</v>
      </c>
      <c r="K65">
        <v>26373.189999999995</v>
      </c>
    </row>
    <row r="66" spans="1:11" x14ac:dyDescent="0.3">
      <c r="A66" s="1" t="s">
        <v>80</v>
      </c>
      <c r="B66" s="1" t="s">
        <v>208</v>
      </c>
      <c r="C66" s="1" t="s">
        <v>94</v>
      </c>
      <c r="D66" t="s">
        <v>121</v>
      </c>
      <c r="E66" s="1" t="s">
        <v>119</v>
      </c>
      <c r="F66" t="s">
        <v>127</v>
      </c>
      <c r="G66" s="1" t="s">
        <v>138</v>
      </c>
      <c r="H66">
        <v>493</v>
      </c>
      <c r="I66" t="s">
        <v>24</v>
      </c>
      <c r="J66">
        <v>0</v>
      </c>
      <c r="K66">
        <v>22034.300000000003</v>
      </c>
    </row>
    <row r="67" spans="1:11" x14ac:dyDescent="0.3">
      <c r="A67" s="1" t="s">
        <v>80</v>
      </c>
      <c r="B67" s="1" t="s">
        <v>208</v>
      </c>
      <c r="C67" s="1" t="s">
        <v>95</v>
      </c>
      <c r="D67" t="s">
        <v>121</v>
      </c>
      <c r="E67" s="1" t="s">
        <v>121</v>
      </c>
      <c r="F67" t="s">
        <v>126</v>
      </c>
      <c r="G67" s="1" t="s">
        <v>139</v>
      </c>
      <c r="H67">
        <v>510</v>
      </c>
      <c r="I67" t="s">
        <v>76</v>
      </c>
      <c r="J67">
        <v>0</v>
      </c>
      <c r="K67">
        <v>0</v>
      </c>
    </row>
    <row r="68" spans="1:11" x14ac:dyDescent="0.3">
      <c r="A68" s="1" t="s">
        <v>80</v>
      </c>
      <c r="B68" s="1" t="s">
        <v>208</v>
      </c>
      <c r="C68" s="1" t="s">
        <v>95</v>
      </c>
      <c r="D68" t="s">
        <v>121</v>
      </c>
      <c r="E68" s="1" t="s">
        <v>119</v>
      </c>
      <c r="F68" t="s">
        <v>127</v>
      </c>
      <c r="G68" s="1" t="s">
        <v>140</v>
      </c>
      <c r="H68">
        <v>541</v>
      </c>
      <c r="I68" t="s">
        <v>74</v>
      </c>
      <c r="J68">
        <v>0</v>
      </c>
      <c r="K68">
        <v>28483.64</v>
      </c>
    </row>
    <row r="69" spans="1:11" x14ac:dyDescent="0.3">
      <c r="A69" s="1" t="s">
        <v>80</v>
      </c>
      <c r="B69" s="1" t="s">
        <v>208</v>
      </c>
      <c r="C69" s="1" t="s">
        <v>95</v>
      </c>
      <c r="D69" t="s">
        <v>121</v>
      </c>
      <c r="E69" s="1" t="s">
        <v>119</v>
      </c>
      <c r="F69" t="s">
        <v>127</v>
      </c>
      <c r="G69" s="1" t="s">
        <v>140</v>
      </c>
      <c r="H69">
        <v>543</v>
      </c>
      <c r="I69" t="s">
        <v>72</v>
      </c>
      <c r="J69">
        <v>0</v>
      </c>
      <c r="K69">
        <v>27429.920000000013</v>
      </c>
    </row>
    <row r="70" spans="1:11" x14ac:dyDescent="0.3">
      <c r="A70" s="1" t="s">
        <v>80</v>
      </c>
      <c r="B70" s="1" t="s">
        <v>208</v>
      </c>
      <c r="C70" s="1" t="s">
        <v>95</v>
      </c>
      <c r="D70" t="s">
        <v>120</v>
      </c>
      <c r="E70" s="1" t="s">
        <v>119</v>
      </c>
      <c r="F70" t="s">
        <v>127</v>
      </c>
      <c r="G70" s="1" t="s">
        <v>140</v>
      </c>
      <c r="H70">
        <v>540</v>
      </c>
      <c r="I70" t="s">
        <v>73</v>
      </c>
      <c r="J70">
        <v>43624.67</v>
      </c>
      <c r="K70">
        <v>77190.38</v>
      </c>
    </row>
    <row r="71" spans="1:11" x14ac:dyDescent="0.3">
      <c r="A71" s="1" t="s">
        <v>80</v>
      </c>
      <c r="B71" s="1" t="s">
        <v>208</v>
      </c>
      <c r="C71" s="1" t="s">
        <v>95</v>
      </c>
      <c r="D71" t="s">
        <v>119</v>
      </c>
      <c r="E71" s="1" t="s">
        <v>120</v>
      </c>
      <c r="F71" t="s">
        <v>124</v>
      </c>
      <c r="G71" s="1" t="s">
        <v>139</v>
      </c>
      <c r="H71">
        <v>530</v>
      </c>
      <c r="I71" t="s">
        <v>68</v>
      </c>
      <c r="J71">
        <v>27241.829999999998</v>
      </c>
      <c r="K71">
        <v>28258.190000000002</v>
      </c>
    </row>
    <row r="72" spans="1:11" x14ac:dyDescent="0.3">
      <c r="A72" s="1" t="s">
        <v>80</v>
      </c>
      <c r="B72" s="1" t="s">
        <v>208</v>
      </c>
      <c r="C72" s="1" t="s">
        <v>95</v>
      </c>
      <c r="D72" t="s">
        <v>119</v>
      </c>
      <c r="E72" s="1" t="s">
        <v>119</v>
      </c>
      <c r="F72" t="s">
        <v>125</v>
      </c>
      <c r="G72" s="1" t="s">
        <v>140</v>
      </c>
      <c r="H72">
        <v>520</v>
      </c>
      <c r="I72" t="s">
        <v>70</v>
      </c>
      <c r="J72">
        <v>46382.06</v>
      </c>
      <c r="K72">
        <v>43179.810000000005</v>
      </c>
    </row>
    <row r="73" spans="1:11" x14ac:dyDescent="0.3">
      <c r="A73" s="2" t="s">
        <v>80</v>
      </c>
      <c r="B73" s="1" t="s">
        <v>208</v>
      </c>
      <c r="C73" s="1" t="s">
        <v>95</v>
      </c>
      <c r="D73" t="s">
        <v>119</v>
      </c>
      <c r="E73" s="1" t="s">
        <v>119</v>
      </c>
      <c r="F73" t="s">
        <v>127</v>
      </c>
      <c r="G73" s="1" t="s">
        <v>139</v>
      </c>
      <c r="H73">
        <v>542</v>
      </c>
      <c r="I73" t="s">
        <v>69</v>
      </c>
      <c r="J73">
        <v>25452.61</v>
      </c>
      <c r="K73">
        <v>17664.59</v>
      </c>
    </row>
    <row r="74" spans="1:11" x14ac:dyDescent="0.3">
      <c r="A74" s="1" t="s">
        <v>81</v>
      </c>
      <c r="B74" s="1" t="s">
        <v>208</v>
      </c>
      <c r="C74" s="1" t="s">
        <v>79</v>
      </c>
      <c r="D74" t="s">
        <v>122</v>
      </c>
      <c r="E74" s="1" t="s">
        <v>122</v>
      </c>
      <c r="F74" t="s">
        <v>124</v>
      </c>
      <c r="G74" s="1" t="s">
        <v>129</v>
      </c>
      <c r="H74" t="s">
        <v>196</v>
      </c>
      <c r="I74" t="s">
        <v>1</v>
      </c>
      <c r="J74">
        <v>0</v>
      </c>
      <c r="K74">
        <v>0</v>
      </c>
    </row>
    <row r="75" spans="1:11" x14ac:dyDescent="0.3">
      <c r="A75" s="1" t="s">
        <v>81</v>
      </c>
      <c r="B75" s="1" t="s">
        <v>208</v>
      </c>
      <c r="C75" s="1" t="s">
        <v>79</v>
      </c>
      <c r="D75" t="s">
        <v>122</v>
      </c>
      <c r="E75" s="1" t="s">
        <v>122</v>
      </c>
      <c r="F75" t="s">
        <v>125</v>
      </c>
      <c r="G75" s="1" t="s">
        <v>129</v>
      </c>
      <c r="H75" t="s">
        <v>196</v>
      </c>
      <c r="I75" t="s">
        <v>7</v>
      </c>
      <c r="J75">
        <v>0</v>
      </c>
      <c r="K75">
        <v>0</v>
      </c>
    </row>
    <row r="76" spans="1:11" x14ac:dyDescent="0.3">
      <c r="A76" s="1" t="s">
        <v>81</v>
      </c>
      <c r="B76" s="1" t="s">
        <v>208</v>
      </c>
      <c r="C76" s="1" t="s">
        <v>79</v>
      </c>
      <c r="D76" t="s">
        <v>122</v>
      </c>
      <c r="E76" s="1" t="s">
        <v>122</v>
      </c>
      <c r="F76" t="s">
        <v>127</v>
      </c>
      <c r="G76" s="1" t="s">
        <v>129</v>
      </c>
      <c r="H76" t="s">
        <v>196</v>
      </c>
      <c r="I76" t="s">
        <v>5</v>
      </c>
      <c r="J76">
        <v>0</v>
      </c>
      <c r="K76">
        <v>0</v>
      </c>
    </row>
    <row r="77" spans="1:11" x14ac:dyDescent="0.3">
      <c r="A77" s="1" t="s">
        <v>81</v>
      </c>
      <c r="B77" s="1" t="s">
        <v>208</v>
      </c>
      <c r="C77" s="1" t="s">
        <v>79</v>
      </c>
      <c r="D77" t="s">
        <v>122</v>
      </c>
      <c r="E77" s="1" t="s">
        <v>122</v>
      </c>
      <c r="F77" t="s">
        <v>127</v>
      </c>
      <c r="G77" s="1" t="s">
        <v>122</v>
      </c>
      <c r="H77" t="s">
        <v>196</v>
      </c>
      <c r="I77" t="s">
        <v>33</v>
      </c>
      <c r="J77">
        <v>14951.560000000001</v>
      </c>
      <c r="K77">
        <v>0</v>
      </c>
    </row>
    <row r="78" spans="1:11" x14ac:dyDescent="0.3">
      <c r="A78" s="1" t="s">
        <v>81</v>
      </c>
      <c r="B78" s="1" t="s">
        <v>208</v>
      </c>
      <c r="C78" s="1" t="s">
        <v>79</v>
      </c>
      <c r="D78" t="s">
        <v>122</v>
      </c>
      <c r="E78" s="1" t="s">
        <v>122</v>
      </c>
      <c r="F78" t="s">
        <v>126</v>
      </c>
      <c r="G78" s="1" t="s">
        <v>122</v>
      </c>
      <c r="H78" t="s">
        <v>196</v>
      </c>
      <c r="I78" s="33" t="s">
        <v>55</v>
      </c>
      <c r="J78" s="33">
        <v>0</v>
      </c>
      <c r="K78" s="33">
        <v>0</v>
      </c>
    </row>
    <row r="79" spans="1:11" x14ac:dyDescent="0.3">
      <c r="A79" s="1" t="s">
        <v>81</v>
      </c>
      <c r="B79" s="1" t="s">
        <v>208</v>
      </c>
      <c r="C79" s="1" t="s">
        <v>79</v>
      </c>
      <c r="D79" t="s">
        <v>121</v>
      </c>
      <c r="E79" s="1" t="s">
        <v>121</v>
      </c>
      <c r="F79" t="s">
        <v>125</v>
      </c>
      <c r="G79" s="1" t="s">
        <v>129</v>
      </c>
      <c r="H79" t="s">
        <v>110</v>
      </c>
      <c r="I79" t="s">
        <v>64</v>
      </c>
      <c r="J79">
        <v>0</v>
      </c>
      <c r="K79">
        <v>0</v>
      </c>
    </row>
    <row r="80" spans="1:11" x14ac:dyDescent="0.3">
      <c r="A80" s="1" t="s">
        <v>81</v>
      </c>
      <c r="B80" s="1" t="s">
        <v>208</v>
      </c>
      <c r="C80" s="1" t="s">
        <v>79</v>
      </c>
      <c r="D80" t="s">
        <v>120</v>
      </c>
      <c r="E80" s="1" t="s">
        <v>120</v>
      </c>
      <c r="F80" t="s">
        <v>124</v>
      </c>
      <c r="G80" s="1" t="s">
        <v>129</v>
      </c>
      <c r="H80">
        <v>304</v>
      </c>
      <c r="I80" t="s">
        <v>61</v>
      </c>
      <c r="J80">
        <v>44977.429999999993</v>
      </c>
      <c r="K80">
        <v>44540.81</v>
      </c>
    </row>
    <row r="81" spans="1:11" x14ac:dyDescent="0.3">
      <c r="A81" s="1" t="s">
        <v>81</v>
      </c>
      <c r="B81" s="1" t="s">
        <v>208</v>
      </c>
      <c r="C81" s="1" t="s">
        <v>79</v>
      </c>
      <c r="D81" t="s">
        <v>120</v>
      </c>
      <c r="E81" s="1" t="s">
        <v>120</v>
      </c>
      <c r="F81" t="s">
        <v>125</v>
      </c>
      <c r="G81" s="1" t="s">
        <v>133</v>
      </c>
      <c r="H81">
        <v>208</v>
      </c>
      <c r="I81" t="s">
        <v>36</v>
      </c>
      <c r="J81">
        <v>27662.729999999996</v>
      </c>
      <c r="K81">
        <v>46657.879999999983</v>
      </c>
    </row>
    <row r="82" spans="1:11" x14ac:dyDescent="0.3">
      <c r="A82" s="1" t="s">
        <v>81</v>
      </c>
      <c r="B82" s="1" t="s">
        <v>208</v>
      </c>
      <c r="C82" s="1" t="s">
        <v>79</v>
      </c>
      <c r="D82" t="s">
        <v>120</v>
      </c>
      <c r="E82" s="1" t="s">
        <v>120</v>
      </c>
      <c r="F82" t="s">
        <v>125</v>
      </c>
      <c r="G82" s="1" t="s">
        <v>133</v>
      </c>
      <c r="H82">
        <v>209</v>
      </c>
      <c r="I82" t="s">
        <v>35</v>
      </c>
      <c r="J82">
        <v>19742.150000000001</v>
      </c>
      <c r="K82">
        <v>35604.090000000011</v>
      </c>
    </row>
    <row r="83" spans="1:11" x14ac:dyDescent="0.3">
      <c r="A83" s="1" t="s">
        <v>81</v>
      </c>
      <c r="B83" s="1" t="s">
        <v>208</v>
      </c>
      <c r="C83" s="1" t="s">
        <v>79</v>
      </c>
      <c r="D83" t="s">
        <v>120</v>
      </c>
      <c r="E83" s="1" t="s">
        <v>120</v>
      </c>
      <c r="F83" t="s">
        <v>125</v>
      </c>
      <c r="G83" s="1" t="s">
        <v>129</v>
      </c>
      <c r="H83">
        <v>202</v>
      </c>
      <c r="I83" t="s">
        <v>4</v>
      </c>
      <c r="J83">
        <v>49648.430000000008</v>
      </c>
      <c r="K83">
        <v>57001.440000000002</v>
      </c>
    </row>
    <row r="84" spans="1:11" x14ac:dyDescent="0.3">
      <c r="A84" s="1" t="s">
        <v>81</v>
      </c>
      <c r="B84" s="1" t="s">
        <v>208</v>
      </c>
      <c r="C84" s="1" t="s">
        <v>79</v>
      </c>
      <c r="D84" t="s">
        <v>120</v>
      </c>
      <c r="E84" s="1" t="s">
        <v>120</v>
      </c>
      <c r="F84" t="s">
        <v>127</v>
      </c>
      <c r="G84" s="1" t="s">
        <v>133</v>
      </c>
      <c r="H84">
        <v>404</v>
      </c>
      <c r="I84" t="s">
        <v>15</v>
      </c>
      <c r="J84">
        <v>44468.640000000007</v>
      </c>
      <c r="K84">
        <v>39888.809999999969</v>
      </c>
    </row>
    <row r="85" spans="1:11" x14ac:dyDescent="0.3">
      <c r="A85" s="1" t="s">
        <v>81</v>
      </c>
      <c r="B85" s="1" t="s">
        <v>208</v>
      </c>
      <c r="C85" s="1" t="s">
        <v>79</v>
      </c>
      <c r="D85" t="s">
        <v>120</v>
      </c>
      <c r="E85" s="1" t="s">
        <v>119</v>
      </c>
      <c r="F85" t="s">
        <v>124</v>
      </c>
      <c r="G85" s="1" t="s">
        <v>129</v>
      </c>
      <c r="H85">
        <v>310</v>
      </c>
      <c r="I85" t="s">
        <v>63</v>
      </c>
      <c r="J85">
        <v>16841.73</v>
      </c>
      <c r="K85">
        <v>36459.649999999994</v>
      </c>
    </row>
    <row r="86" spans="1:11" x14ac:dyDescent="0.3">
      <c r="A86" s="1" t="s">
        <v>81</v>
      </c>
      <c r="B86" s="1" t="s">
        <v>208</v>
      </c>
      <c r="C86" s="1" t="s">
        <v>79</v>
      </c>
      <c r="D86" t="s">
        <v>120</v>
      </c>
      <c r="E86" s="1" t="s">
        <v>119</v>
      </c>
      <c r="F86" t="s">
        <v>125</v>
      </c>
      <c r="G86" s="1" t="s">
        <v>134</v>
      </c>
      <c r="H86">
        <v>206</v>
      </c>
      <c r="I86" t="s">
        <v>18</v>
      </c>
      <c r="J86">
        <v>51117.580000000009</v>
      </c>
      <c r="K86">
        <v>86032.409999999945</v>
      </c>
    </row>
    <row r="87" spans="1:11" x14ac:dyDescent="0.3">
      <c r="A87" s="1" t="s">
        <v>81</v>
      </c>
      <c r="B87" s="1" t="s">
        <v>208</v>
      </c>
      <c r="C87" s="1" t="s">
        <v>79</v>
      </c>
      <c r="D87" t="s">
        <v>120</v>
      </c>
      <c r="E87" s="1" t="s">
        <v>119</v>
      </c>
      <c r="F87" t="s">
        <v>125</v>
      </c>
      <c r="G87" s="1" t="s">
        <v>129</v>
      </c>
      <c r="H87">
        <v>210</v>
      </c>
      <c r="I87" t="s">
        <v>2</v>
      </c>
      <c r="J87">
        <v>33022.92</v>
      </c>
      <c r="K87">
        <v>47907.94</v>
      </c>
    </row>
    <row r="88" spans="1:11" x14ac:dyDescent="0.3">
      <c r="A88" s="1" t="s">
        <v>81</v>
      </c>
      <c r="B88" s="1" t="s">
        <v>208</v>
      </c>
      <c r="C88" s="1" t="s">
        <v>79</v>
      </c>
      <c r="D88" t="s">
        <v>120</v>
      </c>
      <c r="E88" s="1" t="s">
        <v>119</v>
      </c>
      <c r="F88" t="s">
        <v>127</v>
      </c>
      <c r="G88" s="1" t="s">
        <v>131</v>
      </c>
      <c r="H88">
        <v>417</v>
      </c>
      <c r="I88" t="s">
        <v>54</v>
      </c>
      <c r="J88">
        <v>101352.61999999998</v>
      </c>
      <c r="K88">
        <v>102464.70000000001</v>
      </c>
    </row>
    <row r="89" spans="1:11" x14ac:dyDescent="0.3">
      <c r="A89" s="1" t="s">
        <v>81</v>
      </c>
      <c r="B89" s="1" t="s">
        <v>208</v>
      </c>
      <c r="C89" s="1" t="s">
        <v>79</v>
      </c>
      <c r="D89" t="s">
        <v>119</v>
      </c>
      <c r="E89" s="1" t="s">
        <v>120</v>
      </c>
      <c r="F89" t="s">
        <v>124</v>
      </c>
      <c r="G89" s="1" t="s">
        <v>129</v>
      </c>
      <c r="H89">
        <v>308</v>
      </c>
      <c r="I89" t="s">
        <v>0</v>
      </c>
      <c r="J89">
        <v>39484.17</v>
      </c>
      <c r="K89">
        <v>44781.109999999971</v>
      </c>
    </row>
    <row r="90" spans="1:11" x14ac:dyDescent="0.3">
      <c r="A90" s="1" t="s">
        <v>81</v>
      </c>
      <c r="B90" s="1" t="s">
        <v>208</v>
      </c>
      <c r="C90" s="1" t="s">
        <v>79</v>
      </c>
      <c r="D90" t="s">
        <v>119</v>
      </c>
      <c r="E90" s="1" t="s">
        <v>120</v>
      </c>
      <c r="F90" t="s">
        <v>127</v>
      </c>
      <c r="G90" s="1" t="s">
        <v>132</v>
      </c>
      <c r="H90">
        <v>402</v>
      </c>
      <c r="I90" t="s">
        <v>9</v>
      </c>
      <c r="J90">
        <v>24341.790000000008</v>
      </c>
      <c r="K90">
        <v>34120.409999999996</v>
      </c>
    </row>
    <row r="91" spans="1:11" x14ac:dyDescent="0.3">
      <c r="A91" s="1" t="s">
        <v>81</v>
      </c>
      <c r="B91" s="1" t="s">
        <v>208</v>
      </c>
      <c r="C91" s="1" t="s">
        <v>79</v>
      </c>
      <c r="D91" t="s">
        <v>119</v>
      </c>
      <c r="E91" s="1" t="s">
        <v>120</v>
      </c>
      <c r="F91" t="s">
        <v>127</v>
      </c>
      <c r="G91" s="1" t="s">
        <v>132</v>
      </c>
      <c r="H91">
        <v>406</v>
      </c>
      <c r="I91" t="s">
        <v>57</v>
      </c>
      <c r="J91">
        <v>21274.239999999998</v>
      </c>
      <c r="K91">
        <v>21961.199999999983</v>
      </c>
    </row>
    <row r="92" spans="1:11" x14ac:dyDescent="0.3">
      <c r="A92" s="1" t="s">
        <v>81</v>
      </c>
      <c r="B92" s="1" t="s">
        <v>208</v>
      </c>
      <c r="C92" s="1" t="s">
        <v>79</v>
      </c>
      <c r="D92" t="s">
        <v>119</v>
      </c>
      <c r="E92" s="1" t="s">
        <v>120</v>
      </c>
      <c r="F92" t="s">
        <v>127</v>
      </c>
      <c r="G92" s="1" t="s">
        <v>132</v>
      </c>
      <c r="H92">
        <v>416</v>
      </c>
      <c r="I92" t="s">
        <v>66</v>
      </c>
      <c r="J92">
        <v>16728.46</v>
      </c>
      <c r="K92">
        <v>22580.330000000009</v>
      </c>
    </row>
    <row r="93" spans="1:11" x14ac:dyDescent="0.3">
      <c r="A93" s="1" t="s">
        <v>81</v>
      </c>
      <c r="B93" s="1" t="s">
        <v>208</v>
      </c>
      <c r="C93" s="1" t="s">
        <v>79</v>
      </c>
      <c r="D93" t="s">
        <v>119</v>
      </c>
      <c r="E93" s="1" t="s">
        <v>120</v>
      </c>
      <c r="F93" t="s">
        <v>127</v>
      </c>
      <c r="G93" s="1" t="s">
        <v>135</v>
      </c>
      <c r="H93">
        <v>414</v>
      </c>
      <c r="I93" t="s">
        <v>65</v>
      </c>
      <c r="J93">
        <v>297764.65999999992</v>
      </c>
      <c r="K93">
        <v>361222.84</v>
      </c>
    </row>
    <row r="94" spans="1:11" x14ac:dyDescent="0.3">
      <c r="A94" s="1" t="s">
        <v>81</v>
      </c>
      <c r="B94" s="1" t="s">
        <v>208</v>
      </c>
      <c r="C94" s="1" t="s">
        <v>79</v>
      </c>
      <c r="D94" t="s">
        <v>119</v>
      </c>
      <c r="E94" s="1" t="s">
        <v>119</v>
      </c>
      <c r="F94" t="s">
        <v>124</v>
      </c>
      <c r="G94" s="1" t="s">
        <v>131</v>
      </c>
      <c r="H94">
        <v>309</v>
      </c>
      <c r="I94" t="s">
        <v>52</v>
      </c>
      <c r="J94">
        <v>188631.09</v>
      </c>
      <c r="K94">
        <v>208087.66000000029</v>
      </c>
    </row>
    <row r="95" spans="1:11" x14ac:dyDescent="0.3">
      <c r="A95" s="1" t="s">
        <v>81</v>
      </c>
      <c r="B95" s="1" t="s">
        <v>208</v>
      </c>
      <c r="C95" s="1" t="s">
        <v>79</v>
      </c>
      <c r="D95" t="s">
        <v>119</v>
      </c>
      <c r="E95" s="1" t="s">
        <v>119</v>
      </c>
      <c r="F95" t="s">
        <v>124</v>
      </c>
      <c r="G95" s="1" t="s">
        <v>130</v>
      </c>
      <c r="H95">
        <v>305</v>
      </c>
      <c r="I95" t="s">
        <v>6</v>
      </c>
      <c r="J95">
        <v>121764.35999999999</v>
      </c>
      <c r="K95">
        <v>148645.06000000014</v>
      </c>
    </row>
    <row r="96" spans="1:11" x14ac:dyDescent="0.3">
      <c r="A96" s="1" t="s">
        <v>81</v>
      </c>
      <c r="B96" s="1" t="s">
        <v>208</v>
      </c>
      <c r="C96" s="1" t="s">
        <v>79</v>
      </c>
      <c r="D96" t="s">
        <v>119</v>
      </c>
      <c r="E96" s="1" t="s">
        <v>119</v>
      </c>
      <c r="F96" t="s">
        <v>124</v>
      </c>
      <c r="G96" s="1" t="s">
        <v>134</v>
      </c>
      <c r="H96">
        <v>302</v>
      </c>
      <c r="I96" t="s">
        <v>32</v>
      </c>
      <c r="J96">
        <v>68356.890000000014</v>
      </c>
      <c r="K96">
        <v>80492.749999999971</v>
      </c>
    </row>
    <row r="97" spans="1:11" x14ac:dyDescent="0.3">
      <c r="A97" s="1" t="s">
        <v>81</v>
      </c>
      <c r="B97" s="1" t="s">
        <v>208</v>
      </c>
      <c r="C97" s="1" t="s">
        <v>79</v>
      </c>
      <c r="D97" t="s">
        <v>119</v>
      </c>
      <c r="E97" s="1" t="s">
        <v>119</v>
      </c>
      <c r="F97" t="s">
        <v>124</v>
      </c>
      <c r="G97" s="1" t="s">
        <v>129</v>
      </c>
      <c r="H97">
        <v>301</v>
      </c>
      <c r="I97" t="s">
        <v>59</v>
      </c>
      <c r="J97">
        <v>46072</v>
      </c>
      <c r="K97">
        <v>52763.929999999978</v>
      </c>
    </row>
    <row r="98" spans="1:11" x14ac:dyDescent="0.3">
      <c r="A98" s="1" t="s">
        <v>81</v>
      </c>
      <c r="B98" s="1" t="s">
        <v>208</v>
      </c>
      <c r="C98" s="1" t="s">
        <v>79</v>
      </c>
      <c r="D98" t="s">
        <v>119</v>
      </c>
      <c r="E98" s="1" t="s">
        <v>119</v>
      </c>
      <c r="F98" t="s">
        <v>124</v>
      </c>
      <c r="G98" s="1" t="s">
        <v>129</v>
      </c>
      <c r="H98">
        <v>311</v>
      </c>
      <c r="I98" t="s">
        <v>13</v>
      </c>
      <c r="J98">
        <v>36055.17</v>
      </c>
      <c r="K98">
        <v>49501.989999999962</v>
      </c>
    </row>
    <row r="99" spans="1:11" x14ac:dyDescent="0.3">
      <c r="A99" s="1" t="s">
        <v>81</v>
      </c>
      <c r="B99" s="1" t="s">
        <v>208</v>
      </c>
      <c r="C99" s="1" t="s">
        <v>79</v>
      </c>
      <c r="D99" t="s">
        <v>119</v>
      </c>
      <c r="E99" s="1" t="s">
        <v>119</v>
      </c>
      <c r="F99" t="s">
        <v>125</v>
      </c>
      <c r="G99" s="1" t="s">
        <v>131</v>
      </c>
      <c r="H99">
        <v>211</v>
      </c>
      <c r="I99" t="s">
        <v>8</v>
      </c>
      <c r="J99">
        <v>199848.80999999991</v>
      </c>
      <c r="K99">
        <v>267256.82000000123</v>
      </c>
    </row>
    <row r="100" spans="1:11" x14ac:dyDescent="0.3">
      <c r="A100" s="1" t="s">
        <v>81</v>
      </c>
      <c r="B100" s="1" t="s">
        <v>208</v>
      </c>
      <c r="C100" s="1" t="s">
        <v>79</v>
      </c>
      <c r="D100" t="s">
        <v>119</v>
      </c>
      <c r="E100" s="1" t="s">
        <v>119</v>
      </c>
      <c r="F100" t="s">
        <v>125</v>
      </c>
      <c r="G100" s="1" t="s">
        <v>130</v>
      </c>
      <c r="H100">
        <v>207</v>
      </c>
      <c r="I100" t="s">
        <v>53</v>
      </c>
      <c r="J100">
        <v>131326.56999999998</v>
      </c>
      <c r="K100">
        <v>162805.0500000004</v>
      </c>
    </row>
    <row r="101" spans="1:11" x14ac:dyDescent="0.3">
      <c r="A101" s="1" t="s">
        <v>81</v>
      </c>
      <c r="B101" s="1" t="s">
        <v>208</v>
      </c>
      <c r="C101" s="1" t="s">
        <v>79</v>
      </c>
      <c r="D101" t="s">
        <v>119</v>
      </c>
      <c r="E101" s="1" t="s">
        <v>119</v>
      </c>
      <c r="F101" t="s">
        <v>125</v>
      </c>
      <c r="G101" s="1" t="s">
        <v>133</v>
      </c>
      <c r="H101">
        <v>203</v>
      </c>
      <c r="I101" t="s">
        <v>60</v>
      </c>
      <c r="J101">
        <v>39338.699999999997</v>
      </c>
      <c r="K101">
        <v>60399.529999999933</v>
      </c>
    </row>
    <row r="102" spans="1:11" x14ac:dyDescent="0.3">
      <c r="A102" s="1" t="s">
        <v>81</v>
      </c>
      <c r="B102" s="1" t="s">
        <v>208</v>
      </c>
      <c r="C102" s="1" t="s">
        <v>79</v>
      </c>
      <c r="D102" t="s">
        <v>119</v>
      </c>
      <c r="E102" s="1" t="s">
        <v>119</v>
      </c>
      <c r="F102" t="s">
        <v>125</v>
      </c>
      <c r="G102" s="1" t="s">
        <v>133</v>
      </c>
      <c r="H102">
        <v>212</v>
      </c>
      <c r="I102" t="s">
        <v>62</v>
      </c>
      <c r="J102">
        <v>57056.609999999986</v>
      </c>
      <c r="K102">
        <v>75203.270000000019</v>
      </c>
    </row>
    <row r="103" spans="1:11" x14ac:dyDescent="0.3">
      <c r="A103" s="1" t="s">
        <v>81</v>
      </c>
      <c r="B103" s="1" t="s">
        <v>208</v>
      </c>
      <c r="C103" s="1" t="s">
        <v>79</v>
      </c>
      <c r="D103" t="s">
        <v>119</v>
      </c>
      <c r="E103" s="1" t="s">
        <v>119</v>
      </c>
      <c r="F103" t="s">
        <v>125</v>
      </c>
      <c r="G103" s="1" t="s">
        <v>134</v>
      </c>
      <c r="H103">
        <v>190</v>
      </c>
      <c r="I103" t="s">
        <v>42</v>
      </c>
      <c r="J103">
        <v>62509.57</v>
      </c>
      <c r="K103">
        <v>83330.510000000068</v>
      </c>
    </row>
    <row r="104" spans="1:11" x14ac:dyDescent="0.3">
      <c r="A104" s="1" t="s">
        <v>81</v>
      </c>
      <c r="B104" s="1" t="s">
        <v>208</v>
      </c>
      <c r="C104" s="1" t="s">
        <v>79</v>
      </c>
      <c r="D104" t="s">
        <v>119</v>
      </c>
      <c r="E104" s="1" t="s">
        <v>119</v>
      </c>
      <c r="F104" t="s">
        <v>125</v>
      </c>
      <c r="G104" s="1" t="s">
        <v>134</v>
      </c>
      <c r="H104">
        <v>214</v>
      </c>
      <c r="I104" t="s">
        <v>17</v>
      </c>
      <c r="J104">
        <v>60119.11</v>
      </c>
      <c r="K104">
        <v>76026.619999999923</v>
      </c>
    </row>
    <row r="105" spans="1:11" x14ac:dyDescent="0.3">
      <c r="A105" s="1" t="s">
        <v>81</v>
      </c>
      <c r="B105" s="1" t="s">
        <v>208</v>
      </c>
      <c r="C105" s="1" t="s">
        <v>79</v>
      </c>
      <c r="D105" t="s">
        <v>119</v>
      </c>
      <c r="E105" s="1" t="s">
        <v>119</v>
      </c>
      <c r="F105" t="s">
        <v>127</v>
      </c>
      <c r="G105" s="1" t="s">
        <v>130</v>
      </c>
      <c r="H105">
        <v>407</v>
      </c>
      <c r="I105" t="s">
        <v>34</v>
      </c>
      <c r="J105">
        <v>120264.77999999998</v>
      </c>
      <c r="K105">
        <v>153257.57000000024</v>
      </c>
    </row>
    <row r="106" spans="1:11" x14ac:dyDescent="0.3">
      <c r="A106" s="1" t="s">
        <v>81</v>
      </c>
      <c r="B106" s="1" t="s">
        <v>208</v>
      </c>
      <c r="C106" s="1" t="s">
        <v>79</v>
      </c>
      <c r="D106" t="s">
        <v>119</v>
      </c>
      <c r="E106" s="1" t="s">
        <v>119</v>
      </c>
      <c r="F106" t="s">
        <v>127</v>
      </c>
      <c r="G106" s="1" t="s">
        <v>130</v>
      </c>
      <c r="H106">
        <v>413</v>
      </c>
      <c r="I106" t="s">
        <v>14</v>
      </c>
      <c r="J106">
        <v>112654.69</v>
      </c>
      <c r="K106">
        <v>156474.53000000038</v>
      </c>
    </row>
    <row r="107" spans="1:11" x14ac:dyDescent="0.3">
      <c r="A107" s="1" t="s">
        <v>81</v>
      </c>
      <c r="B107" s="1" t="s">
        <v>208</v>
      </c>
      <c r="C107" s="1" t="s">
        <v>79</v>
      </c>
      <c r="D107" t="s">
        <v>119</v>
      </c>
      <c r="E107" s="1" t="s">
        <v>119</v>
      </c>
      <c r="F107" t="s">
        <v>127</v>
      </c>
      <c r="G107" s="1" t="s">
        <v>133</v>
      </c>
      <c r="H107">
        <v>412</v>
      </c>
      <c r="I107" t="s">
        <v>11</v>
      </c>
      <c r="J107">
        <v>62284.37999999999</v>
      </c>
      <c r="K107">
        <v>76323.64000000013</v>
      </c>
    </row>
    <row r="108" spans="1:11" x14ac:dyDescent="0.3">
      <c r="A108" s="1" t="s">
        <v>81</v>
      </c>
      <c r="B108" s="1" t="s">
        <v>208</v>
      </c>
      <c r="C108" s="1" t="s">
        <v>79</v>
      </c>
      <c r="D108" t="s">
        <v>119</v>
      </c>
      <c r="E108" s="1" t="s">
        <v>119</v>
      </c>
      <c r="F108" t="s">
        <v>127</v>
      </c>
      <c r="G108" s="1" t="s">
        <v>134</v>
      </c>
      <c r="H108">
        <v>403</v>
      </c>
      <c r="I108" t="s">
        <v>12</v>
      </c>
      <c r="J108">
        <v>58945.74</v>
      </c>
      <c r="K108">
        <v>77123.990000000049</v>
      </c>
    </row>
    <row r="109" spans="1:11" x14ac:dyDescent="0.3">
      <c r="A109" s="1" t="s">
        <v>81</v>
      </c>
      <c r="B109" s="1" t="s">
        <v>208</v>
      </c>
      <c r="C109" s="1" t="s">
        <v>79</v>
      </c>
      <c r="D109" t="s">
        <v>119</v>
      </c>
      <c r="E109" s="1" t="s">
        <v>119</v>
      </c>
      <c r="F109" t="s">
        <v>127</v>
      </c>
      <c r="G109" s="1" t="s">
        <v>129</v>
      </c>
      <c r="H109">
        <v>409</v>
      </c>
      <c r="I109" t="s">
        <v>58</v>
      </c>
      <c r="J109">
        <v>46264.660000000011</v>
      </c>
      <c r="K109">
        <v>43571.349999999977</v>
      </c>
    </row>
    <row r="110" spans="1:11" x14ac:dyDescent="0.3">
      <c r="A110" s="1" t="s">
        <v>81</v>
      </c>
      <c r="B110" s="1" t="s">
        <v>208</v>
      </c>
      <c r="C110" s="1" t="s">
        <v>79</v>
      </c>
      <c r="D110" t="s">
        <v>119</v>
      </c>
      <c r="E110" s="1" t="s">
        <v>119</v>
      </c>
      <c r="F110" t="s">
        <v>127</v>
      </c>
      <c r="G110" s="1" t="s">
        <v>132</v>
      </c>
      <c r="H110">
        <v>410</v>
      </c>
      <c r="I110" t="s">
        <v>40</v>
      </c>
      <c r="J110">
        <v>18712.560000000001</v>
      </c>
      <c r="K110">
        <v>36209.859999999986</v>
      </c>
    </row>
    <row r="111" spans="1:11" x14ac:dyDescent="0.3">
      <c r="A111" s="1" t="s">
        <v>81</v>
      </c>
      <c r="B111" s="1" t="s">
        <v>208</v>
      </c>
      <c r="C111" s="1" t="s">
        <v>79</v>
      </c>
      <c r="D111" t="s">
        <v>119</v>
      </c>
      <c r="E111" s="1" t="s">
        <v>119</v>
      </c>
      <c r="F111" t="s">
        <v>126</v>
      </c>
      <c r="G111" s="1" t="s">
        <v>130</v>
      </c>
      <c r="H111">
        <v>101</v>
      </c>
      <c r="I111" t="s">
        <v>10</v>
      </c>
      <c r="J111">
        <v>143465.46999999997</v>
      </c>
      <c r="K111">
        <v>155139.09000000029</v>
      </c>
    </row>
    <row r="112" spans="1:11" x14ac:dyDescent="0.3">
      <c r="A112" s="1" t="s">
        <v>81</v>
      </c>
      <c r="B112" s="1" t="s">
        <v>208</v>
      </c>
      <c r="C112" s="1" t="s">
        <v>79</v>
      </c>
      <c r="D112" t="s">
        <v>119</v>
      </c>
      <c r="E112" s="1" t="s">
        <v>119</v>
      </c>
      <c r="F112" t="s">
        <v>126</v>
      </c>
      <c r="G112" s="1" t="s">
        <v>130</v>
      </c>
      <c r="H112">
        <v>150</v>
      </c>
      <c r="I112" t="s">
        <v>3</v>
      </c>
      <c r="J112">
        <v>121140.47999999998</v>
      </c>
      <c r="K112">
        <v>166945.26000000007</v>
      </c>
    </row>
    <row r="113" spans="1:11" x14ac:dyDescent="0.3">
      <c r="A113" s="1" t="s">
        <v>81</v>
      </c>
      <c r="B113" s="1" t="s">
        <v>208</v>
      </c>
      <c r="C113" s="1" t="s">
        <v>79</v>
      </c>
      <c r="D113" t="s">
        <v>119</v>
      </c>
      <c r="E113" s="1" t="s">
        <v>119</v>
      </c>
      <c r="F113" t="s">
        <v>126</v>
      </c>
      <c r="G113" s="1" t="s">
        <v>134</v>
      </c>
      <c r="H113">
        <v>170</v>
      </c>
      <c r="I113" t="s">
        <v>56</v>
      </c>
      <c r="J113">
        <v>64752.009999999995</v>
      </c>
      <c r="K113">
        <v>86227.339999999909</v>
      </c>
    </row>
    <row r="114" spans="1:11" x14ac:dyDescent="0.3">
      <c r="A114" s="1" t="s">
        <v>81</v>
      </c>
      <c r="B114" s="1" t="s">
        <v>208</v>
      </c>
      <c r="C114" s="1" t="s">
        <v>79</v>
      </c>
      <c r="D114" t="s">
        <v>119</v>
      </c>
      <c r="E114" s="1" t="s">
        <v>119</v>
      </c>
      <c r="F114" t="s">
        <v>126</v>
      </c>
      <c r="G114" s="1" t="s">
        <v>129</v>
      </c>
      <c r="H114">
        <v>131</v>
      </c>
      <c r="I114" t="s">
        <v>67</v>
      </c>
      <c r="J114">
        <v>29793</v>
      </c>
      <c r="K114">
        <v>44469.440000000039</v>
      </c>
    </row>
    <row r="115" spans="1:11" x14ac:dyDescent="0.3">
      <c r="A115" s="1" t="s">
        <v>81</v>
      </c>
      <c r="B115" s="1" t="s">
        <v>208</v>
      </c>
      <c r="C115" s="1" t="s">
        <v>79</v>
      </c>
      <c r="D115" t="s">
        <v>119</v>
      </c>
      <c r="E115" s="1" t="s">
        <v>119</v>
      </c>
      <c r="F115" t="s">
        <v>126</v>
      </c>
      <c r="G115" s="1" t="s">
        <v>132</v>
      </c>
      <c r="H115">
        <v>151</v>
      </c>
      <c r="I115" t="s">
        <v>20</v>
      </c>
      <c r="J115">
        <v>30306.340000000004</v>
      </c>
      <c r="K115">
        <v>39264.989999999962</v>
      </c>
    </row>
    <row r="116" spans="1:11" x14ac:dyDescent="0.3">
      <c r="A116" s="1" t="s">
        <v>81</v>
      </c>
      <c r="B116" s="1" t="s">
        <v>208</v>
      </c>
      <c r="C116" s="1" t="s">
        <v>92</v>
      </c>
      <c r="D116" t="s">
        <v>121</v>
      </c>
      <c r="E116" s="1" t="s">
        <v>121</v>
      </c>
      <c r="F116" t="s">
        <v>127</v>
      </c>
      <c r="G116" s="1" t="s">
        <v>136</v>
      </c>
      <c r="H116">
        <v>418</v>
      </c>
      <c r="I116" t="s">
        <v>44</v>
      </c>
      <c r="J116">
        <v>0</v>
      </c>
      <c r="K116">
        <v>0</v>
      </c>
    </row>
    <row r="117" spans="1:11" x14ac:dyDescent="0.3">
      <c r="A117" s="1" t="s">
        <v>81</v>
      </c>
      <c r="B117" s="1" t="s">
        <v>208</v>
      </c>
      <c r="C117" s="1" t="s">
        <v>92</v>
      </c>
      <c r="D117" t="s">
        <v>119</v>
      </c>
      <c r="E117" s="1" t="s">
        <v>122</v>
      </c>
      <c r="F117" t="s">
        <v>124</v>
      </c>
      <c r="G117" s="1" t="s">
        <v>136</v>
      </c>
      <c r="H117">
        <v>307</v>
      </c>
      <c r="I117" t="s">
        <v>19</v>
      </c>
      <c r="J117">
        <v>53422.8</v>
      </c>
      <c r="K117">
        <v>90031.76999999996</v>
      </c>
    </row>
    <row r="118" spans="1:11" x14ac:dyDescent="0.3">
      <c r="A118" s="1" t="s">
        <v>81</v>
      </c>
      <c r="B118" s="1" t="s">
        <v>208</v>
      </c>
      <c r="C118" s="1" t="s">
        <v>92</v>
      </c>
      <c r="D118" t="s">
        <v>119</v>
      </c>
      <c r="E118" s="1" t="s">
        <v>122</v>
      </c>
      <c r="F118" t="s">
        <v>127</v>
      </c>
      <c r="G118" s="1" t="s">
        <v>136</v>
      </c>
      <c r="H118">
        <v>411</v>
      </c>
      <c r="I118" t="s">
        <v>43</v>
      </c>
      <c r="J118">
        <v>86652.770000000019</v>
      </c>
      <c r="K118">
        <v>94546.54</v>
      </c>
    </row>
    <row r="119" spans="1:11" x14ac:dyDescent="0.3">
      <c r="A119" s="1" t="s">
        <v>81</v>
      </c>
      <c r="B119" s="1" t="s">
        <v>208</v>
      </c>
      <c r="C119" s="1" t="s">
        <v>92</v>
      </c>
      <c r="D119" t="s">
        <v>119</v>
      </c>
      <c r="E119" s="1" t="s">
        <v>120</v>
      </c>
      <c r="F119" t="s">
        <v>125</v>
      </c>
      <c r="G119" s="1" t="s">
        <v>136</v>
      </c>
      <c r="H119">
        <v>213</v>
      </c>
      <c r="I119" t="s">
        <v>49</v>
      </c>
      <c r="J119">
        <v>56004.91</v>
      </c>
      <c r="K119">
        <v>93786.099999999977</v>
      </c>
    </row>
    <row r="120" spans="1:11" x14ac:dyDescent="0.3">
      <c r="A120" s="1" t="s">
        <v>81</v>
      </c>
      <c r="B120" s="1" t="s">
        <v>208</v>
      </c>
      <c r="C120" s="1" t="s">
        <v>92</v>
      </c>
      <c r="D120" t="s">
        <v>119</v>
      </c>
      <c r="E120" s="1" t="s">
        <v>120</v>
      </c>
      <c r="F120" t="s">
        <v>127</v>
      </c>
      <c r="G120" s="1" t="s">
        <v>136</v>
      </c>
      <c r="H120">
        <v>415</v>
      </c>
      <c r="I120" t="s">
        <v>47</v>
      </c>
      <c r="J120">
        <v>42489.539999999994</v>
      </c>
      <c r="K120">
        <v>70868.63</v>
      </c>
    </row>
    <row r="121" spans="1:11" x14ac:dyDescent="0.3">
      <c r="A121" s="1" t="s">
        <v>81</v>
      </c>
      <c r="B121" s="1" t="s">
        <v>208</v>
      </c>
      <c r="C121" s="1" t="s">
        <v>92</v>
      </c>
      <c r="D121" t="s">
        <v>119</v>
      </c>
      <c r="E121" s="1" t="s">
        <v>119</v>
      </c>
      <c r="F121" t="s">
        <v>124</v>
      </c>
      <c r="G121" s="1" t="s">
        <v>136</v>
      </c>
      <c r="H121">
        <v>306</v>
      </c>
      <c r="I121" t="s">
        <v>51</v>
      </c>
      <c r="J121">
        <v>62385.67</v>
      </c>
      <c r="K121">
        <v>91587.349999999933</v>
      </c>
    </row>
    <row r="122" spans="1:11" x14ac:dyDescent="0.3">
      <c r="A122" s="1" t="s">
        <v>81</v>
      </c>
      <c r="B122" s="1" t="s">
        <v>208</v>
      </c>
      <c r="C122" s="1" t="s">
        <v>92</v>
      </c>
      <c r="D122" t="s">
        <v>119</v>
      </c>
      <c r="E122" s="1" t="s">
        <v>119</v>
      </c>
      <c r="F122" t="s">
        <v>125</v>
      </c>
      <c r="G122" s="1" t="s">
        <v>136</v>
      </c>
      <c r="H122">
        <v>201</v>
      </c>
      <c r="I122" t="s">
        <v>45</v>
      </c>
      <c r="J122">
        <v>45895.78</v>
      </c>
      <c r="K122">
        <v>64207.479999999967</v>
      </c>
    </row>
    <row r="123" spans="1:11" x14ac:dyDescent="0.3">
      <c r="A123" s="1" t="s">
        <v>81</v>
      </c>
      <c r="B123" s="1" t="s">
        <v>208</v>
      </c>
      <c r="C123" s="1" t="s">
        <v>92</v>
      </c>
      <c r="D123" t="s">
        <v>119</v>
      </c>
      <c r="E123" s="1" t="s">
        <v>119</v>
      </c>
      <c r="F123" t="s">
        <v>125</v>
      </c>
      <c r="G123" s="1" t="s">
        <v>136</v>
      </c>
      <c r="H123">
        <v>204</v>
      </c>
      <c r="I123" t="s">
        <v>46</v>
      </c>
      <c r="J123">
        <v>56445</v>
      </c>
      <c r="K123">
        <v>61097.420000000027</v>
      </c>
    </row>
    <row r="124" spans="1:11" x14ac:dyDescent="0.3">
      <c r="A124" s="1" t="s">
        <v>81</v>
      </c>
      <c r="B124" s="1" t="s">
        <v>208</v>
      </c>
      <c r="C124" s="1" t="s">
        <v>92</v>
      </c>
      <c r="D124" t="s">
        <v>119</v>
      </c>
      <c r="E124" s="1" t="s">
        <v>119</v>
      </c>
      <c r="F124" t="s">
        <v>126</v>
      </c>
      <c r="G124" s="1" t="s">
        <v>136</v>
      </c>
      <c r="H124">
        <v>102</v>
      </c>
      <c r="I124" t="s">
        <v>50</v>
      </c>
      <c r="J124">
        <v>66182.200000000012</v>
      </c>
      <c r="K124">
        <v>89248.279999999941</v>
      </c>
    </row>
    <row r="125" spans="1:11" x14ac:dyDescent="0.3">
      <c r="A125" s="1" t="s">
        <v>81</v>
      </c>
      <c r="B125" s="1" t="s">
        <v>208</v>
      </c>
      <c r="C125" s="1" t="s">
        <v>93</v>
      </c>
      <c r="D125" t="s">
        <v>122</v>
      </c>
      <c r="E125" s="1" t="s">
        <v>122</v>
      </c>
      <c r="F125" t="s">
        <v>93</v>
      </c>
      <c r="G125" s="1" t="s">
        <v>93</v>
      </c>
      <c r="H125" t="s">
        <v>196</v>
      </c>
      <c r="I125" s="33" t="s">
        <v>38</v>
      </c>
      <c r="J125" s="33">
        <v>0</v>
      </c>
      <c r="K125" s="33">
        <v>0</v>
      </c>
    </row>
    <row r="126" spans="1:11" x14ac:dyDescent="0.3">
      <c r="A126" s="1" t="s">
        <v>81</v>
      </c>
      <c r="B126" s="1" t="s">
        <v>208</v>
      </c>
      <c r="C126" s="1" t="s">
        <v>93</v>
      </c>
      <c r="D126" t="s">
        <v>122</v>
      </c>
      <c r="E126" s="1" t="s">
        <v>122</v>
      </c>
      <c r="F126" t="s">
        <v>93</v>
      </c>
      <c r="G126" s="1" t="s">
        <v>93</v>
      </c>
      <c r="H126" t="s">
        <v>196</v>
      </c>
      <c r="I126" s="33" t="s">
        <v>39</v>
      </c>
      <c r="J126" s="33">
        <v>0</v>
      </c>
      <c r="K126" s="33">
        <v>0</v>
      </c>
    </row>
    <row r="127" spans="1:11" x14ac:dyDescent="0.3">
      <c r="A127" s="1" t="s">
        <v>81</v>
      </c>
      <c r="B127" s="1" t="s">
        <v>208</v>
      </c>
      <c r="C127" s="1" t="s">
        <v>93</v>
      </c>
      <c r="D127" t="s">
        <v>119</v>
      </c>
      <c r="E127" s="1" t="s">
        <v>119</v>
      </c>
      <c r="F127" t="s">
        <v>93</v>
      </c>
      <c r="G127" s="1" t="s">
        <v>93</v>
      </c>
      <c r="H127">
        <v>903</v>
      </c>
      <c r="I127" t="s">
        <v>37</v>
      </c>
      <c r="J127">
        <v>33712.869999999995</v>
      </c>
      <c r="K127">
        <v>49757.070000000029</v>
      </c>
    </row>
    <row r="128" spans="1:11" x14ac:dyDescent="0.3">
      <c r="A128" s="1" t="s">
        <v>81</v>
      </c>
      <c r="B128" s="1" t="s">
        <v>208</v>
      </c>
      <c r="C128" s="1" t="s">
        <v>94</v>
      </c>
      <c r="D128" t="s">
        <v>121</v>
      </c>
      <c r="E128" s="1" t="s">
        <v>121</v>
      </c>
      <c r="F128" t="s">
        <v>124</v>
      </c>
      <c r="G128" s="1" t="s">
        <v>137</v>
      </c>
      <c r="H128" t="s">
        <v>112</v>
      </c>
      <c r="I128" t="s">
        <v>21</v>
      </c>
      <c r="J128">
        <v>0</v>
      </c>
      <c r="K128">
        <v>0</v>
      </c>
    </row>
    <row r="129" spans="1:11" x14ac:dyDescent="0.3">
      <c r="A129" s="1" t="s">
        <v>81</v>
      </c>
      <c r="B129" s="1" t="s">
        <v>208</v>
      </c>
      <c r="C129" s="1" t="s">
        <v>94</v>
      </c>
      <c r="D129" t="s">
        <v>121</v>
      </c>
      <c r="E129" s="1" t="s">
        <v>121</v>
      </c>
      <c r="F129" t="s">
        <v>125</v>
      </c>
      <c r="G129" s="1" t="s">
        <v>138</v>
      </c>
      <c r="H129">
        <v>470</v>
      </c>
      <c r="I129" t="s">
        <v>26</v>
      </c>
      <c r="J129">
        <v>0</v>
      </c>
      <c r="K129">
        <v>0</v>
      </c>
    </row>
    <row r="130" spans="1:11" x14ac:dyDescent="0.3">
      <c r="A130" s="1" t="s">
        <v>81</v>
      </c>
      <c r="B130" s="1" t="s">
        <v>208</v>
      </c>
      <c r="C130" s="1" t="s">
        <v>94</v>
      </c>
      <c r="D130" t="s">
        <v>121</v>
      </c>
      <c r="E130" s="1" t="s">
        <v>121</v>
      </c>
      <c r="F130" t="s">
        <v>125</v>
      </c>
      <c r="G130" s="1" t="s">
        <v>137</v>
      </c>
      <c r="H130" t="s">
        <v>114</v>
      </c>
      <c r="I130" t="s">
        <v>23</v>
      </c>
      <c r="J130">
        <v>0</v>
      </c>
      <c r="K130">
        <v>0</v>
      </c>
    </row>
    <row r="131" spans="1:11" x14ac:dyDescent="0.3">
      <c r="A131" s="1" t="s">
        <v>81</v>
      </c>
      <c r="B131" s="1" t="s">
        <v>208</v>
      </c>
      <c r="C131" s="1" t="s">
        <v>94</v>
      </c>
      <c r="D131" t="s">
        <v>121</v>
      </c>
      <c r="E131" s="1" t="s">
        <v>121</v>
      </c>
      <c r="F131" t="s">
        <v>125</v>
      </c>
      <c r="G131" s="1" t="s">
        <v>137</v>
      </c>
      <c r="H131" t="s">
        <v>113</v>
      </c>
      <c r="I131" t="s">
        <v>22</v>
      </c>
      <c r="J131">
        <v>0</v>
      </c>
      <c r="K131">
        <v>0</v>
      </c>
    </row>
    <row r="132" spans="1:11" x14ac:dyDescent="0.3">
      <c r="A132" s="1" t="s">
        <v>81</v>
      </c>
      <c r="B132" s="1" t="s">
        <v>208</v>
      </c>
      <c r="C132" s="1" t="s">
        <v>94</v>
      </c>
      <c r="D132" t="s">
        <v>121</v>
      </c>
      <c r="E132" s="1" t="s">
        <v>121</v>
      </c>
      <c r="F132" t="s">
        <v>127</v>
      </c>
      <c r="G132" s="1" t="s">
        <v>137</v>
      </c>
      <c r="H132">
        <v>494</v>
      </c>
      <c r="I132" t="s">
        <v>25</v>
      </c>
      <c r="J132">
        <v>0</v>
      </c>
      <c r="K132">
        <v>0</v>
      </c>
    </row>
    <row r="133" spans="1:11" x14ac:dyDescent="0.3">
      <c r="A133" s="1" t="s">
        <v>81</v>
      </c>
      <c r="B133" s="1" t="s">
        <v>208</v>
      </c>
      <c r="C133" s="1" t="s">
        <v>94</v>
      </c>
      <c r="D133" t="s">
        <v>121</v>
      </c>
      <c r="E133" s="1" t="s">
        <v>121</v>
      </c>
      <c r="F133" t="s">
        <v>126</v>
      </c>
      <c r="G133" s="1" t="s">
        <v>137</v>
      </c>
      <c r="H133">
        <v>460</v>
      </c>
      <c r="I133" t="s">
        <v>30</v>
      </c>
      <c r="J133">
        <v>0</v>
      </c>
      <c r="K133">
        <v>0</v>
      </c>
    </row>
    <row r="134" spans="1:11" x14ac:dyDescent="0.3">
      <c r="A134" s="1" t="s">
        <v>81</v>
      </c>
      <c r="B134" s="1" t="s">
        <v>208</v>
      </c>
      <c r="C134" s="1" t="s">
        <v>94</v>
      </c>
      <c r="D134" t="s">
        <v>121</v>
      </c>
      <c r="E134" s="1" t="s">
        <v>121</v>
      </c>
      <c r="F134" t="s">
        <v>126</v>
      </c>
      <c r="G134" s="1" t="s">
        <v>137</v>
      </c>
      <c r="H134">
        <v>461</v>
      </c>
      <c r="I134" t="s">
        <v>29</v>
      </c>
      <c r="J134">
        <v>0</v>
      </c>
      <c r="K134">
        <v>0</v>
      </c>
    </row>
    <row r="135" spans="1:11" x14ac:dyDescent="0.3">
      <c r="A135" s="1" t="s">
        <v>81</v>
      </c>
      <c r="B135" s="1" t="s">
        <v>208</v>
      </c>
      <c r="C135" s="1" t="s">
        <v>94</v>
      </c>
      <c r="D135" t="s">
        <v>121</v>
      </c>
      <c r="E135" s="1" t="s">
        <v>119</v>
      </c>
      <c r="F135" t="s">
        <v>124</v>
      </c>
      <c r="G135" s="1" t="s">
        <v>138</v>
      </c>
      <c r="H135">
        <v>480</v>
      </c>
      <c r="I135" t="s">
        <v>28</v>
      </c>
      <c r="J135">
        <v>0</v>
      </c>
      <c r="K135">
        <v>37929.439999999981</v>
      </c>
    </row>
    <row r="136" spans="1:11" x14ac:dyDescent="0.3">
      <c r="A136" s="1" t="s">
        <v>81</v>
      </c>
      <c r="B136" s="1" t="s">
        <v>208</v>
      </c>
      <c r="C136" s="1" t="s">
        <v>94</v>
      </c>
      <c r="D136" t="s">
        <v>121</v>
      </c>
      <c r="E136" s="1" t="s">
        <v>119</v>
      </c>
      <c r="F136" t="s">
        <v>127</v>
      </c>
      <c r="G136" s="1" t="s">
        <v>138</v>
      </c>
      <c r="H136">
        <v>491</v>
      </c>
      <c r="I136" t="s">
        <v>31</v>
      </c>
      <c r="J136">
        <v>0</v>
      </c>
      <c r="K136">
        <v>76955.290000000095</v>
      </c>
    </row>
    <row r="137" spans="1:11" x14ac:dyDescent="0.3">
      <c r="A137" s="1" t="s">
        <v>81</v>
      </c>
      <c r="B137" s="1" t="s">
        <v>208</v>
      </c>
      <c r="C137" s="1" t="s">
        <v>94</v>
      </c>
      <c r="D137" t="s">
        <v>121</v>
      </c>
      <c r="E137" s="1" t="s">
        <v>119</v>
      </c>
      <c r="F137" t="s">
        <v>127</v>
      </c>
      <c r="G137" s="1" t="s">
        <v>138</v>
      </c>
      <c r="H137">
        <v>492</v>
      </c>
      <c r="I137" t="s">
        <v>27</v>
      </c>
      <c r="J137">
        <v>0</v>
      </c>
      <c r="K137">
        <v>44078.700000000004</v>
      </c>
    </row>
    <row r="138" spans="1:11" x14ac:dyDescent="0.3">
      <c r="A138" s="1" t="s">
        <v>81</v>
      </c>
      <c r="B138" s="1" t="s">
        <v>208</v>
      </c>
      <c r="C138" s="1" t="s">
        <v>94</v>
      </c>
      <c r="D138" t="s">
        <v>121</v>
      </c>
      <c r="E138" s="1" t="s">
        <v>119</v>
      </c>
      <c r="F138" t="s">
        <v>127</v>
      </c>
      <c r="G138" s="1" t="s">
        <v>138</v>
      </c>
      <c r="H138">
        <v>493</v>
      </c>
      <c r="I138" t="s">
        <v>24</v>
      </c>
      <c r="J138">
        <v>0</v>
      </c>
      <c r="K138">
        <v>34237.629999999954</v>
      </c>
    </row>
    <row r="139" spans="1:11" x14ac:dyDescent="0.3">
      <c r="A139" s="1" t="s">
        <v>81</v>
      </c>
      <c r="B139" s="1" t="s">
        <v>208</v>
      </c>
      <c r="C139" s="1" t="s">
        <v>95</v>
      </c>
      <c r="D139" t="s">
        <v>121</v>
      </c>
      <c r="E139" s="1" t="s">
        <v>121</v>
      </c>
      <c r="F139" t="s">
        <v>126</v>
      </c>
      <c r="G139" s="1" t="s">
        <v>139</v>
      </c>
      <c r="H139">
        <v>510</v>
      </c>
      <c r="I139" t="s">
        <v>76</v>
      </c>
      <c r="J139">
        <v>0</v>
      </c>
      <c r="K139">
        <v>0</v>
      </c>
    </row>
    <row r="140" spans="1:11" x14ac:dyDescent="0.3">
      <c r="A140" s="1" t="s">
        <v>81</v>
      </c>
      <c r="B140" s="1" t="s">
        <v>208</v>
      </c>
      <c r="C140" s="1" t="s">
        <v>95</v>
      </c>
      <c r="D140" t="s">
        <v>121</v>
      </c>
      <c r="E140" s="1" t="s">
        <v>119</v>
      </c>
      <c r="F140" t="s">
        <v>127</v>
      </c>
      <c r="G140" s="1" t="s">
        <v>140</v>
      </c>
      <c r="H140">
        <v>541</v>
      </c>
      <c r="I140" t="s">
        <v>74</v>
      </c>
      <c r="J140">
        <v>0</v>
      </c>
      <c r="K140">
        <v>28348.569999999996</v>
      </c>
    </row>
    <row r="141" spans="1:11" x14ac:dyDescent="0.3">
      <c r="A141" s="1" t="s">
        <v>81</v>
      </c>
      <c r="B141" s="1" t="s">
        <v>208</v>
      </c>
      <c r="C141" s="1" t="s">
        <v>95</v>
      </c>
      <c r="D141" t="s">
        <v>121</v>
      </c>
      <c r="E141" s="1" t="s">
        <v>119</v>
      </c>
      <c r="F141" t="s">
        <v>127</v>
      </c>
      <c r="G141" s="1" t="s">
        <v>140</v>
      </c>
      <c r="H141">
        <v>543</v>
      </c>
      <c r="I141" t="s">
        <v>72</v>
      </c>
      <c r="J141">
        <v>0</v>
      </c>
      <c r="K141">
        <v>25948.129999999994</v>
      </c>
    </row>
    <row r="142" spans="1:11" x14ac:dyDescent="0.3">
      <c r="A142" s="1" t="s">
        <v>81</v>
      </c>
      <c r="B142" s="1" t="s">
        <v>208</v>
      </c>
      <c r="C142" s="1" t="s">
        <v>95</v>
      </c>
      <c r="D142" t="s">
        <v>120</v>
      </c>
      <c r="E142" s="1" t="s">
        <v>119</v>
      </c>
      <c r="F142" t="s">
        <v>127</v>
      </c>
      <c r="G142" s="1" t="s">
        <v>140</v>
      </c>
      <c r="H142">
        <v>540</v>
      </c>
      <c r="I142" t="s">
        <v>73</v>
      </c>
      <c r="J142">
        <v>49967.89</v>
      </c>
      <c r="K142">
        <v>88393.949999999983</v>
      </c>
    </row>
    <row r="143" spans="1:11" x14ac:dyDescent="0.3">
      <c r="A143" s="1" t="s">
        <v>81</v>
      </c>
      <c r="B143" s="1" t="s">
        <v>208</v>
      </c>
      <c r="C143" s="1" t="s">
        <v>95</v>
      </c>
      <c r="D143" t="s">
        <v>119</v>
      </c>
      <c r="E143" s="1" t="s">
        <v>120</v>
      </c>
      <c r="F143" t="s">
        <v>124</v>
      </c>
      <c r="G143" s="1" t="s">
        <v>139</v>
      </c>
      <c r="H143">
        <v>530</v>
      </c>
      <c r="I143" t="s">
        <v>68</v>
      </c>
      <c r="J143">
        <v>24695.59</v>
      </c>
      <c r="K143">
        <v>32895.159999999982</v>
      </c>
    </row>
    <row r="144" spans="1:11" x14ac:dyDescent="0.3">
      <c r="A144" s="1" t="s">
        <v>81</v>
      </c>
      <c r="B144" s="1" t="s">
        <v>208</v>
      </c>
      <c r="C144" s="1" t="s">
        <v>95</v>
      </c>
      <c r="D144" t="s">
        <v>119</v>
      </c>
      <c r="E144" s="1" t="s">
        <v>119</v>
      </c>
      <c r="F144" t="s">
        <v>125</v>
      </c>
      <c r="G144" s="1" t="s">
        <v>140</v>
      </c>
      <c r="H144">
        <v>520</v>
      </c>
      <c r="I144" t="s">
        <v>70</v>
      </c>
      <c r="J144">
        <v>50743.839999999997</v>
      </c>
      <c r="K144">
        <v>44163.890000000014</v>
      </c>
    </row>
    <row r="145" spans="1:11" x14ac:dyDescent="0.3">
      <c r="A145" s="2" t="s">
        <v>81</v>
      </c>
      <c r="B145" s="1" t="s">
        <v>208</v>
      </c>
      <c r="C145" s="1" t="s">
        <v>95</v>
      </c>
      <c r="D145" t="s">
        <v>119</v>
      </c>
      <c r="E145" s="1" t="s">
        <v>119</v>
      </c>
      <c r="F145" t="s">
        <v>127</v>
      </c>
      <c r="G145" s="1" t="s">
        <v>139</v>
      </c>
      <c r="H145">
        <v>542</v>
      </c>
      <c r="I145" t="s">
        <v>69</v>
      </c>
      <c r="J145">
        <v>26065.960000000003</v>
      </c>
      <c r="K145">
        <v>17496.489999999983</v>
      </c>
    </row>
    <row r="146" spans="1:11" x14ac:dyDescent="0.3">
      <c r="A146" s="1" t="s">
        <v>82</v>
      </c>
      <c r="B146" s="1" t="s">
        <v>208</v>
      </c>
      <c r="C146" s="1" t="s">
        <v>79</v>
      </c>
      <c r="D146" t="s">
        <v>122</v>
      </c>
      <c r="E146" s="1" t="s">
        <v>122</v>
      </c>
      <c r="F146" t="s">
        <v>124</v>
      </c>
      <c r="G146" s="1" t="s">
        <v>129</v>
      </c>
      <c r="H146" t="s">
        <v>196</v>
      </c>
      <c r="I146" t="s">
        <v>1</v>
      </c>
      <c r="J146">
        <v>0</v>
      </c>
      <c r="K146">
        <v>0</v>
      </c>
    </row>
    <row r="147" spans="1:11" x14ac:dyDescent="0.3">
      <c r="A147" s="1" t="s">
        <v>82</v>
      </c>
      <c r="B147" s="1" t="s">
        <v>208</v>
      </c>
      <c r="C147" s="1" t="s">
        <v>79</v>
      </c>
      <c r="D147" t="s">
        <v>122</v>
      </c>
      <c r="E147" s="1" t="s">
        <v>122</v>
      </c>
      <c r="F147" t="s">
        <v>125</v>
      </c>
      <c r="G147" s="1" t="s">
        <v>129</v>
      </c>
      <c r="H147" t="s">
        <v>196</v>
      </c>
      <c r="I147" t="s">
        <v>7</v>
      </c>
      <c r="J147">
        <v>0</v>
      </c>
      <c r="K147">
        <v>0</v>
      </c>
    </row>
    <row r="148" spans="1:11" x14ac:dyDescent="0.3">
      <c r="A148" s="1" t="s">
        <v>82</v>
      </c>
      <c r="B148" s="1" t="s">
        <v>208</v>
      </c>
      <c r="C148" s="1" t="s">
        <v>79</v>
      </c>
      <c r="D148" t="s">
        <v>122</v>
      </c>
      <c r="E148" s="1" t="s">
        <v>122</v>
      </c>
      <c r="F148" t="s">
        <v>127</v>
      </c>
      <c r="G148" s="1" t="s">
        <v>129</v>
      </c>
      <c r="H148" t="s">
        <v>196</v>
      </c>
      <c r="I148" t="s">
        <v>5</v>
      </c>
      <c r="J148">
        <v>0</v>
      </c>
      <c r="K148">
        <v>0</v>
      </c>
    </row>
    <row r="149" spans="1:11" x14ac:dyDescent="0.3">
      <c r="A149" s="1" t="s">
        <v>82</v>
      </c>
      <c r="B149" s="1" t="s">
        <v>208</v>
      </c>
      <c r="C149" s="1" t="s">
        <v>79</v>
      </c>
      <c r="D149" t="s">
        <v>122</v>
      </c>
      <c r="E149" s="1" t="s">
        <v>122</v>
      </c>
      <c r="F149" t="s">
        <v>127</v>
      </c>
      <c r="G149" s="1" t="s">
        <v>122</v>
      </c>
      <c r="H149" t="s">
        <v>196</v>
      </c>
      <c r="I149" t="s">
        <v>33</v>
      </c>
      <c r="J149">
        <v>22370.74</v>
      </c>
      <c r="K149">
        <v>0</v>
      </c>
    </row>
    <row r="150" spans="1:11" x14ac:dyDescent="0.3">
      <c r="A150" s="1" t="s">
        <v>82</v>
      </c>
      <c r="B150" s="1" t="s">
        <v>208</v>
      </c>
      <c r="C150" s="1" t="s">
        <v>79</v>
      </c>
      <c r="D150" t="s">
        <v>122</v>
      </c>
      <c r="E150" s="1" t="s">
        <v>122</v>
      </c>
      <c r="F150" t="s">
        <v>126</v>
      </c>
      <c r="G150" s="1" t="s">
        <v>122</v>
      </c>
      <c r="H150" t="s">
        <v>196</v>
      </c>
      <c r="I150" s="33" t="s">
        <v>55</v>
      </c>
      <c r="J150" s="33">
        <v>0</v>
      </c>
      <c r="K150" s="33">
        <v>0</v>
      </c>
    </row>
    <row r="151" spans="1:11" x14ac:dyDescent="0.3">
      <c r="A151" s="1" t="s">
        <v>82</v>
      </c>
      <c r="B151" s="1" t="s">
        <v>208</v>
      </c>
      <c r="C151" s="1" t="s">
        <v>79</v>
      </c>
      <c r="D151" t="s">
        <v>121</v>
      </c>
      <c r="E151" s="1" t="s">
        <v>121</v>
      </c>
      <c r="F151" t="s">
        <v>125</v>
      </c>
      <c r="G151" s="1" t="s">
        <v>129</v>
      </c>
      <c r="H151" t="s">
        <v>110</v>
      </c>
      <c r="I151" t="s">
        <v>64</v>
      </c>
      <c r="J151">
        <v>0</v>
      </c>
      <c r="K151">
        <v>0</v>
      </c>
    </row>
    <row r="152" spans="1:11" x14ac:dyDescent="0.3">
      <c r="A152" s="1" t="s">
        <v>82</v>
      </c>
      <c r="B152" s="1" t="s">
        <v>208</v>
      </c>
      <c r="C152" s="1" t="s">
        <v>79</v>
      </c>
      <c r="D152" t="s">
        <v>120</v>
      </c>
      <c r="E152" s="1" t="s">
        <v>120</v>
      </c>
      <c r="F152" t="s">
        <v>124</v>
      </c>
      <c r="G152" s="1" t="s">
        <v>129</v>
      </c>
      <c r="H152">
        <v>304</v>
      </c>
      <c r="I152" t="s">
        <v>61</v>
      </c>
      <c r="J152">
        <v>65436.630000000005</v>
      </c>
      <c r="K152">
        <v>39310.460000000021</v>
      </c>
    </row>
    <row r="153" spans="1:11" x14ac:dyDescent="0.3">
      <c r="A153" s="1" t="s">
        <v>82</v>
      </c>
      <c r="B153" s="1" t="s">
        <v>208</v>
      </c>
      <c r="C153" s="1" t="s">
        <v>79</v>
      </c>
      <c r="D153" t="s">
        <v>120</v>
      </c>
      <c r="E153" s="1" t="s">
        <v>120</v>
      </c>
      <c r="F153" t="s">
        <v>125</v>
      </c>
      <c r="G153" s="1" t="s">
        <v>133</v>
      </c>
      <c r="H153">
        <v>208</v>
      </c>
      <c r="I153" t="s">
        <v>36</v>
      </c>
      <c r="J153">
        <v>37750.979999999996</v>
      </c>
      <c r="K153">
        <v>43449.780000000072</v>
      </c>
    </row>
    <row r="154" spans="1:11" x14ac:dyDescent="0.3">
      <c r="A154" s="1" t="s">
        <v>82</v>
      </c>
      <c r="B154" s="1" t="s">
        <v>208</v>
      </c>
      <c r="C154" s="1" t="s">
        <v>79</v>
      </c>
      <c r="D154" t="s">
        <v>120</v>
      </c>
      <c r="E154" s="1" t="s">
        <v>120</v>
      </c>
      <c r="F154" t="s">
        <v>125</v>
      </c>
      <c r="G154" s="1" t="s">
        <v>133</v>
      </c>
      <c r="H154">
        <v>209</v>
      </c>
      <c r="I154" t="s">
        <v>35</v>
      </c>
      <c r="J154">
        <v>27844.91</v>
      </c>
      <c r="K154">
        <v>30904.429999999993</v>
      </c>
    </row>
    <row r="155" spans="1:11" x14ac:dyDescent="0.3">
      <c r="A155" s="1" t="s">
        <v>82</v>
      </c>
      <c r="B155" s="1" t="s">
        <v>208</v>
      </c>
      <c r="C155" s="1" t="s">
        <v>79</v>
      </c>
      <c r="D155" t="s">
        <v>120</v>
      </c>
      <c r="E155" s="1" t="s">
        <v>120</v>
      </c>
      <c r="F155" t="s">
        <v>125</v>
      </c>
      <c r="G155" s="1" t="s">
        <v>129</v>
      </c>
      <c r="H155">
        <v>202</v>
      </c>
      <c r="I155" t="s">
        <v>4</v>
      </c>
      <c r="J155">
        <v>82431.22</v>
      </c>
      <c r="K155">
        <v>36468.240000000027</v>
      </c>
    </row>
    <row r="156" spans="1:11" x14ac:dyDescent="0.3">
      <c r="A156" s="1" t="s">
        <v>82</v>
      </c>
      <c r="B156" s="1" t="s">
        <v>208</v>
      </c>
      <c r="C156" s="1" t="s">
        <v>79</v>
      </c>
      <c r="D156" t="s">
        <v>120</v>
      </c>
      <c r="E156" s="1" t="s">
        <v>120</v>
      </c>
      <c r="F156" t="s">
        <v>127</v>
      </c>
      <c r="G156" s="1" t="s">
        <v>133</v>
      </c>
      <c r="H156">
        <v>404</v>
      </c>
      <c r="I156" t="s">
        <v>15</v>
      </c>
      <c r="J156">
        <v>62443.349999999991</v>
      </c>
      <c r="K156">
        <v>28552.470000000008</v>
      </c>
    </row>
    <row r="157" spans="1:11" x14ac:dyDescent="0.3">
      <c r="A157" s="1" t="s">
        <v>82</v>
      </c>
      <c r="B157" s="1" t="s">
        <v>208</v>
      </c>
      <c r="C157" s="1" t="s">
        <v>79</v>
      </c>
      <c r="D157" t="s">
        <v>120</v>
      </c>
      <c r="E157" s="1" t="s">
        <v>119</v>
      </c>
      <c r="F157" t="s">
        <v>124</v>
      </c>
      <c r="G157" s="1" t="s">
        <v>129</v>
      </c>
      <c r="H157">
        <v>310</v>
      </c>
      <c r="I157" t="s">
        <v>63</v>
      </c>
      <c r="J157">
        <v>28290.12</v>
      </c>
      <c r="K157">
        <v>25786.319999999985</v>
      </c>
    </row>
    <row r="158" spans="1:11" x14ac:dyDescent="0.3">
      <c r="A158" s="1" t="s">
        <v>82</v>
      </c>
      <c r="B158" s="1" t="s">
        <v>208</v>
      </c>
      <c r="C158" s="1" t="s">
        <v>79</v>
      </c>
      <c r="D158" t="s">
        <v>120</v>
      </c>
      <c r="E158" s="1" t="s">
        <v>119</v>
      </c>
      <c r="F158" t="s">
        <v>125</v>
      </c>
      <c r="G158" s="1" t="s">
        <v>134</v>
      </c>
      <c r="H158">
        <v>206</v>
      </c>
      <c r="I158" t="s">
        <v>18</v>
      </c>
      <c r="J158">
        <v>71784.2</v>
      </c>
      <c r="K158">
        <v>72328.180000000022</v>
      </c>
    </row>
    <row r="159" spans="1:11" x14ac:dyDescent="0.3">
      <c r="A159" s="1" t="s">
        <v>82</v>
      </c>
      <c r="B159" s="1" t="s">
        <v>208</v>
      </c>
      <c r="C159" s="1" t="s">
        <v>79</v>
      </c>
      <c r="D159" t="s">
        <v>120</v>
      </c>
      <c r="E159" s="1" t="s">
        <v>119</v>
      </c>
      <c r="F159" t="s">
        <v>125</v>
      </c>
      <c r="G159" s="1" t="s">
        <v>129</v>
      </c>
      <c r="H159">
        <v>210</v>
      </c>
      <c r="I159" t="s">
        <v>2</v>
      </c>
      <c r="J159">
        <v>61354.80000000001</v>
      </c>
      <c r="K159">
        <v>45125.820000000007</v>
      </c>
    </row>
    <row r="160" spans="1:11" x14ac:dyDescent="0.3">
      <c r="A160" s="1" t="s">
        <v>82</v>
      </c>
      <c r="B160" s="1" t="s">
        <v>208</v>
      </c>
      <c r="C160" s="1" t="s">
        <v>79</v>
      </c>
      <c r="D160" t="s">
        <v>120</v>
      </c>
      <c r="E160" s="1" t="s">
        <v>119</v>
      </c>
      <c r="F160" t="s">
        <v>127</v>
      </c>
      <c r="G160" s="1" t="s">
        <v>131</v>
      </c>
      <c r="H160">
        <v>417</v>
      </c>
      <c r="I160" t="s">
        <v>54</v>
      </c>
      <c r="J160">
        <v>135813.31999999998</v>
      </c>
      <c r="K160">
        <v>70662.260000000068</v>
      </c>
    </row>
    <row r="161" spans="1:11" x14ac:dyDescent="0.3">
      <c r="A161" s="1" t="s">
        <v>82</v>
      </c>
      <c r="B161" s="1" t="s">
        <v>208</v>
      </c>
      <c r="C161" s="1" t="s">
        <v>79</v>
      </c>
      <c r="D161" t="s">
        <v>119</v>
      </c>
      <c r="E161" s="1" t="s">
        <v>120</v>
      </c>
      <c r="F161" t="s">
        <v>124</v>
      </c>
      <c r="G161" s="1" t="s">
        <v>129</v>
      </c>
      <c r="H161">
        <v>308</v>
      </c>
      <c r="I161" t="s">
        <v>0</v>
      </c>
      <c r="J161">
        <v>65997.010000000009</v>
      </c>
      <c r="K161">
        <v>34632.559999999998</v>
      </c>
    </row>
    <row r="162" spans="1:11" x14ac:dyDescent="0.3">
      <c r="A162" s="1" t="s">
        <v>82</v>
      </c>
      <c r="B162" s="1" t="s">
        <v>208</v>
      </c>
      <c r="C162" s="1" t="s">
        <v>79</v>
      </c>
      <c r="D162" t="s">
        <v>119</v>
      </c>
      <c r="E162" s="1" t="s">
        <v>120</v>
      </c>
      <c r="F162" t="s">
        <v>127</v>
      </c>
      <c r="G162" s="1" t="s">
        <v>132</v>
      </c>
      <c r="H162">
        <v>402</v>
      </c>
      <c r="I162" t="s">
        <v>9</v>
      </c>
      <c r="J162">
        <v>40478.03</v>
      </c>
      <c r="K162">
        <v>25309.83000000002</v>
      </c>
    </row>
    <row r="163" spans="1:11" x14ac:dyDescent="0.3">
      <c r="A163" s="1" t="s">
        <v>82</v>
      </c>
      <c r="B163" s="1" t="s">
        <v>208</v>
      </c>
      <c r="C163" s="1" t="s">
        <v>79</v>
      </c>
      <c r="D163" t="s">
        <v>119</v>
      </c>
      <c r="E163" s="1" t="s">
        <v>120</v>
      </c>
      <c r="F163" t="s">
        <v>127</v>
      </c>
      <c r="G163" s="1" t="s">
        <v>132</v>
      </c>
      <c r="H163">
        <v>406</v>
      </c>
      <c r="I163" t="s">
        <v>57</v>
      </c>
      <c r="J163">
        <v>33473.99</v>
      </c>
      <c r="K163">
        <v>21277.159999999996</v>
      </c>
    </row>
    <row r="164" spans="1:11" x14ac:dyDescent="0.3">
      <c r="A164" s="1" t="s">
        <v>82</v>
      </c>
      <c r="B164" s="1" t="s">
        <v>208</v>
      </c>
      <c r="C164" s="1" t="s">
        <v>79</v>
      </c>
      <c r="D164" t="s">
        <v>119</v>
      </c>
      <c r="E164" s="1" t="s">
        <v>120</v>
      </c>
      <c r="F164" t="s">
        <v>127</v>
      </c>
      <c r="G164" s="1" t="s">
        <v>132</v>
      </c>
      <c r="H164">
        <v>416</v>
      </c>
      <c r="I164" t="s">
        <v>66</v>
      </c>
      <c r="J164">
        <v>28596.979999999996</v>
      </c>
      <c r="K164">
        <v>20191.809999999998</v>
      </c>
    </row>
    <row r="165" spans="1:11" x14ac:dyDescent="0.3">
      <c r="A165" s="1" t="s">
        <v>82</v>
      </c>
      <c r="B165" s="1" t="s">
        <v>208</v>
      </c>
      <c r="C165" s="1" t="s">
        <v>79</v>
      </c>
      <c r="D165" t="s">
        <v>119</v>
      </c>
      <c r="E165" s="1" t="s">
        <v>120</v>
      </c>
      <c r="F165" t="s">
        <v>127</v>
      </c>
      <c r="G165" s="1" t="s">
        <v>135</v>
      </c>
      <c r="H165">
        <v>414</v>
      </c>
      <c r="I165" t="s">
        <v>65</v>
      </c>
      <c r="J165">
        <v>393786.55999999982</v>
      </c>
      <c r="K165">
        <v>294854.30999999959</v>
      </c>
    </row>
    <row r="166" spans="1:11" x14ac:dyDescent="0.3">
      <c r="A166" s="1" t="s">
        <v>82</v>
      </c>
      <c r="B166" s="1" t="s">
        <v>208</v>
      </c>
      <c r="C166" s="1" t="s">
        <v>79</v>
      </c>
      <c r="D166" t="s">
        <v>119</v>
      </c>
      <c r="E166" s="1" t="s">
        <v>119</v>
      </c>
      <c r="F166" t="s">
        <v>124</v>
      </c>
      <c r="G166" s="1" t="s">
        <v>131</v>
      </c>
      <c r="H166">
        <v>309</v>
      </c>
      <c r="I166" t="s">
        <v>52</v>
      </c>
      <c r="J166">
        <v>258667.21999999991</v>
      </c>
      <c r="K166">
        <v>199569.04000000039</v>
      </c>
    </row>
    <row r="167" spans="1:11" x14ac:dyDescent="0.3">
      <c r="A167" s="1" t="s">
        <v>82</v>
      </c>
      <c r="B167" s="1" t="s">
        <v>208</v>
      </c>
      <c r="C167" s="1" t="s">
        <v>79</v>
      </c>
      <c r="D167" t="s">
        <v>119</v>
      </c>
      <c r="E167" s="1" t="s">
        <v>119</v>
      </c>
      <c r="F167" t="s">
        <v>124</v>
      </c>
      <c r="G167" s="1" t="s">
        <v>130</v>
      </c>
      <c r="H167">
        <v>305</v>
      </c>
      <c r="I167" t="s">
        <v>6</v>
      </c>
      <c r="J167">
        <v>185107.82999999996</v>
      </c>
      <c r="K167">
        <v>134091.3500000005</v>
      </c>
    </row>
    <row r="168" spans="1:11" x14ac:dyDescent="0.3">
      <c r="A168" s="1" t="s">
        <v>82</v>
      </c>
      <c r="B168" s="1" t="s">
        <v>208</v>
      </c>
      <c r="C168" s="1" t="s">
        <v>79</v>
      </c>
      <c r="D168" t="s">
        <v>119</v>
      </c>
      <c r="E168" s="1" t="s">
        <v>119</v>
      </c>
      <c r="F168" t="s">
        <v>124</v>
      </c>
      <c r="G168" s="1" t="s">
        <v>134</v>
      </c>
      <c r="H168">
        <v>302</v>
      </c>
      <c r="I168" t="s">
        <v>32</v>
      </c>
      <c r="J168">
        <v>103397.8</v>
      </c>
      <c r="K168">
        <v>74960.180000000139</v>
      </c>
    </row>
    <row r="169" spans="1:11" x14ac:dyDescent="0.3">
      <c r="A169" s="1" t="s">
        <v>82</v>
      </c>
      <c r="B169" s="1" t="s">
        <v>208</v>
      </c>
      <c r="C169" s="1" t="s">
        <v>79</v>
      </c>
      <c r="D169" t="s">
        <v>119</v>
      </c>
      <c r="E169" s="1" t="s">
        <v>119</v>
      </c>
      <c r="F169" t="s">
        <v>124</v>
      </c>
      <c r="G169" s="1" t="s">
        <v>129</v>
      </c>
      <c r="H169">
        <v>301</v>
      </c>
      <c r="I169" t="s">
        <v>59</v>
      </c>
      <c r="J169">
        <v>71681.310000000012</v>
      </c>
      <c r="K169">
        <v>45949.160000000011</v>
      </c>
    </row>
    <row r="170" spans="1:11" x14ac:dyDescent="0.3">
      <c r="A170" s="1" t="s">
        <v>82</v>
      </c>
      <c r="B170" s="1" t="s">
        <v>208</v>
      </c>
      <c r="C170" s="1" t="s">
        <v>79</v>
      </c>
      <c r="D170" t="s">
        <v>119</v>
      </c>
      <c r="E170" s="1" t="s">
        <v>119</v>
      </c>
      <c r="F170" t="s">
        <v>124</v>
      </c>
      <c r="G170" s="1" t="s">
        <v>129</v>
      </c>
      <c r="H170">
        <v>311</v>
      </c>
      <c r="I170" t="s">
        <v>13</v>
      </c>
      <c r="J170">
        <v>56281.97</v>
      </c>
      <c r="K170">
        <v>39650.87000000001</v>
      </c>
    </row>
    <row r="171" spans="1:11" x14ac:dyDescent="0.3">
      <c r="A171" s="1" t="s">
        <v>82</v>
      </c>
      <c r="B171" s="1" t="s">
        <v>208</v>
      </c>
      <c r="C171" s="1" t="s">
        <v>79</v>
      </c>
      <c r="D171" t="s">
        <v>119</v>
      </c>
      <c r="E171" s="1" t="s">
        <v>119</v>
      </c>
      <c r="F171" t="s">
        <v>125</v>
      </c>
      <c r="G171" s="1" t="s">
        <v>131</v>
      </c>
      <c r="H171">
        <v>211</v>
      </c>
      <c r="I171" t="s">
        <v>8</v>
      </c>
      <c r="J171">
        <v>264480.37999999989</v>
      </c>
      <c r="K171">
        <v>187181.10000000027</v>
      </c>
    </row>
    <row r="172" spans="1:11" x14ac:dyDescent="0.3">
      <c r="A172" s="1" t="s">
        <v>82</v>
      </c>
      <c r="B172" s="1" t="s">
        <v>208</v>
      </c>
      <c r="C172" s="1" t="s">
        <v>79</v>
      </c>
      <c r="D172" t="s">
        <v>119</v>
      </c>
      <c r="E172" s="1" t="s">
        <v>119</v>
      </c>
      <c r="F172" t="s">
        <v>125</v>
      </c>
      <c r="G172" s="1" t="s">
        <v>130</v>
      </c>
      <c r="H172">
        <v>207</v>
      </c>
      <c r="I172" t="s">
        <v>53</v>
      </c>
      <c r="J172">
        <v>162671.88999999998</v>
      </c>
      <c r="K172">
        <v>129778.63000000009</v>
      </c>
    </row>
    <row r="173" spans="1:11" x14ac:dyDescent="0.3">
      <c r="A173" s="1" t="s">
        <v>82</v>
      </c>
      <c r="B173" s="1" t="s">
        <v>208</v>
      </c>
      <c r="C173" s="1" t="s">
        <v>79</v>
      </c>
      <c r="D173" t="s">
        <v>119</v>
      </c>
      <c r="E173" s="1" t="s">
        <v>119</v>
      </c>
      <c r="F173" t="s">
        <v>125</v>
      </c>
      <c r="G173" s="1" t="s">
        <v>133</v>
      </c>
      <c r="H173">
        <v>203</v>
      </c>
      <c r="I173" t="s">
        <v>60</v>
      </c>
      <c r="J173">
        <v>66753.17</v>
      </c>
      <c r="K173">
        <v>52962.640000000058</v>
      </c>
    </row>
    <row r="174" spans="1:11" x14ac:dyDescent="0.3">
      <c r="A174" s="1" t="s">
        <v>82</v>
      </c>
      <c r="B174" s="1" t="s">
        <v>208</v>
      </c>
      <c r="C174" s="1" t="s">
        <v>79</v>
      </c>
      <c r="D174" t="s">
        <v>119</v>
      </c>
      <c r="E174" s="1" t="s">
        <v>119</v>
      </c>
      <c r="F174" t="s">
        <v>125</v>
      </c>
      <c r="G174" s="1" t="s">
        <v>133</v>
      </c>
      <c r="H174">
        <v>212</v>
      </c>
      <c r="I174" t="s">
        <v>62</v>
      </c>
      <c r="J174">
        <v>74641.5</v>
      </c>
      <c r="K174">
        <v>60958.530000000057</v>
      </c>
    </row>
    <row r="175" spans="1:11" x14ac:dyDescent="0.3">
      <c r="A175" s="1" t="s">
        <v>82</v>
      </c>
      <c r="B175" s="1" t="s">
        <v>208</v>
      </c>
      <c r="C175" s="1" t="s">
        <v>79</v>
      </c>
      <c r="D175" t="s">
        <v>119</v>
      </c>
      <c r="E175" s="1" t="s">
        <v>119</v>
      </c>
      <c r="F175" t="s">
        <v>125</v>
      </c>
      <c r="G175" s="1" t="s">
        <v>134</v>
      </c>
      <c r="H175">
        <v>190</v>
      </c>
      <c r="I175" t="s">
        <v>42</v>
      </c>
      <c r="J175">
        <v>91716.42</v>
      </c>
      <c r="K175">
        <v>71233.460000000021</v>
      </c>
    </row>
    <row r="176" spans="1:11" x14ac:dyDescent="0.3">
      <c r="A176" s="1" t="s">
        <v>82</v>
      </c>
      <c r="B176" s="1" t="s">
        <v>208</v>
      </c>
      <c r="C176" s="1" t="s">
        <v>79</v>
      </c>
      <c r="D176" t="s">
        <v>119</v>
      </c>
      <c r="E176" s="1" t="s">
        <v>119</v>
      </c>
      <c r="F176" t="s">
        <v>125</v>
      </c>
      <c r="G176" s="1" t="s">
        <v>134</v>
      </c>
      <c r="H176">
        <v>214</v>
      </c>
      <c r="I176" t="s">
        <v>17</v>
      </c>
      <c r="J176">
        <v>77944.03</v>
      </c>
      <c r="K176">
        <v>70367.21000000005</v>
      </c>
    </row>
    <row r="177" spans="1:11" x14ac:dyDescent="0.3">
      <c r="A177" s="1" t="s">
        <v>82</v>
      </c>
      <c r="B177" s="1" t="s">
        <v>208</v>
      </c>
      <c r="C177" s="1" t="s">
        <v>79</v>
      </c>
      <c r="D177" t="s">
        <v>119</v>
      </c>
      <c r="E177" s="1" t="s">
        <v>119</v>
      </c>
      <c r="F177" t="s">
        <v>127</v>
      </c>
      <c r="G177" s="1" t="s">
        <v>130</v>
      </c>
      <c r="H177">
        <v>407</v>
      </c>
      <c r="I177" t="s">
        <v>34</v>
      </c>
      <c r="J177">
        <v>183938.62999999995</v>
      </c>
      <c r="K177">
        <v>114282.00000000022</v>
      </c>
    </row>
    <row r="178" spans="1:11" x14ac:dyDescent="0.3">
      <c r="A178" s="1" t="s">
        <v>82</v>
      </c>
      <c r="B178" s="1" t="s">
        <v>208</v>
      </c>
      <c r="C178" s="1" t="s">
        <v>79</v>
      </c>
      <c r="D178" t="s">
        <v>119</v>
      </c>
      <c r="E178" s="1" t="s">
        <v>119</v>
      </c>
      <c r="F178" t="s">
        <v>127</v>
      </c>
      <c r="G178" s="1" t="s">
        <v>130</v>
      </c>
      <c r="H178">
        <v>413</v>
      </c>
      <c r="I178" t="s">
        <v>14</v>
      </c>
      <c r="J178">
        <v>154824.17999999996</v>
      </c>
      <c r="K178">
        <v>131580.32000000024</v>
      </c>
    </row>
    <row r="179" spans="1:11" x14ac:dyDescent="0.3">
      <c r="A179" s="1" t="s">
        <v>82</v>
      </c>
      <c r="B179" s="1" t="s">
        <v>208</v>
      </c>
      <c r="C179" s="1" t="s">
        <v>79</v>
      </c>
      <c r="D179" t="s">
        <v>119</v>
      </c>
      <c r="E179" s="1" t="s">
        <v>119</v>
      </c>
      <c r="F179" t="s">
        <v>127</v>
      </c>
      <c r="G179" s="1" t="s">
        <v>133</v>
      </c>
      <c r="H179">
        <v>412</v>
      </c>
      <c r="I179" t="s">
        <v>11</v>
      </c>
      <c r="J179">
        <v>95374.809999999983</v>
      </c>
      <c r="K179">
        <v>52417.840000000011</v>
      </c>
    </row>
    <row r="180" spans="1:11" x14ac:dyDescent="0.3">
      <c r="A180" s="1" t="s">
        <v>82</v>
      </c>
      <c r="B180" s="1" t="s">
        <v>208</v>
      </c>
      <c r="C180" s="1" t="s">
        <v>79</v>
      </c>
      <c r="D180" t="s">
        <v>119</v>
      </c>
      <c r="E180" s="1" t="s">
        <v>119</v>
      </c>
      <c r="F180" t="s">
        <v>127</v>
      </c>
      <c r="G180" s="1" t="s">
        <v>134</v>
      </c>
      <c r="H180">
        <v>403</v>
      </c>
      <c r="I180" t="s">
        <v>12</v>
      </c>
      <c r="J180">
        <v>98046.69</v>
      </c>
      <c r="K180">
        <v>63137.770000000091</v>
      </c>
    </row>
    <row r="181" spans="1:11" x14ac:dyDescent="0.3">
      <c r="A181" s="1" t="s">
        <v>82</v>
      </c>
      <c r="B181" s="1" t="s">
        <v>208</v>
      </c>
      <c r="C181" s="1" t="s">
        <v>79</v>
      </c>
      <c r="D181" t="s">
        <v>119</v>
      </c>
      <c r="E181" s="1" t="s">
        <v>119</v>
      </c>
      <c r="F181" t="s">
        <v>127</v>
      </c>
      <c r="G181" s="1" t="s">
        <v>129</v>
      </c>
      <c r="H181">
        <v>409</v>
      </c>
      <c r="I181" t="s">
        <v>58</v>
      </c>
      <c r="J181">
        <v>75249.42</v>
      </c>
      <c r="K181">
        <v>36896.10000000002</v>
      </c>
    </row>
    <row r="182" spans="1:11" x14ac:dyDescent="0.3">
      <c r="A182" s="1" t="s">
        <v>82</v>
      </c>
      <c r="B182" s="1" t="s">
        <v>208</v>
      </c>
      <c r="C182" s="1" t="s">
        <v>79</v>
      </c>
      <c r="D182" t="s">
        <v>119</v>
      </c>
      <c r="E182" s="1" t="s">
        <v>119</v>
      </c>
      <c r="F182" t="s">
        <v>127</v>
      </c>
      <c r="G182" s="1" t="s">
        <v>132</v>
      </c>
      <c r="H182">
        <v>410</v>
      </c>
      <c r="I182" t="s">
        <v>40</v>
      </c>
      <c r="J182">
        <v>49498.53</v>
      </c>
      <c r="K182">
        <v>25026.009999999995</v>
      </c>
    </row>
    <row r="183" spans="1:11" x14ac:dyDescent="0.3">
      <c r="A183" s="1" t="s">
        <v>82</v>
      </c>
      <c r="B183" s="1" t="s">
        <v>208</v>
      </c>
      <c r="C183" s="1" t="s">
        <v>79</v>
      </c>
      <c r="D183" t="s">
        <v>119</v>
      </c>
      <c r="E183" s="1" t="s">
        <v>119</v>
      </c>
      <c r="F183" t="s">
        <v>126</v>
      </c>
      <c r="G183" s="1" t="s">
        <v>130</v>
      </c>
      <c r="H183">
        <v>101</v>
      </c>
      <c r="I183" t="s">
        <v>10</v>
      </c>
      <c r="J183">
        <v>169492.65999999997</v>
      </c>
      <c r="K183">
        <v>147056.85000000024</v>
      </c>
    </row>
    <row r="184" spans="1:11" x14ac:dyDescent="0.3">
      <c r="A184" s="1" t="s">
        <v>82</v>
      </c>
      <c r="B184" s="1" t="s">
        <v>208</v>
      </c>
      <c r="C184" s="1" t="s">
        <v>79</v>
      </c>
      <c r="D184" t="s">
        <v>119</v>
      </c>
      <c r="E184" s="1" t="s">
        <v>119</v>
      </c>
      <c r="F184" t="s">
        <v>126</v>
      </c>
      <c r="G184" s="1" t="s">
        <v>130</v>
      </c>
      <c r="H184">
        <v>150</v>
      </c>
      <c r="I184" t="s">
        <v>3</v>
      </c>
      <c r="J184">
        <v>149538.96</v>
      </c>
      <c r="K184">
        <v>131234.78000000026</v>
      </c>
    </row>
    <row r="185" spans="1:11" x14ac:dyDescent="0.3">
      <c r="A185" s="1" t="s">
        <v>82</v>
      </c>
      <c r="B185" s="1" t="s">
        <v>208</v>
      </c>
      <c r="C185" s="1" t="s">
        <v>79</v>
      </c>
      <c r="D185" t="s">
        <v>119</v>
      </c>
      <c r="E185" s="1" t="s">
        <v>119</v>
      </c>
      <c r="F185" t="s">
        <v>126</v>
      </c>
      <c r="G185" s="1" t="s">
        <v>134</v>
      </c>
      <c r="H185">
        <v>170</v>
      </c>
      <c r="I185" t="s">
        <v>56</v>
      </c>
      <c r="J185">
        <v>79433.39</v>
      </c>
      <c r="K185">
        <v>70847.560000000056</v>
      </c>
    </row>
    <row r="186" spans="1:11" x14ac:dyDescent="0.3">
      <c r="A186" s="1" t="s">
        <v>82</v>
      </c>
      <c r="B186" s="1" t="s">
        <v>208</v>
      </c>
      <c r="C186" s="1" t="s">
        <v>79</v>
      </c>
      <c r="D186" t="s">
        <v>119</v>
      </c>
      <c r="E186" s="1" t="s">
        <v>119</v>
      </c>
      <c r="F186" t="s">
        <v>126</v>
      </c>
      <c r="G186" s="1" t="s">
        <v>129</v>
      </c>
      <c r="H186">
        <v>131</v>
      </c>
      <c r="I186" t="s">
        <v>67</v>
      </c>
      <c r="J186">
        <v>49162.79</v>
      </c>
      <c r="K186">
        <v>40433.65</v>
      </c>
    </row>
    <row r="187" spans="1:11" x14ac:dyDescent="0.3">
      <c r="A187" s="1" t="s">
        <v>82</v>
      </c>
      <c r="B187" s="1" t="s">
        <v>208</v>
      </c>
      <c r="C187" s="1" t="s">
        <v>79</v>
      </c>
      <c r="D187" t="s">
        <v>119</v>
      </c>
      <c r="E187" s="1" t="s">
        <v>119</v>
      </c>
      <c r="F187" t="s">
        <v>126</v>
      </c>
      <c r="G187" s="1" t="s">
        <v>132</v>
      </c>
      <c r="H187">
        <v>151</v>
      </c>
      <c r="I187" t="s">
        <v>20</v>
      </c>
      <c r="J187">
        <v>43145.91</v>
      </c>
      <c r="K187">
        <v>37231.669999999991</v>
      </c>
    </row>
    <row r="188" spans="1:11" x14ac:dyDescent="0.3">
      <c r="A188" s="1" t="s">
        <v>82</v>
      </c>
      <c r="B188" s="1" t="s">
        <v>208</v>
      </c>
      <c r="C188" s="1" t="s">
        <v>92</v>
      </c>
      <c r="D188" t="s">
        <v>121</v>
      </c>
      <c r="E188" s="1" t="s">
        <v>121</v>
      </c>
      <c r="F188" t="s">
        <v>127</v>
      </c>
      <c r="G188" s="1" t="s">
        <v>136</v>
      </c>
      <c r="H188">
        <v>418</v>
      </c>
      <c r="I188" t="s">
        <v>44</v>
      </c>
      <c r="J188">
        <v>0</v>
      </c>
      <c r="K188">
        <v>44265.350000000042</v>
      </c>
    </row>
    <row r="189" spans="1:11" x14ac:dyDescent="0.3">
      <c r="A189" s="1" t="s">
        <v>82</v>
      </c>
      <c r="B189" s="1" t="s">
        <v>208</v>
      </c>
      <c r="C189" s="1" t="s">
        <v>92</v>
      </c>
      <c r="D189" t="s">
        <v>119</v>
      </c>
      <c r="E189" s="1" t="s">
        <v>122</v>
      </c>
      <c r="F189" t="s">
        <v>124</v>
      </c>
      <c r="G189" s="1" t="s">
        <v>136</v>
      </c>
      <c r="H189">
        <v>307</v>
      </c>
      <c r="I189" t="s">
        <v>19</v>
      </c>
      <c r="J189">
        <v>79525.039999999994</v>
      </c>
      <c r="K189">
        <v>83897.329999999973</v>
      </c>
    </row>
    <row r="190" spans="1:11" x14ac:dyDescent="0.3">
      <c r="A190" s="1" t="s">
        <v>82</v>
      </c>
      <c r="B190" s="1" t="s">
        <v>208</v>
      </c>
      <c r="C190" s="1" t="s">
        <v>92</v>
      </c>
      <c r="D190" t="s">
        <v>119</v>
      </c>
      <c r="E190" s="1" t="s">
        <v>122</v>
      </c>
      <c r="F190" t="s">
        <v>127</v>
      </c>
      <c r="G190" s="1" t="s">
        <v>136</v>
      </c>
      <c r="H190">
        <v>411</v>
      </c>
      <c r="I190" t="s">
        <v>43</v>
      </c>
      <c r="J190">
        <v>115610.05000000005</v>
      </c>
      <c r="K190">
        <v>104897.81000000011</v>
      </c>
    </row>
    <row r="191" spans="1:11" x14ac:dyDescent="0.3">
      <c r="A191" s="1" t="s">
        <v>82</v>
      </c>
      <c r="B191" s="1" t="s">
        <v>208</v>
      </c>
      <c r="C191" s="1" t="s">
        <v>92</v>
      </c>
      <c r="D191" t="s">
        <v>119</v>
      </c>
      <c r="E191" s="1" t="s">
        <v>120</v>
      </c>
      <c r="F191" t="s">
        <v>125</v>
      </c>
      <c r="G191" s="1" t="s">
        <v>136</v>
      </c>
      <c r="H191">
        <v>213</v>
      </c>
      <c r="I191" t="s">
        <v>49</v>
      </c>
      <c r="J191">
        <v>73968.37</v>
      </c>
      <c r="K191">
        <v>90810.529999999882</v>
      </c>
    </row>
    <row r="192" spans="1:11" x14ac:dyDescent="0.3">
      <c r="A192" s="1" t="s">
        <v>82</v>
      </c>
      <c r="B192" s="1" t="s">
        <v>208</v>
      </c>
      <c r="C192" s="1" t="s">
        <v>92</v>
      </c>
      <c r="D192" t="s">
        <v>119</v>
      </c>
      <c r="E192" s="1" t="s">
        <v>120</v>
      </c>
      <c r="F192" t="s">
        <v>127</v>
      </c>
      <c r="G192" s="1" t="s">
        <v>136</v>
      </c>
      <c r="H192">
        <v>415</v>
      </c>
      <c r="I192" t="s">
        <v>47</v>
      </c>
      <c r="J192">
        <v>79994.13</v>
      </c>
      <c r="K192">
        <v>85992.579999999973</v>
      </c>
    </row>
    <row r="193" spans="1:11" x14ac:dyDescent="0.3">
      <c r="A193" s="1" t="s">
        <v>82</v>
      </c>
      <c r="B193" s="1" t="s">
        <v>208</v>
      </c>
      <c r="C193" s="1" t="s">
        <v>92</v>
      </c>
      <c r="D193" t="s">
        <v>119</v>
      </c>
      <c r="E193" s="1" t="s">
        <v>119</v>
      </c>
      <c r="F193" t="s">
        <v>124</v>
      </c>
      <c r="G193" s="1" t="s">
        <v>136</v>
      </c>
      <c r="H193">
        <v>306</v>
      </c>
      <c r="I193" t="s">
        <v>51</v>
      </c>
      <c r="J193">
        <v>89902.73</v>
      </c>
      <c r="K193">
        <v>83176.169999999984</v>
      </c>
    </row>
    <row r="194" spans="1:11" x14ac:dyDescent="0.3">
      <c r="A194" s="1" t="s">
        <v>82</v>
      </c>
      <c r="B194" s="1" t="s">
        <v>208</v>
      </c>
      <c r="C194" s="1" t="s">
        <v>92</v>
      </c>
      <c r="D194" t="s">
        <v>119</v>
      </c>
      <c r="E194" s="1" t="s">
        <v>119</v>
      </c>
      <c r="F194" t="s">
        <v>125</v>
      </c>
      <c r="G194" s="1" t="s">
        <v>136</v>
      </c>
      <c r="H194">
        <v>201</v>
      </c>
      <c r="I194" t="s">
        <v>45</v>
      </c>
      <c r="J194">
        <v>66760.509999999995</v>
      </c>
      <c r="K194">
        <v>56650.459999999992</v>
      </c>
    </row>
    <row r="195" spans="1:11" x14ac:dyDescent="0.3">
      <c r="A195" s="1" t="s">
        <v>82</v>
      </c>
      <c r="B195" s="1" t="s">
        <v>208</v>
      </c>
      <c r="C195" s="1" t="s">
        <v>92</v>
      </c>
      <c r="D195" t="s">
        <v>119</v>
      </c>
      <c r="E195" s="1" t="s">
        <v>119</v>
      </c>
      <c r="F195" t="s">
        <v>125</v>
      </c>
      <c r="G195" s="1" t="s">
        <v>136</v>
      </c>
      <c r="H195">
        <v>204</v>
      </c>
      <c r="I195" t="s">
        <v>46</v>
      </c>
      <c r="J195">
        <v>70929.61</v>
      </c>
      <c r="K195">
        <v>70698.779999999941</v>
      </c>
    </row>
    <row r="196" spans="1:11" x14ac:dyDescent="0.3">
      <c r="A196" s="1" t="s">
        <v>82</v>
      </c>
      <c r="B196" s="1" t="s">
        <v>208</v>
      </c>
      <c r="C196" s="1" t="s">
        <v>92</v>
      </c>
      <c r="D196" t="s">
        <v>119</v>
      </c>
      <c r="E196" s="1" t="s">
        <v>119</v>
      </c>
      <c r="F196" t="s">
        <v>126</v>
      </c>
      <c r="G196" s="1" t="s">
        <v>136</v>
      </c>
      <c r="H196">
        <v>102</v>
      </c>
      <c r="I196" t="s">
        <v>50</v>
      </c>
      <c r="J196">
        <v>88293.419999999984</v>
      </c>
      <c r="K196">
        <v>86502.499999999956</v>
      </c>
    </row>
    <row r="197" spans="1:11" x14ac:dyDescent="0.3">
      <c r="A197" s="1" t="s">
        <v>82</v>
      </c>
      <c r="B197" s="1" t="s">
        <v>208</v>
      </c>
      <c r="C197" s="1" t="s">
        <v>93</v>
      </c>
      <c r="D197" t="s">
        <v>122</v>
      </c>
      <c r="E197" s="1" t="s">
        <v>122</v>
      </c>
      <c r="F197" t="s">
        <v>93</v>
      </c>
      <c r="G197" s="1" t="s">
        <v>93</v>
      </c>
      <c r="H197" t="s">
        <v>196</v>
      </c>
      <c r="I197" s="33" t="s">
        <v>38</v>
      </c>
      <c r="J197" s="33">
        <v>0</v>
      </c>
      <c r="K197" s="33">
        <v>0</v>
      </c>
    </row>
    <row r="198" spans="1:11" x14ac:dyDescent="0.3">
      <c r="A198" s="1" t="s">
        <v>82</v>
      </c>
      <c r="B198" s="1" t="s">
        <v>208</v>
      </c>
      <c r="C198" s="1" t="s">
        <v>93</v>
      </c>
      <c r="D198" t="s">
        <v>122</v>
      </c>
      <c r="E198" s="1" t="s">
        <v>122</v>
      </c>
      <c r="F198" t="s">
        <v>93</v>
      </c>
      <c r="G198" s="1" t="s">
        <v>93</v>
      </c>
      <c r="H198" t="s">
        <v>196</v>
      </c>
      <c r="I198" s="33" t="s">
        <v>39</v>
      </c>
      <c r="J198" s="33">
        <v>0</v>
      </c>
      <c r="K198" s="33">
        <v>0</v>
      </c>
    </row>
    <row r="199" spans="1:11" x14ac:dyDescent="0.3">
      <c r="A199" s="1" t="s">
        <v>82</v>
      </c>
      <c r="B199" s="1" t="s">
        <v>208</v>
      </c>
      <c r="C199" s="1" t="s">
        <v>93</v>
      </c>
      <c r="D199" t="s">
        <v>119</v>
      </c>
      <c r="E199" s="1" t="s">
        <v>119</v>
      </c>
      <c r="F199" t="s">
        <v>93</v>
      </c>
      <c r="G199" s="1" t="s">
        <v>93</v>
      </c>
      <c r="H199">
        <v>903</v>
      </c>
      <c r="I199" t="s">
        <v>37</v>
      </c>
      <c r="J199">
        <v>67526.439999999988</v>
      </c>
      <c r="K199">
        <v>63680.949999999983</v>
      </c>
    </row>
    <row r="200" spans="1:11" x14ac:dyDescent="0.3">
      <c r="A200" s="1" t="s">
        <v>82</v>
      </c>
      <c r="B200" s="1" t="s">
        <v>208</v>
      </c>
      <c r="C200" s="1" t="s">
        <v>94</v>
      </c>
      <c r="D200" t="s">
        <v>121</v>
      </c>
      <c r="E200" s="1" t="s">
        <v>121</v>
      </c>
      <c r="F200" t="s">
        <v>124</v>
      </c>
      <c r="G200" s="1" t="s">
        <v>137</v>
      </c>
      <c r="H200" t="s">
        <v>112</v>
      </c>
      <c r="I200" t="s">
        <v>21</v>
      </c>
      <c r="J200">
        <v>0</v>
      </c>
      <c r="K200">
        <v>0</v>
      </c>
    </row>
    <row r="201" spans="1:11" x14ac:dyDescent="0.3">
      <c r="A201" s="1" t="s">
        <v>82</v>
      </c>
      <c r="B201" s="1" t="s">
        <v>208</v>
      </c>
      <c r="C201" s="1" t="s">
        <v>94</v>
      </c>
      <c r="D201" t="s">
        <v>121</v>
      </c>
      <c r="E201" s="1" t="s">
        <v>121</v>
      </c>
      <c r="F201" t="s">
        <v>125</v>
      </c>
      <c r="G201" s="1" t="s">
        <v>138</v>
      </c>
      <c r="H201">
        <v>470</v>
      </c>
      <c r="I201" t="s">
        <v>26</v>
      </c>
      <c r="J201">
        <v>0</v>
      </c>
      <c r="K201">
        <v>0</v>
      </c>
    </row>
    <row r="202" spans="1:11" x14ac:dyDescent="0.3">
      <c r="A202" s="1" t="s">
        <v>82</v>
      </c>
      <c r="B202" s="1" t="s">
        <v>208</v>
      </c>
      <c r="C202" s="1" t="s">
        <v>94</v>
      </c>
      <c r="D202" t="s">
        <v>121</v>
      </c>
      <c r="E202" s="1" t="s">
        <v>121</v>
      </c>
      <c r="F202" t="s">
        <v>125</v>
      </c>
      <c r="G202" s="1" t="s">
        <v>137</v>
      </c>
      <c r="H202" t="s">
        <v>114</v>
      </c>
      <c r="I202" t="s">
        <v>23</v>
      </c>
      <c r="J202">
        <v>0</v>
      </c>
      <c r="K202">
        <v>0</v>
      </c>
    </row>
    <row r="203" spans="1:11" x14ac:dyDescent="0.3">
      <c r="A203" s="1" t="s">
        <v>82</v>
      </c>
      <c r="B203" s="1" t="s">
        <v>208</v>
      </c>
      <c r="C203" s="1" t="s">
        <v>94</v>
      </c>
      <c r="D203" t="s">
        <v>121</v>
      </c>
      <c r="E203" s="1" t="s">
        <v>121</v>
      </c>
      <c r="F203" t="s">
        <v>125</v>
      </c>
      <c r="G203" s="1" t="s">
        <v>137</v>
      </c>
      <c r="H203" t="s">
        <v>113</v>
      </c>
      <c r="I203" t="s">
        <v>22</v>
      </c>
      <c r="J203">
        <v>0</v>
      </c>
      <c r="K203">
        <v>0</v>
      </c>
    </row>
    <row r="204" spans="1:11" x14ac:dyDescent="0.3">
      <c r="A204" s="1" t="s">
        <v>82</v>
      </c>
      <c r="B204" s="1" t="s">
        <v>208</v>
      </c>
      <c r="C204" s="1" t="s">
        <v>94</v>
      </c>
      <c r="D204" t="s">
        <v>121</v>
      </c>
      <c r="E204" s="1" t="s">
        <v>121</v>
      </c>
      <c r="F204" t="s">
        <v>127</v>
      </c>
      <c r="G204" s="1" t="s">
        <v>137</v>
      </c>
      <c r="H204">
        <v>494</v>
      </c>
      <c r="I204" t="s">
        <v>25</v>
      </c>
      <c r="J204">
        <v>0</v>
      </c>
      <c r="K204">
        <v>0</v>
      </c>
    </row>
    <row r="205" spans="1:11" x14ac:dyDescent="0.3">
      <c r="A205" s="1" t="s">
        <v>82</v>
      </c>
      <c r="B205" s="1" t="s">
        <v>208</v>
      </c>
      <c r="C205" s="1" t="s">
        <v>94</v>
      </c>
      <c r="D205" t="s">
        <v>121</v>
      </c>
      <c r="E205" s="1" t="s">
        <v>121</v>
      </c>
      <c r="F205" t="s">
        <v>126</v>
      </c>
      <c r="G205" s="1" t="s">
        <v>137</v>
      </c>
      <c r="H205">
        <v>460</v>
      </c>
      <c r="I205" t="s">
        <v>30</v>
      </c>
      <c r="J205">
        <v>0</v>
      </c>
      <c r="K205">
        <v>0</v>
      </c>
    </row>
    <row r="206" spans="1:11" x14ac:dyDescent="0.3">
      <c r="A206" s="1" t="s">
        <v>82</v>
      </c>
      <c r="B206" s="1" t="s">
        <v>208</v>
      </c>
      <c r="C206" s="1" t="s">
        <v>94</v>
      </c>
      <c r="D206" t="s">
        <v>121</v>
      </c>
      <c r="E206" s="1" t="s">
        <v>121</v>
      </c>
      <c r="F206" t="s">
        <v>126</v>
      </c>
      <c r="G206" s="1" t="s">
        <v>137</v>
      </c>
      <c r="H206">
        <v>461</v>
      </c>
      <c r="I206" t="s">
        <v>29</v>
      </c>
      <c r="J206">
        <v>0</v>
      </c>
      <c r="K206">
        <v>0</v>
      </c>
    </row>
    <row r="207" spans="1:11" x14ac:dyDescent="0.3">
      <c r="A207" s="1" t="s">
        <v>82</v>
      </c>
      <c r="B207" s="1" t="s">
        <v>208</v>
      </c>
      <c r="C207" s="1" t="s">
        <v>94</v>
      </c>
      <c r="D207" t="s">
        <v>121</v>
      </c>
      <c r="E207" s="1" t="s">
        <v>119</v>
      </c>
      <c r="F207" t="s">
        <v>124</v>
      </c>
      <c r="G207" s="1" t="s">
        <v>138</v>
      </c>
      <c r="H207">
        <v>480</v>
      </c>
      <c r="I207" t="s">
        <v>28</v>
      </c>
      <c r="J207">
        <v>0</v>
      </c>
      <c r="K207">
        <v>30485.880000000008</v>
      </c>
    </row>
    <row r="208" spans="1:11" x14ac:dyDescent="0.3">
      <c r="A208" s="1" t="s">
        <v>82</v>
      </c>
      <c r="B208" s="1" t="s">
        <v>208</v>
      </c>
      <c r="C208" s="1" t="s">
        <v>94</v>
      </c>
      <c r="D208" t="s">
        <v>121</v>
      </c>
      <c r="E208" s="1" t="s">
        <v>119</v>
      </c>
      <c r="F208" t="s">
        <v>127</v>
      </c>
      <c r="G208" s="1" t="s">
        <v>138</v>
      </c>
      <c r="H208">
        <v>491</v>
      </c>
      <c r="I208" t="s">
        <v>31</v>
      </c>
      <c r="J208">
        <v>0</v>
      </c>
      <c r="K208">
        <v>68869.800000000105</v>
      </c>
    </row>
    <row r="209" spans="1:11" x14ac:dyDescent="0.3">
      <c r="A209" s="1" t="s">
        <v>82</v>
      </c>
      <c r="B209" s="1" t="s">
        <v>208</v>
      </c>
      <c r="C209" s="1" t="s">
        <v>94</v>
      </c>
      <c r="D209" t="s">
        <v>121</v>
      </c>
      <c r="E209" s="1" t="s">
        <v>119</v>
      </c>
      <c r="F209" t="s">
        <v>127</v>
      </c>
      <c r="G209" s="1" t="s">
        <v>138</v>
      </c>
      <c r="H209">
        <v>492</v>
      </c>
      <c r="I209" t="s">
        <v>27</v>
      </c>
      <c r="J209">
        <v>0</v>
      </c>
      <c r="K209">
        <v>47374.460000000028</v>
      </c>
    </row>
    <row r="210" spans="1:11" x14ac:dyDescent="0.3">
      <c r="A210" s="1" t="s">
        <v>82</v>
      </c>
      <c r="B210" s="1" t="s">
        <v>208</v>
      </c>
      <c r="C210" s="1" t="s">
        <v>94</v>
      </c>
      <c r="D210" t="s">
        <v>121</v>
      </c>
      <c r="E210" s="1" t="s">
        <v>119</v>
      </c>
      <c r="F210" t="s">
        <v>127</v>
      </c>
      <c r="G210" s="1" t="s">
        <v>138</v>
      </c>
      <c r="H210">
        <v>493</v>
      </c>
      <c r="I210" t="s">
        <v>24</v>
      </c>
      <c r="J210">
        <v>0</v>
      </c>
      <c r="K210">
        <v>33652.250000000015</v>
      </c>
    </row>
    <row r="211" spans="1:11" x14ac:dyDescent="0.3">
      <c r="A211" s="1" t="s">
        <v>82</v>
      </c>
      <c r="B211" s="1" t="s">
        <v>208</v>
      </c>
      <c r="C211" s="1" t="s">
        <v>95</v>
      </c>
      <c r="D211" t="s">
        <v>121</v>
      </c>
      <c r="E211" s="1" t="s">
        <v>121</v>
      </c>
      <c r="F211" t="s">
        <v>126</v>
      </c>
      <c r="G211" s="1" t="s">
        <v>139</v>
      </c>
      <c r="H211">
        <v>510</v>
      </c>
      <c r="I211" t="s">
        <v>76</v>
      </c>
      <c r="J211">
        <v>0</v>
      </c>
      <c r="K211">
        <v>0</v>
      </c>
    </row>
    <row r="212" spans="1:11" x14ac:dyDescent="0.3">
      <c r="A212" s="1" t="s">
        <v>82</v>
      </c>
      <c r="B212" s="1" t="s">
        <v>208</v>
      </c>
      <c r="C212" s="1" t="s">
        <v>95</v>
      </c>
      <c r="D212" t="s">
        <v>121</v>
      </c>
      <c r="E212" s="1" t="s">
        <v>119</v>
      </c>
      <c r="F212" t="s">
        <v>127</v>
      </c>
      <c r="G212" s="1" t="s">
        <v>140</v>
      </c>
      <c r="H212">
        <v>541</v>
      </c>
      <c r="I212" t="s">
        <v>74</v>
      </c>
      <c r="J212">
        <v>0</v>
      </c>
      <c r="K212">
        <v>30628.42</v>
      </c>
    </row>
    <row r="213" spans="1:11" x14ac:dyDescent="0.3">
      <c r="A213" s="1" t="s">
        <v>82</v>
      </c>
      <c r="B213" s="1" t="s">
        <v>208</v>
      </c>
      <c r="C213" s="1" t="s">
        <v>95</v>
      </c>
      <c r="D213" t="s">
        <v>121</v>
      </c>
      <c r="E213" s="1" t="s">
        <v>119</v>
      </c>
      <c r="F213" t="s">
        <v>127</v>
      </c>
      <c r="G213" s="1" t="s">
        <v>140</v>
      </c>
      <c r="H213">
        <v>543</v>
      </c>
      <c r="I213" t="s">
        <v>72</v>
      </c>
      <c r="J213">
        <v>43786.07</v>
      </c>
      <c r="K213">
        <v>32226.839999999982</v>
      </c>
    </row>
    <row r="214" spans="1:11" x14ac:dyDescent="0.3">
      <c r="A214" s="1" t="s">
        <v>82</v>
      </c>
      <c r="B214" s="1" t="s">
        <v>208</v>
      </c>
      <c r="C214" s="1" t="s">
        <v>95</v>
      </c>
      <c r="D214" t="s">
        <v>120</v>
      </c>
      <c r="E214" s="1" t="s">
        <v>119</v>
      </c>
      <c r="F214" t="s">
        <v>127</v>
      </c>
      <c r="G214" s="1" t="s">
        <v>140</v>
      </c>
      <c r="H214">
        <v>540</v>
      </c>
      <c r="I214" t="s">
        <v>73</v>
      </c>
      <c r="J214">
        <v>60628.57</v>
      </c>
      <c r="K214">
        <v>92592.190000000031</v>
      </c>
    </row>
    <row r="215" spans="1:11" x14ac:dyDescent="0.3">
      <c r="A215" s="1" t="s">
        <v>82</v>
      </c>
      <c r="B215" s="1" t="s">
        <v>208</v>
      </c>
      <c r="C215" s="1" t="s">
        <v>95</v>
      </c>
      <c r="D215" t="s">
        <v>119</v>
      </c>
      <c r="E215" s="1" t="s">
        <v>120</v>
      </c>
      <c r="F215" t="s">
        <v>124</v>
      </c>
      <c r="G215" s="1" t="s">
        <v>139</v>
      </c>
      <c r="H215">
        <v>530</v>
      </c>
      <c r="I215" t="s">
        <v>68</v>
      </c>
      <c r="J215">
        <v>33643.31</v>
      </c>
      <c r="K215">
        <v>31271.01</v>
      </c>
    </row>
    <row r="216" spans="1:11" x14ac:dyDescent="0.3">
      <c r="A216" s="1" t="s">
        <v>82</v>
      </c>
      <c r="B216" s="1" t="s">
        <v>208</v>
      </c>
      <c r="C216" s="1" t="s">
        <v>95</v>
      </c>
      <c r="D216" t="s">
        <v>119</v>
      </c>
      <c r="E216" s="1" t="s">
        <v>119</v>
      </c>
      <c r="F216" t="s">
        <v>125</v>
      </c>
      <c r="G216" s="1" t="s">
        <v>140</v>
      </c>
      <c r="H216">
        <v>520</v>
      </c>
      <c r="I216" t="s">
        <v>70</v>
      </c>
      <c r="J216">
        <v>57122.549999999996</v>
      </c>
      <c r="K216">
        <v>40448.200000000012</v>
      </c>
    </row>
    <row r="217" spans="1:11" x14ac:dyDescent="0.3">
      <c r="A217" s="2" t="s">
        <v>82</v>
      </c>
      <c r="B217" s="1" t="s">
        <v>208</v>
      </c>
      <c r="C217" s="1" t="s">
        <v>95</v>
      </c>
      <c r="D217" t="s">
        <v>119</v>
      </c>
      <c r="E217" s="1" t="s">
        <v>119</v>
      </c>
      <c r="F217" t="s">
        <v>127</v>
      </c>
      <c r="G217" s="1" t="s">
        <v>139</v>
      </c>
      <c r="H217">
        <v>542</v>
      </c>
      <c r="I217" t="s">
        <v>69</v>
      </c>
      <c r="J217">
        <v>37355.96</v>
      </c>
      <c r="K217">
        <v>20438.900000000009</v>
      </c>
    </row>
    <row r="218" spans="1:11" x14ac:dyDescent="0.3">
      <c r="A218" s="1" t="s">
        <v>83</v>
      </c>
      <c r="B218" s="1" t="s">
        <v>208</v>
      </c>
      <c r="C218" s="1" t="s">
        <v>79</v>
      </c>
      <c r="D218" t="s">
        <v>122</v>
      </c>
      <c r="E218" s="1" t="s">
        <v>122</v>
      </c>
      <c r="F218" t="s">
        <v>124</v>
      </c>
      <c r="G218" s="1" t="s">
        <v>129</v>
      </c>
      <c r="H218" t="s">
        <v>196</v>
      </c>
      <c r="I218" t="s">
        <v>1</v>
      </c>
      <c r="J218">
        <v>0</v>
      </c>
      <c r="K218">
        <v>0</v>
      </c>
    </row>
    <row r="219" spans="1:11" x14ac:dyDescent="0.3">
      <c r="A219" s="1" t="s">
        <v>83</v>
      </c>
      <c r="B219" s="1" t="s">
        <v>208</v>
      </c>
      <c r="C219" s="1" t="s">
        <v>79</v>
      </c>
      <c r="D219" t="s">
        <v>122</v>
      </c>
      <c r="E219" s="1" t="s">
        <v>122</v>
      </c>
      <c r="F219" t="s">
        <v>125</v>
      </c>
      <c r="G219" s="1" t="s">
        <v>129</v>
      </c>
      <c r="H219" t="s">
        <v>196</v>
      </c>
      <c r="I219" t="s">
        <v>7</v>
      </c>
      <c r="J219">
        <v>0</v>
      </c>
      <c r="K219">
        <v>0</v>
      </c>
    </row>
    <row r="220" spans="1:11" x14ac:dyDescent="0.3">
      <c r="A220" s="1" t="s">
        <v>83</v>
      </c>
      <c r="B220" s="1" t="s">
        <v>208</v>
      </c>
      <c r="C220" s="1" t="s">
        <v>79</v>
      </c>
      <c r="D220" t="s">
        <v>122</v>
      </c>
      <c r="E220" s="1" t="s">
        <v>122</v>
      </c>
      <c r="F220" t="s">
        <v>127</v>
      </c>
      <c r="G220" s="1" t="s">
        <v>129</v>
      </c>
      <c r="H220" t="s">
        <v>196</v>
      </c>
      <c r="I220" t="s">
        <v>5</v>
      </c>
      <c r="J220">
        <v>0</v>
      </c>
      <c r="K220">
        <v>0</v>
      </c>
    </row>
    <row r="221" spans="1:11" x14ac:dyDescent="0.3">
      <c r="A221" s="1" t="s">
        <v>83</v>
      </c>
      <c r="B221" s="1" t="s">
        <v>208</v>
      </c>
      <c r="C221" s="1" t="s">
        <v>79</v>
      </c>
      <c r="D221" t="s">
        <v>122</v>
      </c>
      <c r="E221" s="1" t="s">
        <v>122</v>
      </c>
      <c r="F221" t="s">
        <v>127</v>
      </c>
      <c r="G221" s="1" t="s">
        <v>122</v>
      </c>
      <c r="H221" t="s">
        <v>196</v>
      </c>
      <c r="I221" t="s">
        <v>33</v>
      </c>
      <c r="J221">
        <v>11816.560000000001</v>
      </c>
      <c r="K221">
        <v>0</v>
      </c>
    </row>
    <row r="222" spans="1:11" x14ac:dyDescent="0.3">
      <c r="A222" s="1" t="s">
        <v>83</v>
      </c>
      <c r="B222" s="1" t="s">
        <v>208</v>
      </c>
      <c r="C222" s="1" t="s">
        <v>79</v>
      </c>
      <c r="D222" t="s">
        <v>122</v>
      </c>
      <c r="E222" s="1" t="s">
        <v>122</v>
      </c>
      <c r="F222" t="s">
        <v>126</v>
      </c>
      <c r="G222" s="1" t="s">
        <v>122</v>
      </c>
      <c r="H222" t="s">
        <v>196</v>
      </c>
      <c r="I222" s="33" t="s">
        <v>55</v>
      </c>
      <c r="J222" s="33">
        <v>0</v>
      </c>
      <c r="K222" s="33">
        <v>0</v>
      </c>
    </row>
    <row r="223" spans="1:11" x14ac:dyDescent="0.3">
      <c r="A223" s="1" t="s">
        <v>83</v>
      </c>
      <c r="B223" s="1" t="s">
        <v>208</v>
      </c>
      <c r="C223" s="1" t="s">
        <v>79</v>
      </c>
      <c r="D223" t="s">
        <v>121</v>
      </c>
      <c r="E223" s="1" t="s">
        <v>121</v>
      </c>
      <c r="F223" t="s">
        <v>125</v>
      </c>
      <c r="G223" s="1" t="s">
        <v>129</v>
      </c>
      <c r="H223" t="s">
        <v>110</v>
      </c>
      <c r="I223" t="s">
        <v>64</v>
      </c>
      <c r="J223">
        <v>0</v>
      </c>
      <c r="K223">
        <v>0</v>
      </c>
    </row>
    <row r="224" spans="1:11" x14ac:dyDescent="0.3">
      <c r="A224" s="1" t="s">
        <v>83</v>
      </c>
      <c r="B224" s="1" t="s">
        <v>208</v>
      </c>
      <c r="C224" s="1" t="s">
        <v>79</v>
      </c>
      <c r="D224" t="s">
        <v>120</v>
      </c>
      <c r="E224" s="1" t="s">
        <v>120</v>
      </c>
      <c r="F224" t="s">
        <v>124</v>
      </c>
      <c r="G224" s="1" t="s">
        <v>129</v>
      </c>
      <c r="H224">
        <v>304</v>
      </c>
      <c r="I224" t="s">
        <v>61</v>
      </c>
      <c r="J224">
        <v>46825.189999999988</v>
      </c>
      <c r="K224">
        <v>34484.340000000018</v>
      </c>
    </row>
    <row r="225" spans="1:11" x14ac:dyDescent="0.3">
      <c r="A225" s="1" t="s">
        <v>83</v>
      </c>
      <c r="B225" s="1" t="s">
        <v>208</v>
      </c>
      <c r="C225" s="1" t="s">
        <v>79</v>
      </c>
      <c r="D225" t="s">
        <v>120</v>
      </c>
      <c r="E225" s="1" t="s">
        <v>120</v>
      </c>
      <c r="F225" t="s">
        <v>125</v>
      </c>
      <c r="G225" s="1" t="s">
        <v>133</v>
      </c>
      <c r="H225">
        <v>208</v>
      </c>
      <c r="I225" t="s">
        <v>36</v>
      </c>
      <c r="J225">
        <v>27580.329999999998</v>
      </c>
      <c r="K225">
        <v>36329.149999999987</v>
      </c>
    </row>
    <row r="226" spans="1:11" x14ac:dyDescent="0.3">
      <c r="A226" s="1" t="s">
        <v>83</v>
      </c>
      <c r="B226" s="1" t="s">
        <v>208</v>
      </c>
      <c r="C226" s="1" t="s">
        <v>79</v>
      </c>
      <c r="D226" t="s">
        <v>120</v>
      </c>
      <c r="E226" s="1" t="s">
        <v>120</v>
      </c>
      <c r="F226" t="s">
        <v>125</v>
      </c>
      <c r="G226" s="1" t="s">
        <v>133</v>
      </c>
      <c r="H226">
        <v>209</v>
      </c>
      <c r="I226" t="s">
        <v>35</v>
      </c>
      <c r="J226">
        <v>16661.02</v>
      </c>
      <c r="K226">
        <v>24529.670000000002</v>
      </c>
    </row>
    <row r="227" spans="1:11" x14ac:dyDescent="0.3">
      <c r="A227" s="1" t="s">
        <v>83</v>
      </c>
      <c r="B227" s="1" t="s">
        <v>208</v>
      </c>
      <c r="C227" s="1" t="s">
        <v>79</v>
      </c>
      <c r="D227" t="s">
        <v>120</v>
      </c>
      <c r="E227" s="1" t="s">
        <v>120</v>
      </c>
      <c r="F227" t="s">
        <v>125</v>
      </c>
      <c r="G227" s="1" t="s">
        <v>129</v>
      </c>
      <c r="H227">
        <v>202</v>
      </c>
      <c r="I227" t="s">
        <v>4</v>
      </c>
      <c r="J227">
        <v>71834.69</v>
      </c>
      <c r="K227">
        <v>0</v>
      </c>
    </row>
    <row r="228" spans="1:11" x14ac:dyDescent="0.3">
      <c r="A228" s="1" t="s">
        <v>83</v>
      </c>
      <c r="B228" s="1" t="s">
        <v>208</v>
      </c>
      <c r="C228" s="1" t="s">
        <v>79</v>
      </c>
      <c r="D228" t="s">
        <v>120</v>
      </c>
      <c r="E228" s="1" t="s">
        <v>120</v>
      </c>
      <c r="F228" t="s">
        <v>127</v>
      </c>
      <c r="G228" s="1" t="s">
        <v>133</v>
      </c>
      <c r="H228">
        <v>404</v>
      </c>
      <c r="I228" t="s">
        <v>15</v>
      </c>
      <c r="J228">
        <v>26856.27</v>
      </c>
      <c r="K228">
        <v>31541.330000000016</v>
      </c>
    </row>
    <row r="229" spans="1:11" x14ac:dyDescent="0.3">
      <c r="A229" s="1" t="s">
        <v>83</v>
      </c>
      <c r="B229" s="1" t="s">
        <v>208</v>
      </c>
      <c r="C229" s="1" t="s">
        <v>79</v>
      </c>
      <c r="D229" t="s">
        <v>120</v>
      </c>
      <c r="E229" s="1" t="s">
        <v>119</v>
      </c>
      <c r="F229" t="s">
        <v>124</v>
      </c>
      <c r="G229" s="1" t="s">
        <v>129</v>
      </c>
      <c r="H229">
        <v>310</v>
      </c>
      <c r="I229" t="s">
        <v>63</v>
      </c>
      <c r="J229">
        <v>16588.64</v>
      </c>
      <c r="K229">
        <v>19757.370000000003</v>
      </c>
    </row>
    <row r="230" spans="1:11" x14ac:dyDescent="0.3">
      <c r="A230" s="1" t="s">
        <v>83</v>
      </c>
      <c r="B230" s="1" t="s">
        <v>208</v>
      </c>
      <c r="C230" s="1" t="s">
        <v>79</v>
      </c>
      <c r="D230" t="s">
        <v>120</v>
      </c>
      <c r="E230" s="1" t="s">
        <v>119</v>
      </c>
      <c r="F230" t="s">
        <v>125</v>
      </c>
      <c r="G230" s="1" t="s">
        <v>134</v>
      </c>
      <c r="H230">
        <v>206</v>
      </c>
      <c r="I230" t="s">
        <v>18</v>
      </c>
      <c r="J230">
        <v>6769.6299999999992</v>
      </c>
      <c r="K230">
        <v>68187.250000000029</v>
      </c>
    </row>
    <row r="231" spans="1:11" x14ac:dyDescent="0.3">
      <c r="A231" s="1" t="s">
        <v>83</v>
      </c>
      <c r="B231" s="1" t="s">
        <v>208</v>
      </c>
      <c r="C231" s="1" t="s">
        <v>79</v>
      </c>
      <c r="D231" t="s">
        <v>120</v>
      </c>
      <c r="E231" s="1" t="s">
        <v>119</v>
      </c>
      <c r="F231" t="s">
        <v>125</v>
      </c>
      <c r="G231" s="1" t="s">
        <v>129</v>
      </c>
      <c r="H231">
        <v>210</v>
      </c>
      <c r="I231" t="s">
        <v>2</v>
      </c>
      <c r="J231">
        <v>39916.97</v>
      </c>
      <c r="K231">
        <v>45550.8</v>
      </c>
    </row>
    <row r="232" spans="1:11" x14ac:dyDescent="0.3">
      <c r="A232" s="1" t="s">
        <v>83</v>
      </c>
      <c r="B232" s="1" t="s">
        <v>208</v>
      </c>
      <c r="C232" s="1" t="s">
        <v>79</v>
      </c>
      <c r="D232" t="s">
        <v>120</v>
      </c>
      <c r="E232" s="1" t="s">
        <v>119</v>
      </c>
      <c r="F232" t="s">
        <v>127</v>
      </c>
      <c r="G232" s="1" t="s">
        <v>131</v>
      </c>
      <c r="H232">
        <v>417</v>
      </c>
      <c r="I232" t="s">
        <v>54</v>
      </c>
      <c r="J232">
        <v>79092.889999999985</v>
      </c>
      <c r="K232">
        <v>65650.790000000066</v>
      </c>
    </row>
    <row r="233" spans="1:11" x14ac:dyDescent="0.3">
      <c r="A233" s="1" t="s">
        <v>83</v>
      </c>
      <c r="B233" s="1" t="s">
        <v>208</v>
      </c>
      <c r="C233" s="1" t="s">
        <v>79</v>
      </c>
      <c r="D233" t="s">
        <v>119</v>
      </c>
      <c r="E233" s="1" t="s">
        <v>120</v>
      </c>
      <c r="F233" t="s">
        <v>124</v>
      </c>
      <c r="G233" s="1" t="s">
        <v>129</v>
      </c>
      <c r="H233">
        <v>308</v>
      </c>
      <c r="I233" t="s">
        <v>0</v>
      </c>
      <c r="J233">
        <v>31016.370000000003</v>
      </c>
      <c r="K233">
        <v>32993.700000000033</v>
      </c>
    </row>
    <row r="234" spans="1:11" x14ac:dyDescent="0.3">
      <c r="A234" s="1" t="s">
        <v>83</v>
      </c>
      <c r="B234" s="1" t="s">
        <v>208</v>
      </c>
      <c r="C234" s="1" t="s">
        <v>79</v>
      </c>
      <c r="D234" t="s">
        <v>119</v>
      </c>
      <c r="E234" s="1" t="s">
        <v>120</v>
      </c>
      <c r="F234" t="s">
        <v>127</v>
      </c>
      <c r="G234" s="1" t="s">
        <v>132</v>
      </c>
      <c r="H234">
        <v>402</v>
      </c>
      <c r="I234" t="s">
        <v>9</v>
      </c>
      <c r="J234">
        <v>20820.219999999998</v>
      </c>
      <c r="K234">
        <v>22165.96</v>
      </c>
    </row>
    <row r="235" spans="1:11" x14ac:dyDescent="0.3">
      <c r="A235" s="1" t="s">
        <v>83</v>
      </c>
      <c r="B235" s="1" t="s">
        <v>208</v>
      </c>
      <c r="C235" s="1" t="s">
        <v>79</v>
      </c>
      <c r="D235" t="s">
        <v>119</v>
      </c>
      <c r="E235" s="1" t="s">
        <v>120</v>
      </c>
      <c r="F235" t="s">
        <v>127</v>
      </c>
      <c r="G235" s="1" t="s">
        <v>132</v>
      </c>
      <c r="H235">
        <v>406</v>
      </c>
      <c r="I235" t="s">
        <v>57</v>
      </c>
      <c r="J235">
        <v>15001.33</v>
      </c>
      <c r="K235">
        <v>17232.180000000008</v>
      </c>
    </row>
    <row r="236" spans="1:11" x14ac:dyDescent="0.3">
      <c r="A236" s="1" t="s">
        <v>83</v>
      </c>
      <c r="B236" s="1" t="s">
        <v>208</v>
      </c>
      <c r="C236" s="1" t="s">
        <v>79</v>
      </c>
      <c r="D236" t="s">
        <v>119</v>
      </c>
      <c r="E236" s="1" t="s">
        <v>120</v>
      </c>
      <c r="F236" t="s">
        <v>127</v>
      </c>
      <c r="G236" s="1" t="s">
        <v>132</v>
      </c>
      <c r="H236">
        <v>416</v>
      </c>
      <c r="I236" t="s">
        <v>66</v>
      </c>
      <c r="J236">
        <v>7943.71</v>
      </c>
      <c r="K236">
        <v>16977.440000000002</v>
      </c>
    </row>
    <row r="237" spans="1:11" x14ac:dyDescent="0.3">
      <c r="A237" s="1" t="s">
        <v>83</v>
      </c>
      <c r="B237" s="1" t="s">
        <v>208</v>
      </c>
      <c r="C237" s="1" t="s">
        <v>79</v>
      </c>
      <c r="D237" t="s">
        <v>119</v>
      </c>
      <c r="E237" s="1" t="s">
        <v>120</v>
      </c>
      <c r="F237" t="s">
        <v>127</v>
      </c>
      <c r="G237" s="1" t="s">
        <v>135</v>
      </c>
      <c r="H237">
        <v>414</v>
      </c>
      <c r="I237" t="s">
        <v>65</v>
      </c>
      <c r="J237">
        <v>255730.62999999995</v>
      </c>
      <c r="K237">
        <v>265827.98999999964</v>
      </c>
    </row>
    <row r="238" spans="1:11" x14ac:dyDescent="0.3">
      <c r="A238" s="1" t="s">
        <v>83</v>
      </c>
      <c r="B238" s="1" t="s">
        <v>208</v>
      </c>
      <c r="C238" s="1" t="s">
        <v>79</v>
      </c>
      <c r="D238" t="s">
        <v>119</v>
      </c>
      <c r="E238" s="1" t="s">
        <v>119</v>
      </c>
      <c r="F238" t="s">
        <v>124</v>
      </c>
      <c r="G238" s="1" t="s">
        <v>131</v>
      </c>
      <c r="H238">
        <v>309</v>
      </c>
      <c r="I238" t="s">
        <v>52</v>
      </c>
      <c r="J238">
        <v>151188.6</v>
      </c>
      <c r="K238">
        <v>159987.30000000022</v>
      </c>
    </row>
    <row r="239" spans="1:11" x14ac:dyDescent="0.3">
      <c r="A239" s="1" t="s">
        <v>83</v>
      </c>
      <c r="B239" s="1" t="s">
        <v>208</v>
      </c>
      <c r="C239" s="1" t="s">
        <v>79</v>
      </c>
      <c r="D239" t="s">
        <v>119</v>
      </c>
      <c r="E239" s="1" t="s">
        <v>119</v>
      </c>
      <c r="F239" t="s">
        <v>124</v>
      </c>
      <c r="G239" s="1" t="s">
        <v>130</v>
      </c>
      <c r="H239">
        <v>305</v>
      </c>
      <c r="I239" t="s">
        <v>6</v>
      </c>
      <c r="J239">
        <v>97141.309999999969</v>
      </c>
      <c r="K239">
        <v>113550.52000000014</v>
      </c>
    </row>
    <row r="240" spans="1:11" x14ac:dyDescent="0.3">
      <c r="A240" s="1" t="s">
        <v>83</v>
      </c>
      <c r="B240" s="1" t="s">
        <v>208</v>
      </c>
      <c r="C240" s="1" t="s">
        <v>79</v>
      </c>
      <c r="D240" t="s">
        <v>119</v>
      </c>
      <c r="E240" s="1" t="s">
        <v>119</v>
      </c>
      <c r="F240" t="s">
        <v>124</v>
      </c>
      <c r="G240" s="1" t="s">
        <v>134</v>
      </c>
      <c r="H240">
        <v>302</v>
      </c>
      <c r="I240" t="s">
        <v>32</v>
      </c>
      <c r="J240">
        <v>57155.1</v>
      </c>
      <c r="K240">
        <v>61373.680000000066</v>
      </c>
    </row>
    <row r="241" spans="1:11" x14ac:dyDescent="0.3">
      <c r="A241" s="1" t="s">
        <v>83</v>
      </c>
      <c r="B241" s="1" t="s">
        <v>208</v>
      </c>
      <c r="C241" s="1" t="s">
        <v>79</v>
      </c>
      <c r="D241" t="s">
        <v>119</v>
      </c>
      <c r="E241" s="1" t="s">
        <v>119</v>
      </c>
      <c r="F241" t="s">
        <v>124</v>
      </c>
      <c r="G241" s="1" t="s">
        <v>129</v>
      </c>
      <c r="H241">
        <v>301</v>
      </c>
      <c r="I241" t="s">
        <v>59</v>
      </c>
      <c r="J241">
        <v>29856.94</v>
      </c>
      <c r="K241">
        <v>35710.250000000029</v>
      </c>
    </row>
    <row r="242" spans="1:11" x14ac:dyDescent="0.3">
      <c r="A242" s="1" t="s">
        <v>83</v>
      </c>
      <c r="B242" s="1" t="s">
        <v>208</v>
      </c>
      <c r="C242" s="1" t="s">
        <v>79</v>
      </c>
      <c r="D242" t="s">
        <v>119</v>
      </c>
      <c r="E242" s="1" t="s">
        <v>119</v>
      </c>
      <c r="F242" t="s">
        <v>124</v>
      </c>
      <c r="G242" s="1" t="s">
        <v>129</v>
      </c>
      <c r="H242">
        <v>311</v>
      </c>
      <c r="I242" t="s">
        <v>13</v>
      </c>
      <c r="J242">
        <v>28703.459999999995</v>
      </c>
      <c r="K242">
        <v>30498.910000000025</v>
      </c>
    </row>
    <row r="243" spans="1:11" x14ac:dyDescent="0.3">
      <c r="A243" s="1" t="s">
        <v>83</v>
      </c>
      <c r="B243" s="1" t="s">
        <v>208</v>
      </c>
      <c r="C243" s="1" t="s">
        <v>79</v>
      </c>
      <c r="D243" t="s">
        <v>119</v>
      </c>
      <c r="E243" s="1" t="s">
        <v>119</v>
      </c>
      <c r="F243" t="s">
        <v>125</v>
      </c>
      <c r="G243" s="1" t="s">
        <v>131</v>
      </c>
      <c r="H243">
        <v>211</v>
      </c>
      <c r="I243" t="s">
        <v>8</v>
      </c>
      <c r="J243">
        <v>157376.70000000007</v>
      </c>
      <c r="K243">
        <v>154514.72000000003</v>
      </c>
    </row>
    <row r="244" spans="1:11" x14ac:dyDescent="0.3">
      <c r="A244" s="1" t="s">
        <v>83</v>
      </c>
      <c r="B244" s="1" t="s">
        <v>208</v>
      </c>
      <c r="C244" s="1" t="s">
        <v>79</v>
      </c>
      <c r="D244" t="s">
        <v>119</v>
      </c>
      <c r="E244" s="1" t="s">
        <v>119</v>
      </c>
      <c r="F244" t="s">
        <v>125</v>
      </c>
      <c r="G244" s="1" t="s">
        <v>130</v>
      </c>
      <c r="H244">
        <v>207</v>
      </c>
      <c r="I244" t="s">
        <v>53</v>
      </c>
      <c r="J244">
        <v>82595.139999999985</v>
      </c>
      <c r="K244">
        <v>105367.5400000002</v>
      </c>
    </row>
    <row r="245" spans="1:11" x14ac:dyDescent="0.3">
      <c r="A245" s="1" t="s">
        <v>83</v>
      </c>
      <c r="B245" s="1" t="s">
        <v>208</v>
      </c>
      <c r="C245" s="1" t="s">
        <v>79</v>
      </c>
      <c r="D245" t="s">
        <v>119</v>
      </c>
      <c r="E245" s="1" t="s">
        <v>119</v>
      </c>
      <c r="F245" t="s">
        <v>125</v>
      </c>
      <c r="G245" s="1" t="s">
        <v>133</v>
      </c>
      <c r="H245">
        <v>203</v>
      </c>
      <c r="I245" t="s">
        <v>60</v>
      </c>
      <c r="J245">
        <v>42270.64</v>
      </c>
      <c r="K245">
        <v>47610.160000000054</v>
      </c>
    </row>
    <row r="246" spans="1:11" x14ac:dyDescent="0.3">
      <c r="A246" s="1" t="s">
        <v>83</v>
      </c>
      <c r="B246" s="1" t="s">
        <v>208</v>
      </c>
      <c r="C246" s="1" t="s">
        <v>79</v>
      </c>
      <c r="D246" t="s">
        <v>119</v>
      </c>
      <c r="E246" s="1" t="s">
        <v>119</v>
      </c>
      <c r="F246" t="s">
        <v>125</v>
      </c>
      <c r="G246" s="1" t="s">
        <v>133</v>
      </c>
      <c r="H246">
        <v>212</v>
      </c>
      <c r="I246" t="s">
        <v>62</v>
      </c>
      <c r="J246">
        <v>38230.269999999997</v>
      </c>
      <c r="K246">
        <v>53993.850000000035</v>
      </c>
    </row>
    <row r="247" spans="1:11" x14ac:dyDescent="0.3">
      <c r="A247" s="1" t="s">
        <v>83</v>
      </c>
      <c r="B247" s="1" t="s">
        <v>208</v>
      </c>
      <c r="C247" s="1" t="s">
        <v>79</v>
      </c>
      <c r="D247" t="s">
        <v>119</v>
      </c>
      <c r="E247" s="1" t="s">
        <v>119</v>
      </c>
      <c r="F247" t="s">
        <v>125</v>
      </c>
      <c r="G247" s="1" t="s">
        <v>134</v>
      </c>
      <c r="H247">
        <v>190</v>
      </c>
      <c r="I247" t="s">
        <v>42</v>
      </c>
      <c r="J247">
        <v>56678.2</v>
      </c>
      <c r="K247">
        <v>64874.380000000048</v>
      </c>
    </row>
    <row r="248" spans="1:11" x14ac:dyDescent="0.3">
      <c r="A248" s="1" t="s">
        <v>83</v>
      </c>
      <c r="B248" s="1" t="s">
        <v>208</v>
      </c>
      <c r="C248" s="1" t="s">
        <v>79</v>
      </c>
      <c r="D248" t="s">
        <v>119</v>
      </c>
      <c r="E248" s="1" t="s">
        <v>119</v>
      </c>
      <c r="F248" t="s">
        <v>125</v>
      </c>
      <c r="G248" s="1" t="s">
        <v>134</v>
      </c>
      <c r="H248">
        <v>214</v>
      </c>
      <c r="I248" t="s">
        <v>17</v>
      </c>
      <c r="J248">
        <v>56022.55999999999</v>
      </c>
      <c r="K248">
        <v>64337.990000000049</v>
      </c>
    </row>
    <row r="249" spans="1:11" x14ac:dyDescent="0.3">
      <c r="A249" s="1" t="s">
        <v>83</v>
      </c>
      <c r="B249" s="1" t="s">
        <v>208</v>
      </c>
      <c r="C249" s="1" t="s">
        <v>79</v>
      </c>
      <c r="D249" t="s">
        <v>119</v>
      </c>
      <c r="E249" s="1" t="s">
        <v>119</v>
      </c>
      <c r="F249" t="s">
        <v>127</v>
      </c>
      <c r="G249" s="1" t="s">
        <v>130</v>
      </c>
      <c r="H249">
        <v>407</v>
      </c>
      <c r="I249" t="s">
        <v>34</v>
      </c>
      <c r="J249">
        <v>92381.28</v>
      </c>
      <c r="K249">
        <v>93168.34000000004</v>
      </c>
    </row>
    <row r="250" spans="1:11" x14ac:dyDescent="0.3">
      <c r="A250" s="1" t="s">
        <v>83</v>
      </c>
      <c r="B250" s="1" t="s">
        <v>208</v>
      </c>
      <c r="C250" s="1" t="s">
        <v>79</v>
      </c>
      <c r="D250" t="s">
        <v>119</v>
      </c>
      <c r="E250" s="1" t="s">
        <v>119</v>
      </c>
      <c r="F250" t="s">
        <v>127</v>
      </c>
      <c r="G250" s="1" t="s">
        <v>130</v>
      </c>
      <c r="H250">
        <v>413</v>
      </c>
      <c r="I250" t="s">
        <v>14</v>
      </c>
      <c r="J250">
        <v>116950.53999999996</v>
      </c>
      <c r="K250">
        <v>117591.31000000008</v>
      </c>
    </row>
    <row r="251" spans="1:11" x14ac:dyDescent="0.3">
      <c r="A251" s="1" t="s">
        <v>83</v>
      </c>
      <c r="B251" s="1" t="s">
        <v>208</v>
      </c>
      <c r="C251" s="1" t="s">
        <v>79</v>
      </c>
      <c r="D251" t="s">
        <v>119</v>
      </c>
      <c r="E251" s="1" t="s">
        <v>119</v>
      </c>
      <c r="F251" t="s">
        <v>127</v>
      </c>
      <c r="G251" s="1" t="s">
        <v>133</v>
      </c>
      <c r="H251">
        <v>412</v>
      </c>
      <c r="I251" t="s">
        <v>11</v>
      </c>
      <c r="J251">
        <v>45970.689999999988</v>
      </c>
      <c r="K251">
        <v>51189.710000000036</v>
      </c>
    </row>
    <row r="252" spans="1:11" x14ac:dyDescent="0.3">
      <c r="A252" s="1" t="s">
        <v>83</v>
      </c>
      <c r="B252" s="1" t="s">
        <v>208</v>
      </c>
      <c r="C252" s="1" t="s">
        <v>79</v>
      </c>
      <c r="D252" t="s">
        <v>119</v>
      </c>
      <c r="E252" s="1" t="s">
        <v>119</v>
      </c>
      <c r="F252" t="s">
        <v>127</v>
      </c>
      <c r="G252" s="1" t="s">
        <v>134</v>
      </c>
      <c r="H252">
        <v>403</v>
      </c>
      <c r="I252" t="s">
        <v>12</v>
      </c>
      <c r="J252">
        <v>60066.369999999995</v>
      </c>
      <c r="K252">
        <v>55591.510000000009</v>
      </c>
    </row>
    <row r="253" spans="1:11" x14ac:dyDescent="0.3">
      <c r="A253" s="1" t="s">
        <v>83</v>
      </c>
      <c r="B253" s="1" t="s">
        <v>208</v>
      </c>
      <c r="C253" s="1" t="s">
        <v>79</v>
      </c>
      <c r="D253" t="s">
        <v>119</v>
      </c>
      <c r="E253" s="1" t="s">
        <v>119</v>
      </c>
      <c r="F253" t="s">
        <v>127</v>
      </c>
      <c r="G253" s="1" t="s">
        <v>129</v>
      </c>
      <c r="H253">
        <v>409</v>
      </c>
      <c r="I253" t="s">
        <v>58</v>
      </c>
      <c r="J253">
        <v>34854.429999999993</v>
      </c>
      <c r="K253">
        <v>36544.020000000033</v>
      </c>
    </row>
    <row r="254" spans="1:11" x14ac:dyDescent="0.3">
      <c r="A254" s="1" t="s">
        <v>83</v>
      </c>
      <c r="B254" s="1" t="s">
        <v>208</v>
      </c>
      <c r="C254" s="1" t="s">
        <v>79</v>
      </c>
      <c r="D254" t="s">
        <v>119</v>
      </c>
      <c r="E254" s="1" t="s">
        <v>119</v>
      </c>
      <c r="F254" t="s">
        <v>127</v>
      </c>
      <c r="G254" s="1" t="s">
        <v>132</v>
      </c>
      <c r="H254">
        <v>410</v>
      </c>
      <c r="I254" t="s">
        <v>40</v>
      </c>
      <c r="J254">
        <v>21342.340000000004</v>
      </c>
      <c r="K254">
        <v>26084.290000000015</v>
      </c>
    </row>
    <row r="255" spans="1:11" x14ac:dyDescent="0.3">
      <c r="A255" s="1" t="s">
        <v>83</v>
      </c>
      <c r="B255" s="1" t="s">
        <v>208</v>
      </c>
      <c r="C255" s="1" t="s">
        <v>79</v>
      </c>
      <c r="D255" t="s">
        <v>119</v>
      </c>
      <c r="E255" s="1" t="s">
        <v>119</v>
      </c>
      <c r="F255" t="s">
        <v>126</v>
      </c>
      <c r="G255" s="1" t="s">
        <v>130</v>
      </c>
      <c r="H255">
        <v>101</v>
      </c>
      <c r="I255" t="s">
        <v>10</v>
      </c>
      <c r="J255">
        <v>105008.55999999995</v>
      </c>
      <c r="K255">
        <v>112061.14000000014</v>
      </c>
    </row>
    <row r="256" spans="1:11" x14ac:dyDescent="0.3">
      <c r="A256" s="1" t="s">
        <v>83</v>
      </c>
      <c r="B256" s="1" t="s">
        <v>208</v>
      </c>
      <c r="C256" s="1" t="s">
        <v>79</v>
      </c>
      <c r="D256" t="s">
        <v>119</v>
      </c>
      <c r="E256" s="1" t="s">
        <v>119</v>
      </c>
      <c r="F256" t="s">
        <v>126</v>
      </c>
      <c r="G256" s="1" t="s">
        <v>130</v>
      </c>
      <c r="H256">
        <v>150</v>
      </c>
      <c r="I256" t="s">
        <v>3</v>
      </c>
      <c r="J256">
        <v>82244.179999999978</v>
      </c>
      <c r="K256">
        <v>106312.51000000017</v>
      </c>
    </row>
    <row r="257" spans="1:11" x14ac:dyDescent="0.3">
      <c r="A257" s="1" t="s">
        <v>83</v>
      </c>
      <c r="B257" s="1" t="s">
        <v>208</v>
      </c>
      <c r="C257" s="1" t="s">
        <v>79</v>
      </c>
      <c r="D257" t="s">
        <v>119</v>
      </c>
      <c r="E257" s="1" t="s">
        <v>119</v>
      </c>
      <c r="F257" t="s">
        <v>126</v>
      </c>
      <c r="G257" s="1" t="s">
        <v>134</v>
      </c>
      <c r="H257">
        <v>170</v>
      </c>
      <c r="I257" t="s">
        <v>56</v>
      </c>
      <c r="J257">
        <v>51291.139999999992</v>
      </c>
      <c r="K257">
        <v>66866.120000000083</v>
      </c>
    </row>
    <row r="258" spans="1:11" x14ac:dyDescent="0.3">
      <c r="A258" s="1" t="s">
        <v>83</v>
      </c>
      <c r="B258" s="1" t="s">
        <v>208</v>
      </c>
      <c r="C258" s="1" t="s">
        <v>79</v>
      </c>
      <c r="D258" t="s">
        <v>119</v>
      </c>
      <c r="E258" s="1" t="s">
        <v>119</v>
      </c>
      <c r="F258" t="s">
        <v>126</v>
      </c>
      <c r="G258" s="1" t="s">
        <v>129</v>
      </c>
      <c r="H258">
        <v>131</v>
      </c>
      <c r="I258" t="s">
        <v>67</v>
      </c>
      <c r="J258">
        <v>34698.14</v>
      </c>
      <c r="K258">
        <v>36182.890000000014</v>
      </c>
    </row>
    <row r="259" spans="1:11" x14ac:dyDescent="0.3">
      <c r="A259" s="1" t="s">
        <v>83</v>
      </c>
      <c r="B259" s="1" t="s">
        <v>208</v>
      </c>
      <c r="C259" s="1" t="s">
        <v>79</v>
      </c>
      <c r="D259" t="s">
        <v>119</v>
      </c>
      <c r="E259" s="1" t="s">
        <v>119</v>
      </c>
      <c r="F259" t="s">
        <v>126</v>
      </c>
      <c r="G259" s="1" t="s">
        <v>132</v>
      </c>
      <c r="H259">
        <v>151</v>
      </c>
      <c r="I259" t="s">
        <v>20</v>
      </c>
      <c r="J259">
        <v>24059.909999999996</v>
      </c>
      <c r="K259">
        <v>35406.429999999986</v>
      </c>
    </row>
    <row r="260" spans="1:11" x14ac:dyDescent="0.3">
      <c r="A260" s="1" t="s">
        <v>83</v>
      </c>
      <c r="B260" s="1" t="s">
        <v>208</v>
      </c>
      <c r="C260" s="1" t="s">
        <v>92</v>
      </c>
      <c r="D260" t="s">
        <v>121</v>
      </c>
      <c r="E260" s="1" t="s">
        <v>121</v>
      </c>
      <c r="F260" t="s">
        <v>127</v>
      </c>
      <c r="G260" s="1" t="s">
        <v>136</v>
      </c>
      <c r="H260">
        <v>418</v>
      </c>
      <c r="I260" t="s">
        <v>44</v>
      </c>
      <c r="J260">
        <v>0</v>
      </c>
      <c r="K260">
        <v>141584.12000000017</v>
      </c>
    </row>
    <row r="261" spans="1:11" x14ac:dyDescent="0.3">
      <c r="A261" s="1" t="s">
        <v>83</v>
      </c>
      <c r="B261" s="1" t="s">
        <v>208</v>
      </c>
      <c r="C261" s="1" t="s">
        <v>92</v>
      </c>
      <c r="D261" t="s">
        <v>119</v>
      </c>
      <c r="E261" s="1" t="s">
        <v>122</v>
      </c>
      <c r="F261" t="s">
        <v>124</v>
      </c>
      <c r="G261" s="1" t="s">
        <v>136</v>
      </c>
      <c r="H261">
        <v>307</v>
      </c>
      <c r="I261" t="s">
        <v>19</v>
      </c>
      <c r="J261">
        <v>58007.69</v>
      </c>
      <c r="K261">
        <v>81374.520000000077</v>
      </c>
    </row>
    <row r="262" spans="1:11" x14ac:dyDescent="0.3">
      <c r="A262" s="1" t="s">
        <v>83</v>
      </c>
      <c r="B262" s="1" t="s">
        <v>208</v>
      </c>
      <c r="C262" s="1" t="s">
        <v>92</v>
      </c>
      <c r="D262" t="s">
        <v>119</v>
      </c>
      <c r="E262" s="1" t="s">
        <v>122</v>
      </c>
      <c r="F262" t="s">
        <v>127</v>
      </c>
      <c r="G262" s="1" t="s">
        <v>136</v>
      </c>
      <c r="H262">
        <v>411</v>
      </c>
      <c r="I262" t="s">
        <v>43</v>
      </c>
      <c r="J262">
        <v>115190.1</v>
      </c>
      <c r="K262">
        <v>98134.180000000211</v>
      </c>
    </row>
    <row r="263" spans="1:11" x14ac:dyDescent="0.3">
      <c r="A263" s="1" t="s">
        <v>83</v>
      </c>
      <c r="B263" s="1" t="s">
        <v>208</v>
      </c>
      <c r="C263" s="1" t="s">
        <v>92</v>
      </c>
      <c r="D263" t="s">
        <v>119</v>
      </c>
      <c r="E263" s="1" t="s">
        <v>120</v>
      </c>
      <c r="F263" t="s">
        <v>125</v>
      </c>
      <c r="G263" s="1" t="s">
        <v>136</v>
      </c>
      <c r="H263">
        <v>213</v>
      </c>
      <c r="I263" t="s">
        <v>49</v>
      </c>
      <c r="J263">
        <v>60452.38</v>
      </c>
      <c r="K263">
        <v>92018.650000000023</v>
      </c>
    </row>
    <row r="264" spans="1:11" x14ac:dyDescent="0.3">
      <c r="A264" s="1" t="s">
        <v>83</v>
      </c>
      <c r="B264" s="1" t="s">
        <v>208</v>
      </c>
      <c r="C264" s="1" t="s">
        <v>92</v>
      </c>
      <c r="D264" t="s">
        <v>119</v>
      </c>
      <c r="E264" s="1" t="s">
        <v>120</v>
      </c>
      <c r="F264" t="s">
        <v>127</v>
      </c>
      <c r="G264" s="1" t="s">
        <v>136</v>
      </c>
      <c r="H264">
        <v>415</v>
      </c>
      <c r="I264" t="s">
        <v>47</v>
      </c>
      <c r="J264">
        <v>64262.470000000008</v>
      </c>
      <c r="K264">
        <v>78894.879999999961</v>
      </c>
    </row>
    <row r="265" spans="1:11" x14ac:dyDescent="0.3">
      <c r="A265" s="1" t="s">
        <v>83</v>
      </c>
      <c r="B265" s="1" t="s">
        <v>208</v>
      </c>
      <c r="C265" s="1" t="s">
        <v>92</v>
      </c>
      <c r="D265" t="s">
        <v>119</v>
      </c>
      <c r="E265" s="1" t="s">
        <v>119</v>
      </c>
      <c r="F265" t="s">
        <v>124</v>
      </c>
      <c r="G265" s="1" t="s">
        <v>136</v>
      </c>
      <c r="H265">
        <v>306</v>
      </c>
      <c r="I265" t="s">
        <v>51</v>
      </c>
      <c r="J265">
        <v>60920.80999999999</v>
      </c>
      <c r="K265">
        <v>90055.420000000056</v>
      </c>
    </row>
    <row r="266" spans="1:11" x14ac:dyDescent="0.3">
      <c r="A266" s="1" t="s">
        <v>83</v>
      </c>
      <c r="B266" s="1" t="s">
        <v>208</v>
      </c>
      <c r="C266" s="1" t="s">
        <v>92</v>
      </c>
      <c r="D266" t="s">
        <v>119</v>
      </c>
      <c r="E266" s="1" t="s">
        <v>119</v>
      </c>
      <c r="F266" t="s">
        <v>125</v>
      </c>
      <c r="G266" s="1" t="s">
        <v>136</v>
      </c>
      <c r="H266">
        <v>201</v>
      </c>
      <c r="I266" t="s">
        <v>45</v>
      </c>
      <c r="J266">
        <v>39896.83</v>
      </c>
      <c r="K266">
        <v>65037.370000000039</v>
      </c>
    </row>
    <row r="267" spans="1:11" x14ac:dyDescent="0.3">
      <c r="A267" s="1" t="s">
        <v>83</v>
      </c>
      <c r="B267" s="1" t="s">
        <v>208</v>
      </c>
      <c r="C267" s="1" t="s">
        <v>92</v>
      </c>
      <c r="D267" t="s">
        <v>119</v>
      </c>
      <c r="E267" s="1" t="s">
        <v>119</v>
      </c>
      <c r="F267" t="s">
        <v>125</v>
      </c>
      <c r="G267" s="1" t="s">
        <v>136</v>
      </c>
      <c r="H267">
        <v>204</v>
      </c>
      <c r="I267" t="s">
        <v>46</v>
      </c>
      <c r="J267">
        <v>54698.43</v>
      </c>
      <c r="K267">
        <v>62666.129999999961</v>
      </c>
    </row>
    <row r="268" spans="1:11" x14ac:dyDescent="0.3">
      <c r="A268" s="1" t="s">
        <v>83</v>
      </c>
      <c r="B268" s="1" t="s">
        <v>208</v>
      </c>
      <c r="C268" s="1" t="s">
        <v>92</v>
      </c>
      <c r="D268" t="s">
        <v>119</v>
      </c>
      <c r="E268" s="1" t="s">
        <v>119</v>
      </c>
      <c r="F268" t="s">
        <v>126</v>
      </c>
      <c r="G268" s="1" t="s">
        <v>136</v>
      </c>
      <c r="H268">
        <v>102</v>
      </c>
      <c r="I268" t="s">
        <v>50</v>
      </c>
      <c r="J268">
        <v>73019.470000000016</v>
      </c>
      <c r="K268">
        <v>82324.619999999879</v>
      </c>
    </row>
    <row r="269" spans="1:11" x14ac:dyDescent="0.3">
      <c r="A269" s="1" t="s">
        <v>83</v>
      </c>
      <c r="B269" s="1" t="s">
        <v>208</v>
      </c>
      <c r="C269" s="1" t="s">
        <v>93</v>
      </c>
      <c r="D269" t="s">
        <v>122</v>
      </c>
      <c r="E269" s="1" t="s">
        <v>122</v>
      </c>
      <c r="F269" t="s">
        <v>93</v>
      </c>
      <c r="G269" s="1" t="s">
        <v>93</v>
      </c>
      <c r="H269" t="s">
        <v>196</v>
      </c>
      <c r="I269" s="33" t="s">
        <v>38</v>
      </c>
      <c r="J269" s="33">
        <v>0</v>
      </c>
      <c r="K269" s="33">
        <v>0</v>
      </c>
    </row>
    <row r="270" spans="1:11" x14ac:dyDescent="0.3">
      <c r="A270" s="1" t="s">
        <v>83</v>
      </c>
      <c r="B270" s="1" t="s">
        <v>208</v>
      </c>
      <c r="C270" s="1" t="s">
        <v>93</v>
      </c>
      <c r="D270" t="s">
        <v>122</v>
      </c>
      <c r="E270" s="1" t="s">
        <v>122</v>
      </c>
      <c r="F270" t="s">
        <v>93</v>
      </c>
      <c r="G270" s="1" t="s">
        <v>93</v>
      </c>
      <c r="H270" t="s">
        <v>196</v>
      </c>
      <c r="I270" s="33" t="s">
        <v>39</v>
      </c>
      <c r="J270" s="33">
        <v>0</v>
      </c>
      <c r="K270" s="33">
        <v>0</v>
      </c>
    </row>
    <row r="271" spans="1:11" x14ac:dyDescent="0.3">
      <c r="A271" s="1" t="s">
        <v>83</v>
      </c>
      <c r="B271" s="1" t="s">
        <v>208</v>
      </c>
      <c r="C271" s="1" t="s">
        <v>93</v>
      </c>
      <c r="D271" t="s">
        <v>119</v>
      </c>
      <c r="E271" s="1" t="s">
        <v>119</v>
      </c>
      <c r="F271" t="s">
        <v>93</v>
      </c>
      <c r="G271" s="1" t="s">
        <v>93</v>
      </c>
      <c r="H271">
        <v>903</v>
      </c>
      <c r="I271" t="s">
        <v>37</v>
      </c>
      <c r="J271">
        <v>0</v>
      </c>
      <c r="K271">
        <v>91793.29000000027</v>
      </c>
    </row>
    <row r="272" spans="1:11" x14ac:dyDescent="0.3">
      <c r="A272" s="1" t="s">
        <v>83</v>
      </c>
      <c r="B272" s="1" t="s">
        <v>208</v>
      </c>
      <c r="C272" s="1" t="s">
        <v>94</v>
      </c>
      <c r="D272" t="s">
        <v>121</v>
      </c>
      <c r="E272" s="1" t="s">
        <v>121</v>
      </c>
      <c r="F272" t="s">
        <v>124</v>
      </c>
      <c r="G272" s="1" t="s">
        <v>137</v>
      </c>
      <c r="H272" t="s">
        <v>112</v>
      </c>
      <c r="I272" t="s">
        <v>21</v>
      </c>
      <c r="J272">
        <v>0</v>
      </c>
      <c r="K272">
        <v>0</v>
      </c>
    </row>
    <row r="273" spans="1:11" x14ac:dyDescent="0.3">
      <c r="A273" s="1" t="s">
        <v>83</v>
      </c>
      <c r="B273" s="1" t="s">
        <v>208</v>
      </c>
      <c r="C273" s="1" t="s">
        <v>94</v>
      </c>
      <c r="D273" t="s">
        <v>121</v>
      </c>
      <c r="E273" s="1" t="s">
        <v>121</v>
      </c>
      <c r="F273" t="s">
        <v>125</v>
      </c>
      <c r="G273" s="1" t="s">
        <v>138</v>
      </c>
      <c r="H273">
        <v>470</v>
      </c>
      <c r="I273" t="s">
        <v>26</v>
      </c>
      <c r="J273">
        <v>0</v>
      </c>
      <c r="K273">
        <v>0</v>
      </c>
    </row>
    <row r="274" spans="1:11" x14ac:dyDescent="0.3">
      <c r="A274" s="1" t="s">
        <v>83</v>
      </c>
      <c r="B274" s="1" t="s">
        <v>208</v>
      </c>
      <c r="C274" s="1" t="s">
        <v>94</v>
      </c>
      <c r="D274" t="s">
        <v>121</v>
      </c>
      <c r="E274" s="1" t="s">
        <v>121</v>
      </c>
      <c r="F274" t="s">
        <v>125</v>
      </c>
      <c r="G274" s="1" t="s">
        <v>137</v>
      </c>
      <c r="H274" t="s">
        <v>114</v>
      </c>
      <c r="I274" t="s">
        <v>23</v>
      </c>
      <c r="J274">
        <v>0</v>
      </c>
      <c r="K274">
        <v>0</v>
      </c>
    </row>
    <row r="275" spans="1:11" x14ac:dyDescent="0.3">
      <c r="A275" s="1" t="s">
        <v>83</v>
      </c>
      <c r="B275" s="1" t="s">
        <v>208</v>
      </c>
      <c r="C275" s="1" t="s">
        <v>94</v>
      </c>
      <c r="D275" t="s">
        <v>121</v>
      </c>
      <c r="E275" s="1" t="s">
        <v>121</v>
      </c>
      <c r="F275" t="s">
        <v>125</v>
      </c>
      <c r="G275" s="1" t="s">
        <v>137</v>
      </c>
      <c r="H275" t="s">
        <v>113</v>
      </c>
      <c r="I275" t="s">
        <v>22</v>
      </c>
      <c r="J275">
        <v>0</v>
      </c>
      <c r="K275">
        <v>0</v>
      </c>
    </row>
    <row r="276" spans="1:11" x14ac:dyDescent="0.3">
      <c r="A276" s="1" t="s">
        <v>83</v>
      </c>
      <c r="B276" s="1" t="s">
        <v>208</v>
      </c>
      <c r="C276" s="1" t="s">
        <v>94</v>
      </c>
      <c r="D276" t="s">
        <v>121</v>
      </c>
      <c r="E276" s="1" t="s">
        <v>121</v>
      </c>
      <c r="F276" t="s">
        <v>127</v>
      </c>
      <c r="G276" s="1" t="s">
        <v>137</v>
      </c>
      <c r="H276">
        <v>494</v>
      </c>
      <c r="I276" t="s">
        <v>25</v>
      </c>
      <c r="J276">
        <v>0</v>
      </c>
      <c r="K276">
        <v>0</v>
      </c>
    </row>
    <row r="277" spans="1:11" x14ac:dyDescent="0.3">
      <c r="A277" s="1" t="s">
        <v>83</v>
      </c>
      <c r="B277" s="1" t="s">
        <v>208</v>
      </c>
      <c r="C277" s="1" t="s">
        <v>94</v>
      </c>
      <c r="D277" t="s">
        <v>121</v>
      </c>
      <c r="E277" s="1" t="s">
        <v>121</v>
      </c>
      <c r="F277" t="s">
        <v>126</v>
      </c>
      <c r="G277" s="1" t="s">
        <v>137</v>
      </c>
      <c r="H277">
        <v>460</v>
      </c>
      <c r="I277" t="s">
        <v>30</v>
      </c>
      <c r="J277">
        <v>0</v>
      </c>
      <c r="K277">
        <v>0</v>
      </c>
    </row>
    <row r="278" spans="1:11" x14ac:dyDescent="0.3">
      <c r="A278" s="1" t="s">
        <v>83</v>
      </c>
      <c r="B278" s="1" t="s">
        <v>208</v>
      </c>
      <c r="C278" s="1" t="s">
        <v>94</v>
      </c>
      <c r="D278" t="s">
        <v>121</v>
      </c>
      <c r="E278" s="1" t="s">
        <v>121</v>
      </c>
      <c r="F278" t="s">
        <v>126</v>
      </c>
      <c r="G278" s="1" t="s">
        <v>137</v>
      </c>
      <c r="H278">
        <v>461</v>
      </c>
      <c r="I278" t="s">
        <v>29</v>
      </c>
      <c r="J278">
        <v>0</v>
      </c>
      <c r="K278">
        <v>0</v>
      </c>
    </row>
    <row r="279" spans="1:11" x14ac:dyDescent="0.3">
      <c r="A279" s="1" t="s">
        <v>83</v>
      </c>
      <c r="B279" s="1" t="s">
        <v>208</v>
      </c>
      <c r="C279" s="1" t="s">
        <v>94</v>
      </c>
      <c r="D279" t="s">
        <v>121</v>
      </c>
      <c r="E279" s="1" t="s">
        <v>119</v>
      </c>
      <c r="F279" t="s">
        <v>124</v>
      </c>
      <c r="G279" s="1" t="s">
        <v>138</v>
      </c>
      <c r="H279">
        <v>480</v>
      </c>
      <c r="I279" t="s">
        <v>28</v>
      </c>
      <c r="J279">
        <v>0</v>
      </c>
      <c r="K279">
        <v>32751.459999999992</v>
      </c>
    </row>
    <row r="280" spans="1:11" x14ac:dyDescent="0.3">
      <c r="A280" s="1" t="s">
        <v>83</v>
      </c>
      <c r="B280" s="1" t="s">
        <v>208</v>
      </c>
      <c r="C280" s="1" t="s">
        <v>94</v>
      </c>
      <c r="D280" t="s">
        <v>121</v>
      </c>
      <c r="E280" s="1" t="s">
        <v>119</v>
      </c>
      <c r="F280" t="s">
        <v>127</v>
      </c>
      <c r="G280" s="1" t="s">
        <v>138</v>
      </c>
      <c r="H280">
        <v>491</v>
      </c>
      <c r="I280" t="s">
        <v>31</v>
      </c>
      <c r="J280">
        <v>0</v>
      </c>
      <c r="K280">
        <v>77756.950000000215</v>
      </c>
    </row>
    <row r="281" spans="1:11" x14ac:dyDescent="0.3">
      <c r="A281" s="1" t="s">
        <v>83</v>
      </c>
      <c r="B281" s="1" t="s">
        <v>208</v>
      </c>
      <c r="C281" s="1" t="s">
        <v>94</v>
      </c>
      <c r="D281" t="s">
        <v>121</v>
      </c>
      <c r="E281" s="1" t="s">
        <v>119</v>
      </c>
      <c r="F281" t="s">
        <v>127</v>
      </c>
      <c r="G281" s="1" t="s">
        <v>138</v>
      </c>
      <c r="H281">
        <v>492</v>
      </c>
      <c r="I281" t="s">
        <v>27</v>
      </c>
      <c r="J281">
        <v>0</v>
      </c>
      <c r="K281">
        <v>48630.390000000007</v>
      </c>
    </row>
    <row r="282" spans="1:11" x14ac:dyDescent="0.3">
      <c r="A282" s="1" t="s">
        <v>83</v>
      </c>
      <c r="B282" s="1" t="s">
        <v>208</v>
      </c>
      <c r="C282" s="1" t="s">
        <v>94</v>
      </c>
      <c r="D282" t="s">
        <v>121</v>
      </c>
      <c r="E282" s="1" t="s">
        <v>119</v>
      </c>
      <c r="F282" t="s">
        <v>127</v>
      </c>
      <c r="G282" s="1" t="s">
        <v>138</v>
      </c>
      <c r="H282">
        <v>493</v>
      </c>
      <c r="I282" t="s">
        <v>24</v>
      </c>
      <c r="J282">
        <v>0</v>
      </c>
      <c r="K282">
        <v>32907.570000000051</v>
      </c>
    </row>
    <row r="283" spans="1:11" x14ac:dyDescent="0.3">
      <c r="A283" s="1" t="s">
        <v>83</v>
      </c>
      <c r="B283" s="1" t="s">
        <v>208</v>
      </c>
      <c r="C283" s="1" t="s">
        <v>95</v>
      </c>
      <c r="D283" t="s">
        <v>121</v>
      </c>
      <c r="E283" s="1" t="s">
        <v>121</v>
      </c>
      <c r="F283" t="s">
        <v>126</v>
      </c>
      <c r="G283" s="1" t="s">
        <v>139</v>
      </c>
      <c r="H283">
        <v>510</v>
      </c>
      <c r="I283" t="s">
        <v>76</v>
      </c>
      <c r="J283">
        <v>0</v>
      </c>
      <c r="K283">
        <v>0</v>
      </c>
    </row>
    <row r="284" spans="1:11" x14ac:dyDescent="0.3">
      <c r="A284" s="1" t="s">
        <v>83</v>
      </c>
      <c r="B284" s="1" t="s">
        <v>208</v>
      </c>
      <c r="C284" s="1" t="s">
        <v>95</v>
      </c>
      <c r="D284" t="s">
        <v>121</v>
      </c>
      <c r="E284" s="1" t="s">
        <v>119</v>
      </c>
      <c r="F284" t="s">
        <v>127</v>
      </c>
      <c r="G284" s="1" t="s">
        <v>140</v>
      </c>
      <c r="H284">
        <v>541</v>
      </c>
      <c r="I284" t="s">
        <v>74</v>
      </c>
      <c r="J284">
        <v>0</v>
      </c>
      <c r="K284">
        <v>32083.249999999978</v>
      </c>
    </row>
    <row r="285" spans="1:11" x14ac:dyDescent="0.3">
      <c r="A285" s="1" t="s">
        <v>83</v>
      </c>
      <c r="B285" s="1" t="s">
        <v>208</v>
      </c>
      <c r="C285" s="1" t="s">
        <v>95</v>
      </c>
      <c r="D285" t="s">
        <v>121</v>
      </c>
      <c r="E285" s="1" t="s">
        <v>119</v>
      </c>
      <c r="F285" t="s">
        <v>127</v>
      </c>
      <c r="G285" s="1" t="s">
        <v>140</v>
      </c>
      <c r="H285">
        <v>543</v>
      </c>
      <c r="I285" t="s">
        <v>72</v>
      </c>
      <c r="J285">
        <v>35220.31</v>
      </c>
      <c r="K285">
        <v>35594.089999999982</v>
      </c>
    </row>
    <row r="286" spans="1:11" x14ac:dyDescent="0.3">
      <c r="A286" s="1" t="s">
        <v>83</v>
      </c>
      <c r="B286" s="1" t="s">
        <v>208</v>
      </c>
      <c r="C286" s="1" t="s">
        <v>95</v>
      </c>
      <c r="D286" t="s">
        <v>120</v>
      </c>
      <c r="E286" s="1" t="s">
        <v>119</v>
      </c>
      <c r="F286" t="s">
        <v>127</v>
      </c>
      <c r="G286" s="1" t="s">
        <v>140</v>
      </c>
      <c r="H286">
        <v>540</v>
      </c>
      <c r="I286" t="s">
        <v>73</v>
      </c>
      <c r="J286">
        <v>53460.02</v>
      </c>
      <c r="K286">
        <v>86465.070000000036</v>
      </c>
    </row>
    <row r="287" spans="1:11" x14ac:dyDescent="0.3">
      <c r="A287" s="1" t="s">
        <v>83</v>
      </c>
      <c r="B287" s="1" t="s">
        <v>208</v>
      </c>
      <c r="C287" s="1" t="s">
        <v>95</v>
      </c>
      <c r="D287" t="s">
        <v>119</v>
      </c>
      <c r="E287" s="1" t="s">
        <v>120</v>
      </c>
      <c r="F287" t="s">
        <v>124</v>
      </c>
      <c r="G287" s="1" t="s">
        <v>139</v>
      </c>
      <c r="H287">
        <v>530</v>
      </c>
      <c r="I287" t="s">
        <v>68</v>
      </c>
      <c r="J287">
        <v>30743.840000000004</v>
      </c>
      <c r="K287">
        <v>27545.839999999986</v>
      </c>
    </row>
    <row r="288" spans="1:11" x14ac:dyDescent="0.3">
      <c r="A288" s="1" t="s">
        <v>83</v>
      </c>
      <c r="B288" s="1" t="s">
        <v>208</v>
      </c>
      <c r="C288" s="1" t="s">
        <v>95</v>
      </c>
      <c r="D288" t="s">
        <v>119</v>
      </c>
      <c r="E288" s="1" t="s">
        <v>119</v>
      </c>
      <c r="F288" t="s">
        <v>125</v>
      </c>
      <c r="G288" s="1" t="s">
        <v>140</v>
      </c>
      <c r="H288">
        <v>520</v>
      </c>
      <c r="I288" t="s">
        <v>70</v>
      </c>
      <c r="J288">
        <v>47875.360000000001</v>
      </c>
      <c r="K288">
        <v>46859.539999999994</v>
      </c>
    </row>
    <row r="289" spans="1:11" x14ac:dyDescent="0.3">
      <c r="A289" s="2" t="s">
        <v>83</v>
      </c>
      <c r="B289" s="1" t="s">
        <v>208</v>
      </c>
      <c r="C289" s="1" t="s">
        <v>95</v>
      </c>
      <c r="D289" t="s">
        <v>119</v>
      </c>
      <c r="E289" s="1" t="s">
        <v>119</v>
      </c>
      <c r="F289" t="s">
        <v>127</v>
      </c>
      <c r="G289" s="1" t="s">
        <v>139</v>
      </c>
      <c r="H289">
        <v>542</v>
      </c>
      <c r="I289" t="s">
        <v>69</v>
      </c>
      <c r="J289">
        <v>25056.300000000003</v>
      </c>
      <c r="K289">
        <v>15213.280000000002</v>
      </c>
    </row>
    <row r="290" spans="1:11" x14ac:dyDescent="0.3">
      <c r="A290" s="1" t="s">
        <v>84</v>
      </c>
      <c r="B290" s="1" t="s">
        <v>208</v>
      </c>
      <c r="C290" s="1" t="s">
        <v>79</v>
      </c>
      <c r="D290" t="s">
        <v>122</v>
      </c>
      <c r="E290" s="1" t="s">
        <v>122</v>
      </c>
      <c r="F290" t="s">
        <v>124</v>
      </c>
      <c r="G290" s="1" t="s">
        <v>129</v>
      </c>
      <c r="H290" t="s">
        <v>196</v>
      </c>
      <c r="I290" t="s">
        <v>1</v>
      </c>
      <c r="J290">
        <v>0</v>
      </c>
      <c r="K290">
        <v>0</v>
      </c>
    </row>
    <row r="291" spans="1:11" x14ac:dyDescent="0.3">
      <c r="A291" s="1" t="s">
        <v>84</v>
      </c>
      <c r="B291" s="1" t="s">
        <v>208</v>
      </c>
      <c r="C291" s="1" t="s">
        <v>79</v>
      </c>
      <c r="D291" t="s">
        <v>122</v>
      </c>
      <c r="E291" s="1" t="s">
        <v>122</v>
      </c>
      <c r="F291" t="s">
        <v>125</v>
      </c>
      <c r="G291" s="1" t="s">
        <v>129</v>
      </c>
      <c r="H291" t="s">
        <v>196</v>
      </c>
      <c r="I291" t="s">
        <v>7</v>
      </c>
      <c r="J291">
        <v>0</v>
      </c>
      <c r="K291">
        <v>0</v>
      </c>
    </row>
    <row r="292" spans="1:11" x14ac:dyDescent="0.3">
      <c r="A292" s="1" t="s">
        <v>84</v>
      </c>
      <c r="B292" s="1" t="s">
        <v>208</v>
      </c>
      <c r="C292" s="1" t="s">
        <v>79</v>
      </c>
      <c r="D292" t="s">
        <v>122</v>
      </c>
      <c r="E292" s="1" t="s">
        <v>122</v>
      </c>
      <c r="F292" t="s">
        <v>127</v>
      </c>
      <c r="G292" s="1" t="s">
        <v>129</v>
      </c>
      <c r="H292" t="s">
        <v>196</v>
      </c>
      <c r="I292" t="s">
        <v>5</v>
      </c>
      <c r="J292">
        <v>0</v>
      </c>
      <c r="K292">
        <v>0</v>
      </c>
    </row>
    <row r="293" spans="1:11" x14ac:dyDescent="0.3">
      <c r="A293" s="1" t="s">
        <v>84</v>
      </c>
      <c r="B293" s="1" t="s">
        <v>208</v>
      </c>
      <c r="C293" s="1" t="s">
        <v>79</v>
      </c>
      <c r="D293" t="s">
        <v>122</v>
      </c>
      <c r="E293" s="1" t="s">
        <v>122</v>
      </c>
      <c r="F293" t="s">
        <v>127</v>
      </c>
      <c r="G293" s="1" t="s">
        <v>122</v>
      </c>
      <c r="H293" t="s">
        <v>196</v>
      </c>
      <c r="I293" t="s">
        <v>33</v>
      </c>
      <c r="J293">
        <v>3097.32</v>
      </c>
      <c r="K293">
        <v>0</v>
      </c>
    </row>
    <row r="294" spans="1:11" x14ac:dyDescent="0.3">
      <c r="A294" s="1" t="s">
        <v>84</v>
      </c>
      <c r="B294" s="1" t="s">
        <v>208</v>
      </c>
      <c r="C294" s="1" t="s">
        <v>79</v>
      </c>
      <c r="D294" t="s">
        <v>122</v>
      </c>
      <c r="E294" s="1" t="s">
        <v>122</v>
      </c>
      <c r="F294" t="s">
        <v>126</v>
      </c>
      <c r="G294" s="1" t="s">
        <v>122</v>
      </c>
      <c r="H294" t="s">
        <v>196</v>
      </c>
      <c r="I294" s="33" t="s">
        <v>55</v>
      </c>
      <c r="J294" s="33">
        <v>0</v>
      </c>
      <c r="K294" s="33">
        <v>0</v>
      </c>
    </row>
    <row r="295" spans="1:11" x14ac:dyDescent="0.3">
      <c r="A295" s="1" t="s">
        <v>84</v>
      </c>
      <c r="B295" s="1" t="s">
        <v>208</v>
      </c>
      <c r="C295" s="1" t="s">
        <v>79</v>
      </c>
      <c r="D295" t="s">
        <v>121</v>
      </c>
      <c r="E295" s="1" t="s">
        <v>121</v>
      </c>
      <c r="F295" t="s">
        <v>125</v>
      </c>
      <c r="G295" s="1" t="s">
        <v>129</v>
      </c>
      <c r="H295" t="s">
        <v>110</v>
      </c>
      <c r="I295" t="s">
        <v>64</v>
      </c>
      <c r="J295">
        <v>0</v>
      </c>
      <c r="K295">
        <v>0</v>
      </c>
    </row>
    <row r="296" spans="1:11" x14ac:dyDescent="0.3">
      <c r="A296" s="1" t="s">
        <v>84</v>
      </c>
      <c r="B296" s="1" t="s">
        <v>208</v>
      </c>
      <c r="C296" s="1" t="s">
        <v>79</v>
      </c>
      <c r="D296" t="s">
        <v>120</v>
      </c>
      <c r="E296" s="1" t="s">
        <v>120</v>
      </c>
      <c r="F296" t="s">
        <v>124</v>
      </c>
      <c r="G296" s="1" t="s">
        <v>129</v>
      </c>
      <c r="H296">
        <v>304</v>
      </c>
      <c r="I296" t="s">
        <v>61</v>
      </c>
      <c r="J296">
        <v>38588.11</v>
      </c>
      <c r="K296">
        <v>32827.35</v>
      </c>
    </row>
    <row r="297" spans="1:11" x14ac:dyDescent="0.3">
      <c r="A297" s="1" t="s">
        <v>84</v>
      </c>
      <c r="B297" s="1" t="s">
        <v>208</v>
      </c>
      <c r="C297" s="1" t="s">
        <v>79</v>
      </c>
      <c r="D297" t="s">
        <v>120</v>
      </c>
      <c r="E297" s="1" t="s">
        <v>120</v>
      </c>
      <c r="F297" t="s">
        <v>125</v>
      </c>
      <c r="G297" s="1" t="s">
        <v>133</v>
      </c>
      <c r="H297">
        <v>208</v>
      </c>
      <c r="I297" t="s">
        <v>36</v>
      </c>
      <c r="J297">
        <v>35733.179999999993</v>
      </c>
      <c r="K297">
        <v>40278.280000000035</v>
      </c>
    </row>
    <row r="298" spans="1:11" x14ac:dyDescent="0.3">
      <c r="A298" s="1" t="s">
        <v>84</v>
      </c>
      <c r="B298" s="1" t="s">
        <v>208</v>
      </c>
      <c r="C298" s="1" t="s">
        <v>79</v>
      </c>
      <c r="D298" t="s">
        <v>120</v>
      </c>
      <c r="E298" s="1" t="s">
        <v>120</v>
      </c>
      <c r="F298" t="s">
        <v>125</v>
      </c>
      <c r="G298" s="1" t="s">
        <v>133</v>
      </c>
      <c r="H298">
        <v>209</v>
      </c>
      <c r="I298" t="s">
        <v>35</v>
      </c>
      <c r="J298">
        <v>17009.05</v>
      </c>
      <c r="K298">
        <v>28817.94</v>
      </c>
    </row>
    <row r="299" spans="1:11" x14ac:dyDescent="0.3">
      <c r="A299" s="1" t="s">
        <v>84</v>
      </c>
      <c r="B299" s="1" t="s">
        <v>208</v>
      </c>
      <c r="C299" s="1" t="s">
        <v>79</v>
      </c>
      <c r="D299" t="s">
        <v>120</v>
      </c>
      <c r="E299" s="1" t="s">
        <v>120</v>
      </c>
      <c r="F299" t="s">
        <v>125</v>
      </c>
      <c r="G299" s="1" t="s">
        <v>129</v>
      </c>
      <c r="H299">
        <v>202</v>
      </c>
      <c r="I299" t="s">
        <v>4</v>
      </c>
      <c r="J299">
        <v>71752.56</v>
      </c>
      <c r="K299">
        <v>23668.22</v>
      </c>
    </row>
    <row r="300" spans="1:11" x14ac:dyDescent="0.3">
      <c r="A300" s="1" t="s">
        <v>84</v>
      </c>
      <c r="B300" s="1" t="s">
        <v>208</v>
      </c>
      <c r="C300" s="1" t="s">
        <v>79</v>
      </c>
      <c r="D300" t="s">
        <v>120</v>
      </c>
      <c r="E300" s="1" t="s">
        <v>120</v>
      </c>
      <c r="F300" t="s">
        <v>127</v>
      </c>
      <c r="G300" s="1" t="s">
        <v>133</v>
      </c>
      <c r="H300">
        <v>404</v>
      </c>
      <c r="I300" t="s">
        <v>15</v>
      </c>
      <c r="J300">
        <v>31512.219999999994</v>
      </c>
      <c r="K300">
        <v>26199.359999999993</v>
      </c>
    </row>
    <row r="301" spans="1:11" x14ac:dyDescent="0.3">
      <c r="A301" s="1" t="s">
        <v>84</v>
      </c>
      <c r="B301" s="1" t="s">
        <v>208</v>
      </c>
      <c r="C301" s="1" t="s">
        <v>79</v>
      </c>
      <c r="D301" t="s">
        <v>120</v>
      </c>
      <c r="E301" s="1" t="s">
        <v>119</v>
      </c>
      <c r="F301" t="s">
        <v>124</v>
      </c>
      <c r="G301" s="1" t="s">
        <v>129</v>
      </c>
      <c r="H301">
        <v>310</v>
      </c>
      <c r="I301" t="s">
        <v>63</v>
      </c>
      <c r="J301">
        <v>12793.170000000002</v>
      </c>
      <c r="K301">
        <v>19822.690000000017</v>
      </c>
    </row>
    <row r="302" spans="1:11" x14ac:dyDescent="0.3">
      <c r="A302" s="1" t="s">
        <v>84</v>
      </c>
      <c r="B302" s="1" t="s">
        <v>208</v>
      </c>
      <c r="C302" s="1" t="s">
        <v>79</v>
      </c>
      <c r="D302" t="s">
        <v>120</v>
      </c>
      <c r="E302" s="1" t="s">
        <v>119</v>
      </c>
      <c r="F302" t="s">
        <v>125</v>
      </c>
      <c r="G302" s="1" t="s">
        <v>134</v>
      </c>
      <c r="H302">
        <v>206</v>
      </c>
      <c r="I302" t="s">
        <v>18</v>
      </c>
      <c r="J302">
        <v>0</v>
      </c>
      <c r="K302">
        <v>59849.539999999979</v>
      </c>
    </row>
    <row r="303" spans="1:11" x14ac:dyDescent="0.3">
      <c r="A303" s="1" t="s">
        <v>84</v>
      </c>
      <c r="B303" s="1" t="s">
        <v>208</v>
      </c>
      <c r="C303" s="1" t="s">
        <v>79</v>
      </c>
      <c r="D303" t="s">
        <v>120</v>
      </c>
      <c r="E303" s="1" t="s">
        <v>119</v>
      </c>
      <c r="F303" t="s">
        <v>125</v>
      </c>
      <c r="G303" s="1" t="s">
        <v>129</v>
      </c>
      <c r="H303">
        <v>210</v>
      </c>
      <c r="I303" t="s">
        <v>2</v>
      </c>
      <c r="J303">
        <v>37214.75</v>
      </c>
      <c r="K303">
        <v>43154.120000000039</v>
      </c>
    </row>
    <row r="304" spans="1:11" x14ac:dyDescent="0.3">
      <c r="A304" s="1" t="s">
        <v>84</v>
      </c>
      <c r="B304" s="1" t="s">
        <v>208</v>
      </c>
      <c r="C304" s="1" t="s">
        <v>79</v>
      </c>
      <c r="D304" t="s">
        <v>120</v>
      </c>
      <c r="E304" s="1" t="s">
        <v>119</v>
      </c>
      <c r="F304" t="s">
        <v>127</v>
      </c>
      <c r="G304" s="1" t="s">
        <v>131</v>
      </c>
      <c r="H304">
        <v>417</v>
      </c>
      <c r="I304" t="s">
        <v>54</v>
      </c>
      <c r="J304">
        <v>82820.589999999982</v>
      </c>
      <c r="K304">
        <v>61856.210000000028</v>
      </c>
    </row>
    <row r="305" spans="1:11" x14ac:dyDescent="0.3">
      <c r="A305" s="1" t="s">
        <v>84</v>
      </c>
      <c r="B305" s="1" t="s">
        <v>208</v>
      </c>
      <c r="C305" s="1" t="s">
        <v>79</v>
      </c>
      <c r="D305" t="s">
        <v>119</v>
      </c>
      <c r="E305" s="1" t="s">
        <v>120</v>
      </c>
      <c r="F305" t="s">
        <v>124</v>
      </c>
      <c r="G305" s="1" t="s">
        <v>129</v>
      </c>
      <c r="H305">
        <v>308</v>
      </c>
      <c r="I305" t="s">
        <v>0</v>
      </c>
      <c r="J305">
        <v>21905.15</v>
      </c>
      <c r="K305">
        <v>30379.120000000006</v>
      </c>
    </row>
    <row r="306" spans="1:11" x14ac:dyDescent="0.3">
      <c r="A306" s="1" t="s">
        <v>84</v>
      </c>
      <c r="B306" s="1" t="s">
        <v>208</v>
      </c>
      <c r="C306" s="1" t="s">
        <v>79</v>
      </c>
      <c r="D306" t="s">
        <v>119</v>
      </c>
      <c r="E306" s="1" t="s">
        <v>120</v>
      </c>
      <c r="F306" t="s">
        <v>127</v>
      </c>
      <c r="G306" s="1" t="s">
        <v>132</v>
      </c>
      <c r="H306">
        <v>402</v>
      </c>
      <c r="I306" t="s">
        <v>9</v>
      </c>
      <c r="J306">
        <v>21879.649999999998</v>
      </c>
      <c r="K306">
        <v>18454.550000000003</v>
      </c>
    </row>
    <row r="307" spans="1:11" x14ac:dyDescent="0.3">
      <c r="A307" s="1" t="s">
        <v>84</v>
      </c>
      <c r="B307" s="1" t="s">
        <v>208</v>
      </c>
      <c r="C307" s="1" t="s">
        <v>79</v>
      </c>
      <c r="D307" t="s">
        <v>119</v>
      </c>
      <c r="E307" s="1" t="s">
        <v>120</v>
      </c>
      <c r="F307" t="s">
        <v>127</v>
      </c>
      <c r="G307" s="1" t="s">
        <v>132</v>
      </c>
      <c r="H307">
        <v>406</v>
      </c>
      <c r="I307" t="s">
        <v>57</v>
      </c>
      <c r="J307">
        <v>17410.680000000004</v>
      </c>
      <c r="K307">
        <v>15017.419999999995</v>
      </c>
    </row>
    <row r="308" spans="1:11" x14ac:dyDescent="0.3">
      <c r="A308" s="1" t="s">
        <v>84</v>
      </c>
      <c r="B308" s="1" t="s">
        <v>208</v>
      </c>
      <c r="C308" s="1" t="s">
        <v>79</v>
      </c>
      <c r="D308" t="s">
        <v>119</v>
      </c>
      <c r="E308" s="1" t="s">
        <v>120</v>
      </c>
      <c r="F308" t="s">
        <v>127</v>
      </c>
      <c r="G308" s="1" t="s">
        <v>132</v>
      </c>
      <c r="H308">
        <v>416</v>
      </c>
      <c r="I308" t="s">
        <v>66</v>
      </c>
      <c r="J308">
        <v>8168.93</v>
      </c>
      <c r="K308">
        <v>16122.059999999998</v>
      </c>
    </row>
    <row r="309" spans="1:11" x14ac:dyDescent="0.3">
      <c r="A309" s="1" t="s">
        <v>84</v>
      </c>
      <c r="B309" s="1" t="s">
        <v>208</v>
      </c>
      <c r="C309" s="1" t="s">
        <v>79</v>
      </c>
      <c r="D309" t="s">
        <v>119</v>
      </c>
      <c r="E309" s="1" t="s">
        <v>120</v>
      </c>
      <c r="F309" t="s">
        <v>127</v>
      </c>
      <c r="G309" s="1" t="s">
        <v>135</v>
      </c>
      <c r="H309">
        <v>414</v>
      </c>
      <c r="I309" t="s">
        <v>65</v>
      </c>
      <c r="J309">
        <v>254554.05999999997</v>
      </c>
      <c r="K309">
        <v>260690.5900000011</v>
      </c>
    </row>
    <row r="310" spans="1:11" x14ac:dyDescent="0.3">
      <c r="A310" s="1" t="s">
        <v>84</v>
      </c>
      <c r="B310" s="1" t="s">
        <v>208</v>
      </c>
      <c r="C310" s="1" t="s">
        <v>79</v>
      </c>
      <c r="D310" t="s">
        <v>119</v>
      </c>
      <c r="E310" s="1" t="s">
        <v>119</v>
      </c>
      <c r="F310" t="s">
        <v>124</v>
      </c>
      <c r="G310" s="1" t="s">
        <v>131</v>
      </c>
      <c r="H310">
        <v>309</v>
      </c>
      <c r="I310" t="s">
        <v>52</v>
      </c>
      <c r="J310">
        <v>144289.37</v>
      </c>
      <c r="K310">
        <v>171080.75000000047</v>
      </c>
    </row>
    <row r="311" spans="1:11" x14ac:dyDescent="0.3">
      <c r="A311" s="1" t="s">
        <v>84</v>
      </c>
      <c r="B311" s="1" t="s">
        <v>208</v>
      </c>
      <c r="C311" s="1" t="s">
        <v>79</v>
      </c>
      <c r="D311" t="s">
        <v>119</v>
      </c>
      <c r="E311" s="1" t="s">
        <v>119</v>
      </c>
      <c r="F311" t="s">
        <v>124</v>
      </c>
      <c r="G311" s="1" t="s">
        <v>130</v>
      </c>
      <c r="H311">
        <v>305</v>
      </c>
      <c r="I311" t="s">
        <v>6</v>
      </c>
      <c r="J311">
        <v>87829.619999999981</v>
      </c>
      <c r="K311">
        <v>116412.7500000001</v>
      </c>
    </row>
    <row r="312" spans="1:11" x14ac:dyDescent="0.3">
      <c r="A312" s="1" t="s">
        <v>84</v>
      </c>
      <c r="B312" s="1" t="s">
        <v>208</v>
      </c>
      <c r="C312" s="1" t="s">
        <v>79</v>
      </c>
      <c r="D312" t="s">
        <v>119</v>
      </c>
      <c r="E312" s="1" t="s">
        <v>119</v>
      </c>
      <c r="F312" t="s">
        <v>124</v>
      </c>
      <c r="G312" s="1" t="s">
        <v>134</v>
      </c>
      <c r="H312">
        <v>302</v>
      </c>
      <c r="I312" t="s">
        <v>32</v>
      </c>
      <c r="J312">
        <v>47664.69</v>
      </c>
      <c r="K312">
        <v>60695.029999999984</v>
      </c>
    </row>
    <row r="313" spans="1:11" x14ac:dyDescent="0.3">
      <c r="A313" s="1" t="s">
        <v>84</v>
      </c>
      <c r="B313" s="1" t="s">
        <v>208</v>
      </c>
      <c r="C313" s="1" t="s">
        <v>79</v>
      </c>
      <c r="D313" t="s">
        <v>119</v>
      </c>
      <c r="E313" s="1" t="s">
        <v>119</v>
      </c>
      <c r="F313" t="s">
        <v>124</v>
      </c>
      <c r="G313" s="1" t="s">
        <v>129</v>
      </c>
      <c r="H313">
        <v>301</v>
      </c>
      <c r="I313" t="s">
        <v>59</v>
      </c>
      <c r="J313">
        <v>27152.100000000002</v>
      </c>
      <c r="K313">
        <v>31270.959999999999</v>
      </c>
    </row>
    <row r="314" spans="1:11" x14ac:dyDescent="0.3">
      <c r="A314" s="1" t="s">
        <v>84</v>
      </c>
      <c r="B314" s="1" t="s">
        <v>208</v>
      </c>
      <c r="C314" s="1" t="s">
        <v>79</v>
      </c>
      <c r="D314" t="s">
        <v>119</v>
      </c>
      <c r="E314" s="1" t="s">
        <v>119</v>
      </c>
      <c r="F314" t="s">
        <v>124</v>
      </c>
      <c r="G314" s="1" t="s">
        <v>129</v>
      </c>
      <c r="H314">
        <v>311</v>
      </c>
      <c r="I314" t="s">
        <v>13</v>
      </c>
      <c r="J314">
        <v>24551.379999999997</v>
      </c>
      <c r="K314">
        <v>34525.73000000001</v>
      </c>
    </row>
    <row r="315" spans="1:11" x14ac:dyDescent="0.3">
      <c r="A315" s="1" t="s">
        <v>84</v>
      </c>
      <c r="B315" s="1" t="s">
        <v>208</v>
      </c>
      <c r="C315" s="1" t="s">
        <v>79</v>
      </c>
      <c r="D315" t="s">
        <v>119</v>
      </c>
      <c r="E315" s="1" t="s">
        <v>119</v>
      </c>
      <c r="F315" t="s">
        <v>125</v>
      </c>
      <c r="G315" s="1" t="s">
        <v>131</v>
      </c>
      <c r="H315">
        <v>211</v>
      </c>
      <c r="I315" t="s">
        <v>8</v>
      </c>
      <c r="J315">
        <v>163107.02000000002</v>
      </c>
      <c r="K315">
        <v>137834.11000000019</v>
      </c>
    </row>
    <row r="316" spans="1:11" x14ac:dyDescent="0.3">
      <c r="A316" s="1" t="s">
        <v>84</v>
      </c>
      <c r="B316" s="1" t="s">
        <v>208</v>
      </c>
      <c r="C316" s="1" t="s">
        <v>79</v>
      </c>
      <c r="D316" t="s">
        <v>119</v>
      </c>
      <c r="E316" s="1" t="s">
        <v>119</v>
      </c>
      <c r="F316" t="s">
        <v>125</v>
      </c>
      <c r="G316" s="1" t="s">
        <v>130</v>
      </c>
      <c r="H316">
        <v>207</v>
      </c>
      <c r="I316" t="s">
        <v>53</v>
      </c>
      <c r="J316">
        <v>103298.99999999997</v>
      </c>
      <c r="K316">
        <v>99344.360000000102</v>
      </c>
    </row>
    <row r="317" spans="1:11" x14ac:dyDescent="0.3">
      <c r="A317" s="1" t="s">
        <v>84</v>
      </c>
      <c r="B317" s="1" t="s">
        <v>208</v>
      </c>
      <c r="C317" s="1" t="s">
        <v>79</v>
      </c>
      <c r="D317" t="s">
        <v>119</v>
      </c>
      <c r="E317" s="1" t="s">
        <v>119</v>
      </c>
      <c r="F317" t="s">
        <v>125</v>
      </c>
      <c r="G317" s="1" t="s">
        <v>133</v>
      </c>
      <c r="H317">
        <v>203</v>
      </c>
      <c r="I317" t="s">
        <v>60</v>
      </c>
      <c r="J317">
        <v>40138.799999999996</v>
      </c>
      <c r="K317">
        <v>48344.239999999983</v>
      </c>
    </row>
    <row r="318" spans="1:11" x14ac:dyDescent="0.3">
      <c r="A318" s="1" t="s">
        <v>84</v>
      </c>
      <c r="B318" s="1" t="s">
        <v>208</v>
      </c>
      <c r="C318" s="1" t="s">
        <v>79</v>
      </c>
      <c r="D318" t="s">
        <v>119</v>
      </c>
      <c r="E318" s="1" t="s">
        <v>119</v>
      </c>
      <c r="F318" t="s">
        <v>125</v>
      </c>
      <c r="G318" s="1" t="s">
        <v>133</v>
      </c>
      <c r="H318">
        <v>212</v>
      </c>
      <c r="I318" t="s">
        <v>62</v>
      </c>
      <c r="J318">
        <v>45870.659999999996</v>
      </c>
      <c r="K318">
        <v>55132.219999999979</v>
      </c>
    </row>
    <row r="319" spans="1:11" x14ac:dyDescent="0.3">
      <c r="A319" s="1" t="s">
        <v>84</v>
      </c>
      <c r="B319" s="1" t="s">
        <v>208</v>
      </c>
      <c r="C319" s="1" t="s">
        <v>79</v>
      </c>
      <c r="D319" t="s">
        <v>119</v>
      </c>
      <c r="E319" s="1" t="s">
        <v>119</v>
      </c>
      <c r="F319" t="s">
        <v>125</v>
      </c>
      <c r="G319" s="1" t="s">
        <v>134</v>
      </c>
      <c r="H319">
        <v>190</v>
      </c>
      <c r="I319" t="s">
        <v>42</v>
      </c>
      <c r="J319">
        <v>61241.939999999988</v>
      </c>
      <c r="K319">
        <v>63097.08999999996</v>
      </c>
    </row>
    <row r="320" spans="1:11" x14ac:dyDescent="0.3">
      <c r="A320" s="1" t="s">
        <v>84</v>
      </c>
      <c r="B320" s="1" t="s">
        <v>208</v>
      </c>
      <c r="C320" s="1" t="s">
        <v>79</v>
      </c>
      <c r="D320" t="s">
        <v>119</v>
      </c>
      <c r="E320" s="1" t="s">
        <v>119</v>
      </c>
      <c r="F320" t="s">
        <v>125</v>
      </c>
      <c r="G320" s="1" t="s">
        <v>134</v>
      </c>
      <c r="H320">
        <v>214</v>
      </c>
      <c r="I320" t="s">
        <v>17</v>
      </c>
      <c r="J320">
        <v>52199.68</v>
      </c>
      <c r="K320">
        <v>54310.919999999955</v>
      </c>
    </row>
    <row r="321" spans="1:11" x14ac:dyDescent="0.3">
      <c r="A321" s="1" t="s">
        <v>84</v>
      </c>
      <c r="B321" s="1" t="s">
        <v>208</v>
      </c>
      <c r="C321" s="1" t="s">
        <v>79</v>
      </c>
      <c r="D321" t="s">
        <v>119</v>
      </c>
      <c r="E321" s="1" t="s">
        <v>119</v>
      </c>
      <c r="F321" t="s">
        <v>127</v>
      </c>
      <c r="G321" s="1" t="s">
        <v>130</v>
      </c>
      <c r="H321">
        <v>407</v>
      </c>
      <c r="I321" t="s">
        <v>34</v>
      </c>
      <c r="J321">
        <v>98629.65</v>
      </c>
      <c r="K321">
        <v>85688.610000000015</v>
      </c>
    </row>
    <row r="322" spans="1:11" x14ac:dyDescent="0.3">
      <c r="A322" s="1" t="s">
        <v>84</v>
      </c>
      <c r="B322" s="1" t="s">
        <v>208</v>
      </c>
      <c r="C322" s="1" t="s">
        <v>79</v>
      </c>
      <c r="D322" t="s">
        <v>119</v>
      </c>
      <c r="E322" s="1" t="s">
        <v>119</v>
      </c>
      <c r="F322" t="s">
        <v>127</v>
      </c>
      <c r="G322" s="1" t="s">
        <v>130</v>
      </c>
      <c r="H322">
        <v>413</v>
      </c>
      <c r="I322" t="s">
        <v>14</v>
      </c>
      <c r="J322">
        <v>126459.80999999997</v>
      </c>
      <c r="K322">
        <v>127137.16000000012</v>
      </c>
    </row>
    <row r="323" spans="1:11" x14ac:dyDescent="0.3">
      <c r="A323" s="1" t="s">
        <v>84</v>
      </c>
      <c r="B323" s="1" t="s">
        <v>208</v>
      </c>
      <c r="C323" s="1" t="s">
        <v>79</v>
      </c>
      <c r="D323" t="s">
        <v>119</v>
      </c>
      <c r="E323" s="1" t="s">
        <v>119</v>
      </c>
      <c r="F323" t="s">
        <v>127</v>
      </c>
      <c r="G323" s="1" t="s">
        <v>133</v>
      </c>
      <c r="H323">
        <v>412</v>
      </c>
      <c r="I323" t="s">
        <v>11</v>
      </c>
      <c r="J323">
        <v>54336.32999999998</v>
      </c>
      <c r="K323">
        <v>52432.58</v>
      </c>
    </row>
    <row r="324" spans="1:11" x14ac:dyDescent="0.3">
      <c r="A324" s="1" t="s">
        <v>84</v>
      </c>
      <c r="B324" s="1" t="s">
        <v>208</v>
      </c>
      <c r="C324" s="1" t="s">
        <v>79</v>
      </c>
      <c r="D324" t="s">
        <v>119</v>
      </c>
      <c r="E324" s="1" t="s">
        <v>119</v>
      </c>
      <c r="F324" t="s">
        <v>127</v>
      </c>
      <c r="G324" s="1" t="s">
        <v>134</v>
      </c>
      <c r="H324">
        <v>403</v>
      </c>
      <c r="I324" t="s">
        <v>12</v>
      </c>
      <c r="J324">
        <v>58758.960000000006</v>
      </c>
      <c r="K324">
        <v>54861.140000000021</v>
      </c>
    </row>
    <row r="325" spans="1:11" x14ac:dyDescent="0.3">
      <c r="A325" s="1" t="s">
        <v>84</v>
      </c>
      <c r="B325" s="1" t="s">
        <v>208</v>
      </c>
      <c r="C325" s="1" t="s">
        <v>79</v>
      </c>
      <c r="D325" t="s">
        <v>119</v>
      </c>
      <c r="E325" s="1" t="s">
        <v>119</v>
      </c>
      <c r="F325" t="s">
        <v>127</v>
      </c>
      <c r="G325" s="1" t="s">
        <v>129</v>
      </c>
      <c r="H325">
        <v>409</v>
      </c>
      <c r="I325" t="s">
        <v>58</v>
      </c>
      <c r="J325">
        <v>37059.110000000008</v>
      </c>
      <c r="K325">
        <v>30891.090000000011</v>
      </c>
    </row>
    <row r="326" spans="1:11" x14ac:dyDescent="0.3">
      <c r="A326" s="1" t="s">
        <v>84</v>
      </c>
      <c r="B326" s="1" t="s">
        <v>208</v>
      </c>
      <c r="C326" s="1" t="s">
        <v>79</v>
      </c>
      <c r="D326" t="s">
        <v>119</v>
      </c>
      <c r="E326" s="1" t="s">
        <v>119</v>
      </c>
      <c r="F326" t="s">
        <v>127</v>
      </c>
      <c r="G326" s="1" t="s">
        <v>132</v>
      </c>
      <c r="H326">
        <v>410</v>
      </c>
      <c r="I326" t="s">
        <v>40</v>
      </c>
      <c r="J326">
        <v>20195.96</v>
      </c>
      <c r="K326">
        <v>26868.729999999992</v>
      </c>
    </row>
    <row r="327" spans="1:11" x14ac:dyDescent="0.3">
      <c r="A327" s="1" t="s">
        <v>84</v>
      </c>
      <c r="B327" s="1" t="s">
        <v>208</v>
      </c>
      <c r="C327" s="1" t="s">
        <v>79</v>
      </c>
      <c r="D327" t="s">
        <v>119</v>
      </c>
      <c r="E327" s="1" t="s">
        <v>119</v>
      </c>
      <c r="F327" t="s">
        <v>126</v>
      </c>
      <c r="G327" s="1" t="s">
        <v>130</v>
      </c>
      <c r="H327">
        <v>101</v>
      </c>
      <c r="I327" t="s">
        <v>10</v>
      </c>
      <c r="J327">
        <v>109594.16999999998</v>
      </c>
      <c r="K327">
        <v>122843.78000000032</v>
      </c>
    </row>
    <row r="328" spans="1:11" x14ac:dyDescent="0.3">
      <c r="A328" s="1" t="s">
        <v>84</v>
      </c>
      <c r="B328" s="1" t="s">
        <v>208</v>
      </c>
      <c r="C328" s="1" t="s">
        <v>79</v>
      </c>
      <c r="D328" t="s">
        <v>119</v>
      </c>
      <c r="E328" s="1" t="s">
        <v>119</v>
      </c>
      <c r="F328" t="s">
        <v>126</v>
      </c>
      <c r="G328" s="1" t="s">
        <v>130</v>
      </c>
      <c r="H328">
        <v>150</v>
      </c>
      <c r="I328" t="s">
        <v>3</v>
      </c>
      <c r="J328">
        <v>98080.419999999969</v>
      </c>
      <c r="K328">
        <v>109280.97000000016</v>
      </c>
    </row>
    <row r="329" spans="1:11" x14ac:dyDescent="0.3">
      <c r="A329" s="1" t="s">
        <v>84</v>
      </c>
      <c r="B329" s="1" t="s">
        <v>208</v>
      </c>
      <c r="C329" s="1" t="s">
        <v>79</v>
      </c>
      <c r="D329" t="s">
        <v>119</v>
      </c>
      <c r="E329" s="1" t="s">
        <v>119</v>
      </c>
      <c r="F329" t="s">
        <v>126</v>
      </c>
      <c r="G329" s="1" t="s">
        <v>134</v>
      </c>
      <c r="H329">
        <v>170</v>
      </c>
      <c r="I329" t="s">
        <v>56</v>
      </c>
      <c r="J329">
        <v>53737.510000000009</v>
      </c>
      <c r="K329">
        <v>64396.210000000028</v>
      </c>
    </row>
    <row r="330" spans="1:11" x14ac:dyDescent="0.3">
      <c r="A330" s="1" t="s">
        <v>84</v>
      </c>
      <c r="B330" s="1" t="s">
        <v>208</v>
      </c>
      <c r="C330" s="1" t="s">
        <v>79</v>
      </c>
      <c r="D330" t="s">
        <v>119</v>
      </c>
      <c r="E330" s="1" t="s">
        <v>119</v>
      </c>
      <c r="F330" t="s">
        <v>126</v>
      </c>
      <c r="G330" s="1" t="s">
        <v>129</v>
      </c>
      <c r="H330">
        <v>131</v>
      </c>
      <c r="I330" t="s">
        <v>67</v>
      </c>
      <c r="J330">
        <v>34420.980000000003</v>
      </c>
      <c r="K330">
        <v>38848.200000000026</v>
      </c>
    </row>
    <row r="331" spans="1:11" x14ac:dyDescent="0.3">
      <c r="A331" s="1" t="s">
        <v>84</v>
      </c>
      <c r="B331" s="1" t="s">
        <v>208</v>
      </c>
      <c r="C331" s="1" t="s">
        <v>79</v>
      </c>
      <c r="D331" t="s">
        <v>119</v>
      </c>
      <c r="E331" s="1" t="s">
        <v>119</v>
      </c>
      <c r="F331" t="s">
        <v>126</v>
      </c>
      <c r="G331" s="1" t="s">
        <v>132</v>
      </c>
      <c r="H331">
        <v>151</v>
      </c>
      <c r="I331" t="s">
        <v>20</v>
      </c>
      <c r="J331">
        <v>29465.370000000003</v>
      </c>
      <c r="K331">
        <v>32201.939999999973</v>
      </c>
    </row>
    <row r="332" spans="1:11" x14ac:dyDescent="0.3">
      <c r="A332" s="1" t="s">
        <v>84</v>
      </c>
      <c r="B332" s="1" t="s">
        <v>208</v>
      </c>
      <c r="C332" s="1" t="s">
        <v>92</v>
      </c>
      <c r="D332" t="s">
        <v>121</v>
      </c>
      <c r="E332" s="1" t="s">
        <v>121</v>
      </c>
      <c r="F332" t="s">
        <v>127</v>
      </c>
      <c r="G332" s="1" t="s">
        <v>136</v>
      </c>
      <c r="H332">
        <v>418</v>
      </c>
      <c r="I332" t="s">
        <v>44</v>
      </c>
      <c r="J332">
        <v>0</v>
      </c>
      <c r="K332">
        <v>104451.31000000019</v>
      </c>
    </row>
    <row r="333" spans="1:11" x14ac:dyDescent="0.3">
      <c r="A333" s="1" t="s">
        <v>84</v>
      </c>
      <c r="B333" s="1" t="s">
        <v>208</v>
      </c>
      <c r="C333" s="1" t="s">
        <v>92</v>
      </c>
      <c r="D333" t="s">
        <v>119</v>
      </c>
      <c r="E333" s="1" t="s">
        <v>122</v>
      </c>
      <c r="F333" t="s">
        <v>124</v>
      </c>
      <c r="G333" s="1" t="s">
        <v>136</v>
      </c>
      <c r="H333">
        <v>307</v>
      </c>
      <c r="I333" t="s">
        <v>19</v>
      </c>
      <c r="J333">
        <v>47556.179999999993</v>
      </c>
      <c r="K333">
        <v>71366.879999999961</v>
      </c>
    </row>
    <row r="334" spans="1:11" x14ac:dyDescent="0.3">
      <c r="A334" s="1" t="s">
        <v>84</v>
      </c>
      <c r="B334" s="1" t="s">
        <v>208</v>
      </c>
      <c r="C334" s="1" t="s">
        <v>92</v>
      </c>
      <c r="D334" t="s">
        <v>119</v>
      </c>
      <c r="E334" s="1" t="s">
        <v>122</v>
      </c>
      <c r="F334" t="s">
        <v>127</v>
      </c>
      <c r="G334" s="1" t="s">
        <v>136</v>
      </c>
      <c r="H334">
        <v>411</v>
      </c>
      <c r="I334" t="s">
        <v>43</v>
      </c>
      <c r="J334">
        <v>110822.20999999999</v>
      </c>
      <c r="K334">
        <v>97509.800000000105</v>
      </c>
    </row>
    <row r="335" spans="1:11" x14ac:dyDescent="0.3">
      <c r="A335" s="1" t="s">
        <v>84</v>
      </c>
      <c r="B335" s="1" t="s">
        <v>208</v>
      </c>
      <c r="C335" s="1" t="s">
        <v>92</v>
      </c>
      <c r="D335" t="s">
        <v>119</v>
      </c>
      <c r="E335" s="1" t="s">
        <v>120</v>
      </c>
      <c r="F335" t="s">
        <v>125</v>
      </c>
      <c r="G335" s="1" t="s">
        <v>136</v>
      </c>
      <c r="H335">
        <v>213</v>
      </c>
      <c r="I335" t="s">
        <v>49</v>
      </c>
      <c r="J335">
        <v>63665.86</v>
      </c>
      <c r="K335">
        <v>78298.480000000069</v>
      </c>
    </row>
    <row r="336" spans="1:11" x14ac:dyDescent="0.3">
      <c r="A336" s="1" t="s">
        <v>84</v>
      </c>
      <c r="B336" s="1" t="s">
        <v>208</v>
      </c>
      <c r="C336" s="1" t="s">
        <v>92</v>
      </c>
      <c r="D336" t="s">
        <v>119</v>
      </c>
      <c r="E336" s="1" t="s">
        <v>120</v>
      </c>
      <c r="F336" t="s">
        <v>127</v>
      </c>
      <c r="G336" s="1" t="s">
        <v>136</v>
      </c>
      <c r="H336">
        <v>415</v>
      </c>
      <c r="I336" t="s">
        <v>47</v>
      </c>
      <c r="J336">
        <v>66626.299999999988</v>
      </c>
      <c r="K336">
        <v>79217.610000000073</v>
      </c>
    </row>
    <row r="337" spans="1:11" x14ac:dyDescent="0.3">
      <c r="A337" s="1" t="s">
        <v>84</v>
      </c>
      <c r="B337" s="1" t="s">
        <v>208</v>
      </c>
      <c r="C337" s="1" t="s">
        <v>92</v>
      </c>
      <c r="D337" t="s">
        <v>119</v>
      </c>
      <c r="E337" s="1" t="s">
        <v>119</v>
      </c>
      <c r="F337" t="s">
        <v>124</v>
      </c>
      <c r="G337" s="1" t="s">
        <v>136</v>
      </c>
      <c r="H337">
        <v>306</v>
      </c>
      <c r="I337" t="s">
        <v>51</v>
      </c>
      <c r="J337">
        <v>57380.60000000002</v>
      </c>
      <c r="K337">
        <v>86442.900000000052</v>
      </c>
    </row>
    <row r="338" spans="1:11" x14ac:dyDescent="0.3">
      <c r="A338" s="1" t="s">
        <v>84</v>
      </c>
      <c r="B338" s="1" t="s">
        <v>208</v>
      </c>
      <c r="C338" s="1" t="s">
        <v>92</v>
      </c>
      <c r="D338" t="s">
        <v>119</v>
      </c>
      <c r="E338" s="1" t="s">
        <v>119</v>
      </c>
      <c r="F338" t="s">
        <v>125</v>
      </c>
      <c r="G338" s="1" t="s">
        <v>136</v>
      </c>
      <c r="H338">
        <v>201</v>
      </c>
      <c r="I338" t="s">
        <v>45</v>
      </c>
      <c r="J338">
        <v>40705.780000000006</v>
      </c>
      <c r="K338">
        <v>52226.45</v>
      </c>
    </row>
    <row r="339" spans="1:11" x14ac:dyDescent="0.3">
      <c r="A339" s="1" t="s">
        <v>84</v>
      </c>
      <c r="B339" s="1" t="s">
        <v>208</v>
      </c>
      <c r="C339" s="1" t="s">
        <v>92</v>
      </c>
      <c r="D339" t="s">
        <v>119</v>
      </c>
      <c r="E339" s="1" t="s">
        <v>119</v>
      </c>
      <c r="F339" t="s">
        <v>125</v>
      </c>
      <c r="G339" s="1" t="s">
        <v>136</v>
      </c>
      <c r="H339">
        <v>204</v>
      </c>
      <c r="I339" t="s">
        <v>46</v>
      </c>
      <c r="J339">
        <v>57634.729999999996</v>
      </c>
      <c r="K339">
        <v>56840.879999999932</v>
      </c>
    </row>
    <row r="340" spans="1:11" x14ac:dyDescent="0.3">
      <c r="A340" s="1" t="s">
        <v>84</v>
      </c>
      <c r="B340" s="1" t="s">
        <v>208</v>
      </c>
      <c r="C340" s="1" t="s">
        <v>92</v>
      </c>
      <c r="D340" t="s">
        <v>119</v>
      </c>
      <c r="E340" s="1" t="s">
        <v>119</v>
      </c>
      <c r="F340" t="s">
        <v>126</v>
      </c>
      <c r="G340" s="1" t="s">
        <v>136</v>
      </c>
      <c r="H340">
        <v>102</v>
      </c>
      <c r="I340" t="s">
        <v>50</v>
      </c>
      <c r="J340">
        <v>74036.83</v>
      </c>
      <c r="K340">
        <v>82777.419999999955</v>
      </c>
    </row>
    <row r="341" spans="1:11" x14ac:dyDescent="0.3">
      <c r="A341" s="1" t="s">
        <v>84</v>
      </c>
      <c r="B341" s="1" t="s">
        <v>208</v>
      </c>
      <c r="C341" s="1" t="s">
        <v>93</v>
      </c>
      <c r="D341" t="s">
        <v>122</v>
      </c>
      <c r="E341" s="1" t="s">
        <v>122</v>
      </c>
      <c r="F341" t="s">
        <v>93</v>
      </c>
      <c r="G341" s="1" t="s">
        <v>93</v>
      </c>
      <c r="H341" t="s">
        <v>196</v>
      </c>
      <c r="I341" s="33" t="s">
        <v>38</v>
      </c>
      <c r="J341" s="33">
        <v>0</v>
      </c>
      <c r="K341" s="33">
        <v>0</v>
      </c>
    </row>
    <row r="342" spans="1:11" x14ac:dyDescent="0.3">
      <c r="A342" s="1" t="s">
        <v>84</v>
      </c>
      <c r="B342" s="1" t="s">
        <v>208</v>
      </c>
      <c r="C342" s="1" t="s">
        <v>93</v>
      </c>
      <c r="D342" t="s">
        <v>122</v>
      </c>
      <c r="E342" s="1" t="s">
        <v>122</v>
      </c>
      <c r="F342" t="s">
        <v>93</v>
      </c>
      <c r="G342" s="1" t="s">
        <v>93</v>
      </c>
      <c r="H342" t="s">
        <v>196</v>
      </c>
      <c r="I342" s="33" t="s">
        <v>39</v>
      </c>
      <c r="J342" s="33">
        <v>0</v>
      </c>
      <c r="K342" s="33">
        <v>0</v>
      </c>
    </row>
    <row r="343" spans="1:11" x14ac:dyDescent="0.3">
      <c r="A343" s="1" t="s">
        <v>84</v>
      </c>
      <c r="B343" s="1" t="s">
        <v>208</v>
      </c>
      <c r="C343" s="1" t="s">
        <v>93</v>
      </c>
      <c r="D343" t="s">
        <v>119</v>
      </c>
      <c r="E343" s="1" t="s">
        <v>119</v>
      </c>
      <c r="F343" t="s">
        <v>93</v>
      </c>
      <c r="G343" s="1" t="s">
        <v>93</v>
      </c>
      <c r="H343">
        <v>903</v>
      </c>
      <c r="I343" t="s">
        <v>37</v>
      </c>
      <c r="J343">
        <v>64247.59</v>
      </c>
      <c r="K343">
        <v>78710.440000000061</v>
      </c>
    </row>
    <row r="344" spans="1:11" x14ac:dyDescent="0.3">
      <c r="A344" s="1" t="s">
        <v>84</v>
      </c>
      <c r="B344" s="1" t="s">
        <v>208</v>
      </c>
      <c r="C344" s="1" t="s">
        <v>94</v>
      </c>
      <c r="D344" t="s">
        <v>121</v>
      </c>
      <c r="E344" s="1" t="s">
        <v>121</v>
      </c>
      <c r="F344" t="s">
        <v>124</v>
      </c>
      <c r="G344" s="1" t="s">
        <v>137</v>
      </c>
      <c r="H344" t="s">
        <v>112</v>
      </c>
      <c r="I344" t="s">
        <v>21</v>
      </c>
      <c r="J344">
        <v>0</v>
      </c>
      <c r="K344">
        <v>0</v>
      </c>
    </row>
    <row r="345" spans="1:11" x14ac:dyDescent="0.3">
      <c r="A345" s="1" t="s">
        <v>84</v>
      </c>
      <c r="B345" s="1" t="s">
        <v>208</v>
      </c>
      <c r="C345" s="1" t="s">
        <v>94</v>
      </c>
      <c r="D345" t="s">
        <v>121</v>
      </c>
      <c r="E345" s="1" t="s">
        <v>121</v>
      </c>
      <c r="F345" t="s">
        <v>125</v>
      </c>
      <c r="G345" s="1" t="s">
        <v>138</v>
      </c>
      <c r="H345">
        <v>470</v>
      </c>
      <c r="I345" t="s">
        <v>26</v>
      </c>
      <c r="J345">
        <v>0</v>
      </c>
      <c r="K345">
        <v>0</v>
      </c>
    </row>
    <row r="346" spans="1:11" x14ac:dyDescent="0.3">
      <c r="A346" s="1" t="s">
        <v>84</v>
      </c>
      <c r="B346" s="1" t="s">
        <v>208</v>
      </c>
      <c r="C346" s="1" t="s">
        <v>94</v>
      </c>
      <c r="D346" t="s">
        <v>121</v>
      </c>
      <c r="E346" s="1" t="s">
        <v>121</v>
      </c>
      <c r="F346" t="s">
        <v>125</v>
      </c>
      <c r="G346" s="1" t="s">
        <v>137</v>
      </c>
      <c r="H346" t="s">
        <v>114</v>
      </c>
      <c r="I346" t="s">
        <v>23</v>
      </c>
      <c r="J346">
        <v>0</v>
      </c>
      <c r="K346">
        <v>0</v>
      </c>
    </row>
    <row r="347" spans="1:11" x14ac:dyDescent="0.3">
      <c r="A347" s="1" t="s">
        <v>84</v>
      </c>
      <c r="B347" s="1" t="s">
        <v>208</v>
      </c>
      <c r="C347" s="1" t="s">
        <v>94</v>
      </c>
      <c r="D347" t="s">
        <v>121</v>
      </c>
      <c r="E347" s="1" t="s">
        <v>121</v>
      </c>
      <c r="F347" t="s">
        <v>125</v>
      </c>
      <c r="G347" s="1" t="s">
        <v>137</v>
      </c>
      <c r="H347" t="s">
        <v>113</v>
      </c>
      <c r="I347" t="s">
        <v>22</v>
      </c>
      <c r="J347">
        <v>0</v>
      </c>
      <c r="K347">
        <v>0</v>
      </c>
    </row>
    <row r="348" spans="1:11" x14ac:dyDescent="0.3">
      <c r="A348" s="1" t="s">
        <v>84</v>
      </c>
      <c r="B348" s="1" t="s">
        <v>208</v>
      </c>
      <c r="C348" s="1" t="s">
        <v>94</v>
      </c>
      <c r="D348" t="s">
        <v>121</v>
      </c>
      <c r="E348" s="1" t="s">
        <v>121</v>
      </c>
      <c r="F348" t="s">
        <v>127</v>
      </c>
      <c r="G348" s="1" t="s">
        <v>137</v>
      </c>
      <c r="H348">
        <v>494</v>
      </c>
      <c r="I348" t="s">
        <v>25</v>
      </c>
      <c r="J348">
        <v>0</v>
      </c>
      <c r="K348">
        <v>0</v>
      </c>
    </row>
    <row r="349" spans="1:11" x14ac:dyDescent="0.3">
      <c r="A349" s="1" t="s">
        <v>84</v>
      </c>
      <c r="B349" s="1" t="s">
        <v>208</v>
      </c>
      <c r="C349" s="1" t="s">
        <v>94</v>
      </c>
      <c r="D349" t="s">
        <v>121</v>
      </c>
      <c r="E349" s="1" t="s">
        <v>121</v>
      </c>
      <c r="F349" t="s">
        <v>126</v>
      </c>
      <c r="G349" s="1" t="s">
        <v>137</v>
      </c>
      <c r="H349">
        <v>460</v>
      </c>
      <c r="I349" t="s">
        <v>30</v>
      </c>
      <c r="J349">
        <v>0</v>
      </c>
      <c r="K349">
        <v>0</v>
      </c>
    </row>
    <row r="350" spans="1:11" x14ac:dyDescent="0.3">
      <c r="A350" s="1" t="s">
        <v>84</v>
      </c>
      <c r="B350" s="1" t="s">
        <v>208</v>
      </c>
      <c r="C350" s="1" t="s">
        <v>94</v>
      </c>
      <c r="D350" t="s">
        <v>121</v>
      </c>
      <c r="E350" s="1" t="s">
        <v>121</v>
      </c>
      <c r="F350" t="s">
        <v>126</v>
      </c>
      <c r="G350" s="1" t="s">
        <v>137</v>
      </c>
      <c r="H350">
        <v>461</v>
      </c>
      <c r="I350" t="s">
        <v>29</v>
      </c>
      <c r="J350">
        <v>0</v>
      </c>
      <c r="K350">
        <v>0</v>
      </c>
    </row>
    <row r="351" spans="1:11" x14ac:dyDescent="0.3">
      <c r="A351" s="1" t="s">
        <v>84</v>
      </c>
      <c r="B351" s="1" t="s">
        <v>208</v>
      </c>
      <c r="C351" s="1" t="s">
        <v>94</v>
      </c>
      <c r="D351" t="s">
        <v>121</v>
      </c>
      <c r="E351" s="1" t="s">
        <v>119</v>
      </c>
      <c r="F351" t="s">
        <v>124</v>
      </c>
      <c r="G351" s="1" t="s">
        <v>138</v>
      </c>
      <c r="H351">
        <v>480</v>
      </c>
      <c r="I351" t="s">
        <v>28</v>
      </c>
      <c r="J351">
        <v>0</v>
      </c>
      <c r="K351">
        <v>31428.320000000029</v>
      </c>
    </row>
    <row r="352" spans="1:11" x14ac:dyDescent="0.3">
      <c r="A352" s="1" t="s">
        <v>84</v>
      </c>
      <c r="B352" s="1" t="s">
        <v>208</v>
      </c>
      <c r="C352" s="1" t="s">
        <v>94</v>
      </c>
      <c r="D352" t="s">
        <v>121</v>
      </c>
      <c r="E352" s="1" t="s">
        <v>119</v>
      </c>
      <c r="F352" t="s">
        <v>127</v>
      </c>
      <c r="G352" s="1" t="s">
        <v>138</v>
      </c>
      <c r="H352">
        <v>491</v>
      </c>
      <c r="I352" t="s">
        <v>31</v>
      </c>
      <c r="J352">
        <v>0</v>
      </c>
      <c r="K352">
        <v>74555.200000000026</v>
      </c>
    </row>
    <row r="353" spans="1:11" x14ac:dyDescent="0.3">
      <c r="A353" s="1" t="s">
        <v>84</v>
      </c>
      <c r="B353" s="1" t="s">
        <v>208</v>
      </c>
      <c r="C353" s="1" t="s">
        <v>94</v>
      </c>
      <c r="D353" t="s">
        <v>121</v>
      </c>
      <c r="E353" s="1" t="s">
        <v>119</v>
      </c>
      <c r="F353" t="s">
        <v>127</v>
      </c>
      <c r="G353" s="1" t="s">
        <v>138</v>
      </c>
      <c r="H353">
        <v>492</v>
      </c>
      <c r="I353" t="s">
        <v>27</v>
      </c>
      <c r="J353">
        <v>0</v>
      </c>
      <c r="K353">
        <v>40655.430000000037</v>
      </c>
    </row>
    <row r="354" spans="1:11" x14ac:dyDescent="0.3">
      <c r="A354" s="1" t="s">
        <v>84</v>
      </c>
      <c r="B354" s="1" t="s">
        <v>208</v>
      </c>
      <c r="C354" s="1" t="s">
        <v>94</v>
      </c>
      <c r="D354" t="s">
        <v>121</v>
      </c>
      <c r="E354" s="1" t="s">
        <v>119</v>
      </c>
      <c r="F354" t="s">
        <v>127</v>
      </c>
      <c r="G354" s="1" t="s">
        <v>138</v>
      </c>
      <c r="H354">
        <v>493</v>
      </c>
      <c r="I354" t="s">
        <v>24</v>
      </c>
      <c r="J354">
        <v>0</v>
      </c>
      <c r="K354">
        <v>32906.979999999989</v>
      </c>
    </row>
    <row r="355" spans="1:11" x14ac:dyDescent="0.3">
      <c r="A355" s="1" t="s">
        <v>84</v>
      </c>
      <c r="B355" s="1" t="s">
        <v>208</v>
      </c>
      <c r="C355" s="1" t="s">
        <v>95</v>
      </c>
      <c r="D355" t="s">
        <v>121</v>
      </c>
      <c r="E355" s="1" t="s">
        <v>121</v>
      </c>
      <c r="F355" t="s">
        <v>126</v>
      </c>
      <c r="G355" s="1" t="s">
        <v>139</v>
      </c>
      <c r="H355">
        <v>510</v>
      </c>
      <c r="I355" t="s">
        <v>76</v>
      </c>
      <c r="J355">
        <v>0</v>
      </c>
      <c r="K355">
        <v>0</v>
      </c>
    </row>
    <row r="356" spans="1:11" x14ac:dyDescent="0.3">
      <c r="A356" s="1" t="s">
        <v>84</v>
      </c>
      <c r="B356" s="1" t="s">
        <v>208</v>
      </c>
      <c r="C356" s="1" t="s">
        <v>95</v>
      </c>
      <c r="D356" t="s">
        <v>121</v>
      </c>
      <c r="E356" s="1" t="s">
        <v>119</v>
      </c>
      <c r="F356" t="s">
        <v>127</v>
      </c>
      <c r="G356" s="1" t="s">
        <v>140</v>
      </c>
      <c r="H356">
        <v>541</v>
      </c>
      <c r="I356" t="s">
        <v>74</v>
      </c>
      <c r="J356">
        <v>0</v>
      </c>
      <c r="K356">
        <v>40908.76999999996</v>
      </c>
    </row>
    <row r="357" spans="1:11" x14ac:dyDescent="0.3">
      <c r="A357" s="1" t="s">
        <v>84</v>
      </c>
      <c r="B357" s="1" t="s">
        <v>208</v>
      </c>
      <c r="C357" s="1" t="s">
        <v>95</v>
      </c>
      <c r="D357" t="s">
        <v>121</v>
      </c>
      <c r="E357" s="1" t="s">
        <v>119</v>
      </c>
      <c r="F357" t="s">
        <v>127</v>
      </c>
      <c r="G357" s="1" t="s">
        <v>140</v>
      </c>
      <c r="H357">
        <v>543</v>
      </c>
      <c r="I357" t="s">
        <v>72</v>
      </c>
      <c r="J357">
        <v>25871.489999999998</v>
      </c>
      <c r="K357">
        <v>31238.319999999974</v>
      </c>
    </row>
    <row r="358" spans="1:11" x14ac:dyDescent="0.3">
      <c r="A358" s="1" t="s">
        <v>84</v>
      </c>
      <c r="B358" s="1" t="s">
        <v>208</v>
      </c>
      <c r="C358" s="1" t="s">
        <v>95</v>
      </c>
      <c r="D358" t="s">
        <v>120</v>
      </c>
      <c r="E358" s="1" t="s">
        <v>119</v>
      </c>
      <c r="F358" t="s">
        <v>127</v>
      </c>
      <c r="G358" s="1" t="s">
        <v>140</v>
      </c>
      <c r="H358">
        <v>540</v>
      </c>
      <c r="I358" t="s">
        <v>73</v>
      </c>
      <c r="J358">
        <v>49919.499999999985</v>
      </c>
      <c r="K358">
        <v>105756.96000000004</v>
      </c>
    </row>
    <row r="359" spans="1:11" x14ac:dyDescent="0.3">
      <c r="A359" s="1" t="s">
        <v>84</v>
      </c>
      <c r="B359" s="1" t="s">
        <v>208</v>
      </c>
      <c r="C359" s="1" t="s">
        <v>95</v>
      </c>
      <c r="D359" t="s">
        <v>119</v>
      </c>
      <c r="E359" s="1" t="s">
        <v>120</v>
      </c>
      <c r="F359" t="s">
        <v>124</v>
      </c>
      <c r="G359" s="1" t="s">
        <v>139</v>
      </c>
      <c r="H359">
        <v>530</v>
      </c>
      <c r="I359" t="s">
        <v>68</v>
      </c>
      <c r="J359">
        <v>18393.12</v>
      </c>
      <c r="K359">
        <v>24921.149999999994</v>
      </c>
    </row>
    <row r="360" spans="1:11" x14ac:dyDescent="0.3">
      <c r="A360" s="1" t="s">
        <v>84</v>
      </c>
      <c r="B360" s="1" t="s">
        <v>208</v>
      </c>
      <c r="C360" s="1" t="s">
        <v>95</v>
      </c>
      <c r="D360" t="s">
        <v>119</v>
      </c>
      <c r="E360" s="1" t="s">
        <v>119</v>
      </c>
      <c r="F360" t="s">
        <v>125</v>
      </c>
      <c r="G360" s="1" t="s">
        <v>140</v>
      </c>
      <c r="H360">
        <v>520</v>
      </c>
      <c r="I360" t="s">
        <v>70</v>
      </c>
      <c r="J360">
        <v>45648.149999999994</v>
      </c>
      <c r="K360">
        <v>56250.359999999971</v>
      </c>
    </row>
    <row r="361" spans="1:11" x14ac:dyDescent="0.3">
      <c r="A361" s="2" t="s">
        <v>84</v>
      </c>
      <c r="B361" s="1" t="s">
        <v>208</v>
      </c>
      <c r="C361" s="1" t="s">
        <v>95</v>
      </c>
      <c r="D361" t="s">
        <v>119</v>
      </c>
      <c r="E361" s="1" t="s">
        <v>119</v>
      </c>
      <c r="F361" t="s">
        <v>127</v>
      </c>
      <c r="G361" s="1" t="s">
        <v>139</v>
      </c>
      <c r="H361">
        <v>542</v>
      </c>
      <c r="I361" t="s">
        <v>69</v>
      </c>
      <c r="J361">
        <v>26904.639999999999</v>
      </c>
      <c r="K361">
        <v>18908.91</v>
      </c>
    </row>
    <row r="362" spans="1:11" x14ac:dyDescent="0.3">
      <c r="A362" s="1" t="s">
        <v>85</v>
      </c>
      <c r="B362" s="1" t="s">
        <v>208</v>
      </c>
      <c r="C362" s="1" t="s">
        <v>79</v>
      </c>
      <c r="D362" t="s">
        <v>122</v>
      </c>
      <c r="E362" s="1" t="s">
        <v>122</v>
      </c>
      <c r="F362" t="s">
        <v>124</v>
      </c>
      <c r="G362" s="1" t="s">
        <v>129</v>
      </c>
      <c r="H362" t="s">
        <v>196</v>
      </c>
      <c r="I362" t="s">
        <v>1</v>
      </c>
      <c r="J362">
        <v>0</v>
      </c>
      <c r="K362">
        <v>0</v>
      </c>
    </row>
    <row r="363" spans="1:11" x14ac:dyDescent="0.3">
      <c r="A363" s="1" t="s">
        <v>85</v>
      </c>
      <c r="B363" s="1" t="s">
        <v>208</v>
      </c>
      <c r="C363" s="1" t="s">
        <v>79</v>
      </c>
      <c r="D363" t="s">
        <v>122</v>
      </c>
      <c r="E363" s="1" t="s">
        <v>122</v>
      </c>
      <c r="F363" t="s">
        <v>125</v>
      </c>
      <c r="G363" s="1" t="s">
        <v>129</v>
      </c>
      <c r="H363" t="s">
        <v>196</v>
      </c>
      <c r="I363" t="s">
        <v>7</v>
      </c>
      <c r="J363">
        <v>0</v>
      </c>
      <c r="K363">
        <v>0</v>
      </c>
    </row>
    <row r="364" spans="1:11" x14ac:dyDescent="0.3">
      <c r="A364" s="1" t="s">
        <v>85</v>
      </c>
      <c r="B364" s="1" t="s">
        <v>208</v>
      </c>
      <c r="C364" s="1" t="s">
        <v>79</v>
      </c>
      <c r="D364" t="s">
        <v>122</v>
      </c>
      <c r="E364" s="1" t="s">
        <v>122</v>
      </c>
      <c r="F364" t="s">
        <v>127</v>
      </c>
      <c r="G364" s="1" t="s">
        <v>129</v>
      </c>
      <c r="H364" t="s">
        <v>196</v>
      </c>
      <c r="I364" t="s">
        <v>5</v>
      </c>
      <c r="J364">
        <v>0</v>
      </c>
      <c r="K364">
        <v>0</v>
      </c>
    </row>
    <row r="365" spans="1:11" x14ac:dyDescent="0.3">
      <c r="A365" s="1" t="s">
        <v>85</v>
      </c>
      <c r="B365" s="1" t="s">
        <v>208</v>
      </c>
      <c r="C365" s="1" t="s">
        <v>79</v>
      </c>
      <c r="D365" t="s">
        <v>122</v>
      </c>
      <c r="E365" s="1" t="s">
        <v>122</v>
      </c>
      <c r="F365" t="s">
        <v>127</v>
      </c>
      <c r="G365" s="1" t="s">
        <v>122</v>
      </c>
      <c r="H365" t="s">
        <v>196</v>
      </c>
      <c r="I365" t="s">
        <v>33</v>
      </c>
      <c r="J365">
        <v>0</v>
      </c>
      <c r="K365">
        <v>0</v>
      </c>
    </row>
    <row r="366" spans="1:11" x14ac:dyDescent="0.3">
      <c r="A366" s="1" t="s">
        <v>85</v>
      </c>
      <c r="B366" s="1" t="s">
        <v>208</v>
      </c>
      <c r="C366" s="1" t="s">
        <v>79</v>
      </c>
      <c r="D366" t="s">
        <v>122</v>
      </c>
      <c r="E366" s="1" t="s">
        <v>122</v>
      </c>
      <c r="F366" t="s">
        <v>126</v>
      </c>
      <c r="G366" s="1" t="s">
        <v>122</v>
      </c>
      <c r="H366" t="s">
        <v>196</v>
      </c>
      <c r="I366" s="33" t="s">
        <v>55</v>
      </c>
      <c r="J366" s="33">
        <v>0</v>
      </c>
      <c r="K366" s="33">
        <v>0</v>
      </c>
    </row>
    <row r="367" spans="1:11" x14ac:dyDescent="0.3">
      <c r="A367" s="1" t="s">
        <v>85</v>
      </c>
      <c r="B367" s="1" t="s">
        <v>208</v>
      </c>
      <c r="C367" s="1" t="s">
        <v>79</v>
      </c>
      <c r="D367" t="s">
        <v>121</v>
      </c>
      <c r="E367" s="1" t="s">
        <v>121</v>
      </c>
      <c r="F367" t="s">
        <v>125</v>
      </c>
      <c r="G367" s="1" t="s">
        <v>129</v>
      </c>
      <c r="H367" t="s">
        <v>110</v>
      </c>
      <c r="I367" t="s">
        <v>64</v>
      </c>
      <c r="J367">
        <v>0</v>
      </c>
      <c r="K367">
        <v>0</v>
      </c>
    </row>
    <row r="368" spans="1:11" x14ac:dyDescent="0.3">
      <c r="A368" s="1" t="s">
        <v>85</v>
      </c>
      <c r="B368" s="1" t="s">
        <v>208</v>
      </c>
      <c r="C368" s="1" t="s">
        <v>79</v>
      </c>
      <c r="D368" t="s">
        <v>121</v>
      </c>
      <c r="E368" s="1" t="s">
        <v>121</v>
      </c>
      <c r="F368" t="s">
        <v>127</v>
      </c>
      <c r="G368" s="1" t="s">
        <v>129</v>
      </c>
      <c r="H368" t="s">
        <v>109</v>
      </c>
      <c r="I368" s="33" t="s">
        <v>41</v>
      </c>
      <c r="J368" s="33">
        <v>0</v>
      </c>
      <c r="K368" s="33">
        <v>0</v>
      </c>
    </row>
    <row r="369" spans="1:11" x14ac:dyDescent="0.3">
      <c r="A369" s="1" t="s">
        <v>85</v>
      </c>
      <c r="B369" s="1" t="s">
        <v>208</v>
      </c>
      <c r="C369" s="1" t="s">
        <v>79</v>
      </c>
      <c r="D369" t="s">
        <v>120</v>
      </c>
      <c r="E369" s="1" t="s">
        <v>120</v>
      </c>
      <c r="F369" t="s">
        <v>124</v>
      </c>
      <c r="G369" s="1" t="s">
        <v>129</v>
      </c>
      <c r="H369">
        <v>304</v>
      </c>
      <c r="I369" t="s">
        <v>61</v>
      </c>
      <c r="J369">
        <v>31444.599999999991</v>
      </c>
      <c r="K369">
        <v>162.36000000000001</v>
      </c>
    </row>
    <row r="370" spans="1:11" x14ac:dyDescent="0.3">
      <c r="A370" s="1" t="s">
        <v>85</v>
      </c>
      <c r="B370" s="1" t="s">
        <v>208</v>
      </c>
      <c r="C370" s="1" t="s">
        <v>79</v>
      </c>
      <c r="D370" t="s">
        <v>120</v>
      </c>
      <c r="E370" s="1" t="s">
        <v>120</v>
      </c>
      <c r="F370" t="s">
        <v>125</v>
      </c>
      <c r="G370" s="1" t="s">
        <v>133</v>
      </c>
      <c r="H370">
        <v>208</v>
      </c>
      <c r="I370" t="s">
        <v>36</v>
      </c>
      <c r="J370">
        <v>32414.529999999995</v>
      </c>
      <c r="K370">
        <v>31787.590000000011</v>
      </c>
    </row>
    <row r="371" spans="1:11" x14ac:dyDescent="0.3">
      <c r="A371" s="1" t="s">
        <v>85</v>
      </c>
      <c r="B371" s="1" t="s">
        <v>208</v>
      </c>
      <c r="C371" s="1" t="s">
        <v>79</v>
      </c>
      <c r="D371" t="s">
        <v>120</v>
      </c>
      <c r="E371" s="1" t="s">
        <v>120</v>
      </c>
      <c r="F371" t="s">
        <v>125</v>
      </c>
      <c r="G371" s="1" t="s">
        <v>133</v>
      </c>
      <c r="H371">
        <v>209</v>
      </c>
      <c r="I371" t="s">
        <v>35</v>
      </c>
      <c r="J371">
        <v>13271.670000000002</v>
      </c>
      <c r="K371">
        <v>21020.749999999989</v>
      </c>
    </row>
    <row r="372" spans="1:11" x14ac:dyDescent="0.3">
      <c r="A372" s="1" t="s">
        <v>85</v>
      </c>
      <c r="B372" s="1" t="s">
        <v>208</v>
      </c>
      <c r="C372" s="1" t="s">
        <v>79</v>
      </c>
      <c r="D372" t="s">
        <v>120</v>
      </c>
      <c r="E372" s="1" t="s">
        <v>120</v>
      </c>
      <c r="F372" t="s">
        <v>125</v>
      </c>
      <c r="G372" s="1" t="s">
        <v>129</v>
      </c>
      <c r="H372">
        <v>202</v>
      </c>
      <c r="I372" t="s">
        <v>4</v>
      </c>
      <c r="J372">
        <v>57355.62</v>
      </c>
      <c r="K372">
        <v>46898.069999999949</v>
      </c>
    </row>
    <row r="373" spans="1:11" x14ac:dyDescent="0.3">
      <c r="A373" s="1" t="s">
        <v>85</v>
      </c>
      <c r="B373" s="1" t="s">
        <v>208</v>
      </c>
      <c r="C373" s="1" t="s">
        <v>79</v>
      </c>
      <c r="D373" t="s">
        <v>120</v>
      </c>
      <c r="E373" s="1" t="s">
        <v>120</v>
      </c>
      <c r="F373" t="s">
        <v>127</v>
      </c>
      <c r="G373" s="1" t="s">
        <v>133</v>
      </c>
      <c r="H373">
        <v>404</v>
      </c>
      <c r="I373" t="s">
        <v>15</v>
      </c>
      <c r="J373">
        <v>27114.92</v>
      </c>
      <c r="K373">
        <v>0</v>
      </c>
    </row>
    <row r="374" spans="1:11" x14ac:dyDescent="0.3">
      <c r="A374" s="1" t="s">
        <v>85</v>
      </c>
      <c r="B374" s="1" t="s">
        <v>208</v>
      </c>
      <c r="C374" s="1" t="s">
        <v>79</v>
      </c>
      <c r="D374" t="s">
        <v>120</v>
      </c>
      <c r="E374" s="1" t="s">
        <v>119</v>
      </c>
      <c r="F374" t="s">
        <v>124</v>
      </c>
      <c r="G374" s="1" t="s">
        <v>129</v>
      </c>
      <c r="H374">
        <v>310</v>
      </c>
      <c r="I374" t="s">
        <v>63</v>
      </c>
      <c r="J374">
        <v>6045.77</v>
      </c>
      <c r="K374">
        <v>15849.76</v>
      </c>
    </row>
    <row r="375" spans="1:11" x14ac:dyDescent="0.3">
      <c r="A375" s="1" t="s">
        <v>85</v>
      </c>
      <c r="B375" s="1" t="s">
        <v>208</v>
      </c>
      <c r="C375" s="1" t="s">
        <v>79</v>
      </c>
      <c r="D375" t="s">
        <v>120</v>
      </c>
      <c r="E375" s="1" t="s">
        <v>119</v>
      </c>
      <c r="F375" t="s">
        <v>125</v>
      </c>
      <c r="G375" s="1" t="s">
        <v>134</v>
      </c>
      <c r="H375">
        <v>206</v>
      </c>
      <c r="I375" t="s">
        <v>18</v>
      </c>
      <c r="J375">
        <v>14995.43</v>
      </c>
      <c r="K375">
        <v>49478.670000000027</v>
      </c>
    </row>
    <row r="376" spans="1:11" x14ac:dyDescent="0.3">
      <c r="A376" s="1" t="s">
        <v>85</v>
      </c>
      <c r="B376" s="1" t="s">
        <v>208</v>
      </c>
      <c r="C376" s="1" t="s">
        <v>79</v>
      </c>
      <c r="D376" t="s">
        <v>120</v>
      </c>
      <c r="E376" s="1" t="s">
        <v>119</v>
      </c>
      <c r="F376" t="s">
        <v>125</v>
      </c>
      <c r="G376" s="1" t="s">
        <v>129</v>
      </c>
      <c r="H376">
        <v>210</v>
      </c>
      <c r="I376" t="s">
        <v>2</v>
      </c>
      <c r="J376">
        <v>29572.759999999995</v>
      </c>
      <c r="K376">
        <v>34762.689999999981</v>
      </c>
    </row>
    <row r="377" spans="1:11" x14ac:dyDescent="0.3">
      <c r="A377" s="1" t="s">
        <v>85</v>
      </c>
      <c r="B377" s="1" t="s">
        <v>208</v>
      </c>
      <c r="C377" s="1" t="s">
        <v>79</v>
      </c>
      <c r="D377" t="s">
        <v>120</v>
      </c>
      <c r="E377" s="1" t="s">
        <v>119</v>
      </c>
      <c r="F377" t="s">
        <v>127</v>
      </c>
      <c r="G377" s="1" t="s">
        <v>131</v>
      </c>
      <c r="H377">
        <v>417</v>
      </c>
      <c r="I377" t="s">
        <v>54</v>
      </c>
      <c r="J377">
        <v>81649.509999999995</v>
      </c>
      <c r="K377">
        <v>63810.270000000048</v>
      </c>
    </row>
    <row r="378" spans="1:11" x14ac:dyDescent="0.3">
      <c r="A378" s="1" t="s">
        <v>85</v>
      </c>
      <c r="B378" s="1" t="s">
        <v>208</v>
      </c>
      <c r="C378" s="1" t="s">
        <v>79</v>
      </c>
      <c r="D378" t="s">
        <v>119</v>
      </c>
      <c r="E378" s="1" t="s">
        <v>120</v>
      </c>
      <c r="F378" t="s">
        <v>124</v>
      </c>
      <c r="G378" s="1" t="s">
        <v>129</v>
      </c>
      <c r="H378">
        <v>308</v>
      </c>
      <c r="I378" t="s">
        <v>0</v>
      </c>
      <c r="J378">
        <v>17645.940000000002</v>
      </c>
      <c r="K378">
        <v>28449.960000000017</v>
      </c>
    </row>
    <row r="379" spans="1:11" x14ac:dyDescent="0.3">
      <c r="A379" s="1" t="s">
        <v>85</v>
      </c>
      <c r="B379" s="1" t="s">
        <v>208</v>
      </c>
      <c r="C379" s="1" t="s">
        <v>79</v>
      </c>
      <c r="D379" t="s">
        <v>119</v>
      </c>
      <c r="E379" s="1" t="s">
        <v>120</v>
      </c>
      <c r="F379" t="s">
        <v>127</v>
      </c>
      <c r="G379" s="1" t="s">
        <v>132</v>
      </c>
      <c r="H379">
        <v>402</v>
      </c>
      <c r="I379" t="s">
        <v>9</v>
      </c>
      <c r="J379">
        <v>19823.7</v>
      </c>
      <c r="K379">
        <v>20955.28</v>
      </c>
    </row>
    <row r="380" spans="1:11" x14ac:dyDescent="0.3">
      <c r="A380" s="1" t="s">
        <v>85</v>
      </c>
      <c r="B380" s="1" t="s">
        <v>208</v>
      </c>
      <c r="C380" s="1" t="s">
        <v>79</v>
      </c>
      <c r="D380" t="s">
        <v>119</v>
      </c>
      <c r="E380" s="1" t="s">
        <v>120</v>
      </c>
      <c r="F380" t="s">
        <v>127</v>
      </c>
      <c r="G380" s="1" t="s">
        <v>132</v>
      </c>
      <c r="H380">
        <v>406</v>
      </c>
      <c r="I380" t="s">
        <v>57</v>
      </c>
      <c r="J380">
        <v>17480.75</v>
      </c>
      <c r="K380">
        <v>16472.439999999984</v>
      </c>
    </row>
    <row r="381" spans="1:11" x14ac:dyDescent="0.3">
      <c r="A381" s="1" t="s">
        <v>85</v>
      </c>
      <c r="B381" s="1" t="s">
        <v>208</v>
      </c>
      <c r="C381" s="1" t="s">
        <v>79</v>
      </c>
      <c r="D381" t="s">
        <v>119</v>
      </c>
      <c r="E381" s="1" t="s">
        <v>120</v>
      </c>
      <c r="F381" t="s">
        <v>127</v>
      </c>
      <c r="G381" s="1" t="s">
        <v>132</v>
      </c>
      <c r="H381">
        <v>416</v>
      </c>
      <c r="I381" t="s">
        <v>66</v>
      </c>
      <c r="J381">
        <v>12957.689999999999</v>
      </c>
      <c r="K381">
        <v>15095.649999999992</v>
      </c>
    </row>
    <row r="382" spans="1:11" x14ac:dyDescent="0.3">
      <c r="A382" s="1" t="s">
        <v>85</v>
      </c>
      <c r="B382" s="1" t="s">
        <v>208</v>
      </c>
      <c r="C382" s="1" t="s">
        <v>79</v>
      </c>
      <c r="D382" t="s">
        <v>119</v>
      </c>
      <c r="E382" s="1" t="s">
        <v>120</v>
      </c>
      <c r="F382" t="s">
        <v>127</v>
      </c>
      <c r="G382" s="1" t="s">
        <v>135</v>
      </c>
      <c r="H382">
        <v>414</v>
      </c>
      <c r="I382" t="s">
        <v>65</v>
      </c>
      <c r="J382">
        <v>238500.7099999999</v>
      </c>
      <c r="K382">
        <v>244802.3199999994</v>
      </c>
    </row>
    <row r="383" spans="1:11" x14ac:dyDescent="0.3">
      <c r="A383" s="1" t="s">
        <v>85</v>
      </c>
      <c r="B383" s="1" t="s">
        <v>208</v>
      </c>
      <c r="C383" s="1" t="s">
        <v>79</v>
      </c>
      <c r="D383" t="s">
        <v>119</v>
      </c>
      <c r="E383" s="1" t="s">
        <v>119</v>
      </c>
      <c r="F383" t="s">
        <v>124</v>
      </c>
      <c r="G383" s="1" t="s">
        <v>131</v>
      </c>
      <c r="H383">
        <v>309</v>
      </c>
      <c r="I383" t="s">
        <v>52</v>
      </c>
      <c r="J383">
        <v>106919.19</v>
      </c>
      <c r="K383">
        <v>146862.30000000042</v>
      </c>
    </row>
    <row r="384" spans="1:11" x14ac:dyDescent="0.3">
      <c r="A384" s="1" t="s">
        <v>85</v>
      </c>
      <c r="B384" s="1" t="s">
        <v>208</v>
      </c>
      <c r="C384" s="1" t="s">
        <v>79</v>
      </c>
      <c r="D384" t="s">
        <v>119</v>
      </c>
      <c r="E384" s="1" t="s">
        <v>119</v>
      </c>
      <c r="F384" t="s">
        <v>124</v>
      </c>
      <c r="G384" s="1" t="s">
        <v>130</v>
      </c>
      <c r="H384">
        <v>305</v>
      </c>
      <c r="I384" t="s">
        <v>6</v>
      </c>
      <c r="J384">
        <v>62420.279999999984</v>
      </c>
      <c r="K384">
        <v>104821.81000000019</v>
      </c>
    </row>
    <row r="385" spans="1:11" x14ac:dyDescent="0.3">
      <c r="A385" s="1" t="s">
        <v>85</v>
      </c>
      <c r="B385" s="1" t="s">
        <v>208</v>
      </c>
      <c r="C385" s="1" t="s">
        <v>79</v>
      </c>
      <c r="D385" t="s">
        <v>119</v>
      </c>
      <c r="E385" s="1" t="s">
        <v>119</v>
      </c>
      <c r="F385" t="s">
        <v>124</v>
      </c>
      <c r="G385" s="1" t="s">
        <v>134</v>
      </c>
      <c r="H385">
        <v>302</v>
      </c>
      <c r="I385" t="s">
        <v>32</v>
      </c>
      <c r="J385">
        <v>39592.929999999993</v>
      </c>
      <c r="K385">
        <v>65115.969999999965</v>
      </c>
    </row>
    <row r="386" spans="1:11" x14ac:dyDescent="0.3">
      <c r="A386" s="1" t="s">
        <v>85</v>
      </c>
      <c r="B386" s="1" t="s">
        <v>208</v>
      </c>
      <c r="C386" s="1" t="s">
        <v>79</v>
      </c>
      <c r="D386" t="s">
        <v>119</v>
      </c>
      <c r="E386" s="1" t="s">
        <v>119</v>
      </c>
      <c r="F386" t="s">
        <v>124</v>
      </c>
      <c r="G386" s="1" t="s">
        <v>129</v>
      </c>
      <c r="H386">
        <v>301</v>
      </c>
      <c r="I386" t="s">
        <v>59</v>
      </c>
      <c r="J386">
        <v>20977.22</v>
      </c>
      <c r="K386">
        <v>36894.42</v>
      </c>
    </row>
    <row r="387" spans="1:11" x14ac:dyDescent="0.3">
      <c r="A387" s="1" t="s">
        <v>85</v>
      </c>
      <c r="B387" s="1" t="s">
        <v>208</v>
      </c>
      <c r="C387" s="1" t="s">
        <v>79</v>
      </c>
      <c r="D387" t="s">
        <v>119</v>
      </c>
      <c r="E387" s="1" t="s">
        <v>119</v>
      </c>
      <c r="F387" t="s">
        <v>124</v>
      </c>
      <c r="G387" s="1" t="s">
        <v>129</v>
      </c>
      <c r="H387">
        <v>311</v>
      </c>
      <c r="I387" t="s">
        <v>13</v>
      </c>
      <c r="J387">
        <v>19872.32</v>
      </c>
      <c r="K387">
        <v>34484.160000000011</v>
      </c>
    </row>
    <row r="388" spans="1:11" x14ac:dyDescent="0.3">
      <c r="A388" s="1" t="s">
        <v>85</v>
      </c>
      <c r="B388" s="1" t="s">
        <v>208</v>
      </c>
      <c r="C388" s="1" t="s">
        <v>79</v>
      </c>
      <c r="D388" t="s">
        <v>119</v>
      </c>
      <c r="E388" s="1" t="s">
        <v>119</v>
      </c>
      <c r="F388" t="s">
        <v>125</v>
      </c>
      <c r="G388" s="1" t="s">
        <v>131</v>
      </c>
      <c r="H388">
        <v>211</v>
      </c>
      <c r="I388" t="s">
        <v>8</v>
      </c>
      <c r="J388">
        <v>154727.09999999998</v>
      </c>
      <c r="K388">
        <v>130458.40000000049</v>
      </c>
    </row>
    <row r="389" spans="1:11" x14ac:dyDescent="0.3">
      <c r="A389" s="1" t="s">
        <v>85</v>
      </c>
      <c r="B389" s="1" t="s">
        <v>208</v>
      </c>
      <c r="C389" s="1" t="s">
        <v>79</v>
      </c>
      <c r="D389" t="s">
        <v>119</v>
      </c>
      <c r="E389" s="1" t="s">
        <v>119</v>
      </c>
      <c r="F389" t="s">
        <v>125</v>
      </c>
      <c r="G389" s="1" t="s">
        <v>130</v>
      </c>
      <c r="H389">
        <v>207</v>
      </c>
      <c r="I389" t="s">
        <v>53</v>
      </c>
      <c r="J389">
        <v>89906.97</v>
      </c>
      <c r="K389">
        <v>93463.180000000109</v>
      </c>
    </row>
    <row r="390" spans="1:11" x14ac:dyDescent="0.3">
      <c r="A390" s="1" t="s">
        <v>85</v>
      </c>
      <c r="B390" s="1" t="s">
        <v>208</v>
      </c>
      <c r="C390" s="1" t="s">
        <v>79</v>
      </c>
      <c r="D390" t="s">
        <v>119</v>
      </c>
      <c r="E390" s="1" t="s">
        <v>119</v>
      </c>
      <c r="F390" t="s">
        <v>125</v>
      </c>
      <c r="G390" s="1" t="s">
        <v>133</v>
      </c>
      <c r="H390">
        <v>203</v>
      </c>
      <c r="I390" t="s">
        <v>60</v>
      </c>
      <c r="J390">
        <v>34753.58</v>
      </c>
      <c r="K390">
        <v>45889.229999999989</v>
      </c>
    </row>
    <row r="391" spans="1:11" x14ac:dyDescent="0.3">
      <c r="A391" s="1" t="s">
        <v>85</v>
      </c>
      <c r="B391" s="1" t="s">
        <v>208</v>
      </c>
      <c r="C391" s="1" t="s">
        <v>79</v>
      </c>
      <c r="D391" t="s">
        <v>119</v>
      </c>
      <c r="E391" s="1" t="s">
        <v>119</v>
      </c>
      <c r="F391" t="s">
        <v>125</v>
      </c>
      <c r="G391" s="1" t="s">
        <v>133</v>
      </c>
      <c r="H391">
        <v>212</v>
      </c>
      <c r="I391" t="s">
        <v>62</v>
      </c>
      <c r="J391">
        <v>42101.77</v>
      </c>
      <c r="K391">
        <v>49913.029999999948</v>
      </c>
    </row>
    <row r="392" spans="1:11" x14ac:dyDescent="0.3">
      <c r="A392" s="1" t="s">
        <v>85</v>
      </c>
      <c r="B392" s="1" t="s">
        <v>208</v>
      </c>
      <c r="C392" s="1" t="s">
        <v>79</v>
      </c>
      <c r="D392" t="s">
        <v>119</v>
      </c>
      <c r="E392" s="1" t="s">
        <v>119</v>
      </c>
      <c r="F392" t="s">
        <v>125</v>
      </c>
      <c r="G392" s="1" t="s">
        <v>134</v>
      </c>
      <c r="H392">
        <v>190</v>
      </c>
      <c r="I392" t="s">
        <v>42</v>
      </c>
      <c r="J392">
        <v>38703.099999999991</v>
      </c>
      <c r="K392">
        <v>55492.849999999984</v>
      </c>
    </row>
    <row r="393" spans="1:11" x14ac:dyDescent="0.3">
      <c r="A393" s="1" t="s">
        <v>85</v>
      </c>
      <c r="B393" s="1" t="s">
        <v>208</v>
      </c>
      <c r="C393" s="1" t="s">
        <v>79</v>
      </c>
      <c r="D393" t="s">
        <v>119</v>
      </c>
      <c r="E393" s="1" t="s">
        <v>119</v>
      </c>
      <c r="F393" t="s">
        <v>125</v>
      </c>
      <c r="G393" s="1" t="s">
        <v>134</v>
      </c>
      <c r="H393">
        <v>214</v>
      </c>
      <c r="I393" t="s">
        <v>17</v>
      </c>
      <c r="J393">
        <v>45228.480000000003</v>
      </c>
      <c r="K393">
        <v>53547.290000000023</v>
      </c>
    </row>
    <row r="394" spans="1:11" x14ac:dyDescent="0.3">
      <c r="A394" s="1" t="s">
        <v>85</v>
      </c>
      <c r="B394" s="1" t="s">
        <v>208</v>
      </c>
      <c r="C394" s="1" t="s">
        <v>79</v>
      </c>
      <c r="D394" t="s">
        <v>119</v>
      </c>
      <c r="E394" s="1" t="s">
        <v>119</v>
      </c>
      <c r="F394" t="s">
        <v>127</v>
      </c>
      <c r="G394" s="1" t="s">
        <v>130</v>
      </c>
      <c r="H394">
        <v>407</v>
      </c>
      <c r="I394" t="s">
        <v>34</v>
      </c>
      <c r="J394">
        <v>94332.07</v>
      </c>
      <c r="K394">
        <v>95213.169999999955</v>
      </c>
    </row>
    <row r="395" spans="1:11" x14ac:dyDescent="0.3">
      <c r="A395" s="1" t="s">
        <v>85</v>
      </c>
      <c r="B395" s="1" t="s">
        <v>208</v>
      </c>
      <c r="C395" s="1" t="s">
        <v>79</v>
      </c>
      <c r="D395" t="s">
        <v>119</v>
      </c>
      <c r="E395" s="1" t="s">
        <v>119</v>
      </c>
      <c r="F395" t="s">
        <v>127</v>
      </c>
      <c r="G395" s="1" t="s">
        <v>130</v>
      </c>
      <c r="H395">
        <v>413</v>
      </c>
      <c r="I395" t="s">
        <v>14</v>
      </c>
      <c r="J395">
        <v>115679.51999999999</v>
      </c>
      <c r="K395">
        <v>118591.62000000021</v>
      </c>
    </row>
    <row r="396" spans="1:11" x14ac:dyDescent="0.3">
      <c r="A396" s="1" t="s">
        <v>85</v>
      </c>
      <c r="B396" s="1" t="s">
        <v>208</v>
      </c>
      <c r="C396" s="1" t="s">
        <v>79</v>
      </c>
      <c r="D396" t="s">
        <v>119</v>
      </c>
      <c r="E396" s="1" t="s">
        <v>119</v>
      </c>
      <c r="F396" t="s">
        <v>127</v>
      </c>
      <c r="G396" s="1" t="s">
        <v>133</v>
      </c>
      <c r="H396">
        <v>412</v>
      </c>
      <c r="I396" t="s">
        <v>11</v>
      </c>
      <c r="J396">
        <v>53099.119999999981</v>
      </c>
      <c r="K396">
        <v>50943.139999999978</v>
      </c>
    </row>
    <row r="397" spans="1:11" x14ac:dyDescent="0.3">
      <c r="A397" s="1" t="s">
        <v>85</v>
      </c>
      <c r="B397" s="1" t="s">
        <v>208</v>
      </c>
      <c r="C397" s="1" t="s">
        <v>79</v>
      </c>
      <c r="D397" t="s">
        <v>119</v>
      </c>
      <c r="E397" s="1" t="s">
        <v>119</v>
      </c>
      <c r="F397" t="s">
        <v>127</v>
      </c>
      <c r="G397" s="1" t="s">
        <v>134</v>
      </c>
      <c r="H397">
        <v>403</v>
      </c>
      <c r="I397" t="s">
        <v>12</v>
      </c>
      <c r="J397">
        <v>52913.439999999981</v>
      </c>
      <c r="K397">
        <v>63614.539999999979</v>
      </c>
    </row>
    <row r="398" spans="1:11" x14ac:dyDescent="0.3">
      <c r="A398" s="1" t="s">
        <v>85</v>
      </c>
      <c r="B398" s="1" t="s">
        <v>208</v>
      </c>
      <c r="C398" s="1" t="s">
        <v>79</v>
      </c>
      <c r="D398" t="s">
        <v>119</v>
      </c>
      <c r="E398" s="1" t="s">
        <v>119</v>
      </c>
      <c r="F398" t="s">
        <v>127</v>
      </c>
      <c r="G398" s="1" t="s">
        <v>129</v>
      </c>
      <c r="H398">
        <v>409</v>
      </c>
      <c r="I398" t="s">
        <v>58</v>
      </c>
      <c r="J398">
        <v>32611.279999999999</v>
      </c>
      <c r="K398">
        <v>28361.970000000019</v>
      </c>
    </row>
    <row r="399" spans="1:11" x14ac:dyDescent="0.3">
      <c r="A399" s="1" t="s">
        <v>85</v>
      </c>
      <c r="B399" s="1" t="s">
        <v>208</v>
      </c>
      <c r="C399" s="1" t="s">
        <v>79</v>
      </c>
      <c r="D399" t="s">
        <v>119</v>
      </c>
      <c r="E399" s="1" t="s">
        <v>119</v>
      </c>
      <c r="F399" t="s">
        <v>127</v>
      </c>
      <c r="G399" s="1" t="s">
        <v>132</v>
      </c>
      <c r="H399">
        <v>410</v>
      </c>
      <c r="I399" t="s">
        <v>40</v>
      </c>
      <c r="J399">
        <v>19248.259999999998</v>
      </c>
      <c r="K399">
        <v>23242</v>
      </c>
    </row>
    <row r="400" spans="1:11" x14ac:dyDescent="0.3">
      <c r="A400" s="1" t="s">
        <v>85</v>
      </c>
      <c r="B400" s="1" t="s">
        <v>208</v>
      </c>
      <c r="C400" s="1" t="s">
        <v>79</v>
      </c>
      <c r="D400" t="s">
        <v>119</v>
      </c>
      <c r="E400" s="1" t="s">
        <v>119</v>
      </c>
      <c r="F400" t="s">
        <v>126</v>
      </c>
      <c r="G400" s="1" t="s">
        <v>130</v>
      </c>
      <c r="H400">
        <v>101</v>
      </c>
      <c r="I400" t="s">
        <v>10</v>
      </c>
      <c r="J400">
        <v>93187.829999999987</v>
      </c>
      <c r="K400">
        <v>101039.94000000026</v>
      </c>
    </row>
    <row r="401" spans="1:11" x14ac:dyDescent="0.3">
      <c r="A401" s="1" t="s">
        <v>85</v>
      </c>
      <c r="B401" s="1" t="s">
        <v>208</v>
      </c>
      <c r="C401" s="1" t="s">
        <v>79</v>
      </c>
      <c r="D401" t="s">
        <v>119</v>
      </c>
      <c r="E401" s="1" t="s">
        <v>119</v>
      </c>
      <c r="F401" t="s">
        <v>126</v>
      </c>
      <c r="G401" s="1" t="s">
        <v>130</v>
      </c>
      <c r="H401">
        <v>150</v>
      </c>
      <c r="I401" t="s">
        <v>3</v>
      </c>
      <c r="J401">
        <v>70901.960000000006</v>
      </c>
      <c r="K401">
        <v>93851.150000000096</v>
      </c>
    </row>
    <row r="402" spans="1:11" x14ac:dyDescent="0.3">
      <c r="A402" s="1" t="s">
        <v>85</v>
      </c>
      <c r="B402" s="1" t="s">
        <v>208</v>
      </c>
      <c r="C402" s="1" t="s">
        <v>79</v>
      </c>
      <c r="D402" t="s">
        <v>119</v>
      </c>
      <c r="E402" s="1" t="s">
        <v>119</v>
      </c>
      <c r="F402" t="s">
        <v>126</v>
      </c>
      <c r="G402" s="1" t="s">
        <v>134</v>
      </c>
      <c r="H402">
        <v>170</v>
      </c>
      <c r="I402" t="s">
        <v>56</v>
      </c>
      <c r="J402">
        <v>44356.710000000006</v>
      </c>
      <c r="K402">
        <v>50646.979999999938</v>
      </c>
    </row>
    <row r="403" spans="1:11" x14ac:dyDescent="0.3">
      <c r="A403" s="1" t="s">
        <v>85</v>
      </c>
      <c r="B403" s="1" t="s">
        <v>208</v>
      </c>
      <c r="C403" s="1" t="s">
        <v>79</v>
      </c>
      <c r="D403" t="s">
        <v>119</v>
      </c>
      <c r="E403" s="1" t="s">
        <v>119</v>
      </c>
      <c r="F403" t="s">
        <v>126</v>
      </c>
      <c r="G403" s="1" t="s">
        <v>129</v>
      </c>
      <c r="H403">
        <v>131</v>
      </c>
      <c r="I403" t="s">
        <v>67</v>
      </c>
      <c r="J403">
        <v>34681.449999999997</v>
      </c>
      <c r="K403">
        <v>31063.430000000008</v>
      </c>
    </row>
    <row r="404" spans="1:11" x14ac:dyDescent="0.3">
      <c r="A404" s="1" t="s">
        <v>85</v>
      </c>
      <c r="B404" s="1" t="s">
        <v>208</v>
      </c>
      <c r="C404" s="1" t="s">
        <v>79</v>
      </c>
      <c r="D404" t="s">
        <v>119</v>
      </c>
      <c r="E404" s="1" t="s">
        <v>119</v>
      </c>
      <c r="F404" t="s">
        <v>126</v>
      </c>
      <c r="G404" s="1" t="s">
        <v>132</v>
      </c>
      <c r="H404">
        <v>151</v>
      </c>
      <c r="I404" t="s">
        <v>20</v>
      </c>
      <c r="J404">
        <v>23360.559999999998</v>
      </c>
      <c r="K404">
        <v>33488.54</v>
      </c>
    </row>
    <row r="405" spans="1:11" x14ac:dyDescent="0.3">
      <c r="A405" s="1" t="s">
        <v>85</v>
      </c>
      <c r="B405" s="1" t="s">
        <v>208</v>
      </c>
      <c r="C405" s="1" t="s">
        <v>92</v>
      </c>
      <c r="D405" t="s">
        <v>121</v>
      </c>
      <c r="E405" s="1" t="s">
        <v>121</v>
      </c>
      <c r="F405" t="s">
        <v>127</v>
      </c>
      <c r="G405" s="1" t="s">
        <v>136</v>
      </c>
      <c r="H405">
        <v>418</v>
      </c>
      <c r="I405" t="s">
        <v>44</v>
      </c>
      <c r="J405">
        <v>0</v>
      </c>
      <c r="K405">
        <v>120142.45000000017</v>
      </c>
    </row>
    <row r="406" spans="1:11" x14ac:dyDescent="0.3">
      <c r="A406" s="1" t="s">
        <v>85</v>
      </c>
      <c r="B406" s="1" t="s">
        <v>208</v>
      </c>
      <c r="C406" s="1" t="s">
        <v>92</v>
      </c>
      <c r="D406" t="s">
        <v>119</v>
      </c>
      <c r="E406" s="1" t="s">
        <v>122</v>
      </c>
      <c r="F406" t="s">
        <v>124</v>
      </c>
      <c r="G406" s="1" t="s">
        <v>136</v>
      </c>
      <c r="H406">
        <v>307</v>
      </c>
      <c r="I406" t="s">
        <v>19</v>
      </c>
      <c r="J406">
        <v>27691.73</v>
      </c>
      <c r="K406">
        <v>69033.160000000062</v>
      </c>
    </row>
    <row r="407" spans="1:11" x14ac:dyDescent="0.3">
      <c r="A407" s="1" t="s">
        <v>85</v>
      </c>
      <c r="B407" s="1" t="s">
        <v>208</v>
      </c>
      <c r="C407" s="1" t="s">
        <v>92</v>
      </c>
      <c r="D407" t="s">
        <v>119</v>
      </c>
      <c r="E407" s="1" t="s">
        <v>122</v>
      </c>
      <c r="F407" t="s">
        <v>127</v>
      </c>
      <c r="G407" s="1" t="s">
        <v>136</v>
      </c>
      <c r="H407">
        <v>411</v>
      </c>
      <c r="I407" t="s">
        <v>43</v>
      </c>
      <c r="J407">
        <v>101896.81999999998</v>
      </c>
      <c r="K407">
        <v>86055.559999999881</v>
      </c>
    </row>
    <row r="408" spans="1:11" x14ac:dyDescent="0.3">
      <c r="A408" s="1" t="s">
        <v>85</v>
      </c>
      <c r="B408" s="1" t="s">
        <v>208</v>
      </c>
      <c r="C408" s="1" t="s">
        <v>92</v>
      </c>
      <c r="D408" t="s">
        <v>119</v>
      </c>
      <c r="E408" s="1" t="s">
        <v>120</v>
      </c>
      <c r="F408" t="s">
        <v>125</v>
      </c>
      <c r="G408" s="1" t="s">
        <v>136</v>
      </c>
      <c r="H408">
        <v>213</v>
      </c>
      <c r="I408" t="s">
        <v>49</v>
      </c>
      <c r="J408">
        <v>56766.17</v>
      </c>
      <c r="K408">
        <v>74890.939999999988</v>
      </c>
    </row>
    <row r="409" spans="1:11" x14ac:dyDescent="0.3">
      <c r="A409" s="1" t="s">
        <v>85</v>
      </c>
      <c r="B409" s="1" t="s">
        <v>208</v>
      </c>
      <c r="C409" s="1" t="s">
        <v>92</v>
      </c>
      <c r="D409" t="s">
        <v>119</v>
      </c>
      <c r="E409" s="1" t="s">
        <v>120</v>
      </c>
      <c r="F409" t="s">
        <v>127</v>
      </c>
      <c r="G409" s="1" t="s">
        <v>136</v>
      </c>
      <c r="H409">
        <v>415</v>
      </c>
      <c r="I409" t="s">
        <v>47</v>
      </c>
      <c r="J409">
        <v>54932.45</v>
      </c>
      <c r="K409">
        <v>73378.660000000047</v>
      </c>
    </row>
    <row r="410" spans="1:11" x14ac:dyDescent="0.3">
      <c r="A410" s="1" t="s">
        <v>85</v>
      </c>
      <c r="B410" s="1" t="s">
        <v>208</v>
      </c>
      <c r="C410" s="1" t="s">
        <v>92</v>
      </c>
      <c r="D410" t="s">
        <v>119</v>
      </c>
      <c r="E410" s="1" t="s">
        <v>119</v>
      </c>
      <c r="F410" t="s">
        <v>124</v>
      </c>
      <c r="G410" s="1" t="s">
        <v>136</v>
      </c>
      <c r="H410">
        <v>306</v>
      </c>
      <c r="I410" t="s">
        <v>51</v>
      </c>
      <c r="J410">
        <v>41927.279999999999</v>
      </c>
      <c r="K410">
        <v>78541.850000000064</v>
      </c>
    </row>
    <row r="411" spans="1:11" x14ac:dyDescent="0.3">
      <c r="A411" s="1" t="s">
        <v>85</v>
      </c>
      <c r="B411" s="1" t="s">
        <v>208</v>
      </c>
      <c r="C411" s="1" t="s">
        <v>92</v>
      </c>
      <c r="D411" t="s">
        <v>119</v>
      </c>
      <c r="E411" s="1" t="s">
        <v>119</v>
      </c>
      <c r="F411" t="s">
        <v>125</v>
      </c>
      <c r="G411" s="1" t="s">
        <v>136</v>
      </c>
      <c r="H411">
        <v>201</v>
      </c>
      <c r="I411" t="s">
        <v>45</v>
      </c>
      <c r="J411">
        <v>39764.700000000012</v>
      </c>
      <c r="K411">
        <v>44158.46</v>
      </c>
    </row>
    <row r="412" spans="1:11" x14ac:dyDescent="0.3">
      <c r="A412" s="1" t="s">
        <v>85</v>
      </c>
      <c r="B412" s="1" t="s">
        <v>208</v>
      </c>
      <c r="C412" s="1" t="s">
        <v>92</v>
      </c>
      <c r="D412" t="s">
        <v>119</v>
      </c>
      <c r="E412" s="1" t="s">
        <v>119</v>
      </c>
      <c r="F412" t="s">
        <v>125</v>
      </c>
      <c r="G412" s="1" t="s">
        <v>136</v>
      </c>
      <c r="H412">
        <v>204</v>
      </c>
      <c r="I412" t="s">
        <v>46</v>
      </c>
      <c r="J412">
        <v>43574.909999999989</v>
      </c>
      <c r="K412">
        <v>56261.560000000005</v>
      </c>
    </row>
    <row r="413" spans="1:11" x14ac:dyDescent="0.3">
      <c r="A413" s="1" t="s">
        <v>85</v>
      </c>
      <c r="B413" s="1" t="s">
        <v>208</v>
      </c>
      <c r="C413" s="1" t="s">
        <v>92</v>
      </c>
      <c r="D413" t="s">
        <v>119</v>
      </c>
      <c r="E413" s="1" t="s">
        <v>119</v>
      </c>
      <c r="F413" t="s">
        <v>126</v>
      </c>
      <c r="G413" s="1" t="s">
        <v>136</v>
      </c>
      <c r="H413">
        <v>102</v>
      </c>
      <c r="I413" t="s">
        <v>50</v>
      </c>
      <c r="J413">
        <v>65689.460000000021</v>
      </c>
      <c r="K413">
        <v>73770.740000000034</v>
      </c>
    </row>
    <row r="414" spans="1:11" x14ac:dyDescent="0.3">
      <c r="A414" s="1" t="s">
        <v>85</v>
      </c>
      <c r="B414" s="1" t="s">
        <v>208</v>
      </c>
      <c r="C414" s="1" t="s">
        <v>93</v>
      </c>
      <c r="D414" t="s">
        <v>119</v>
      </c>
      <c r="E414" s="1" t="s">
        <v>119</v>
      </c>
      <c r="F414" t="s">
        <v>93</v>
      </c>
      <c r="G414" s="1" t="s">
        <v>93</v>
      </c>
      <c r="H414">
        <v>903</v>
      </c>
      <c r="I414" t="s">
        <v>37</v>
      </c>
      <c r="J414">
        <v>126116.24999999997</v>
      </c>
      <c r="K414">
        <v>84084.539999999964</v>
      </c>
    </row>
    <row r="415" spans="1:11" x14ac:dyDescent="0.3">
      <c r="A415" s="1" t="s">
        <v>85</v>
      </c>
      <c r="B415" s="1" t="s">
        <v>208</v>
      </c>
      <c r="C415" s="1" t="s">
        <v>94</v>
      </c>
      <c r="D415" t="s">
        <v>121</v>
      </c>
      <c r="E415" s="1" t="s">
        <v>121</v>
      </c>
      <c r="F415" t="s">
        <v>124</v>
      </c>
      <c r="G415" s="1" t="s">
        <v>137</v>
      </c>
      <c r="H415" t="s">
        <v>112</v>
      </c>
      <c r="I415" t="s">
        <v>21</v>
      </c>
      <c r="J415">
        <v>0</v>
      </c>
      <c r="K415">
        <v>0</v>
      </c>
    </row>
    <row r="416" spans="1:11" x14ac:dyDescent="0.3">
      <c r="A416" s="1" t="s">
        <v>85</v>
      </c>
      <c r="B416" s="1" t="s">
        <v>208</v>
      </c>
      <c r="C416" s="1" t="s">
        <v>94</v>
      </c>
      <c r="D416" t="s">
        <v>121</v>
      </c>
      <c r="E416" s="1" t="s">
        <v>121</v>
      </c>
      <c r="F416" t="s">
        <v>125</v>
      </c>
      <c r="G416" s="1" t="s">
        <v>138</v>
      </c>
      <c r="H416">
        <v>470</v>
      </c>
      <c r="I416" t="s">
        <v>26</v>
      </c>
      <c r="J416">
        <v>0</v>
      </c>
      <c r="K416">
        <v>0</v>
      </c>
    </row>
    <row r="417" spans="1:11" x14ac:dyDescent="0.3">
      <c r="A417" s="1" t="s">
        <v>85</v>
      </c>
      <c r="B417" s="1" t="s">
        <v>208</v>
      </c>
      <c r="C417" s="1" t="s">
        <v>94</v>
      </c>
      <c r="D417" t="s">
        <v>121</v>
      </c>
      <c r="E417" s="1" t="s">
        <v>121</v>
      </c>
      <c r="F417" t="s">
        <v>125</v>
      </c>
      <c r="G417" s="1" t="s">
        <v>137</v>
      </c>
      <c r="H417" t="s">
        <v>114</v>
      </c>
      <c r="I417" t="s">
        <v>23</v>
      </c>
      <c r="J417">
        <v>0</v>
      </c>
      <c r="K417">
        <v>0</v>
      </c>
    </row>
    <row r="418" spans="1:11" x14ac:dyDescent="0.3">
      <c r="A418" s="1" t="s">
        <v>85</v>
      </c>
      <c r="B418" s="1" t="s">
        <v>208</v>
      </c>
      <c r="C418" s="1" t="s">
        <v>94</v>
      </c>
      <c r="D418" t="s">
        <v>121</v>
      </c>
      <c r="E418" s="1" t="s">
        <v>121</v>
      </c>
      <c r="F418" t="s">
        <v>125</v>
      </c>
      <c r="G418" s="1" t="s">
        <v>137</v>
      </c>
      <c r="H418" t="s">
        <v>113</v>
      </c>
      <c r="I418" t="s">
        <v>22</v>
      </c>
      <c r="J418">
        <v>0</v>
      </c>
      <c r="K418">
        <v>0</v>
      </c>
    </row>
    <row r="419" spans="1:11" x14ac:dyDescent="0.3">
      <c r="A419" s="1" t="s">
        <v>85</v>
      </c>
      <c r="B419" s="1" t="s">
        <v>208</v>
      </c>
      <c r="C419" s="1" t="s">
        <v>94</v>
      </c>
      <c r="D419" t="s">
        <v>121</v>
      </c>
      <c r="E419" s="1" t="s">
        <v>121</v>
      </c>
      <c r="F419" t="s">
        <v>127</v>
      </c>
      <c r="G419" s="1" t="s">
        <v>137</v>
      </c>
      <c r="H419">
        <v>494</v>
      </c>
      <c r="I419" t="s">
        <v>25</v>
      </c>
      <c r="J419">
        <v>0</v>
      </c>
      <c r="K419">
        <v>0</v>
      </c>
    </row>
    <row r="420" spans="1:11" x14ac:dyDescent="0.3">
      <c r="A420" s="1" t="s">
        <v>85</v>
      </c>
      <c r="B420" s="1" t="s">
        <v>208</v>
      </c>
      <c r="C420" s="1" t="s">
        <v>94</v>
      </c>
      <c r="D420" t="s">
        <v>121</v>
      </c>
      <c r="E420" s="1" t="s">
        <v>121</v>
      </c>
      <c r="F420" t="s">
        <v>126</v>
      </c>
      <c r="G420" s="1" t="s">
        <v>137</v>
      </c>
      <c r="H420">
        <v>460</v>
      </c>
      <c r="I420" t="s">
        <v>30</v>
      </c>
      <c r="J420">
        <v>0</v>
      </c>
      <c r="K420">
        <v>0</v>
      </c>
    </row>
    <row r="421" spans="1:11" x14ac:dyDescent="0.3">
      <c r="A421" s="1" t="s">
        <v>85</v>
      </c>
      <c r="B421" s="1" t="s">
        <v>208</v>
      </c>
      <c r="C421" s="1" t="s">
        <v>94</v>
      </c>
      <c r="D421" t="s">
        <v>121</v>
      </c>
      <c r="E421" s="1" t="s">
        <v>121</v>
      </c>
      <c r="F421" t="s">
        <v>126</v>
      </c>
      <c r="G421" s="1" t="s">
        <v>137</v>
      </c>
      <c r="H421">
        <v>461</v>
      </c>
      <c r="I421" t="s">
        <v>29</v>
      </c>
      <c r="J421">
        <v>0</v>
      </c>
      <c r="K421">
        <v>0</v>
      </c>
    </row>
    <row r="422" spans="1:11" x14ac:dyDescent="0.3">
      <c r="A422" s="1" t="s">
        <v>85</v>
      </c>
      <c r="B422" s="1" t="s">
        <v>208</v>
      </c>
      <c r="C422" s="1" t="s">
        <v>94</v>
      </c>
      <c r="D422" t="s">
        <v>121</v>
      </c>
      <c r="E422" s="1" t="s">
        <v>119</v>
      </c>
      <c r="F422" t="s">
        <v>124</v>
      </c>
      <c r="G422" s="1" t="s">
        <v>138</v>
      </c>
      <c r="H422">
        <v>480</v>
      </c>
      <c r="I422" t="s">
        <v>28</v>
      </c>
      <c r="J422">
        <v>0</v>
      </c>
      <c r="K422">
        <v>27073.54</v>
      </c>
    </row>
    <row r="423" spans="1:11" x14ac:dyDescent="0.3">
      <c r="A423" s="1" t="s">
        <v>85</v>
      </c>
      <c r="B423" s="1" t="s">
        <v>208</v>
      </c>
      <c r="C423" s="1" t="s">
        <v>94</v>
      </c>
      <c r="D423" t="s">
        <v>121</v>
      </c>
      <c r="E423" s="1" t="s">
        <v>119</v>
      </c>
      <c r="F423" t="s">
        <v>127</v>
      </c>
      <c r="G423" s="1" t="s">
        <v>138</v>
      </c>
      <c r="H423">
        <v>491</v>
      </c>
      <c r="I423" t="s">
        <v>31</v>
      </c>
      <c r="J423">
        <v>0</v>
      </c>
      <c r="K423">
        <v>70385.080000000133</v>
      </c>
    </row>
    <row r="424" spans="1:11" x14ac:dyDescent="0.3">
      <c r="A424" s="1" t="s">
        <v>85</v>
      </c>
      <c r="B424" s="1" t="s">
        <v>208</v>
      </c>
      <c r="C424" s="1" t="s">
        <v>94</v>
      </c>
      <c r="D424" t="s">
        <v>121</v>
      </c>
      <c r="E424" s="1" t="s">
        <v>119</v>
      </c>
      <c r="F424" t="s">
        <v>127</v>
      </c>
      <c r="G424" s="1" t="s">
        <v>138</v>
      </c>
      <c r="H424">
        <v>492</v>
      </c>
      <c r="I424" t="s">
        <v>27</v>
      </c>
      <c r="J424">
        <v>45246.619999999995</v>
      </c>
      <c r="K424">
        <v>44221.329999999973</v>
      </c>
    </row>
    <row r="425" spans="1:11" x14ac:dyDescent="0.3">
      <c r="A425" s="1" t="s">
        <v>85</v>
      </c>
      <c r="B425" s="1" t="s">
        <v>208</v>
      </c>
      <c r="C425" s="1" t="s">
        <v>94</v>
      </c>
      <c r="D425" t="s">
        <v>121</v>
      </c>
      <c r="E425" s="1" t="s">
        <v>119</v>
      </c>
      <c r="F425" t="s">
        <v>127</v>
      </c>
      <c r="G425" s="1" t="s">
        <v>138</v>
      </c>
      <c r="H425">
        <v>493</v>
      </c>
      <c r="I425" t="s">
        <v>24</v>
      </c>
      <c r="J425">
        <v>0</v>
      </c>
      <c r="K425">
        <v>28508.999999999993</v>
      </c>
    </row>
    <row r="426" spans="1:11" x14ac:dyDescent="0.3">
      <c r="A426" s="1" t="s">
        <v>85</v>
      </c>
      <c r="B426" s="1" t="s">
        <v>208</v>
      </c>
      <c r="C426" s="1" t="s">
        <v>95</v>
      </c>
      <c r="D426" t="s">
        <v>121</v>
      </c>
      <c r="E426" s="1" t="s">
        <v>121</v>
      </c>
      <c r="F426" t="s">
        <v>125</v>
      </c>
      <c r="G426" s="1" t="s">
        <v>139</v>
      </c>
      <c r="H426" t="s">
        <v>115</v>
      </c>
      <c r="I426" s="33" t="s">
        <v>71</v>
      </c>
      <c r="J426" s="33">
        <v>0</v>
      </c>
      <c r="K426" s="33">
        <v>0</v>
      </c>
    </row>
    <row r="427" spans="1:11" x14ac:dyDescent="0.3">
      <c r="A427" s="1" t="s">
        <v>85</v>
      </c>
      <c r="B427" s="1" t="s">
        <v>208</v>
      </c>
      <c r="C427" s="1" t="s">
        <v>95</v>
      </c>
      <c r="D427" t="s">
        <v>121</v>
      </c>
      <c r="E427" s="1" t="s">
        <v>121</v>
      </c>
      <c r="F427" t="s">
        <v>126</v>
      </c>
      <c r="G427" s="1" t="s">
        <v>139</v>
      </c>
      <c r="H427">
        <v>510</v>
      </c>
      <c r="I427" t="s">
        <v>76</v>
      </c>
      <c r="J427">
        <v>0</v>
      </c>
      <c r="K427">
        <v>0</v>
      </c>
    </row>
    <row r="428" spans="1:11" x14ac:dyDescent="0.3">
      <c r="A428" s="1" t="s">
        <v>85</v>
      </c>
      <c r="B428" s="1" t="s">
        <v>208</v>
      </c>
      <c r="C428" s="1" t="s">
        <v>95</v>
      </c>
      <c r="D428" t="s">
        <v>121</v>
      </c>
      <c r="E428" s="1" t="s">
        <v>119</v>
      </c>
      <c r="F428" t="s">
        <v>127</v>
      </c>
      <c r="G428" s="1" t="s">
        <v>140</v>
      </c>
      <c r="H428">
        <v>541</v>
      </c>
      <c r="I428" t="s">
        <v>74</v>
      </c>
      <c r="J428">
        <v>0</v>
      </c>
      <c r="K428">
        <v>34538.039999999979</v>
      </c>
    </row>
    <row r="429" spans="1:11" x14ac:dyDescent="0.3">
      <c r="A429" s="1" t="s">
        <v>85</v>
      </c>
      <c r="B429" s="1" t="s">
        <v>208</v>
      </c>
      <c r="C429" s="1" t="s">
        <v>95</v>
      </c>
      <c r="D429" t="s">
        <v>121</v>
      </c>
      <c r="E429" s="1" t="s">
        <v>119</v>
      </c>
      <c r="F429" t="s">
        <v>127</v>
      </c>
      <c r="G429" s="1" t="s">
        <v>140</v>
      </c>
      <c r="H429">
        <v>543</v>
      </c>
      <c r="I429" t="s">
        <v>72</v>
      </c>
      <c r="J429">
        <v>35221.11</v>
      </c>
      <c r="K429">
        <v>32118.389999999985</v>
      </c>
    </row>
    <row r="430" spans="1:11" x14ac:dyDescent="0.3">
      <c r="A430" s="1" t="s">
        <v>85</v>
      </c>
      <c r="B430" s="1" t="s">
        <v>208</v>
      </c>
      <c r="C430" s="1" t="s">
        <v>95</v>
      </c>
      <c r="D430" t="s">
        <v>120</v>
      </c>
      <c r="E430" s="1" t="s">
        <v>119</v>
      </c>
      <c r="F430" t="s">
        <v>127</v>
      </c>
      <c r="G430" s="1" t="s">
        <v>140</v>
      </c>
      <c r="H430">
        <v>540</v>
      </c>
      <c r="I430" t="s">
        <v>73</v>
      </c>
      <c r="J430">
        <v>55877.11</v>
      </c>
      <c r="K430">
        <v>97150.790000000008</v>
      </c>
    </row>
    <row r="431" spans="1:11" x14ac:dyDescent="0.3">
      <c r="A431" s="1" t="s">
        <v>85</v>
      </c>
      <c r="B431" s="1" t="s">
        <v>208</v>
      </c>
      <c r="C431" s="1" t="s">
        <v>95</v>
      </c>
      <c r="D431" t="s">
        <v>119</v>
      </c>
      <c r="E431" s="1" t="s">
        <v>120</v>
      </c>
      <c r="F431" t="s">
        <v>124</v>
      </c>
      <c r="G431" s="1" t="s">
        <v>139</v>
      </c>
      <c r="H431">
        <v>530</v>
      </c>
      <c r="I431" t="s">
        <v>68</v>
      </c>
      <c r="J431">
        <v>17822.89</v>
      </c>
      <c r="K431">
        <v>25355.929999999997</v>
      </c>
    </row>
    <row r="432" spans="1:11" x14ac:dyDescent="0.3">
      <c r="A432" s="1" t="s">
        <v>85</v>
      </c>
      <c r="B432" s="1" t="s">
        <v>208</v>
      </c>
      <c r="C432" s="1" t="s">
        <v>95</v>
      </c>
      <c r="D432" t="s">
        <v>119</v>
      </c>
      <c r="E432" s="1" t="s">
        <v>119</v>
      </c>
      <c r="F432" t="s">
        <v>125</v>
      </c>
      <c r="G432" s="1" t="s">
        <v>140</v>
      </c>
      <c r="H432">
        <v>520</v>
      </c>
      <c r="I432" t="s">
        <v>70</v>
      </c>
      <c r="J432">
        <v>41211.919999999998</v>
      </c>
      <c r="K432">
        <v>41536.189999999959</v>
      </c>
    </row>
    <row r="433" spans="1:11" x14ac:dyDescent="0.3">
      <c r="A433" s="2" t="s">
        <v>85</v>
      </c>
      <c r="B433" s="1" t="s">
        <v>208</v>
      </c>
      <c r="C433" s="1" t="s">
        <v>95</v>
      </c>
      <c r="D433" t="s">
        <v>119</v>
      </c>
      <c r="E433" s="1" t="s">
        <v>119</v>
      </c>
      <c r="F433" t="s">
        <v>127</v>
      </c>
      <c r="G433" s="1" t="s">
        <v>139</v>
      </c>
      <c r="H433">
        <v>542</v>
      </c>
      <c r="I433" t="s">
        <v>69</v>
      </c>
      <c r="J433">
        <v>34987.789999999994</v>
      </c>
      <c r="K433">
        <v>20528.919999999995</v>
      </c>
    </row>
    <row r="434" spans="1:11" x14ac:dyDescent="0.3">
      <c r="A434" s="1" t="s">
        <v>86</v>
      </c>
      <c r="B434" s="1" t="s">
        <v>208</v>
      </c>
      <c r="C434" s="1" t="s">
        <v>79</v>
      </c>
      <c r="D434" t="s">
        <v>122</v>
      </c>
      <c r="E434" s="1" t="s">
        <v>122</v>
      </c>
      <c r="F434" t="s">
        <v>124</v>
      </c>
      <c r="G434" s="1" t="s">
        <v>129</v>
      </c>
      <c r="H434" t="s">
        <v>196</v>
      </c>
      <c r="I434" t="s">
        <v>1</v>
      </c>
      <c r="J434">
        <v>0</v>
      </c>
      <c r="K434">
        <v>0</v>
      </c>
    </row>
    <row r="435" spans="1:11" x14ac:dyDescent="0.3">
      <c r="A435" s="1" t="s">
        <v>86</v>
      </c>
      <c r="B435" s="1" t="s">
        <v>208</v>
      </c>
      <c r="C435" s="1" t="s">
        <v>79</v>
      </c>
      <c r="D435" t="s">
        <v>122</v>
      </c>
      <c r="E435" s="1" t="s">
        <v>122</v>
      </c>
      <c r="F435" t="s">
        <v>125</v>
      </c>
      <c r="G435" s="1" t="s">
        <v>129</v>
      </c>
      <c r="H435" t="s">
        <v>196</v>
      </c>
      <c r="I435" t="s">
        <v>7</v>
      </c>
      <c r="J435">
        <v>0</v>
      </c>
      <c r="K435">
        <v>0</v>
      </c>
    </row>
    <row r="436" spans="1:11" x14ac:dyDescent="0.3">
      <c r="A436" s="1" t="s">
        <v>86</v>
      </c>
      <c r="B436" s="1" t="s">
        <v>208</v>
      </c>
      <c r="C436" s="1" t="s">
        <v>79</v>
      </c>
      <c r="D436" t="s">
        <v>122</v>
      </c>
      <c r="E436" s="1" t="s">
        <v>122</v>
      </c>
      <c r="F436" t="s">
        <v>127</v>
      </c>
      <c r="G436" s="1" t="s">
        <v>129</v>
      </c>
      <c r="H436" t="s">
        <v>196</v>
      </c>
      <c r="I436" t="s">
        <v>5</v>
      </c>
      <c r="J436">
        <v>0</v>
      </c>
      <c r="K436">
        <v>0</v>
      </c>
    </row>
    <row r="437" spans="1:11" x14ac:dyDescent="0.3">
      <c r="A437" s="1" t="s">
        <v>86</v>
      </c>
      <c r="B437" s="1" t="s">
        <v>208</v>
      </c>
      <c r="C437" s="1" t="s">
        <v>79</v>
      </c>
      <c r="D437" t="s">
        <v>122</v>
      </c>
      <c r="E437" s="1" t="s">
        <v>122</v>
      </c>
      <c r="F437" t="s">
        <v>127</v>
      </c>
      <c r="G437" s="1" t="s">
        <v>122</v>
      </c>
      <c r="H437" t="s">
        <v>196</v>
      </c>
      <c r="I437" t="s">
        <v>33</v>
      </c>
      <c r="J437">
        <v>0</v>
      </c>
      <c r="K437">
        <v>0</v>
      </c>
    </row>
    <row r="438" spans="1:11" x14ac:dyDescent="0.3">
      <c r="A438" s="1" t="s">
        <v>86</v>
      </c>
      <c r="B438" s="1" t="s">
        <v>208</v>
      </c>
      <c r="C438" s="1" t="s">
        <v>79</v>
      </c>
      <c r="D438" t="s">
        <v>122</v>
      </c>
      <c r="E438" s="1" t="s">
        <v>122</v>
      </c>
      <c r="F438" t="s">
        <v>126</v>
      </c>
      <c r="G438" s="1" t="s">
        <v>122</v>
      </c>
      <c r="H438" t="s">
        <v>196</v>
      </c>
      <c r="I438" s="33" t="s">
        <v>55</v>
      </c>
      <c r="J438" s="33">
        <v>0</v>
      </c>
      <c r="K438" s="33">
        <v>0</v>
      </c>
    </row>
    <row r="439" spans="1:11" x14ac:dyDescent="0.3">
      <c r="A439" s="1" t="s">
        <v>86</v>
      </c>
      <c r="B439" s="1" t="s">
        <v>208</v>
      </c>
      <c r="C439" s="1" t="s">
        <v>79</v>
      </c>
      <c r="D439" t="s">
        <v>121</v>
      </c>
      <c r="E439" s="1" t="s">
        <v>121</v>
      </c>
      <c r="F439" t="s">
        <v>125</v>
      </c>
      <c r="G439" s="1" t="s">
        <v>129</v>
      </c>
      <c r="H439" t="s">
        <v>110</v>
      </c>
      <c r="I439" t="s">
        <v>64</v>
      </c>
      <c r="J439">
        <v>0</v>
      </c>
      <c r="K439">
        <v>0</v>
      </c>
    </row>
    <row r="440" spans="1:11" x14ac:dyDescent="0.3">
      <c r="A440" s="1" t="s">
        <v>86</v>
      </c>
      <c r="B440" s="1" t="s">
        <v>208</v>
      </c>
      <c r="C440" s="1" t="s">
        <v>79</v>
      </c>
      <c r="D440" t="s">
        <v>121</v>
      </c>
      <c r="E440" s="1" t="s">
        <v>121</v>
      </c>
      <c r="F440" t="s">
        <v>127</v>
      </c>
      <c r="G440" s="1" t="s">
        <v>129</v>
      </c>
      <c r="H440" t="s">
        <v>109</v>
      </c>
      <c r="I440" s="33" t="s">
        <v>41</v>
      </c>
      <c r="J440" s="33">
        <v>0</v>
      </c>
      <c r="K440" s="33">
        <v>0</v>
      </c>
    </row>
    <row r="441" spans="1:11" x14ac:dyDescent="0.3">
      <c r="A441" s="1" t="s">
        <v>86</v>
      </c>
      <c r="B441" s="1" t="s">
        <v>208</v>
      </c>
      <c r="C441" s="1" t="s">
        <v>79</v>
      </c>
      <c r="D441" t="s">
        <v>120</v>
      </c>
      <c r="E441" s="1" t="s">
        <v>120</v>
      </c>
      <c r="F441" t="s">
        <v>124</v>
      </c>
      <c r="G441" s="1" t="s">
        <v>129</v>
      </c>
      <c r="H441">
        <v>304</v>
      </c>
      <c r="I441" t="s">
        <v>61</v>
      </c>
      <c r="J441">
        <v>48220.12999999999</v>
      </c>
      <c r="K441">
        <v>16392.629999999997</v>
      </c>
    </row>
    <row r="442" spans="1:11" x14ac:dyDescent="0.3">
      <c r="A442" s="1" t="s">
        <v>86</v>
      </c>
      <c r="B442" s="1" t="s">
        <v>208</v>
      </c>
      <c r="C442" s="1" t="s">
        <v>79</v>
      </c>
      <c r="D442" t="s">
        <v>120</v>
      </c>
      <c r="E442" s="1" t="s">
        <v>120</v>
      </c>
      <c r="F442" t="s">
        <v>125</v>
      </c>
      <c r="G442" s="1" t="s">
        <v>133</v>
      </c>
      <c r="H442">
        <v>208</v>
      </c>
      <c r="I442" t="s">
        <v>36</v>
      </c>
      <c r="J442">
        <v>31011.78999999999</v>
      </c>
      <c r="K442">
        <v>33620.079999999973</v>
      </c>
    </row>
    <row r="443" spans="1:11" x14ac:dyDescent="0.3">
      <c r="A443" s="1" t="s">
        <v>86</v>
      </c>
      <c r="B443" s="1" t="s">
        <v>208</v>
      </c>
      <c r="C443" s="1" t="s">
        <v>79</v>
      </c>
      <c r="D443" t="s">
        <v>120</v>
      </c>
      <c r="E443" s="1" t="s">
        <v>120</v>
      </c>
      <c r="F443" t="s">
        <v>125</v>
      </c>
      <c r="G443" s="1" t="s">
        <v>133</v>
      </c>
      <c r="H443">
        <v>209</v>
      </c>
      <c r="I443" t="s">
        <v>35</v>
      </c>
      <c r="J443">
        <v>13410.289999999999</v>
      </c>
      <c r="K443">
        <v>20975.170000000013</v>
      </c>
    </row>
    <row r="444" spans="1:11" x14ac:dyDescent="0.3">
      <c r="A444" s="1" t="s">
        <v>86</v>
      </c>
      <c r="B444" s="1" t="s">
        <v>208</v>
      </c>
      <c r="C444" s="1" t="s">
        <v>79</v>
      </c>
      <c r="D444" t="s">
        <v>120</v>
      </c>
      <c r="E444" s="1" t="s">
        <v>120</v>
      </c>
      <c r="F444" t="s">
        <v>125</v>
      </c>
      <c r="G444" s="1" t="s">
        <v>129</v>
      </c>
      <c r="H444">
        <v>202</v>
      </c>
      <c r="I444" t="s">
        <v>4</v>
      </c>
      <c r="J444">
        <v>50462.8</v>
      </c>
      <c r="K444">
        <v>48943.359999999993</v>
      </c>
    </row>
    <row r="445" spans="1:11" x14ac:dyDescent="0.3">
      <c r="A445" s="1" t="s">
        <v>86</v>
      </c>
      <c r="B445" s="1" t="s">
        <v>208</v>
      </c>
      <c r="C445" s="1" t="s">
        <v>79</v>
      </c>
      <c r="D445" t="s">
        <v>120</v>
      </c>
      <c r="E445" s="1" t="s">
        <v>120</v>
      </c>
      <c r="F445" t="s">
        <v>127</v>
      </c>
      <c r="G445" s="1" t="s">
        <v>133</v>
      </c>
      <c r="H445">
        <v>404</v>
      </c>
      <c r="I445" t="s">
        <v>15</v>
      </c>
      <c r="J445">
        <v>27589.609999999997</v>
      </c>
      <c r="K445">
        <v>0</v>
      </c>
    </row>
    <row r="446" spans="1:11" x14ac:dyDescent="0.3">
      <c r="A446" s="1" t="s">
        <v>86</v>
      </c>
      <c r="B446" s="1" t="s">
        <v>208</v>
      </c>
      <c r="C446" s="1" t="s">
        <v>79</v>
      </c>
      <c r="D446" t="s">
        <v>120</v>
      </c>
      <c r="E446" s="1" t="s">
        <v>119</v>
      </c>
      <c r="F446" t="s">
        <v>124</v>
      </c>
      <c r="G446" s="1" t="s">
        <v>129</v>
      </c>
      <c r="H446">
        <v>310</v>
      </c>
      <c r="I446" t="s">
        <v>63</v>
      </c>
      <c r="J446">
        <v>13381.73</v>
      </c>
      <c r="K446">
        <v>42595.01000000006</v>
      </c>
    </row>
    <row r="447" spans="1:11" x14ac:dyDescent="0.3">
      <c r="A447" s="1" t="s">
        <v>86</v>
      </c>
      <c r="B447" s="1" t="s">
        <v>208</v>
      </c>
      <c r="C447" s="1" t="s">
        <v>79</v>
      </c>
      <c r="D447" t="s">
        <v>120</v>
      </c>
      <c r="E447" s="1" t="s">
        <v>119</v>
      </c>
      <c r="F447" t="s">
        <v>125</v>
      </c>
      <c r="G447" s="1" t="s">
        <v>134</v>
      </c>
      <c r="H447">
        <v>206</v>
      </c>
      <c r="I447" t="s">
        <v>18</v>
      </c>
      <c r="J447">
        <v>73371.709999999992</v>
      </c>
      <c r="K447">
        <v>55693.619999999988</v>
      </c>
    </row>
    <row r="448" spans="1:11" x14ac:dyDescent="0.3">
      <c r="A448" s="1" t="s">
        <v>86</v>
      </c>
      <c r="B448" s="1" t="s">
        <v>208</v>
      </c>
      <c r="C448" s="1" t="s">
        <v>79</v>
      </c>
      <c r="D448" t="s">
        <v>120</v>
      </c>
      <c r="E448" s="1" t="s">
        <v>119</v>
      </c>
      <c r="F448" t="s">
        <v>125</v>
      </c>
      <c r="G448" s="1" t="s">
        <v>129</v>
      </c>
      <c r="H448">
        <v>210</v>
      </c>
      <c r="I448" t="s">
        <v>2</v>
      </c>
      <c r="J448">
        <v>27818.780000000002</v>
      </c>
      <c r="K448">
        <v>34877.139999999992</v>
      </c>
    </row>
    <row r="449" spans="1:11" x14ac:dyDescent="0.3">
      <c r="A449" s="1" t="s">
        <v>86</v>
      </c>
      <c r="B449" s="1" t="s">
        <v>208</v>
      </c>
      <c r="C449" s="1" t="s">
        <v>79</v>
      </c>
      <c r="D449" t="s">
        <v>120</v>
      </c>
      <c r="E449" s="1" t="s">
        <v>119</v>
      </c>
      <c r="F449" t="s">
        <v>127</v>
      </c>
      <c r="G449" s="1" t="s">
        <v>131</v>
      </c>
      <c r="H449">
        <v>417</v>
      </c>
      <c r="I449" t="s">
        <v>54</v>
      </c>
      <c r="J449">
        <v>88204.229999999981</v>
      </c>
      <c r="K449">
        <v>65428.23000000001</v>
      </c>
    </row>
    <row r="450" spans="1:11" x14ac:dyDescent="0.3">
      <c r="A450" s="1" t="s">
        <v>86</v>
      </c>
      <c r="B450" s="1" t="s">
        <v>208</v>
      </c>
      <c r="C450" s="1" t="s">
        <v>79</v>
      </c>
      <c r="D450" t="s">
        <v>119</v>
      </c>
      <c r="E450" s="1" t="s">
        <v>120</v>
      </c>
      <c r="F450" t="s">
        <v>124</v>
      </c>
      <c r="G450" s="1" t="s">
        <v>129</v>
      </c>
      <c r="H450">
        <v>308</v>
      </c>
      <c r="I450" t="s">
        <v>0</v>
      </c>
      <c r="J450">
        <v>33021.949999999997</v>
      </c>
      <c r="K450">
        <v>29592.829999999987</v>
      </c>
    </row>
    <row r="451" spans="1:11" x14ac:dyDescent="0.3">
      <c r="A451" s="1" t="s">
        <v>86</v>
      </c>
      <c r="B451" s="1" t="s">
        <v>208</v>
      </c>
      <c r="C451" s="1" t="s">
        <v>79</v>
      </c>
      <c r="D451" t="s">
        <v>119</v>
      </c>
      <c r="E451" s="1" t="s">
        <v>120</v>
      </c>
      <c r="F451" t="s">
        <v>127</v>
      </c>
      <c r="G451" s="1" t="s">
        <v>132</v>
      </c>
      <c r="H451">
        <v>402</v>
      </c>
      <c r="I451" t="s">
        <v>9</v>
      </c>
      <c r="J451">
        <v>24422.18</v>
      </c>
      <c r="K451">
        <v>22231.510000000002</v>
      </c>
    </row>
    <row r="452" spans="1:11" x14ac:dyDescent="0.3">
      <c r="A452" s="1" t="s">
        <v>86</v>
      </c>
      <c r="B452" s="1" t="s">
        <v>208</v>
      </c>
      <c r="C452" s="1" t="s">
        <v>79</v>
      </c>
      <c r="D452" t="s">
        <v>119</v>
      </c>
      <c r="E452" s="1" t="s">
        <v>120</v>
      </c>
      <c r="F452" t="s">
        <v>127</v>
      </c>
      <c r="G452" s="1" t="s">
        <v>132</v>
      </c>
      <c r="H452">
        <v>406</v>
      </c>
      <c r="I452" t="s">
        <v>57</v>
      </c>
      <c r="J452">
        <v>21129.540000000005</v>
      </c>
      <c r="K452">
        <v>15451.319999999992</v>
      </c>
    </row>
    <row r="453" spans="1:11" x14ac:dyDescent="0.3">
      <c r="A453" s="1" t="s">
        <v>86</v>
      </c>
      <c r="B453" s="1" t="s">
        <v>208</v>
      </c>
      <c r="C453" s="1" t="s">
        <v>79</v>
      </c>
      <c r="D453" t="s">
        <v>119</v>
      </c>
      <c r="E453" s="1" t="s">
        <v>120</v>
      </c>
      <c r="F453" t="s">
        <v>127</v>
      </c>
      <c r="G453" s="1" t="s">
        <v>132</v>
      </c>
      <c r="H453">
        <v>416</v>
      </c>
      <c r="I453" t="s">
        <v>66</v>
      </c>
      <c r="J453">
        <v>19451.670000000006</v>
      </c>
      <c r="K453">
        <v>14246.249999999989</v>
      </c>
    </row>
    <row r="454" spans="1:11" x14ac:dyDescent="0.3">
      <c r="A454" s="1" t="s">
        <v>86</v>
      </c>
      <c r="B454" s="1" t="s">
        <v>208</v>
      </c>
      <c r="C454" s="1" t="s">
        <v>79</v>
      </c>
      <c r="D454" t="s">
        <v>119</v>
      </c>
      <c r="E454" s="1" t="s">
        <v>120</v>
      </c>
      <c r="F454" t="s">
        <v>127</v>
      </c>
      <c r="G454" s="1" t="s">
        <v>135</v>
      </c>
      <c r="H454">
        <v>414</v>
      </c>
      <c r="I454" t="s">
        <v>65</v>
      </c>
      <c r="J454">
        <v>273787.56999999995</v>
      </c>
      <c r="K454">
        <v>279587.0200000006</v>
      </c>
    </row>
    <row r="455" spans="1:11" x14ac:dyDescent="0.3">
      <c r="A455" s="1" t="s">
        <v>86</v>
      </c>
      <c r="B455" s="1" t="s">
        <v>208</v>
      </c>
      <c r="C455" s="1" t="s">
        <v>79</v>
      </c>
      <c r="D455" t="s">
        <v>119</v>
      </c>
      <c r="E455" s="1" t="s">
        <v>119</v>
      </c>
      <c r="F455" t="s">
        <v>124</v>
      </c>
      <c r="G455" s="1" t="s">
        <v>131</v>
      </c>
      <c r="H455">
        <v>309</v>
      </c>
      <c r="I455" t="s">
        <v>52</v>
      </c>
      <c r="J455">
        <v>183408.37</v>
      </c>
      <c r="K455">
        <v>163343.75000000064</v>
      </c>
    </row>
    <row r="456" spans="1:11" x14ac:dyDescent="0.3">
      <c r="A456" s="1" t="s">
        <v>86</v>
      </c>
      <c r="B456" s="1" t="s">
        <v>208</v>
      </c>
      <c r="C456" s="1" t="s">
        <v>79</v>
      </c>
      <c r="D456" t="s">
        <v>119</v>
      </c>
      <c r="E456" s="1" t="s">
        <v>119</v>
      </c>
      <c r="F456" t="s">
        <v>124</v>
      </c>
      <c r="G456" s="1" t="s">
        <v>130</v>
      </c>
      <c r="H456">
        <v>305</v>
      </c>
      <c r="I456" t="s">
        <v>6</v>
      </c>
      <c r="J456">
        <v>107678.10999999997</v>
      </c>
      <c r="K456">
        <v>110063.79000000024</v>
      </c>
    </row>
    <row r="457" spans="1:11" x14ac:dyDescent="0.3">
      <c r="A457" s="1" t="s">
        <v>86</v>
      </c>
      <c r="B457" s="1" t="s">
        <v>208</v>
      </c>
      <c r="C457" s="1" t="s">
        <v>79</v>
      </c>
      <c r="D457" t="s">
        <v>119</v>
      </c>
      <c r="E457" s="1" t="s">
        <v>119</v>
      </c>
      <c r="F457" t="s">
        <v>124</v>
      </c>
      <c r="G457" s="1" t="s">
        <v>134</v>
      </c>
      <c r="H457">
        <v>302</v>
      </c>
      <c r="I457" t="s">
        <v>32</v>
      </c>
      <c r="J457">
        <v>71219.459999999992</v>
      </c>
      <c r="K457">
        <v>65912.560000000056</v>
      </c>
    </row>
    <row r="458" spans="1:11" x14ac:dyDescent="0.3">
      <c r="A458" s="1" t="s">
        <v>86</v>
      </c>
      <c r="B458" s="1" t="s">
        <v>208</v>
      </c>
      <c r="C458" s="1" t="s">
        <v>79</v>
      </c>
      <c r="D458" t="s">
        <v>119</v>
      </c>
      <c r="E458" s="1" t="s">
        <v>119</v>
      </c>
      <c r="F458" t="s">
        <v>124</v>
      </c>
      <c r="G458" s="1" t="s">
        <v>129</v>
      </c>
      <c r="H458">
        <v>301</v>
      </c>
      <c r="I458" t="s">
        <v>59</v>
      </c>
      <c r="J458">
        <v>36107.01999999999</v>
      </c>
      <c r="K458">
        <v>35803.489999999969</v>
      </c>
    </row>
    <row r="459" spans="1:11" x14ac:dyDescent="0.3">
      <c r="A459" s="1" t="s">
        <v>86</v>
      </c>
      <c r="B459" s="1" t="s">
        <v>208</v>
      </c>
      <c r="C459" s="1" t="s">
        <v>79</v>
      </c>
      <c r="D459" t="s">
        <v>119</v>
      </c>
      <c r="E459" s="1" t="s">
        <v>119</v>
      </c>
      <c r="F459" t="s">
        <v>124</v>
      </c>
      <c r="G459" s="1" t="s">
        <v>129</v>
      </c>
      <c r="H459">
        <v>311</v>
      </c>
      <c r="I459" t="s">
        <v>13</v>
      </c>
      <c r="J459">
        <v>39912.629999999997</v>
      </c>
      <c r="K459">
        <v>36938.569999999992</v>
      </c>
    </row>
    <row r="460" spans="1:11" x14ac:dyDescent="0.3">
      <c r="A460" s="1" t="s">
        <v>86</v>
      </c>
      <c r="B460" s="1" t="s">
        <v>208</v>
      </c>
      <c r="C460" s="1" t="s">
        <v>79</v>
      </c>
      <c r="D460" t="s">
        <v>119</v>
      </c>
      <c r="E460" s="1" t="s">
        <v>119</v>
      </c>
      <c r="F460" t="s">
        <v>125</v>
      </c>
      <c r="G460" s="1" t="s">
        <v>131</v>
      </c>
      <c r="H460">
        <v>211</v>
      </c>
      <c r="I460" t="s">
        <v>8</v>
      </c>
      <c r="J460">
        <v>174253.13</v>
      </c>
      <c r="K460">
        <v>155783.38000000059</v>
      </c>
    </row>
    <row r="461" spans="1:11" x14ac:dyDescent="0.3">
      <c r="A461" s="1" t="s">
        <v>86</v>
      </c>
      <c r="B461" s="1" t="s">
        <v>208</v>
      </c>
      <c r="C461" s="1" t="s">
        <v>79</v>
      </c>
      <c r="D461" t="s">
        <v>119</v>
      </c>
      <c r="E461" s="1" t="s">
        <v>119</v>
      </c>
      <c r="F461" t="s">
        <v>125</v>
      </c>
      <c r="G461" s="1" t="s">
        <v>130</v>
      </c>
      <c r="H461">
        <v>207</v>
      </c>
      <c r="I461" t="s">
        <v>53</v>
      </c>
      <c r="J461">
        <v>93588.289999999979</v>
      </c>
      <c r="K461">
        <v>94595.380000000237</v>
      </c>
    </row>
    <row r="462" spans="1:11" x14ac:dyDescent="0.3">
      <c r="A462" s="1" t="s">
        <v>86</v>
      </c>
      <c r="B462" s="1" t="s">
        <v>208</v>
      </c>
      <c r="C462" s="1" t="s">
        <v>79</v>
      </c>
      <c r="D462" t="s">
        <v>119</v>
      </c>
      <c r="E462" s="1" t="s">
        <v>119</v>
      </c>
      <c r="F462" t="s">
        <v>125</v>
      </c>
      <c r="G462" s="1" t="s">
        <v>133</v>
      </c>
      <c r="H462">
        <v>203</v>
      </c>
      <c r="I462" t="s">
        <v>60</v>
      </c>
      <c r="J462">
        <v>47905.08</v>
      </c>
      <c r="K462">
        <v>40094.919999999984</v>
      </c>
    </row>
    <row r="463" spans="1:11" x14ac:dyDescent="0.3">
      <c r="A463" s="1" t="s">
        <v>86</v>
      </c>
      <c r="B463" s="1" t="s">
        <v>208</v>
      </c>
      <c r="C463" s="1" t="s">
        <v>79</v>
      </c>
      <c r="D463" t="s">
        <v>119</v>
      </c>
      <c r="E463" s="1" t="s">
        <v>119</v>
      </c>
      <c r="F463" t="s">
        <v>125</v>
      </c>
      <c r="G463" s="1" t="s">
        <v>133</v>
      </c>
      <c r="H463">
        <v>212</v>
      </c>
      <c r="I463" t="s">
        <v>62</v>
      </c>
      <c r="J463">
        <v>48214.179999999986</v>
      </c>
      <c r="K463">
        <v>47235.009999999966</v>
      </c>
    </row>
    <row r="464" spans="1:11" x14ac:dyDescent="0.3">
      <c r="A464" s="1" t="s">
        <v>86</v>
      </c>
      <c r="B464" s="1" t="s">
        <v>208</v>
      </c>
      <c r="C464" s="1" t="s">
        <v>79</v>
      </c>
      <c r="D464" t="s">
        <v>119</v>
      </c>
      <c r="E464" s="1" t="s">
        <v>119</v>
      </c>
      <c r="F464" t="s">
        <v>125</v>
      </c>
      <c r="G464" s="1" t="s">
        <v>134</v>
      </c>
      <c r="H464">
        <v>190</v>
      </c>
      <c r="I464" t="s">
        <v>42</v>
      </c>
      <c r="J464">
        <v>49458.13</v>
      </c>
      <c r="K464">
        <v>49991.019999999968</v>
      </c>
    </row>
    <row r="465" spans="1:11" x14ac:dyDescent="0.3">
      <c r="A465" s="1" t="s">
        <v>86</v>
      </c>
      <c r="B465" s="1" t="s">
        <v>208</v>
      </c>
      <c r="C465" s="1" t="s">
        <v>79</v>
      </c>
      <c r="D465" t="s">
        <v>119</v>
      </c>
      <c r="E465" s="1" t="s">
        <v>119</v>
      </c>
      <c r="F465" t="s">
        <v>125</v>
      </c>
      <c r="G465" s="1" t="s">
        <v>134</v>
      </c>
      <c r="H465">
        <v>214</v>
      </c>
      <c r="I465" t="s">
        <v>17</v>
      </c>
      <c r="J465">
        <v>46267.899999999994</v>
      </c>
      <c r="K465">
        <v>58164.769999999968</v>
      </c>
    </row>
    <row r="466" spans="1:11" x14ac:dyDescent="0.3">
      <c r="A466" s="1" t="s">
        <v>86</v>
      </c>
      <c r="B466" s="1" t="s">
        <v>208</v>
      </c>
      <c r="C466" s="1" t="s">
        <v>79</v>
      </c>
      <c r="D466" t="s">
        <v>119</v>
      </c>
      <c r="E466" s="1" t="s">
        <v>119</v>
      </c>
      <c r="F466" t="s">
        <v>127</v>
      </c>
      <c r="G466" s="1" t="s">
        <v>130</v>
      </c>
      <c r="H466">
        <v>407</v>
      </c>
      <c r="I466" t="s">
        <v>34</v>
      </c>
      <c r="J466">
        <v>95023.209999999992</v>
      </c>
      <c r="K466">
        <v>100686.31999999998</v>
      </c>
    </row>
    <row r="467" spans="1:11" x14ac:dyDescent="0.3">
      <c r="A467" s="1" t="s">
        <v>86</v>
      </c>
      <c r="B467" s="1" t="s">
        <v>208</v>
      </c>
      <c r="C467" s="1" t="s">
        <v>79</v>
      </c>
      <c r="D467" t="s">
        <v>119</v>
      </c>
      <c r="E467" s="1" t="s">
        <v>119</v>
      </c>
      <c r="F467" t="s">
        <v>127</v>
      </c>
      <c r="G467" s="1" t="s">
        <v>130</v>
      </c>
      <c r="H467">
        <v>413</v>
      </c>
      <c r="I467" t="s">
        <v>14</v>
      </c>
      <c r="J467">
        <v>116468.86999999997</v>
      </c>
      <c r="K467">
        <v>113713.8000000001</v>
      </c>
    </row>
    <row r="468" spans="1:11" x14ac:dyDescent="0.3">
      <c r="A468" s="1" t="s">
        <v>86</v>
      </c>
      <c r="B468" s="1" t="s">
        <v>208</v>
      </c>
      <c r="C468" s="1" t="s">
        <v>79</v>
      </c>
      <c r="D468" t="s">
        <v>119</v>
      </c>
      <c r="E468" s="1" t="s">
        <v>119</v>
      </c>
      <c r="F468" t="s">
        <v>127</v>
      </c>
      <c r="G468" s="1" t="s">
        <v>133</v>
      </c>
      <c r="H468">
        <v>412</v>
      </c>
      <c r="I468" t="s">
        <v>11</v>
      </c>
      <c r="J468">
        <v>48348.689999999995</v>
      </c>
      <c r="K468">
        <v>45723.619999999966</v>
      </c>
    </row>
    <row r="469" spans="1:11" x14ac:dyDescent="0.3">
      <c r="A469" s="1" t="s">
        <v>86</v>
      </c>
      <c r="B469" s="1" t="s">
        <v>208</v>
      </c>
      <c r="C469" s="1" t="s">
        <v>79</v>
      </c>
      <c r="D469" t="s">
        <v>119</v>
      </c>
      <c r="E469" s="1" t="s">
        <v>119</v>
      </c>
      <c r="F469" t="s">
        <v>127</v>
      </c>
      <c r="G469" s="1" t="s">
        <v>134</v>
      </c>
      <c r="H469">
        <v>403</v>
      </c>
      <c r="I469" t="s">
        <v>12</v>
      </c>
      <c r="J469">
        <v>53927.299999999996</v>
      </c>
      <c r="K469">
        <v>51661.50999999998</v>
      </c>
    </row>
    <row r="470" spans="1:11" x14ac:dyDescent="0.3">
      <c r="A470" s="1" t="s">
        <v>86</v>
      </c>
      <c r="B470" s="1" t="s">
        <v>208</v>
      </c>
      <c r="C470" s="1" t="s">
        <v>79</v>
      </c>
      <c r="D470" t="s">
        <v>119</v>
      </c>
      <c r="E470" s="1" t="s">
        <v>119</v>
      </c>
      <c r="F470" t="s">
        <v>127</v>
      </c>
      <c r="G470" s="1" t="s">
        <v>129</v>
      </c>
      <c r="H470">
        <v>409</v>
      </c>
      <c r="I470" t="s">
        <v>58</v>
      </c>
      <c r="J470">
        <v>39625.14</v>
      </c>
      <c r="K470">
        <v>29472.979999999989</v>
      </c>
    </row>
    <row r="471" spans="1:11" x14ac:dyDescent="0.3">
      <c r="A471" s="1" t="s">
        <v>86</v>
      </c>
      <c r="B471" s="1" t="s">
        <v>208</v>
      </c>
      <c r="C471" s="1" t="s">
        <v>79</v>
      </c>
      <c r="D471" t="s">
        <v>119</v>
      </c>
      <c r="E471" s="1" t="s">
        <v>119</v>
      </c>
      <c r="F471" t="s">
        <v>127</v>
      </c>
      <c r="G471" s="1" t="s">
        <v>132</v>
      </c>
      <c r="H471">
        <v>410</v>
      </c>
      <c r="I471" t="s">
        <v>40</v>
      </c>
      <c r="J471">
        <v>24011.800000000003</v>
      </c>
      <c r="K471">
        <v>20775.199999999993</v>
      </c>
    </row>
    <row r="472" spans="1:11" x14ac:dyDescent="0.3">
      <c r="A472" s="1" t="s">
        <v>86</v>
      </c>
      <c r="B472" s="1" t="s">
        <v>208</v>
      </c>
      <c r="C472" s="1" t="s">
        <v>79</v>
      </c>
      <c r="D472" t="s">
        <v>119</v>
      </c>
      <c r="E472" s="1" t="s">
        <v>119</v>
      </c>
      <c r="F472" t="s">
        <v>126</v>
      </c>
      <c r="G472" s="1" t="s">
        <v>130</v>
      </c>
      <c r="H472">
        <v>101</v>
      </c>
      <c r="I472" t="s">
        <v>10</v>
      </c>
      <c r="J472">
        <v>106292.26999999997</v>
      </c>
      <c r="K472">
        <v>121890.87000000024</v>
      </c>
    </row>
    <row r="473" spans="1:11" x14ac:dyDescent="0.3">
      <c r="A473" s="1" t="s">
        <v>86</v>
      </c>
      <c r="B473" s="1" t="s">
        <v>208</v>
      </c>
      <c r="C473" s="1" t="s">
        <v>79</v>
      </c>
      <c r="D473" t="s">
        <v>119</v>
      </c>
      <c r="E473" s="1" t="s">
        <v>119</v>
      </c>
      <c r="F473" t="s">
        <v>126</v>
      </c>
      <c r="G473" s="1" t="s">
        <v>130</v>
      </c>
      <c r="H473">
        <v>150</v>
      </c>
      <c r="I473" t="s">
        <v>3</v>
      </c>
      <c r="J473">
        <v>89037.59</v>
      </c>
      <c r="K473">
        <v>104682.03</v>
      </c>
    </row>
    <row r="474" spans="1:11" x14ac:dyDescent="0.3">
      <c r="A474" s="1" t="s">
        <v>86</v>
      </c>
      <c r="B474" s="1" t="s">
        <v>208</v>
      </c>
      <c r="C474" s="1" t="s">
        <v>79</v>
      </c>
      <c r="D474" t="s">
        <v>119</v>
      </c>
      <c r="E474" s="1" t="s">
        <v>119</v>
      </c>
      <c r="F474" t="s">
        <v>126</v>
      </c>
      <c r="G474" s="1" t="s">
        <v>134</v>
      </c>
      <c r="H474">
        <v>170</v>
      </c>
      <c r="I474" t="s">
        <v>56</v>
      </c>
      <c r="J474">
        <v>63092.6</v>
      </c>
      <c r="K474">
        <v>55693.670000000006</v>
      </c>
    </row>
    <row r="475" spans="1:11" x14ac:dyDescent="0.3">
      <c r="A475" s="1" t="s">
        <v>86</v>
      </c>
      <c r="B475" s="1" t="s">
        <v>208</v>
      </c>
      <c r="C475" s="1" t="s">
        <v>79</v>
      </c>
      <c r="D475" t="s">
        <v>119</v>
      </c>
      <c r="E475" s="1" t="s">
        <v>119</v>
      </c>
      <c r="F475" t="s">
        <v>126</v>
      </c>
      <c r="G475" s="1" t="s">
        <v>129</v>
      </c>
      <c r="H475">
        <v>131</v>
      </c>
      <c r="I475" t="s">
        <v>67</v>
      </c>
      <c r="J475">
        <v>30752.02</v>
      </c>
      <c r="K475">
        <v>28308.649999999987</v>
      </c>
    </row>
    <row r="476" spans="1:11" x14ac:dyDescent="0.3">
      <c r="A476" s="1" t="s">
        <v>86</v>
      </c>
      <c r="B476" s="1" t="s">
        <v>208</v>
      </c>
      <c r="C476" s="1" t="s">
        <v>79</v>
      </c>
      <c r="D476" t="s">
        <v>119</v>
      </c>
      <c r="E476" s="1" t="s">
        <v>119</v>
      </c>
      <c r="F476" t="s">
        <v>126</v>
      </c>
      <c r="G476" s="1" t="s">
        <v>132</v>
      </c>
      <c r="H476">
        <v>151</v>
      </c>
      <c r="I476" t="s">
        <v>20</v>
      </c>
      <c r="J476">
        <v>30960.320000000003</v>
      </c>
      <c r="K476">
        <v>30517.109999999993</v>
      </c>
    </row>
    <row r="477" spans="1:11" x14ac:dyDescent="0.3">
      <c r="A477" s="1" t="s">
        <v>86</v>
      </c>
      <c r="B477" s="1" t="s">
        <v>208</v>
      </c>
      <c r="C477" s="1" t="s">
        <v>92</v>
      </c>
      <c r="D477" t="s">
        <v>121</v>
      </c>
      <c r="E477" s="1" t="s">
        <v>121</v>
      </c>
      <c r="F477" t="s">
        <v>127</v>
      </c>
      <c r="G477" s="1" t="s">
        <v>136</v>
      </c>
      <c r="H477">
        <v>418</v>
      </c>
      <c r="I477" t="s">
        <v>44</v>
      </c>
      <c r="J477">
        <v>0</v>
      </c>
      <c r="K477">
        <v>100098.05999999988</v>
      </c>
    </row>
    <row r="478" spans="1:11" x14ac:dyDescent="0.3">
      <c r="A478" s="1" t="s">
        <v>86</v>
      </c>
      <c r="B478" s="1" t="s">
        <v>208</v>
      </c>
      <c r="C478" s="1" t="s">
        <v>92</v>
      </c>
      <c r="D478" t="s">
        <v>119</v>
      </c>
      <c r="E478" s="1" t="s">
        <v>122</v>
      </c>
      <c r="F478" t="s">
        <v>124</v>
      </c>
      <c r="G478" s="1" t="s">
        <v>136</v>
      </c>
      <c r="H478">
        <v>307</v>
      </c>
      <c r="I478" t="s">
        <v>19</v>
      </c>
      <c r="J478">
        <v>57451.829999999987</v>
      </c>
      <c r="K478">
        <v>72187.629999999961</v>
      </c>
    </row>
    <row r="479" spans="1:11" x14ac:dyDescent="0.3">
      <c r="A479" s="1" t="s">
        <v>86</v>
      </c>
      <c r="B479" s="1" t="s">
        <v>208</v>
      </c>
      <c r="C479" s="1" t="s">
        <v>92</v>
      </c>
      <c r="D479" t="s">
        <v>119</v>
      </c>
      <c r="E479" s="1" t="s">
        <v>122</v>
      </c>
      <c r="F479" t="s">
        <v>127</v>
      </c>
      <c r="G479" s="1" t="s">
        <v>136</v>
      </c>
      <c r="H479">
        <v>411</v>
      </c>
      <c r="I479" t="s">
        <v>43</v>
      </c>
      <c r="J479">
        <v>107466.77</v>
      </c>
      <c r="K479">
        <v>79957.609999999986</v>
      </c>
    </row>
    <row r="480" spans="1:11" x14ac:dyDescent="0.3">
      <c r="A480" s="1" t="s">
        <v>86</v>
      </c>
      <c r="B480" s="1" t="s">
        <v>208</v>
      </c>
      <c r="C480" s="1" t="s">
        <v>92</v>
      </c>
      <c r="D480" t="s">
        <v>119</v>
      </c>
      <c r="E480" s="1" t="s">
        <v>120</v>
      </c>
      <c r="F480" t="s">
        <v>125</v>
      </c>
      <c r="G480" s="1" t="s">
        <v>136</v>
      </c>
      <c r="H480">
        <v>213</v>
      </c>
      <c r="I480" t="s">
        <v>49</v>
      </c>
      <c r="J480">
        <v>68322.099999999991</v>
      </c>
      <c r="K480">
        <v>73325.530000000086</v>
      </c>
    </row>
    <row r="481" spans="1:11" x14ac:dyDescent="0.3">
      <c r="A481" s="1" t="s">
        <v>86</v>
      </c>
      <c r="B481" s="1" t="s">
        <v>208</v>
      </c>
      <c r="C481" s="1" t="s">
        <v>92</v>
      </c>
      <c r="D481" t="s">
        <v>119</v>
      </c>
      <c r="E481" s="1" t="s">
        <v>120</v>
      </c>
      <c r="F481" t="s">
        <v>127</v>
      </c>
      <c r="G481" s="1" t="s">
        <v>136</v>
      </c>
      <c r="H481">
        <v>415</v>
      </c>
      <c r="I481" t="s">
        <v>47</v>
      </c>
      <c r="J481">
        <v>73868.539999999979</v>
      </c>
      <c r="K481">
        <v>64426.490000000034</v>
      </c>
    </row>
    <row r="482" spans="1:11" x14ac:dyDescent="0.3">
      <c r="A482" s="1" t="s">
        <v>86</v>
      </c>
      <c r="B482" s="1" t="s">
        <v>208</v>
      </c>
      <c r="C482" s="1" t="s">
        <v>92</v>
      </c>
      <c r="D482" t="s">
        <v>119</v>
      </c>
      <c r="E482" s="1" t="s">
        <v>119</v>
      </c>
      <c r="F482" t="s">
        <v>124</v>
      </c>
      <c r="G482" s="1" t="s">
        <v>136</v>
      </c>
      <c r="H482">
        <v>306</v>
      </c>
      <c r="I482" t="s">
        <v>51</v>
      </c>
      <c r="J482">
        <v>75777.330000000016</v>
      </c>
      <c r="K482">
        <v>80962.240000000107</v>
      </c>
    </row>
    <row r="483" spans="1:11" x14ac:dyDescent="0.3">
      <c r="A483" s="1" t="s">
        <v>86</v>
      </c>
      <c r="B483" s="1" t="s">
        <v>208</v>
      </c>
      <c r="C483" s="1" t="s">
        <v>92</v>
      </c>
      <c r="D483" t="s">
        <v>119</v>
      </c>
      <c r="E483" s="1" t="s">
        <v>119</v>
      </c>
      <c r="F483" t="s">
        <v>125</v>
      </c>
      <c r="G483" s="1" t="s">
        <v>136</v>
      </c>
      <c r="H483">
        <v>201</v>
      </c>
      <c r="I483" t="s">
        <v>45</v>
      </c>
      <c r="J483">
        <v>41877.130000000005</v>
      </c>
      <c r="K483">
        <v>47004.039999999943</v>
      </c>
    </row>
    <row r="484" spans="1:11" x14ac:dyDescent="0.3">
      <c r="A484" s="1" t="s">
        <v>86</v>
      </c>
      <c r="B484" s="1" t="s">
        <v>208</v>
      </c>
      <c r="C484" s="1" t="s">
        <v>92</v>
      </c>
      <c r="D484" t="s">
        <v>119</v>
      </c>
      <c r="E484" s="1" t="s">
        <v>119</v>
      </c>
      <c r="F484" t="s">
        <v>125</v>
      </c>
      <c r="G484" s="1" t="s">
        <v>136</v>
      </c>
      <c r="H484">
        <v>204</v>
      </c>
      <c r="I484" t="s">
        <v>46</v>
      </c>
      <c r="J484">
        <v>71455</v>
      </c>
      <c r="K484">
        <v>51283.890000000043</v>
      </c>
    </row>
    <row r="485" spans="1:11" x14ac:dyDescent="0.3">
      <c r="A485" s="1" t="s">
        <v>86</v>
      </c>
      <c r="B485" s="1" t="s">
        <v>208</v>
      </c>
      <c r="C485" s="1" t="s">
        <v>92</v>
      </c>
      <c r="D485" t="s">
        <v>119</v>
      </c>
      <c r="E485" s="1" t="s">
        <v>119</v>
      </c>
      <c r="F485" t="s">
        <v>126</v>
      </c>
      <c r="G485" s="1" t="s">
        <v>136</v>
      </c>
      <c r="H485">
        <v>102</v>
      </c>
      <c r="I485" t="s">
        <v>50</v>
      </c>
      <c r="J485">
        <v>80226.87000000001</v>
      </c>
      <c r="K485">
        <v>72456.700000000055</v>
      </c>
    </row>
    <row r="486" spans="1:11" x14ac:dyDescent="0.3">
      <c r="A486" s="1" t="s">
        <v>86</v>
      </c>
      <c r="B486" s="1" t="s">
        <v>208</v>
      </c>
      <c r="C486" s="1" t="s">
        <v>93</v>
      </c>
      <c r="D486" t="s">
        <v>119</v>
      </c>
      <c r="E486" s="1" t="s">
        <v>119</v>
      </c>
      <c r="F486" t="s">
        <v>93</v>
      </c>
      <c r="G486" s="1" t="s">
        <v>93</v>
      </c>
      <c r="H486">
        <v>903</v>
      </c>
      <c r="I486" t="s">
        <v>37</v>
      </c>
      <c r="J486">
        <v>130076.40000000002</v>
      </c>
      <c r="K486">
        <v>62355.189999999959</v>
      </c>
    </row>
    <row r="487" spans="1:11" x14ac:dyDescent="0.3">
      <c r="A487" s="1" t="s">
        <v>86</v>
      </c>
      <c r="B487" s="1" t="s">
        <v>208</v>
      </c>
      <c r="C487" s="1" t="s">
        <v>94</v>
      </c>
      <c r="D487" t="s">
        <v>121</v>
      </c>
      <c r="E487" s="1" t="s">
        <v>121</v>
      </c>
      <c r="F487" t="s">
        <v>124</v>
      </c>
      <c r="G487" s="1" t="s">
        <v>137</v>
      </c>
      <c r="H487" t="s">
        <v>112</v>
      </c>
      <c r="I487" t="s">
        <v>21</v>
      </c>
      <c r="J487">
        <v>0</v>
      </c>
      <c r="K487">
        <v>0</v>
      </c>
    </row>
    <row r="488" spans="1:11" x14ac:dyDescent="0.3">
      <c r="A488" s="1" t="s">
        <v>86</v>
      </c>
      <c r="B488" s="1" t="s">
        <v>208</v>
      </c>
      <c r="C488" s="1" t="s">
        <v>94</v>
      </c>
      <c r="D488" t="s">
        <v>121</v>
      </c>
      <c r="E488" s="1" t="s">
        <v>121</v>
      </c>
      <c r="F488" t="s">
        <v>125</v>
      </c>
      <c r="G488" s="1" t="s">
        <v>138</v>
      </c>
      <c r="H488">
        <v>470</v>
      </c>
      <c r="I488" t="s">
        <v>26</v>
      </c>
      <c r="J488">
        <v>0</v>
      </c>
      <c r="K488">
        <v>0</v>
      </c>
    </row>
    <row r="489" spans="1:11" x14ac:dyDescent="0.3">
      <c r="A489" s="1" t="s">
        <v>86</v>
      </c>
      <c r="B489" s="1" t="s">
        <v>208</v>
      </c>
      <c r="C489" s="1" t="s">
        <v>94</v>
      </c>
      <c r="D489" t="s">
        <v>121</v>
      </c>
      <c r="E489" s="1" t="s">
        <v>121</v>
      </c>
      <c r="F489" t="s">
        <v>125</v>
      </c>
      <c r="G489" s="1" t="s">
        <v>137</v>
      </c>
      <c r="H489" t="s">
        <v>114</v>
      </c>
      <c r="I489" t="s">
        <v>23</v>
      </c>
      <c r="J489">
        <v>0</v>
      </c>
      <c r="K489">
        <v>0</v>
      </c>
    </row>
    <row r="490" spans="1:11" x14ac:dyDescent="0.3">
      <c r="A490" s="1" t="s">
        <v>86</v>
      </c>
      <c r="B490" s="1" t="s">
        <v>208</v>
      </c>
      <c r="C490" s="1" t="s">
        <v>94</v>
      </c>
      <c r="D490" t="s">
        <v>121</v>
      </c>
      <c r="E490" s="1" t="s">
        <v>121</v>
      </c>
      <c r="F490" t="s">
        <v>125</v>
      </c>
      <c r="G490" s="1" t="s">
        <v>137</v>
      </c>
      <c r="H490" t="s">
        <v>113</v>
      </c>
      <c r="I490" t="s">
        <v>22</v>
      </c>
      <c r="J490">
        <v>0</v>
      </c>
      <c r="K490">
        <v>0</v>
      </c>
    </row>
    <row r="491" spans="1:11" x14ac:dyDescent="0.3">
      <c r="A491" s="1" t="s">
        <v>86</v>
      </c>
      <c r="B491" s="1" t="s">
        <v>208</v>
      </c>
      <c r="C491" s="1" t="s">
        <v>94</v>
      </c>
      <c r="D491" t="s">
        <v>121</v>
      </c>
      <c r="E491" s="1" t="s">
        <v>121</v>
      </c>
      <c r="F491" t="s">
        <v>127</v>
      </c>
      <c r="G491" s="1" t="s">
        <v>137</v>
      </c>
      <c r="H491">
        <v>494</v>
      </c>
      <c r="I491" t="s">
        <v>25</v>
      </c>
      <c r="J491">
        <v>0</v>
      </c>
      <c r="K491">
        <v>0</v>
      </c>
    </row>
    <row r="492" spans="1:11" x14ac:dyDescent="0.3">
      <c r="A492" s="1" t="s">
        <v>86</v>
      </c>
      <c r="B492" s="1" t="s">
        <v>208</v>
      </c>
      <c r="C492" s="1" t="s">
        <v>94</v>
      </c>
      <c r="D492" t="s">
        <v>121</v>
      </c>
      <c r="E492" s="1" t="s">
        <v>121</v>
      </c>
      <c r="F492" t="s">
        <v>126</v>
      </c>
      <c r="G492" s="1" t="s">
        <v>137</v>
      </c>
      <c r="H492">
        <v>460</v>
      </c>
      <c r="I492" t="s">
        <v>30</v>
      </c>
      <c r="J492">
        <v>0</v>
      </c>
      <c r="K492">
        <v>0</v>
      </c>
    </row>
    <row r="493" spans="1:11" x14ac:dyDescent="0.3">
      <c r="A493" s="1" t="s">
        <v>86</v>
      </c>
      <c r="B493" s="1" t="s">
        <v>208</v>
      </c>
      <c r="C493" s="1" t="s">
        <v>94</v>
      </c>
      <c r="D493" t="s">
        <v>121</v>
      </c>
      <c r="E493" s="1" t="s">
        <v>121</v>
      </c>
      <c r="F493" t="s">
        <v>126</v>
      </c>
      <c r="G493" s="1" t="s">
        <v>137</v>
      </c>
      <c r="H493">
        <v>461</v>
      </c>
      <c r="I493" t="s">
        <v>29</v>
      </c>
      <c r="J493">
        <v>0</v>
      </c>
      <c r="K493">
        <v>0</v>
      </c>
    </row>
    <row r="494" spans="1:11" x14ac:dyDescent="0.3">
      <c r="A494" s="1" t="s">
        <v>86</v>
      </c>
      <c r="B494" s="1" t="s">
        <v>208</v>
      </c>
      <c r="C494" s="1" t="s">
        <v>94</v>
      </c>
      <c r="D494" t="s">
        <v>121</v>
      </c>
      <c r="E494" s="1" t="s">
        <v>119</v>
      </c>
      <c r="F494" t="s">
        <v>124</v>
      </c>
      <c r="G494" s="1" t="s">
        <v>138</v>
      </c>
      <c r="H494">
        <v>480</v>
      </c>
      <c r="I494" t="s">
        <v>28</v>
      </c>
      <c r="J494">
        <v>20700.329999999991</v>
      </c>
      <c r="K494">
        <v>34546.050000000003</v>
      </c>
    </row>
    <row r="495" spans="1:11" x14ac:dyDescent="0.3">
      <c r="A495" s="1" t="s">
        <v>86</v>
      </c>
      <c r="B495" s="1" t="s">
        <v>208</v>
      </c>
      <c r="C495" s="1" t="s">
        <v>94</v>
      </c>
      <c r="D495" t="s">
        <v>121</v>
      </c>
      <c r="E495" s="1" t="s">
        <v>119</v>
      </c>
      <c r="F495" t="s">
        <v>127</v>
      </c>
      <c r="G495" s="1" t="s">
        <v>138</v>
      </c>
      <c r="H495">
        <v>491</v>
      </c>
      <c r="I495" t="s">
        <v>31</v>
      </c>
      <c r="J495">
        <v>0</v>
      </c>
      <c r="K495">
        <v>74218.220000000132</v>
      </c>
    </row>
    <row r="496" spans="1:11" x14ac:dyDescent="0.3">
      <c r="A496" s="1" t="s">
        <v>86</v>
      </c>
      <c r="B496" s="1" t="s">
        <v>208</v>
      </c>
      <c r="C496" s="1" t="s">
        <v>94</v>
      </c>
      <c r="D496" t="s">
        <v>121</v>
      </c>
      <c r="E496" s="1" t="s">
        <v>119</v>
      </c>
      <c r="F496" t="s">
        <v>127</v>
      </c>
      <c r="G496" s="1" t="s">
        <v>138</v>
      </c>
      <c r="H496">
        <v>492</v>
      </c>
      <c r="I496" t="s">
        <v>27</v>
      </c>
      <c r="J496">
        <v>77241.439999999973</v>
      </c>
      <c r="K496">
        <v>39128.049999999974</v>
      </c>
    </row>
    <row r="497" spans="1:11" x14ac:dyDescent="0.3">
      <c r="A497" s="1" t="s">
        <v>86</v>
      </c>
      <c r="B497" s="1" t="s">
        <v>208</v>
      </c>
      <c r="C497" s="1" t="s">
        <v>94</v>
      </c>
      <c r="D497" t="s">
        <v>121</v>
      </c>
      <c r="E497" s="1" t="s">
        <v>119</v>
      </c>
      <c r="F497" t="s">
        <v>127</v>
      </c>
      <c r="G497" s="1" t="s">
        <v>138</v>
      </c>
      <c r="H497">
        <v>493</v>
      </c>
      <c r="I497" t="s">
        <v>24</v>
      </c>
      <c r="J497">
        <v>0</v>
      </c>
      <c r="K497">
        <v>27587.929999999997</v>
      </c>
    </row>
    <row r="498" spans="1:11" x14ac:dyDescent="0.3">
      <c r="A498" s="1" t="s">
        <v>86</v>
      </c>
      <c r="B498" s="1" t="s">
        <v>208</v>
      </c>
      <c r="C498" s="1" t="s">
        <v>95</v>
      </c>
      <c r="D498" t="s">
        <v>121</v>
      </c>
      <c r="E498" s="1" t="s">
        <v>121</v>
      </c>
      <c r="F498" t="s">
        <v>125</v>
      </c>
      <c r="G498" s="1" t="s">
        <v>139</v>
      </c>
      <c r="H498" t="s">
        <v>115</v>
      </c>
      <c r="I498" s="33" t="s">
        <v>71</v>
      </c>
      <c r="J498" s="33">
        <v>0</v>
      </c>
      <c r="K498" s="33">
        <v>0</v>
      </c>
    </row>
    <row r="499" spans="1:11" x14ac:dyDescent="0.3">
      <c r="A499" s="1" t="s">
        <v>86</v>
      </c>
      <c r="B499" s="1" t="s">
        <v>208</v>
      </c>
      <c r="C499" s="1" t="s">
        <v>95</v>
      </c>
      <c r="D499" t="s">
        <v>121</v>
      </c>
      <c r="E499" s="1" t="s">
        <v>121</v>
      </c>
      <c r="F499" t="s">
        <v>126</v>
      </c>
      <c r="G499" s="1" t="s">
        <v>139</v>
      </c>
      <c r="H499">
        <v>510</v>
      </c>
      <c r="I499" t="s">
        <v>76</v>
      </c>
      <c r="J499">
        <v>0</v>
      </c>
      <c r="K499">
        <v>0</v>
      </c>
    </row>
    <row r="500" spans="1:11" x14ac:dyDescent="0.3">
      <c r="A500" s="1" t="s">
        <v>86</v>
      </c>
      <c r="B500" s="1" t="s">
        <v>208</v>
      </c>
      <c r="C500" s="1" t="s">
        <v>95</v>
      </c>
      <c r="D500" t="s">
        <v>121</v>
      </c>
      <c r="E500" s="1" t="s">
        <v>119</v>
      </c>
      <c r="F500" t="s">
        <v>127</v>
      </c>
      <c r="G500" s="1" t="s">
        <v>140</v>
      </c>
      <c r="H500">
        <v>541</v>
      </c>
      <c r="I500" t="s">
        <v>74</v>
      </c>
      <c r="J500">
        <v>0</v>
      </c>
      <c r="K500">
        <v>27448.199999999961</v>
      </c>
    </row>
    <row r="501" spans="1:11" x14ac:dyDescent="0.3">
      <c r="A501" s="1" t="s">
        <v>86</v>
      </c>
      <c r="B501" s="1" t="s">
        <v>208</v>
      </c>
      <c r="C501" s="1" t="s">
        <v>95</v>
      </c>
      <c r="D501" t="s">
        <v>121</v>
      </c>
      <c r="E501" s="1" t="s">
        <v>119</v>
      </c>
      <c r="F501" t="s">
        <v>127</v>
      </c>
      <c r="G501" s="1" t="s">
        <v>140</v>
      </c>
      <c r="H501">
        <v>543</v>
      </c>
      <c r="I501" t="s">
        <v>72</v>
      </c>
      <c r="J501">
        <v>35885.729999999996</v>
      </c>
      <c r="K501">
        <v>31111.169999999987</v>
      </c>
    </row>
    <row r="502" spans="1:11" x14ac:dyDescent="0.3">
      <c r="A502" s="1" t="s">
        <v>86</v>
      </c>
      <c r="B502" s="1" t="s">
        <v>208</v>
      </c>
      <c r="C502" s="1" t="s">
        <v>95</v>
      </c>
      <c r="D502" t="s">
        <v>120</v>
      </c>
      <c r="E502" s="1" t="s">
        <v>119</v>
      </c>
      <c r="F502" t="s">
        <v>127</v>
      </c>
      <c r="G502" s="1" t="s">
        <v>140</v>
      </c>
      <c r="H502">
        <v>540</v>
      </c>
      <c r="I502" t="s">
        <v>73</v>
      </c>
      <c r="J502">
        <v>71488.399999999994</v>
      </c>
      <c r="K502">
        <v>106987.01999999996</v>
      </c>
    </row>
    <row r="503" spans="1:11" x14ac:dyDescent="0.3">
      <c r="A503" s="1" t="s">
        <v>86</v>
      </c>
      <c r="B503" s="1" t="s">
        <v>208</v>
      </c>
      <c r="C503" s="1" t="s">
        <v>95</v>
      </c>
      <c r="D503" t="s">
        <v>119</v>
      </c>
      <c r="E503" s="1" t="s">
        <v>120</v>
      </c>
      <c r="F503" t="s">
        <v>124</v>
      </c>
      <c r="G503" s="1" t="s">
        <v>139</v>
      </c>
      <c r="H503">
        <v>530</v>
      </c>
      <c r="I503" t="s">
        <v>68</v>
      </c>
      <c r="J503">
        <v>29002.23</v>
      </c>
      <c r="K503">
        <v>25519.609999999986</v>
      </c>
    </row>
    <row r="504" spans="1:11" x14ac:dyDescent="0.3">
      <c r="A504" s="1" t="s">
        <v>86</v>
      </c>
      <c r="B504" s="1" t="s">
        <v>208</v>
      </c>
      <c r="C504" s="1" t="s">
        <v>95</v>
      </c>
      <c r="D504" t="s">
        <v>119</v>
      </c>
      <c r="E504" s="1" t="s">
        <v>119</v>
      </c>
      <c r="F504" t="s">
        <v>125</v>
      </c>
      <c r="G504" s="1" t="s">
        <v>140</v>
      </c>
      <c r="H504">
        <v>520</v>
      </c>
      <c r="I504" t="s">
        <v>70</v>
      </c>
      <c r="J504">
        <v>50378.210000000006</v>
      </c>
      <c r="K504">
        <v>53245.35999999995</v>
      </c>
    </row>
    <row r="505" spans="1:11" x14ac:dyDescent="0.3">
      <c r="A505" s="2" t="s">
        <v>86</v>
      </c>
      <c r="B505" s="1" t="s">
        <v>208</v>
      </c>
      <c r="C505" s="1" t="s">
        <v>95</v>
      </c>
      <c r="D505" t="s">
        <v>119</v>
      </c>
      <c r="E505" s="1" t="s">
        <v>119</v>
      </c>
      <c r="F505" t="s">
        <v>127</v>
      </c>
      <c r="G505" s="1" t="s">
        <v>139</v>
      </c>
      <c r="H505">
        <v>542</v>
      </c>
      <c r="I505" t="s">
        <v>69</v>
      </c>
      <c r="J505">
        <v>31657.34</v>
      </c>
      <c r="K505">
        <v>19915.240000000013</v>
      </c>
    </row>
    <row r="506" spans="1:11" x14ac:dyDescent="0.3">
      <c r="A506" s="1" t="s">
        <v>87</v>
      </c>
      <c r="B506" s="1" t="s">
        <v>209</v>
      </c>
      <c r="C506" s="1" t="s">
        <v>79</v>
      </c>
      <c r="D506" t="s">
        <v>122</v>
      </c>
      <c r="E506" s="1" t="s">
        <v>122</v>
      </c>
      <c r="F506" t="s">
        <v>124</v>
      </c>
      <c r="G506" s="1" t="s">
        <v>129</v>
      </c>
      <c r="H506" t="s">
        <v>196</v>
      </c>
      <c r="I506" t="s">
        <v>1</v>
      </c>
      <c r="J506">
        <v>0</v>
      </c>
      <c r="K506">
        <v>0</v>
      </c>
    </row>
    <row r="507" spans="1:11" x14ac:dyDescent="0.3">
      <c r="A507" s="1" t="s">
        <v>87</v>
      </c>
      <c r="B507" s="1" t="s">
        <v>209</v>
      </c>
      <c r="C507" s="1" t="s">
        <v>79</v>
      </c>
      <c r="D507" t="s">
        <v>122</v>
      </c>
      <c r="E507" s="1" t="s">
        <v>122</v>
      </c>
      <c r="F507" t="s">
        <v>125</v>
      </c>
      <c r="G507" s="1" t="s">
        <v>129</v>
      </c>
      <c r="H507" t="s">
        <v>196</v>
      </c>
      <c r="I507" t="s">
        <v>7</v>
      </c>
      <c r="J507">
        <v>0</v>
      </c>
      <c r="K507">
        <v>0</v>
      </c>
    </row>
    <row r="508" spans="1:11" x14ac:dyDescent="0.3">
      <c r="A508" s="1" t="s">
        <v>87</v>
      </c>
      <c r="B508" s="1" t="s">
        <v>209</v>
      </c>
      <c r="C508" s="1" t="s">
        <v>79</v>
      </c>
      <c r="D508" t="s">
        <v>122</v>
      </c>
      <c r="E508" s="1" t="s">
        <v>122</v>
      </c>
      <c r="F508" t="s">
        <v>127</v>
      </c>
      <c r="G508" s="1" t="s">
        <v>129</v>
      </c>
      <c r="H508" t="s">
        <v>196</v>
      </c>
      <c r="I508" t="s">
        <v>5</v>
      </c>
      <c r="J508">
        <v>0</v>
      </c>
      <c r="K508">
        <v>0</v>
      </c>
    </row>
    <row r="509" spans="1:11" x14ac:dyDescent="0.3">
      <c r="A509" s="1" t="s">
        <v>87</v>
      </c>
      <c r="B509" s="1" t="s">
        <v>209</v>
      </c>
      <c r="C509" s="1" t="s">
        <v>79</v>
      </c>
      <c r="D509" t="s">
        <v>122</v>
      </c>
      <c r="E509" s="1" t="s">
        <v>122</v>
      </c>
      <c r="F509" t="s">
        <v>127</v>
      </c>
      <c r="G509" s="1" t="s">
        <v>122</v>
      </c>
      <c r="H509" t="s">
        <v>196</v>
      </c>
      <c r="I509" t="s">
        <v>33</v>
      </c>
      <c r="J509">
        <v>0</v>
      </c>
      <c r="K509">
        <v>0</v>
      </c>
    </row>
    <row r="510" spans="1:11" x14ac:dyDescent="0.3">
      <c r="A510" s="1" t="s">
        <v>87</v>
      </c>
      <c r="B510" s="1" t="s">
        <v>209</v>
      </c>
      <c r="C510" s="1" t="s">
        <v>79</v>
      </c>
      <c r="D510" t="s">
        <v>121</v>
      </c>
      <c r="E510" s="1" t="s">
        <v>121</v>
      </c>
      <c r="F510" t="s">
        <v>125</v>
      </c>
      <c r="G510" s="1" t="s">
        <v>129</v>
      </c>
      <c r="H510" t="s">
        <v>110</v>
      </c>
      <c r="I510" t="s">
        <v>64</v>
      </c>
      <c r="J510">
        <v>0</v>
      </c>
      <c r="K510">
        <v>0</v>
      </c>
    </row>
    <row r="511" spans="1:11" x14ac:dyDescent="0.3">
      <c r="A511" s="1" t="s">
        <v>87</v>
      </c>
      <c r="B511" s="1" t="s">
        <v>209</v>
      </c>
      <c r="C511" s="1" t="s">
        <v>79</v>
      </c>
      <c r="D511" t="s">
        <v>121</v>
      </c>
      <c r="E511" s="1" t="s">
        <v>121</v>
      </c>
      <c r="F511" t="s">
        <v>127</v>
      </c>
      <c r="G511" s="1" t="s">
        <v>129</v>
      </c>
      <c r="H511" t="s">
        <v>109</v>
      </c>
      <c r="I511" s="33" t="s">
        <v>41</v>
      </c>
      <c r="J511" s="33">
        <v>0</v>
      </c>
      <c r="K511" s="33">
        <v>0</v>
      </c>
    </row>
    <row r="512" spans="1:11" x14ac:dyDescent="0.3">
      <c r="A512" s="1" t="s">
        <v>87</v>
      </c>
      <c r="B512" s="1" t="s">
        <v>209</v>
      </c>
      <c r="C512" s="1" t="s">
        <v>79</v>
      </c>
      <c r="D512" t="s">
        <v>120</v>
      </c>
      <c r="E512" s="1" t="s">
        <v>120</v>
      </c>
      <c r="F512" t="s">
        <v>124</v>
      </c>
      <c r="G512" s="1" t="s">
        <v>129</v>
      </c>
      <c r="H512">
        <v>304</v>
      </c>
      <c r="I512" t="s">
        <v>61</v>
      </c>
      <c r="J512">
        <v>69956.589999999967</v>
      </c>
      <c r="K512">
        <v>75093.410000000018</v>
      </c>
    </row>
    <row r="513" spans="1:11" x14ac:dyDescent="0.3">
      <c r="A513" s="1" t="s">
        <v>87</v>
      </c>
      <c r="B513" s="1" t="s">
        <v>209</v>
      </c>
      <c r="C513" s="1" t="s">
        <v>79</v>
      </c>
      <c r="D513" t="s">
        <v>120</v>
      </c>
      <c r="E513" s="1" t="s">
        <v>120</v>
      </c>
      <c r="F513" t="s">
        <v>125</v>
      </c>
      <c r="G513" s="1" t="s">
        <v>133</v>
      </c>
      <c r="H513">
        <v>208</v>
      </c>
      <c r="I513" t="s">
        <v>36</v>
      </c>
      <c r="J513">
        <v>52391.969999999979</v>
      </c>
      <c r="K513">
        <v>65939.419999999955</v>
      </c>
    </row>
    <row r="514" spans="1:11" x14ac:dyDescent="0.3">
      <c r="A514" s="1" t="s">
        <v>87</v>
      </c>
      <c r="B514" s="1" t="s">
        <v>209</v>
      </c>
      <c r="C514" s="1" t="s">
        <v>79</v>
      </c>
      <c r="D514" t="s">
        <v>120</v>
      </c>
      <c r="E514" s="1" t="s">
        <v>120</v>
      </c>
      <c r="F514" t="s">
        <v>125</v>
      </c>
      <c r="G514" s="1" t="s">
        <v>133</v>
      </c>
      <c r="H514">
        <v>209</v>
      </c>
      <c r="I514" t="s">
        <v>35</v>
      </c>
      <c r="J514">
        <v>27352.62</v>
      </c>
      <c r="K514">
        <v>45247.75999999998</v>
      </c>
    </row>
    <row r="515" spans="1:11" x14ac:dyDescent="0.3">
      <c r="A515" s="1" t="s">
        <v>87</v>
      </c>
      <c r="B515" s="1" t="s">
        <v>209</v>
      </c>
      <c r="C515" s="1" t="s">
        <v>79</v>
      </c>
      <c r="D515" t="s">
        <v>120</v>
      </c>
      <c r="E515" s="1" t="s">
        <v>120</v>
      </c>
      <c r="F515" t="s">
        <v>125</v>
      </c>
      <c r="G515" s="1" t="s">
        <v>129</v>
      </c>
      <c r="H515">
        <v>202</v>
      </c>
      <c r="I515" t="s">
        <v>4</v>
      </c>
      <c r="J515">
        <v>79886.689999999959</v>
      </c>
      <c r="K515">
        <v>108410.29</v>
      </c>
    </row>
    <row r="516" spans="1:11" x14ac:dyDescent="0.3">
      <c r="A516" s="1" t="s">
        <v>87</v>
      </c>
      <c r="B516" s="1" t="s">
        <v>209</v>
      </c>
      <c r="C516" s="1" t="s">
        <v>79</v>
      </c>
      <c r="D516" t="s">
        <v>120</v>
      </c>
      <c r="E516" s="1" t="s">
        <v>120</v>
      </c>
      <c r="F516" t="s">
        <v>127</v>
      </c>
      <c r="G516" s="1" t="s">
        <v>133</v>
      </c>
      <c r="H516">
        <v>404</v>
      </c>
      <c r="I516" t="s">
        <v>15</v>
      </c>
      <c r="J516">
        <v>60138.239999999991</v>
      </c>
      <c r="K516">
        <v>43377.35</v>
      </c>
    </row>
    <row r="517" spans="1:11" x14ac:dyDescent="0.3">
      <c r="A517" s="1" t="s">
        <v>87</v>
      </c>
      <c r="B517" s="1" t="s">
        <v>209</v>
      </c>
      <c r="C517" s="1" t="s">
        <v>79</v>
      </c>
      <c r="D517" t="s">
        <v>120</v>
      </c>
      <c r="E517" s="1" t="s">
        <v>119</v>
      </c>
      <c r="F517" t="s">
        <v>124</v>
      </c>
      <c r="G517" s="1" t="s">
        <v>129</v>
      </c>
      <c r="H517">
        <v>310</v>
      </c>
      <c r="I517" t="s">
        <v>63</v>
      </c>
      <c r="J517">
        <v>24121.789999999997</v>
      </c>
      <c r="K517">
        <v>73896.549999999959</v>
      </c>
    </row>
    <row r="518" spans="1:11" x14ac:dyDescent="0.3">
      <c r="A518" s="1" t="s">
        <v>87</v>
      </c>
      <c r="B518" s="1" t="s">
        <v>209</v>
      </c>
      <c r="C518" s="1" t="s">
        <v>79</v>
      </c>
      <c r="D518" t="s">
        <v>120</v>
      </c>
      <c r="E518" s="1" t="s">
        <v>119</v>
      </c>
      <c r="F518" t="s">
        <v>125</v>
      </c>
      <c r="G518" s="1" t="s">
        <v>134</v>
      </c>
      <c r="H518">
        <v>206</v>
      </c>
      <c r="I518" t="s">
        <v>18</v>
      </c>
      <c r="J518">
        <v>105040.54</v>
      </c>
      <c r="K518">
        <v>140612.63</v>
      </c>
    </row>
    <row r="519" spans="1:11" x14ac:dyDescent="0.3">
      <c r="A519" s="1" t="s">
        <v>87</v>
      </c>
      <c r="B519" s="1" t="s">
        <v>209</v>
      </c>
      <c r="C519" s="1" t="s">
        <v>79</v>
      </c>
      <c r="D519" t="s">
        <v>120</v>
      </c>
      <c r="E519" s="1" t="s">
        <v>119</v>
      </c>
      <c r="F519" t="s">
        <v>125</v>
      </c>
      <c r="G519" s="1" t="s">
        <v>129</v>
      </c>
      <c r="H519">
        <v>210</v>
      </c>
      <c r="I519" t="s">
        <v>2</v>
      </c>
      <c r="J519">
        <v>56065.859999999993</v>
      </c>
      <c r="K519">
        <v>70595.590000000069</v>
      </c>
    </row>
    <row r="520" spans="1:11" x14ac:dyDescent="0.3">
      <c r="A520" s="1" t="s">
        <v>87</v>
      </c>
      <c r="B520" s="1" t="s">
        <v>209</v>
      </c>
      <c r="C520" s="1" t="s">
        <v>79</v>
      </c>
      <c r="D520" t="s">
        <v>120</v>
      </c>
      <c r="E520" s="1" t="s">
        <v>119</v>
      </c>
      <c r="F520" t="s">
        <v>127</v>
      </c>
      <c r="G520" s="1" t="s">
        <v>131</v>
      </c>
      <c r="H520">
        <v>417</v>
      </c>
      <c r="I520" t="s">
        <v>54</v>
      </c>
      <c r="J520">
        <v>110699.69999999998</v>
      </c>
      <c r="K520">
        <v>142959.53999999992</v>
      </c>
    </row>
    <row r="521" spans="1:11" x14ac:dyDescent="0.3">
      <c r="A521" s="1" t="s">
        <v>87</v>
      </c>
      <c r="B521" s="1" t="s">
        <v>209</v>
      </c>
      <c r="C521" s="1" t="s">
        <v>79</v>
      </c>
      <c r="D521" t="s">
        <v>119</v>
      </c>
      <c r="E521" s="1" t="s">
        <v>120</v>
      </c>
      <c r="F521" t="s">
        <v>124</v>
      </c>
      <c r="G521" s="1" t="s">
        <v>129</v>
      </c>
      <c r="H521">
        <v>308</v>
      </c>
      <c r="I521" t="s">
        <v>0</v>
      </c>
      <c r="J521">
        <v>69755.209999999977</v>
      </c>
      <c r="K521">
        <v>65079.250000000044</v>
      </c>
    </row>
    <row r="522" spans="1:11" x14ac:dyDescent="0.3">
      <c r="A522" s="1" t="s">
        <v>87</v>
      </c>
      <c r="B522" s="1" t="s">
        <v>209</v>
      </c>
      <c r="C522" s="1" t="s">
        <v>79</v>
      </c>
      <c r="D522" t="s">
        <v>119</v>
      </c>
      <c r="E522" s="1" t="s">
        <v>120</v>
      </c>
      <c r="F522" t="s">
        <v>127</v>
      </c>
      <c r="G522" s="1" t="s">
        <v>132</v>
      </c>
      <c r="H522">
        <v>402</v>
      </c>
      <c r="I522" t="s">
        <v>9</v>
      </c>
      <c r="J522">
        <v>54327.139999999985</v>
      </c>
      <c r="K522">
        <v>54039.919999999976</v>
      </c>
    </row>
    <row r="523" spans="1:11" x14ac:dyDescent="0.3">
      <c r="A523" s="1" t="s">
        <v>87</v>
      </c>
      <c r="B523" s="1" t="s">
        <v>209</v>
      </c>
      <c r="C523" s="1" t="s">
        <v>79</v>
      </c>
      <c r="D523" t="s">
        <v>119</v>
      </c>
      <c r="E523" s="1" t="s">
        <v>120</v>
      </c>
      <c r="F523" t="s">
        <v>127</v>
      </c>
      <c r="G523" s="1" t="s">
        <v>132</v>
      </c>
      <c r="H523">
        <v>406</v>
      </c>
      <c r="I523" t="s">
        <v>57</v>
      </c>
      <c r="J523">
        <v>39274.560000000005</v>
      </c>
      <c r="K523">
        <v>41348.169999999991</v>
      </c>
    </row>
    <row r="524" spans="1:11" x14ac:dyDescent="0.3">
      <c r="A524" s="1" t="s">
        <v>87</v>
      </c>
      <c r="B524" s="1" t="s">
        <v>209</v>
      </c>
      <c r="C524" s="1" t="s">
        <v>79</v>
      </c>
      <c r="D524" t="s">
        <v>119</v>
      </c>
      <c r="E524" s="1" t="s">
        <v>120</v>
      </c>
      <c r="F524" t="s">
        <v>127</v>
      </c>
      <c r="G524" s="1" t="s">
        <v>132</v>
      </c>
      <c r="H524">
        <v>416</v>
      </c>
      <c r="I524" t="s">
        <v>66</v>
      </c>
      <c r="J524">
        <v>39860.74</v>
      </c>
      <c r="K524">
        <v>53022.7</v>
      </c>
    </row>
    <row r="525" spans="1:11" x14ac:dyDescent="0.3">
      <c r="A525" s="1" t="s">
        <v>87</v>
      </c>
      <c r="B525" s="1" t="s">
        <v>209</v>
      </c>
      <c r="C525" s="1" t="s">
        <v>79</v>
      </c>
      <c r="D525" t="s">
        <v>119</v>
      </c>
      <c r="E525" s="1" t="s">
        <v>120</v>
      </c>
      <c r="F525" t="s">
        <v>127</v>
      </c>
      <c r="G525" s="1" t="s">
        <v>135</v>
      </c>
      <c r="H525">
        <v>414</v>
      </c>
      <c r="I525" t="s">
        <v>65</v>
      </c>
      <c r="J525">
        <v>432221.0999999998</v>
      </c>
      <c r="K525">
        <v>515771.43000000226</v>
      </c>
    </row>
    <row r="526" spans="1:11" x14ac:dyDescent="0.3">
      <c r="A526" s="1" t="s">
        <v>87</v>
      </c>
      <c r="B526" s="1" t="s">
        <v>209</v>
      </c>
      <c r="C526" s="1" t="s">
        <v>79</v>
      </c>
      <c r="D526" t="s">
        <v>119</v>
      </c>
      <c r="E526" s="1" t="s">
        <v>119</v>
      </c>
      <c r="F526" t="s">
        <v>124</v>
      </c>
      <c r="G526" s="1" t="s">
        <v>131</v>
      </c>
      <c r="H526">
        <v>309</v>
      </c>
      <c r="I526" t="s">
        <v>52</v>
      </c>
      <c r="J526">
        <v>255725.45999999996</v>
      </c>
      <c r="K526">
        <v>352680.1100000015</v>
      </c>
    </row>
    <row r="527" spans="1:11" x14ac:dyDescent="0.3">
      <c r="A527" s="1" t="s">
        <v>87</v>
      </c>
      <c r="B527" s="1" t="s">
        <v>209</v>
      </c>
      <c r="C527" s="1" t="s">
        <v>79</v>
      </c>
      <c r="D527" t="s">
        <v>119</v>
      </c>
      <c r="E527" s="1" t="s">
        <v>119</v>
      </c>
      <c r="F527" t="s">
        <v>124</v>
      </c>
      <c r="G527" s="1" t="s">
        <v>130</v>
      </c>
      <c r="H527">
        <v>305</v>
      </c>
      <c r="I527" t="s">
        <v>6</v>
      </c>
      <c r="J527">
        <v>180852.11999999994</v>
      </c>
      <c r="K527">
        <v>222848.35000000044</v>
      </c>
    </row>
    <row r="528" spans="1:11" x14ac:dyDescent="0.3">
      <c r="A528" s="1" t="s">
        <v>87</v>
      </c>
      <c r="B528" s="1" t="s">
        <v>209</v>
      </c>
      <c r="C528" s="1" t="s">
        <v>79</v>
      </c>
      <c r="D528" t="s">
        <v>119</v>
      </c>
      <c r="E528" s="1" t="s">
        <v>119</v>
      </c>
      <c r="F528" t="s">
        <v>124</v>
      </c>
      <c r="G528" s="1" t="s">
        <v>134</v>
      </c>
      <c r="H528">
        <v>302</v>
      </c>
      <c r="I528" t="s">
        <v>32</v>
      </c>
      <c r="J528">
        <v>123949.23</v>
      </c>
      <c r="K528">
        <v>145958.08000000016</v>
      </c>
    </row>
    <row r="529" spans="1:11" x14ac:dyDescent="0.3">
      <c r="A529" s="1" t="s">
        <v>87</v>
      </c>
      <c r="B529" s="1" t="s">
        <v>209</v>
      </c>
      <c r="C529" s="1" t="s">
        <v>79</v>
      </c>
      <c r="D529" t="s">
        <v>119</v>
      </c>
      <c r="E529" s="1" t="s">
        <v>119</v>
      </c>
      <c r="F529" t="s">
        <v>124</v>
      </c>
      <c r="G529" s="1" t="s">
        <v>129</v>
      </c>
      <c r="H529">
        <v>301</v>
      </c>
      <c r="I529" t="s">
        <v>59</v>
      </c>
      <c r="J529">
        <v>71054.049999999988</v>
      </c>
      <c r="K529">
        <v>78747.749999999927</v>
      </c>
    </row>
    <row r="530" spans="1:11" x14ac:dyDescent="0.3">
      <c r="A530" s="1" t="s">
        <v>87</v>
      </c>
      <c r="B530" s="1" t="s">
        <v>209</v>
      </c>
      <c r="C530" s="1" t="s">
        <v>79</v>
      </c>
      <c r="D530" t="s">
        <v>119</v>
      </c>
      <c r="E530" s="1" t="s">
        <v>119</v>
      </c>
      <c r="F530" t="s">
        <v>124</v>
      </c>
      <c r="G530" s="1" t="s">
        <v>129</v>
      </c>
      <c r="H530">
        <v>311</v>
      </c>
      <c r="I530" t="s">
        <v>13</v>
      </c>
      <c r="J530">
        <v>69921.049999999988</v>
      </c>
      <c r="K530">
        <v>83338.309999999954</v>
      </c>
    </row>
    <row r="531" spans="1:11" x14ac:dyDescent="0.3">
      <c r="A531" s="1" t="s">
        <v>87</v>
      </c>
      <c r="B531" s="1" t="s">
        <v>209</v>
      </c>
      <c r="C531" s="1" t="s">
        <v>79</v>
      </c>
      <c r="D531" t="s">
        <v>119</v>
      </c>
      <c r="E531" s="1" t="s">
        <v>119</v>
      </c>
      <c r="F531" t="s">
        <v>125</v>
      </c>
      <c r="G531" s="1" t="s">
        <v>131</v>
      </c>
      <c r="H531">
        <v>211</v>
      </c>
      <c r="I531" t="s">
        <v>8</v>
      </c>
      <c r="J531">
        <v>272748.00999999989</v>
      </c>
      <c r="K531">
        <v>359367.37000000174</v>
      </c>
    </row>
    <row r="532" spans="1:11" x14ac:dyDescent="0.3">
      <c r="A532" s="1" t="s">
        <v>87</v>
      </c>
      <c r="B532" s="1" t="s">
        <v>209</v>
      </c>
      <c r="C532" s="1" t="s">
        <v>79</v>
      </c>
      <c r="D532" t="s">
        <v>119</v>
      </c>
      <c r="E532" s="1" t="s">
        <v>119</v>
      </c>
      <c r="F532" t="s">
        <v>125</v>
      </c>
      <c r="G532" s="1" t="s">
        <v>130</v>
      </c>
      <c r="H532">
        <v>207</v>
      </c>
      <c r="I532" t="s">
        <v>53</v>
      </c>
      <c r="J532">
        <v>168150.88</v>
      </c>
      <c r="K532">
        <v>267293.78000000096</v>
      </c>
    </row>
    <row r="533" spans="1:11" x14ac:dyDescent="0.3">
      <c r="A533" s="1" t="s">
        <v>87</v>
      </c>
      <c r="B533" s="1" t="s">
        <v>209</v>
      </c>
      <c r="C533" s="1" t="s">
        <v>79</v>
      </c>
      <c r="D533" t="s">
        <v>119</v>
      </c>
      <c r="E533" s="1" t="s">
        <v>119</v>
      </c>
      <c r="F533" t="s">
        <v>125</v>
      </c>
      <c r="G533" s="1" t="s">
        <v>133</v>
      </c>
      <c r="H533">
        <v>203</v>
      </c>
      <c r="I533" t="s">
        <v>60</v>
      </c>
      <c r="J533">
        <v>69673.42</v>
      </c>
      <c r="K533">
        <v>108168.78999999992</v>
      </c>
    </row>
    <row r="534" spans="1:11" x14ac:dyDescent="0.3">
      <c r="A534" s="1" t="s">
        <v>87</v>
      </c>
      <c r="B534" s="1" t="s">
        <v>209</v>
      </c>
      <c r="C534" s="1" t="s">
        <v>79</v>
      </c>
      <c r="D534" t="s">
        <v>119</v>
      </c>
      <c r="E534" s="1" t="s">
        <v>119</v>
      </c>
      <c r="F534" t="s">
        <v>125</v>
      </c>
      <c r="G534" s="1" t="s">
        <v>133</v>
      </c>
      <c r="H534">
        <v>212</v>
      </c>
      <c r="I534" t="s">
        <v>62</v>
      </c>
      <c r="J534">
        <v>64762.89</v>
      </c>
      <c r="K534">
        <v>115662.23999999992</v>
      </c>
    </row>
    <row r="535" spans="1:11" x14ac:dyDescent="0.3">
      <c r="A535" s="1" t="s">
        <v>87</v>
      </c>
      <c r="B535" s="1" t="s">
        <v>209</v>
      </c>
      <c r="C535" s="1" t="s">
        <v>79</v>
      </c>
      <c r="D535" t="s">
        <v>119</v>
      </c>
      <c r="E535" s="1" t="s">
        <v>119</v>
      </c>
      <c r="F535" t="s">
        <v>125</v>
      </c>
      <c r="G535" s="1" t="s">
        <v>134</v>
      </c>
      <c r="H535">
        <v>190</v>
      </c>
      <c r="I535" t="s">
        <v>42</v>
      </c>
      <c r="J535">
        <v>101721.26999999999</v>
      </c>
      <c r="K535">
        <v>138514.91000000015</v>
      </c>
    </row>
    <row r="536" spans="1:11" x14ac:dyDescent="0.3">
      <c r="A536" s="1" t="s">
        <v>87</v>
      </c>
      <c r="B536" s="1" t="s">
        <v>209</v>
      </c>
      <c r="C536" s="1" t="s">
        <v>79</v>
      </c>
      <c r="D536" t="s">
        <v>119</v>
      </c>
      <c r="E536" s="1" t="s">
        <v>119</v>
      </c>
      <c r="F536" t="s">
        <v>125</v>
      </c>
      <c r="G536" s="1" t="s">
        <v>134</v>
      </c>
      <c r="H536">
        <v>214</v>
      </c>
      <c r="I536" t="s">
        <v>17</v>
      </c>
      <c r="J536">
        <v>78366.650000000009</v>
      </c>
      <c r="K536">
        <v>120555.47000000002</v>
      </c>
    </row>
    <row r="537" spans="1:11" x14ac:dyDescent="0.3">
      <c r="A537" s="1" t="s">
        <v>87</v>
      </c>
      <c r="B537" s="1" t="s">
        <v>209</v>
      </c>
      <c r="C537" s="1" t="s">
        <v>79</v>
      </c>
      <c r="D537" t="s">
        <v>119</v>
      </c>
      <c r="E537" s="1" t="s">
        <v>119</v>
      </c>
      <c r="F537" t="s">
        <v>127</v>
      </c>
      <c r="G537" s="1" t="s">
        <v>130</v>
      </c>
      <c r="H537">
        <v>407</v>
      </c>
      <c r="I537" t="s">
        <v>34</v>
      </c>
      <c r="J537">
        <v>183761.69999999995</v>
      </c>
      <c r="K537">
        <v>263339.09000000049</v>
      </c>
    </row>
    <row r="538" spans="1:11" x14ac:dyDescent="0.3">
      <c r="A538" s="1" t="s">
        <v>87</v>
      </c>
      <c r="B538" s="1" t="s">
        <v>209</v>
      </c>
      <c r="C538" s="1" t="s">
        <v>79</v>
      </c>
      <c r="D538" t="s">
        <v>119</v>
      </c>
      <c r="E538" s="1" t="s">
        <v>119</v>
      </c>
      <c r="F538" t="s">
        <v>127</v>
      </c>
      <c r="G538" s="1" t="s">
        <v>130</v>
      </c>
      <c r="H538">
        <v>413</v>
      </c>
      <c r="I538" t="s">
        <v>14</v>
      </c>
      <c r="J538">
        <v>210868.24999999994</v>
      </c>
      <c r="K538">
        <v>243138.04000000059</v>
      </c>
    </row>
    <row r="539" spans="1:11" x14ac:dyDescent="0.3">
      <c r="A539" s="1" t="s">
        <v>87</v>
      </c>
      <c r="B539" s="1" t="s">
        <v>209</v>
      </c>
      <c r="C539" s="1" t="s">
        <v>79</v>
      </c>
      <c r="D539" t="s">
        <v>119</v>
      </c>
      <c r="E539" s="1" t="s">
        <v>119</v>
      </c>
      <c r="F539" t="s">
        <v>127</v>
      </c>
      <c r="G539" s="1" t="s">
        <v>133</v>
      </c>
      <c r="H539">
        <v>412</v>
      </c>
      <c r="I539" t="s">
        <v>11</v>
      </c>
      <c r="J539">
        <v>87056.56</v>
      </c>
      <c r="K539">
        <v>115859.30999999998</v>
      </c>
    </row>
    <row r="540" spans="1:11" x14ac:dyDescent="0.3">
      <c r="A540" s="1" t="s">
        <v>87</v>
      </c>
      <c r="B540" s="1" t="s">
        <v>209</v>
      </c>
      <c r="C540" s="1" t="s">
        <v>79</v>
      </c>
      <c r="D540" t="s">
        <v>119</v>
      </c>
      <c r="E540" s="1" t="s">
        <v>119</v>
      </c>
      <c r="F540" t="s">
        <v>127</v>
      </c>
      <c r="G540" s="1" t="s">
        <v>134</v>
      </c>
      <c r="H540">
        <v>403</v>
      </c>
      <c r="I540" t="s">
        <v>12</v>
      </c>
      <c r="J540">
        <v>113980.59000000001</v>
      </c>
      <c r="K540">
        <v>124377.05000000008</v>
      </c>
    </row>
    <row r="541" spans="1:11" x14ac:dyDescent="0.3">
      <c r="A541" s="1" t="s">
        <v>87</v>
      </c>
      <c r="B541" s="1" t="s">
        <v>209</v>
      </c>
      <c r="C541" s="1" t="s">
        <v>79</v>
      </c>
      <c r="D541" t="s">
        <v>119</v>
      </c>
      <c r="E541" s="1" t="s">
        <v>119</v>
      </c>
      <c r="F541" t="s">
        <v>127</v>
      </c>
      <c r="G541" s="1" t="s">
        <v>129</v>
      </c>
      <c r="H541">
        <v>409</v>
      </c>
      <c r="I541" t="s">
        <v>58</v>
      </c>
      <c r="J541">
        <v>91904.320000000022</v>
      </c>
      <c r="K541">
        <v>83583.420000000115</v>
      </c>
    </row>
    <row r="542" spans="1:11" x14ac:dyDescent="0.3">
      <c r="A542" s="1" t="s">
        <v>87</v>
      </c>
      <c r="B542" s="1" t="s">
        <v>209</v>
      </c>
      <c r="C542" s="1" t="s">
        <v>79</v>
      </c>
      <c r="D542" t="s">
        <v>119</v>
      </c>
      <c r="E542" s="1" t="s">
        <v>119</v>
      </c>
      <c r="F542" t="s">
        <v>127</v>
      </c>
      <c r="G542" s="1" t="s">
        <v>132</v>
      </c>
      <c r="H542">
        <v>410</v>
      </c>
      <c r="I542" t="s">
        <v>40</v>
      </c>
      <c r="J542">
        <v>55937.409999999996</v>
      </c>
      <c r="K542">
        <v>56737.55000000001</v>
      </c>
    </row>
    <row r="543" spans="1:11" x14ac:dyDescent="0.3">
      <c r="A543" s="1" t="s">
        <v>87</v>
      </c>
      <c r="B543" s="1" t="s">
        <v>209</v>
      </c>
      <c r="C543" s="1" t="s">
        <v>79</v>
      </c>
      <c r="D543" t="s">
        <v>119</v>
      </c>
      <c r="E543" s="1" t="s">
        <v>119</v>
      </c>
      <c r="F543" t="s">
        <v>126</v>
      </c>
      <c r="G543" s="1" t="s">
        <v>130</v>
      </c>
      <c r="H543">
        <v>101</v>
      </c>
      <c r="I543" t="s">
        <v>10</v>
      </c>
      <c r="J543">
        <v>176175.66999999995</v>
      </c>
      <c r="K543">
        <v>246967.59000000113</v>
      </c>
    </row>
    <row r="544" spans="1:11" x14ac:dyDescent="0.3">
      <c r="A544" s="1" t="s">
        <v>87</v>
      </c>
      <c r="B544" s="1" t="s">
        <v>209</v>
      </c>
      <c r="C544" s="1" t="s">
        <v>79</v>
      </c>
      <c r="D544" t="s">
        <v>119</v>
      </c>
      <c r="E544" s="1" t="s">
        <v>119</v>
      </c>
      <c r="F544" t="s">
        <v>126</v>
      </c>
      <c r="G544" s="1" t="s">
        <v>130</v>
      </c>
      <c r="H544">
        <v>150</v>
      </c>
      <c r="I544" t="s">
        <v>3</v>
      </c>
      <c r="J544">
        <v>165212.55999999994</v>
      </c>
      <c r="K544">
        <v>215353.31000000046</v>
      </c>
    </row>
    <row r="545" spans="1:11" x14ac:dyDescent="0.3">
      <c r="A545" s="1" t="s">
        <v>87</v>
      </c>
      <c r="B545" s="1" t="s">
        <v>209</v>
      </c>
      <c r="C545" s="1" t="s">
        <v>79</v>
      </c>
      <c r="D545" t="s">
        <v>119</v>
      </c>
      <c r="E545" s="1" t="s">
        <v>119</v>
      </c>
      <c r="F545" t="s">
        <v>126</v>
      </c>
      <c r="G545" s="1" t="s">
        <v>134</v>
      </c>
      <c r="H545">
        <v>170</v>
      </c>
      <c r="I545" t="s">
        <v>56</v>
      </c>
      <c r="J545">
        <v>100350.15</v>
      </c>
      <c r="K545">
        <v>136201.94</v>
      </c>
    </row>
    <row r="546" spans="1:11" x14ac:dyDescent="0.3">
      <c r="A546" s="1" t="s">
        <v>87</v>
      </c>
      <c r="B546" s="1" t="s">
        <v>209</v>
      </c>
      <c r="C546" s="1" t="s">
        <v>79</v>
      </c>
      <c r="D546" t="s">
        <v>119</v>
      </c>
      <c r="E546" s="1" t="s">
        <v>119</v>
      </c>
      <c r="F546" t="s">
        <v>126</v>
      </c>
      <c r="G546" s="1" t="s">
        <v>129</v>
      </c>
      <c r="H546">
        <v>131</v>
      </c>
      <c r="I546" t="s">
        <v>67</v>
      </c>
      <c r="J546">
        <v>56983.380000000005</v>
      </c>
      <c r="K546">
        <v>63604.279999999962</v>
      </c>
    </row>
    <row r="547" spans="1:11" x14ac:dyDescent="0.3">
      <c r="A547" s="1" t="s">
        <v>87</v>
      </c>
      <c r="B547" s="1" t="s">
        <v>209</v>
      </c>
      <c r="C547" s="1" t="s">
        <v>79</v>
      </c>
      <c r="D547" t="s">
        <v>119</v>
      </c>
      <c r="E547" s="1" t="s">
        <v>119</v>
      </c>
      <c r="F547" t="s">
        <v>126</v>
      </c>
      <c r="G547" s="1" t="s">
        <v>132</v>
      </c>
      <c r="H547">
        <v>151</v>
      </c>
      <c r="I547" t="s">
        <v>20</v>
      </c>
      <c r="J547">
        <v>54810.710000000006</v>
      </c>
      <c r="K547">
        <v>61822.620000000024</v>
      </c>
    </row>
    <row r="548" spans="1:11" x14ac:dyDescent="0.3">
      <c r="A548" s="1" t="s">
        <v>87</v>
      </c>
      <c r="B548" s="1" t="s">
        <v>209</v>
      </c>
      <c r="C548" s="1" t="s">
        <v>92</v>
      </c>
      <c r="D548" t="s">
        <v>121</v>
      </c>
      <c r="E548" s="1" t="s">
        <v>121</v>
      </c>
      <c r="F548" t="s">
        <v>124</v>
      </c>
      <c r="G548" s="1" t="s">
        <v>136</v>
      </c>
      <c r="H548" t="s">
        <v>111</v>
      </c>
      <c r="I548" s="33" t="s">
        <v>48</v>
      </c>
      <c r="J548" s="33">
        <v>0</v>
      </c>
      <c r="K548" s="33">
        <v>0</v>
      </c>
    </row>
    <row r="549" spans="1:11" x14ac:dyDescent="0.3">
      <c r="A549" s="1" t="s">
        <v>87</v>
      </c>
      <c r="B549" s="1" t="s">
        <v>209</v>
      </c>
      <c r="C549" s="1" t="s">
        <v>92</v>
      </c>
      <c r="D549" t="s">
        <v>121</v>
      </c>
      <c r="E549" s="1" t="s">
        <v>121</v>
      </c>
      <c r="F549" t="s">
        <v>127</v>
      </c>
      <c r="G549" s="1" t="s">
        <v>136</v>
      </c>
      <c r="H549">
        <v>418</v>
      </c>
      <c r="I549" t="s">
        <v>44</v>
      </c>
      <c r="J549">
        <v>0</v>
      </c>
      <c r="K549">
        <v>162173.34999999998</v>
      </c>
    </row>
    <row r="550" spans="1:11" x14ac:dyDescent="0.3">
      <c r="A550" s="1" t="s">
        <v>87</v>
      </c>
      <c r="B550" s="1" t="s">
        <v>209</v>
      </c>
      <c r="C550" s="1" t="s">
        <v>92</v>
      </c>
      <c r="D550" t="s">
        <v>119</v>
      </c>
      <c r="E550" s="1" t="s">
        <v>122</v>
      </c>
      <c r="F550" t="s">
        <v>124</v>
      </c>
      <c r="G550" s="1" t="s">
        <v>136</v>
      </c>
      <c r="H550">
        <v>307</v>
      </c>
      <c r="I550" t="s">
        <v>19</v>
      </c>
      <c r="J550">
        <v>93370.98000000001</v>
      </c>
      <c r="K550">
        <v>120705.11000000026</v>
      </c>
    </row>
    <row r="551" spans="1:11" x14ac:dyDescent="0.3">
      <c r="A551" s="1" t="s">
        <v>87</v>
      </c>
      <c r="B551" s="1" t="s">
        <v>209</v>
      </c>
      <c r="C551" s="1" t="s">
        <v>92</v>
      </c>
      <c r="D551" t="s">
        <v>119</v>
      </c>
      <c r="E551" s="1" t="s">
        <v>122</v>
      </c>
      <c r="F551" t="s">
        <v>127</v>
      </c>
      <c r="G551" s="1" t="s">
        <v>136</v>
      </c>
      <c r="H551">
        <v>411</v>
      </c>
      <c r="I551" t="s">
        <v>43</v>
      </c>
      <c r="J551">
        <v>122406.73000000001</v>
      </c>
      <c r="K551">
        <v>127599.82000000012</v>
      </c>
    </row>
    <row r="552" spans="1:11" x14ac:dyDescent="0.3">
      <c r="A552" s="1" t="s">
        <v>87</v>
      </c>
      <c r="B552" s="1" t="s">
        <v>209</v>
      </c>
      <c r="C552" s="1" t="s">
        <v>92</v>
      </c>
      <c r="D552" t="s">
        <v>119</v>
      </c>
      <c r="E552" s="1" t="s">
        <v>120</v>
      </c>
      <c r="F552" t="s">
        <v>125</v>
      </c>
      <c r="G552" s="1" t="s">
        <v>136</v>
      </c>
      <c r="H552">
        <v>213</v>
      </c>
      <c r="I552" t="s">
        <v>49</v>
      </c>
      <c r="J552">
        <v>93273.039999999979</v>
      </c>
      <c r="K552">
        <v>143733.60000000003</v>
      </c>
    </row>
    <row r="553" spans="1:11" x14ac:dyDescent="0.3">
      <c r="A553" s="1" t="s">
        <v>87</v>
      </c>
      <c r="B553" s="1" t="s">
        <v>209</v>
      </c>
      <c r="C553" s="1" t="s">
        <v>92</v>
      </c>
      <c r="D553" t="s">
        <v>119</v>
      </c>
      <c r="E553" s="1" t="s">
        <v>120</v>
      </c>
      <c r="F553" t="s">
        <v>127</v>
      </c>
      <c r="G553" s="1" t="s">
        <v>136</v>
      </c>
      <c r="H553">
        <v>415</v>
      </c>
      <c r="I553" t="s">
        <v>47</v>
      </c>
      <c r="J553">
        <v>102243.32999999999</v>
      </c>
      <c r="K553">
        <v>118946.09999999995</v>
      </c>
    </row>
    <row r="554" spans="1:11" x14ac:dyDescent="0.3">
      <c r="A554" s="1" t="s">
        <v>87</v>
      </c>
      <c r="B554" s="1" t="s">
        <v>209</v>
      </c>
      <c r="C554" s="1" t="s">
        <v>92</v>
      </c>
      <c r="D554" t="s">
        <v>119</v>
      </c>
      <c r="E554" s="1" t="s">
        <v>119</v>
      </c>
      <c r="F554" t="s">
        <v>124</v>
      </c>
      <c r="G554" s="1" t="s">
        <v>136</v>
      </c>
      <c r="H554">
        <v>306</v>
      </c>
      <c r="I554" t="s">
        <v>51</v>
      </c>
      <c r="J554">
        <v>111130.9</v>
      </c>
      <c r="K554">
        <v>142105.9000000002</v>
      </c>
    </row>
    <row r="555" spans="1:11" x14ac:dyDescent="0.3">
      <c r="A555" s="1" t="s">
        <v>87</v>
      </c>
      <c r="B555" s="1" t="s">
        <v>209</v>
      </c>
      <c r="C555" s="1" t="s">
        <v>92</v>
      </c>
      <c r="D555" t="s">
        <v>119</v>
      </c>
      <c r="E555" s="1" t="s">
        <v>119</v>
      </c>
      <c r="F555" t="s">
        <v>125</v>
      </c>
      <c r="G555" s="1" t="s">
        <v>136</v>
      </c>
      <c r="H555">
        <v>201</v>
      </c>
      <c r="I555" t="s">
        <v>45</v>
      </c>
      <c r="J555">
        <v>66435.569999999992</v>
      </c>
      <c r="K555">
        <v>98005.470000000045</v>
      </c>
    </row>
    <row r="556" spans="1:11" x14ac:dyDescent="0.3">
      <c r="A556" s="1" t="s">
        <v>87</v>
      </c>
      <c r="B556" s="1" t="s">
        <v>209</v>
      </c>
      <c r="C556" s="1" t="s">
        <v>92</v>
      </c>
      <c r="D556" t="s">
        <v>119</v>
      </c>
      <c r="E556" s="1" t="s">
        <v>119</v>
      </c>
      <c r="F556" t="s">
        <v>125</v>
      </c>
      <c r="G556" s="1" t="s">
        <v>136</v>
      </c>
      <c r="H556">
        <v>204</v>
      </c>
      <c r="I556" t="s">
        <v>46</v>
      </c>
      <c r="J556">
        <v>109050.76000000001</v>
      </c>
      <c r="K556">
        <v>93008.560000000085</v>
      </c>
    </row>
    <row r="557" spans="1:11" x14ac:dyDescent="0.3">
      <c r="A557" s="1" t="s">
        <v>87</v>
      </c>
      <c r="B557" s="1" t="s">
        <v>209</v>
      </c>
      <c r="C557" s="1" t="s">
        <v>92</v>
      </c>
      <c r="D557" t="s">
        <v>119</v>
      </c>
      <c r="E557" s="1" t="s">
        <v>119</v>
      </c>
      <c r="F557" t="s">
        <v>126</v>
      </c>
      <c r="G557" s="1" t="s">
        <v>136</v>
      </c>
      <c r="H557">
        <v>102</v>
      </c>
      <c r="I557" t="s">
        <v>50</v>
      </c>
      <c r="J557">
        <v>133482.73000000001</v>
      </c>
      <c r="K557">
        <v>133231.56000000011</v>
      </c>
    </row>
    <row r="558" spans="1:11" x14ac:dyDescent="0.3">
      <c r="A558" s="1" t="s">
        <v>87</v>
      </c>
      <c r="B558" s="1" t="s">
        <v>209</v>
      </c>
      <c r="C558" s="1" t="s">
        <v>93</v>
      </c>
      <c r="D558" t="s">
        <v>119</v>
      </c>
      <c r="E558" s="1" t="s">
        <v>119</v>
      </c>
      <c r="F558" t="s">
        <v>93</v>
      </c>
      <c r="G558" s="1" t="s">
        <v>93</v>
      </c>
      <c r="H558">
        <v>903</v>
      </c>
      <c r="I558" t="s">
        <v>37</v>
      </c>
      <c r="J558">
        <v>94992.900000000023</v>
      </c>
      <c r="K558">
        <v>51753.959999999977</v>
      </c>
    </row>
    <row r="559" spans="1:11" x14ac:dyDescent="0.3">
      <c r="A559" s="1" t="s">
        <v>87</v>
      </c>
      <c r="B559" s="1" t="s">
        <v>209</v>
      </c>
      <c r="C559" s="1" t="s">
        <v>94</v>
      </c>
      <c r="D559" t="s">
        <v>121</v>
      </c>
      <c r="E559" s="1" t="s">
        <v>121</v>
      </c>
      <c r="F559" t="s">
        <v>124</v>
      </c>
      <c r="G559" s="1" t="s">
        <v>137</v>
      </c>
      <c r="H559" t="s">
        <v>112</v>
      </c>
      <c r="I559" t="s">
        <v>21</v>
      </c>
      <c r="J559">
        <v>0</v>
      </c>
      <c r="K559">
        <v>0</v>
      </c>
    </row>
    <row r="560" spans="1:11" x14ac:dyDescent="0.3">
      <c r="A560" s="1" t="s">
        <v>87</v>
      </c>
      <c r="B560" s="1" t="s">
        <v>209</v>
      </c>
      <c r="C560" s="1" t="s">
        <v>94</v>
      </c>
      <c r="D560" t="s">
        <v>121</v>
      </c>
      <c r="E560" s="1" t="s">
        <v>121</v>
      </c>
      <c r="F560" t="s">
        <v>125</v>
      </c>
      <c r="G560" s="1" t="s">
        <v>138</v>
      </c>
      <c r="H560">
        <v>470</v>
      </c>
      <c r="I560" t="s">
        <v>26</v>
      </c>
      <c r="J560">
        <v>0</v>
      </c>
      <c r="K560">
        <v>0</v>
      </c>
    </row>
    <row r="561" spans="1:11" x14ac:dyDescent="0.3">
      <c r="A561" s="1" t="s">
        <v>87</v>
      </c>
      <c r="B561" s="1" t="s">
        <v>209</v>
      </c>
      <c r="C561" s="1" t="s">
        <v>94</v>
      </c>
      <c r="D561" t="s">
        <v>121</v>
      </c>
      <c r="E561" s="1" t="s">
        <v>121</v>
      </c>
      <c r="F561" t="s">
        <v>125</v>
      </c>
      <c r="G561" s="1" t="s">
        <v>137</v>
      </c>
      <c r="H561" t="s">
        <v>114</v>
      </c>
      <c r="I561" t="s">
        <v>23</v>
      </c>
      <c r="J561">
        <v>0</v>
      </c>
      <c r="K561">
        <v>0</v>
      </c>
    </row>
    <row r="562" spans="1:11" x14ac:dyDescent="0.3">
      <c r="A562" s="1" t="s">
        <v>87</v>
      </c>
      <c r="B562" s="1" t="s">
        <v>209</v>
      </c>
      <c r="C562" s="1" t="s">
        <v>94</v>
      </c>
      <c r="D562" t="s">
        <v>121</v>
      </c>
      <c r="E562" s="1" t="s">
        <v>121</v>
      </c>
      <c r="F562" t="s">
        <v>125</v>
      </c>
      <c r="G562" s="1" t="s">
        <v>137</v>
      </c>
      <c r="H562" t="s">
        <v>113</v>
      </c>
      <c r="I562" t="s">
        <v>22</v>
      </c>
      <c r="J562">
        <v>0</v>
      </c>
      <c r="K562">
        <v>0</v>
      </c>
    </row>
    <row r="563" spans="1:11" x14ac:dyDescent="0.3">
      <c r="A563" s="1" t="s">
        <v>87</v>
      </c>
      <c r="B563" s="1" t="s">
        <v>209</v>
      </c>
      <c r="C563" s="1" t="s">
        <v>94</v>
      </c>
      <c r="D563" t="s">
        <v>121</v>
      </c>
      <c r="E563" s="1" t="s">
        <v>121</v>
      </c>
      <c r="F563" t="s">
        <v>127</v>
      </c>
      <c r="G563" s="1" t="s">
        <v>137</v>
      </c>
      <c r="H563">
        <v>494</v>
      </c>
      <c r="I563" t="s">
        <v>25</v>
      </c>
      <c r="J563">
        <v>0</v>
      </c>
      <c r="K563">
        <v>12563.959999999988</v>
      </c>
    </row>
    <row r="564" spans="1:11" x14ac:dyDescent="0.3">
      <c r="A564" s="1" t="s">
        <v>87</v>
      </c>
      <c r="B564" s="1" t="s">
        <v>209</v>
      </c>
      <c r="C564" s="1" t="s">
        <v>94</v>
      </c>
      <c r="D564" t="s">
        <v>121</v>
      </c>
      <c r="E564" s="1" t="s">
        <v>121</v>
      </c>
      <c r="F564" t="s">
        <v>126</v>
      </c>
      <c r="G564" s="1" t="s">
        <v>137</v>
      </c>
      <c r="H564">
        <v>460</v>
      </c>
      <c r="I564" t="s">
        <v>30</v>
      </c>
      <c r="J564">
        <v>0</v>
      </c>
      <c r="K564">
        <v>0</v>
      </c>
    </row>
    <row r="565" spans="1:11" x14ac:dyDescent="0.3">
      <c r="A565" s="1" t="s">
        <v>87</v>
      </c>
      <c r="B565" s="1" t="s">
        <v>209</v>
      </c>
      <c r="C565" s="1" t="s">
        <v>94</v>
      </c>
      <c r="D565" t="s">
        <v>121</v>
      </c>
      <c r="E565" s="1" t="s">
        <v>121</v>
      </c>
      <c r="F565" t="s">
        <v>126</v>
      </c>
      <c r="G565" s="1" t="s">
        <v>137</v>
      </c>
      <c r="H565">
        <v>461</v>
      </c>
      <c r="I565" t="s">
        <v>29</v>
      </c>
      <c r="J565">
        <v>0</v>
      </c>
      <c r="K565">
        <v>0</v>
      </c>
    </row>
    <row r="566" spans="1:11" x14ac:dyDescent="0.3">
      <c r="A566" s="1" t="s">
        <v>87</v>
      </c>
      <c r="B566" s="1" t="s">
        <v>209</v>
      </c>
      <c r="C566" s="1" t="s">
        <v>94</v>
      </c>
      <c r="D566" t="s">
        <v>121</v>
      </c>
      <c r="E566" s="1" t="s">
        <v>119</v>
      </c>
      <c r="F566" t="s">
        <v>124</v>
      </c>
      <c r="G566" s="1" t="s">
        <v>138</v>
      </c>
      <c r="H566">
        <v>480</v>
      </c>
      <c r="I566" t="s">
        <v>28</v>
      </c>
      <c r="J566">
        <v>46098.52</v>
      </c>
      <c r="K566">
        <v>53297.31</v>
      </c>
    </row>
    <row r="567" spans="1:11" x14ac:dyDescent="0.3">
      <c r="A567" s="1" t="s">
        <v>87</v>
      </c>
      <c r="B567" s="1" t="s">
        <v>209</v>
      </c>
      <c r="C567" s="1" t="s">
        <v>94</v>
      </c>
      <c r="D567" t="s">
        <v>121</v>
      </c>
      <c r="E567" s="1" t="s">
        <v>119</v>
      </c>
      <c r="F567" t="s">
        <v>127</v>
      </c>
      <c r="G567" s="1" t="s">
        <v>138</v>
      </c>
      <c r="H567">
        <v>491</v>
      </c>
      <c r="I567" t="s">
        <v>31</v>
      </c>
      <c r="J567">
        <v>0</v>
      </c>
      <c r="K567">
        <v>102471.12999999996</v>
      </c>
    </row>
    <row r="568" spans="1:11" x14ac:dyDescent="0.3">
      <c r="A568" s="1" t="s">
        <v>87</v>
      </c>
      <c r="B568" s="1" t="s">
        <v>209</v>
      </c>
      <c r="C568" s="1" t="s">
        <v>94</v>
      </c>
      <c r="D568" t="s">
        <v>121</v>
      </c>
      <c r="E568" s="1" t="s">
        <v>119</v>
      </c>
      <c r="F568" t="s">
        <v>127</v>
      </c>
      <c r="G568" s="1" t="s">
        <v>138</v>
      </c>
      <c r="H568">
        <v>492</v>
      </c>
      <c r="I568" t="s">
        <v>27</v>
      </c>
      <c r="J568">
        <v>74040.299999999974</v>
      </c>
      <c r="K568">
        <v>61195.029999999962</v>
      </c>
    </row>
    <row r="569" spans="1:11" x14ac:dyDescent="0.3">
      <c r="A569" s="1" t="s">
        <v>87</v>
      </c>
      <c r="B569" s="1" t="s">
        <v>209</v>
      </c>
      <c r="C569" s="1" t="s">
        <v>94</v>
      </c>
      <c r="D569" t="s">
        <v>121</v>
      </c>
      <c r="E569" s="1" t="s">
        <v>119</v>
      </c>
      <c r="F569" t="s">
        <v>127</v>
      </c>
      <c r="G569" s="1" t="s">
        <v>138</v>
      </c>
      <c r="H569">
        <v>493</v>
      </c>
      <c r="I569" t="s">
        <v>24</v>
      </c>
      <c r="J569">
        <v>0</v>
      </c>
      <c r="K569">
        <v>46968.04</v>
      </c>
    </row>
    <row r="570" spans="1:11" x14ac:dyDescent="0.3">
      <c r="A570" s="1" t="s">
        <v>87</v>
      </c>
      <c r="B570" s="1" t="s">
        <v>209</v>
      </c>
      <c r="C570" s="1" t="s">
        <v>95</v>
      </c>
      <c r="D570" t="s">
        <v>121</v>
      </c>
      <c r="E570" s="1" t="s">
        <v>121</v>
      </c>
      <c r="F570" t="s">
        <v>125</v>
      </c>
      <c r="G570" s="1" t="s">
        <v>139</v>
      </c>
      <c r="H570" t="s">
        <v>115</v>
      </c>
      <c r="I570" s="33" t="s">
        <v>71</v>
      </c>
      <c r="J570" s="33">
        <v>0</v>
      </c>
      <c r="K570" s="33">
        <v>0</v>
      </c>
    </row>
    <row r="571" spans="1:11" x14ac:dyDescent="0.3">
      <c r="A571" s="1" t="s">
        <v>87</v>
      </c>
      <c r="B571" s="1" t="s">
        <v>209</v>
      </c>
      <c r="C571" s="1" t="s">
        <v>95</v>
      </c>
      <c r="D571" t="s">
        <v>121</v>
      </c>
      <c r="E571" s="1" t="s">
        <v>121</v>
      </c>
      <c r="F571" t="s">
        <v>126</v>
      </c>
      <c r="G571" s="1" t="s">
        <v>139</v>
      </c>
      <c r="H571">
        <v>510</v>
      </c>
      <c r="I571" t="s">
        <v>76</v>
      </c>
      <c r="J571">
        <v>0</v>
      </c>
      <c r="K571">
        <v>0</v>
      </c>
    </row>
    <row r="572" spans="1:11" x14ac:dyDescent="0.3">
      <c r="A572" s="1" t="s">
        <v>87</v>
      </c>
      <c r="B572" s="1" t="s">
        <v>209</v>
      </c>
      <c r="C572" s="1" t="s">
        <v>95</v>
      </c>
      <c r="D572" t="s">
        <v>121</v>
      </c>
      <c r="E572" s="1" t="s">
        <v>119</v>
      </c>
      <c r="F572" t="s">
        <v>127</v>
      </c>
      <c r="G572" s="1" t="s">
        <v>140</v>
      </c>
      <c r="H572">
        <v>541</v>
      </c>
      <c r="I572" t="s">
        <v>74</v>
      </c>
      <c r="J572">
        <v>14891.760000000002</v>
      </c>
      <c r="K572">
        <v>38128.079999999973</v>
      </c>
    </row>
    <row r="573" spans="1:11" x14ac:dyDescent="0.3">
      <c r="A573" s="1" t="s">
        <v>87</v>
      </c>
      <c r="B573" s="1" t="s">
        <v>209</v>
      </c>
      <c r="C573" s="1" t="s">
        <v>95</v>
      </c>
      <c r="D573" t="s">
        <v>121</v>
      </c>
      <c r="E573" s="1" t="s">
        <v>119</v>
      </c>
      <c r="F573" t="s">
        <v>127</v>
      </c>
      <c r="G573" s="1" t="s">
        <v>140</v>
      </c>
      <c r="H573">
        <v>543</v>
      </c>
      <c r="I573" t="s">
        <v>72</v>
      </c>
      <c r="J573">
        <v>49288.05</v>
      </c>
      <c r="K573">
        <v>40655.139999999978</v>
      </c>
    </row>
    <row r="574" spans="1:11" x14ac:dyDescent="0.3">
      <c r="A574" s="1" t="s">
        <v>87</v>
      </c>
      <c r="B574" s="1" t="s">
        <v>209</v>
      </c>
      <c r="C574" s="1" t="s">
        <v>95</v>
      </c>
      <c r="D574" t="s">
        <v>120</v>
      </c>
      <c r="E574" s="1" t="s">
        <v>119</v>
      </c>
      <c r="F574" t="s">
        <v>127</v>
      </c>
      <c r="G574" s="1" t="s">
        <v>140</v>
      </c>
      <c r="H574">
        <v>540</v>
      </c>
      <c r="I574" t="s">
        <v>73</v>
      </c>
      <c r="J574">
        <v>96492.260000000009</v>
      </c>
      <c r="K574">
        <v>138916.33000000007</v>
      </c>
    </row>
    <row r="575" spans="1:11" x14ac:dyDescent="0.3">
      <c r="A575" s="1" t="s">
        <v>87</v>
      </c>
      <c r="B575" s="1" t="s">
        <v>209</v>
      </c>
      <c r="C575" s="1" t="s">
        <v>95</v>
      </c>
      <c r="D575" t="s">
        <v>119</v>
      </c>
      <c r="E575" s="1" t="s">
        <v>120</v>
      </c>
      <c r="F575" t="s">
        <v>124</v>
      </c>
      <c r="G575" s="1" t="s">
        <v>139</v>
      </c>
      <c r="H575">
        <v>530</v>
      </c>
      <c r="I575" t="s">
        <v>68</v>
      </c>
      <c r="J575">
        <v>40688.460000000006</v>
      </c>
      <c r="K575">
        <v>52077.98000000001</v>
      </c>
    </row>
    <row r="576" spans="1:11" x14ac:dyDescent="0.3">
      <c r="A576" s="1" t="s">
        <v>87</v>
      </c>
      <c r="B576" s="1" t="s">
        <v>209</v>
      </c>
      <c r="C576" s="1" t="s">
        <v>95</v>
      </c>
      <c r="D576" t="s">
        <v>119</v>
      </c>
      <c r="E576" s="1" t="s">
        <v>119</v>
      </c>
      <c r="F576" t="s">
        <v>125</v>
      </c>
      <c r="G576" s="1" t="s">
        <v>140</v>
      </c>
      <c r="H576">
        <v>520</v>
      </c>
      <c r="I576" t="s">
        <v>70</v>
      </c>
      <c r="J576">
        <v>62734.950000000004</v>
      </c>
      <c r="K576">
        <v>97837.969999999914</v>
      </c>
    </row>
    <row r="577" spans="1:11" x14ac:dyDescent="0.3">
      <c r="A577" s="2" t="s">
        <v>87</v>
      </c>
      <c r="B577" s="1" t="s">
        <v>209</v>
      </c>
      <c r="C577" s="1" t="s">
        <v>95</v>
      </c>
      <c r="D577" t="s">
        <v>119</v>
      </c>
      <c r="E577" s="1" t="s">
        <v>119</v>
      </c>
      <c r="F577" t="s">
        <v>127</v>
      </c>
      <c r="G577" s="1" t="s">
        <v>139</v>
      </c>
      <c r="H577">
        <v>542</v>
      </c>
      <c r="I577" t="s">
        <v>69</v>
      </c>
      <c r="J577">
        <v>44314.98</v>
      </c>
      <c r="K577">
        <v>51142.109999999957</v>
      </c>
    </row>
    <row r="578" spans="1:11" x14ac:dyDescent="0.3">
      <c r="A578" s="1" t="s">
        <v>88</v>
      </c>
      <c r="B578" s="1" t="s">
        <v>208</v>
      </c>
      <c r="C578" s="1" t="s">
        <v>79</v>
      </c>
      <c r="D578" t="s">
        <v>122</v>
      </c>
      <c r="E578" s="1" t="s">
        <v>122</v>
      </c>
      <c r="F578" t="s">
        <v>124</v>
      </c>
      <c r="G578" s="1" t="s">
        <v>129</v>
      </c>
      <c r="H578" t="s">
        <v>196</v>
      </c>
      <c r="I578" t="s">
        <v>1</v>
      </c>
      <c r="J578">
        <v>0</v>
      </c>
      <c r="K578">
        <v>0</v>
      </c>
    </row>
    <row r="579" spans="1:11" x14ac:dyDescent="0.3">
      <c r="A579" s="1" t="s">
        <v>88</v>
      </c>
      <c r="B579" s="1" t="s">
        <v>208</v>
      </c>
      <c r="C579" s="1" t="s">
        <v>79</v>
      </c>
      <c r="D579" t="s">
        <v>122</v>
      </c>
      <c r="E579" s="1" t="s">
        <v>122</v>
      </c>
      <c r="F579" t="s">
        <v>125</v>
      </c>
      <c r="G579" s="1" t="s">
        <v>129</v>
      </c>
      <c r="H579" t="s">
        <v>196</v>
      </c>
      <c r="I579" t="s">
        <v>7</v>
      </c>
      <c r="J579">
        <v>0</v>
      </c>
      <c r="K579">
        <v>0</v>
      </c>
    </row>
    <row r="580" spans="1:11" x14ac:dyDescent="0.3">
      <c r="A580" s="1" t="s">
        <v>88</v>
      </c>
      <c r="B580" s="1" t="s">
        <v>208</v>
      </c>
      <c r="C580" s="1" t="s">
        <v>79</v>
      </c>
      <c r="D580" t="s">
        <v>122</v>
      </c>
      <c r="E580" s="1" t="s">
        <v>122</v>
      </c>
      <c r="F580" t="s">
        <v>127</v>
      </c>
      <c r="G580" s="1" t="s">
        <v>129</v>
      </c>
      <c r="H580" t="s">
        <v>196</v>
      </c>
      <c r="I580" t="s">
        <v>5</v>
      </c>
      <c r="J580">
        <v>0</v>
      </c>
      <c r="K580">
        <v>0</v>
      </c>
    </row>
    <row r="581" spans="1:11" x14ac:dyDescent="0.3">
      <c r="A581" s="1" t="s">
        <v>88</v>
      </c>
      <c r="B581" s="1" t="s">
        <v>208</v>
      </c>
      <c r="C581" s="1" t="s">
        <v>79</v>
      </c>
      <c r="D581" t="s">
        <v>122</v>
      </c>
      <c r="E581" s="1" t="s">
        <v>122</v>
      </c>
      <c r="F581" t="s">
        <v>127</v>
      </c>
      <c r="G581" s="1" t="s">
        <v>122</v>
      </c>
      <c r="H581" t="s">
        <v>196</v>
      </c>
      <c r="I581" t="s">
        <v>33</v>
      </c>
      <c r="J581">
        <v>0</v>
      </c>
      <c r="K581">
        <v>0</v>
      </c>
    </row>
    <row r="582" spans="1:11" x14ac:dyDescent="0.3">
      <c r="A582" s="1" t="s">
        <v>88</v>
      </c>
      <c r="B582" s="1" t="s">
        <v>208</v>
      </c>
      <c r="C582" s="1" t="s">
        <v>79</v>
      </c>
      <c r="D582" t="s">
        <v>121</v>
      </c>
      <c r="E582" s="1" t="s">
        <v>121</v>
      </c>
      <c r="F582" t="s">
        <v>125</v>
      </c>
      <c r="G582" s="1" t="s">
        <v>129</v>
      </c>
      <c r="H582" t="s">
        <v>110</v>
      </c>
      <c r="I582" t="s">
        <v>64</v>
      </c>
      <c r="J582">
        <v>0</v>
      </c>
      <c r="K582">
        <v>0</v>
      </c>
    </row>
    <row r="583" spans="1:11" x14ac:dyDescent="0.3">
      <c r="A583" s="1" t="s">
        <v>88</v>
      </c>
      <c r="B583" s="1" t="s">
        <v>208</v>
      </c>
      <c r="C583" s="1" t="s">
        <v>79</v>
      </c>
      <c r="D583" t="s">
        <v>121</v>
      </c>
      <c r="E583" s="1" t="s">
        <v>121</v>
      </c>
      <c r="F583" t="s">
        <v>127</v>
      </c>
      <c r="G583" s="1" t="s">
        <v>129</v>
      </c>
      <c r="H583" t="s">
        <v>109</v>
      </c>
      <c r="I583" s="33" t="s">
        <v>41</v>
      </c>
      <c r="J583" s="33">
        <v>0</v>
      </c>
      <c r="K583" s="33">
        <v>0</v>
      </c>
    </row>
    <row r="584" spans="1:11" x14ac:dyDescent="0.3">
      <c r="A584" s="1" t="s">
        <v>88</v>
      </c>
      <c r="B584" s="1" t="s">
        <v>208</v>
      </c>
      <c r="C584" s="1" t="s">
        <v>79</v>
      </c>
      <c r="D584" t="s">
        <v>121</v>
      </c>
      <c r="E584" s="1" t="s">
        <v>121</v>
      </c>
      <c r="F584" t="s">
        <v>127</v>
      </c>
      <c r="G584" s="1" t="s">
        <v>135</v>
      </c>
      <c r="H584" t="s">
        <v>108</v>
      </c>
      <c r="I584" s="33" t="s">
        <v>16</v>
      </c>
      <c r="J584" s="33">
        <v>0</v>
      </c>
      <c r="K584" s="33">
        <v>0</v>
      </c>
    </row>
    <row r="585" spans="1:11" x14ac:dyDescent="0.3">
      <c r="A585" s="1" t="s">
        <v>88</v>
      </c>
      <c r="B585" s="1" t="s">
        <v>208</v>
      </c>
      <c r="C585" s="1" t="s">
        <v>79</v>
      </c>
      <c r="D585" t="s">
        <v>120</v>
      </c>
      <c r="E585" s="1" t="s">
        <v>120</v>
      </c>
      <c r="F585" t="s">
        <v>124</v>
      </c>
      <c r="G585" s="1" t="s">
        <v>129</v>
      </c>
      <c r="H585">
        <v>304</v>
      </c>
      <c r="I585" t="s">
        <v>61</v>
      </c>
      <c r="J585">
        <v>43881.159999999982</v>
      </c>
      <c r="K585">
        <v>41027.320000000007</v>
      </c>
    </row>
    <row r="586" spans="1:11" x14ac:dyDescent="0.3">
      <c r="A586" s="1" t="s">
        <v>88</v>
      </c>
      <c r="B586" s="1" t="s">
        <v>208</v>
      </c>
      <c r="C586" s="1" t="s">
        <v>79</v>
      </c>
      <c r="D586" t="s">
        <v>120</v>
      </c>
      <c r="E586" s="1" t="s">
        <v>120</v>
      </c>
      <c r="F586" t="s">
        <v>125</v>
      </c>
      <c r="G586" s="1" t="s">
        <v>133</v>
      </c>
      <c r="H586">
        <v>208</v>
      </c>
      <c r="I586" t="s">
        <v>36</v>
      </c>
      <c r="J586">
        <v>24333.349999999991</v>
      </c>
      <c r="K586">
        <v>19184.140000000014</v>
      </c>
    </row>
    <row r="587" spans="1:11" x14ac:dyDescent="0.3">
      <c r="A587" s="1" t="s">
        <v>88</v>
      </c>
      <c r="B587" s="1" t="s">
        <v>208</v>
      </c>
      <c r="C587" s="1" t="s">
        <v>79</v>
      </c>
      <c r="D587" t="s">
        <v>120</v>
      </c>
      <c r="E587" s="1" t="s">
        <v>120</v>
      </c>
      <c r="F587" t="s">
        <v>125</v>
      </c>
      <c r="G587" s="1" t="s">
        <v>133</v>
      </c>
      <c r="H587">
        <v>209</v>
      </c>
      <c r="I587" t="s">
        <v>35</v>
      </c>
      <c r="J587">
        <v>17789.190000000002</v>
      </c>
      <c r="K587">
        <v>17863.150000000001</v>
      </c>
    </row>
    <row r="588" spans="1:11" x14ac:dyDescent="0.3">
      <c r="A588" s="1" t="s">
        <v>88</v>
      </c>
      <c r="B588" s="1" t="s">
        <v>208</v>
      </c>
      <c r="C588" s="1" t="s">
        <v>79</v>
      </c>
      <c r="D588" t="s">
        <v>120</v>
      </c>
      <c r="E588" s="1" t="s">
        <v>120</v>
      </c>
      <c r="F588" t="s">
        <v>125</v>
      </c>
      <c r="G588" s="1" t="s">
        <v>129</v>
      </c>
      <c r="H588">
        <v>202</v>
      </c>
      <c r="I588" t="s">
        <v>4</v>
      </c>
      <c r="J588">
        <v>49667.529999999992</v>
      </c>
      <c r="K588">
        <v>39564.600000000006</v>
      </c>
    </row>
    <row r="589" spans="1:11" x14ac:dyDescent="0.3">
      <c r="A589" s="1" t="s">
        <v>88</v>
      </c>
      <c r="B589" s="1" t="s">
        <v>208</v>
      </c>
      <c r="C589" s="1" t="s">
        <v>79</v>
      </c>
      <c r="D589" t="s">
        <v>120</v>
      </c>
      <c r="E589" s="1" t="s">
        <v>120</v>
      </c>
      <c r="F589" t="s">
        <v>127</v>
      </c>
      <c r="G589" s="1" t="s">
        <v>133</v>
      </c>
      <c r="H589">
        <v>404</v>
      </c>
      <c r="I589" t="s">
        <v>15</v>
      </c>
      <c r="J589">
        <v>26133.85</v>
      </c>
      <c r="K589">
        <v>24453.45</v>
      </c>
    </row>
    <row r="590" spans="1:11" x14ac:dyDescent="0.3">
      <c r="A590" s="1" t="s">
        <v>88</v>
      </c>
      <c r="B590" s="1" t="s">
        <v>208</v>
      </c>
      <c r="C590" s="1" t="s">
        <v>79</v>
      </c>
      <c r="D590" t="s">
        <v>120</v>
      </c>
      <c r="E590" s="1" t="s">
        <v>119</v>
      </c>
      <c r="F590" t="s">
        <v>124</v>
      </c>
      <c r="G590" s="1" t="s">
        <v>129</v>
      </c>
      <c r="H590">
        <v>310</v>
      </c>
      <c r="I590" t="s">
        <v>63</v>
      </c>
      <c r="J590">
        <v>11792.530000000002</v>
      </c>
      <c r="K590">
        <v>14375.310000000007</v>
      </c>
    </row>
    <row r="591" spans="1:11" x14ac:dyDescent="0.3">
      <c r="A591" s="1" t="s">
        <v>88</v>
      </c>
      <c r="B591" s="1" t="s">
        <v>208</v>
      </c>
      <c r="C591" s="1" t="s">
        <v>79</v>
      </c>
      <c r="D591" t="s">
        <v>120</v>
      </c>
      <c r="E591" s="1" t="s">
        <v>119</v>
      </c>
      <c r="F591" t="s">
        <v>125</v>
      </c>
      <c r="G591" s="1" t="s">
        <v>134</v>
      </c>
      <c r="H591">
        <v>206</v>
      </c>
      <c r="I591" t="s">
        <v>18</v>
      </c>
      <c r="J591">
        <v>57255.72</v>
      </c>
      <c r="K591">
        <v>50891.64999999998</v>
      </c>
    </row>
    <row r="592" spans="1:11" x14ac:dyDescent="0.3">
      <c r="A592" s="1" t="s">
        <v>88</v>
      </c>
      <c r="B592" s="1" t="s">
        <v>208</v>
      </c>
      <c r="C592" s="1" t="s">
        <v>79</v>
      </c>
      <c r="D592" t="s">
        <v>120</v>
      </c>
      <c r="E592" s="1" t="s">
        <v>119</v>
      </c>
      <c r="F592" t="s">
        <v>125</v>
      </c>
      <c r="G592" s="1" t="s">
        <v>129</v>
      </c>
      <c r="H592">
        <v>210</v>
      </c>
      <c r="I592" t="s">
        <v>2</v>
      </c>
      <c r="J592">
        <v>32998.980000000003</v>
      </c>
      <c r="K592">
        <v>33527.240000000027</v>
      </c>
    </row>
    <row r="593" spans="1:11" x14ac:dyDescent="0.3">
      <c r="A593" s="1" t="s">
        <v>88</v>
      </c>
      <c r="B593" s="1" t="s">
        <v>208</v>
      </c>
      <c r="C593" s="1" t="s">
        <v>79</v>
      </c>
      <c r="D593" t="s">
        <v>120</v>
      </c>
      <c r="E593" s="1" t="s">
        <v>119</v>
      </c>
      <c r="F593" t="s">
        <v>127</v>
      </c>
      <c r="G593" s="1" t="s">
        <v>131</v>
      </c>
      <c r="H593">
        <v>417</v>
      </c>
      <c r="I593" t="s">
        <v>54</v>
      </c>
      <c r="J593">
        <v>42022.380000000005</v>
      </c>
      <c r="K593">
        <v>59805.989999999983</v>
      </c>
    </row>
    <row r="594" spans="1:11" x14ac:dyDescent="0.3">
      <c r="A594" s="1" t="s">
        <v>88</v>
      </c>
      <c r="B594" s="1" t="s">
        <v>208</v>
      </c>
      <c r="C594" s="1" t="s">
        <v>79</v>
      </c>
      <c r="D594" t="s">
        <v>119</v>
      </c>
      <c r="E594" s="1" t="s">
        <v>120</v>
      </c>
      <c r="F594" t="s">
        <v>124</v>
      </c>
      <c r="G594" s="1" t="s">
        <v>129</v>
      </c>
      <c r="H594">
        <v>308</v>
      </c>
      <c r="I594" t="s">
        <v>0</v>
      </c>
      <c r="J594">
        <v>35510.759999999995</v>
      </c>
      <c r="K594">
        <v>20616.05000000001</v>
      </c>
    </row>
    <row r="595" spans="1:11" x14ac:dyDescent="0.3">
      <c r="A595" s="1" t="s">
        <v>88</v>
      </c>
      <c r="B595" s="1" t="s">
        <v>208</v>
      </c>
      <c r="C595" s="1" t="s">
        <v>79</v>
      </c>
      <c r="D595" t="s">
        <v>119</v>
      </c>
      <c r="E595" s="1" t="s">
        <v>120</v>
      </c>
      <c r="F595" t="s">
        <v>127</v>
      </c>
      <c r="G595" s="1" t="s">
        <v>132</v>
      </c>
      <c r="H595">
        <v>402</v>
      </c>
      <c r="I595" t="s">
        <v>9</v>
      </c>
      <c r="J595">
        <v>24013.050000000003</v>
      </c>
      <c r="K595">
        <v>16383.620000000003</v>
      </c>
    </row>
    <row r="596" spans="1:11" x14ac:dyDescent="0.3">
      <c r="A596" s="1" t="s">
        <v>88</v>
      </c>
      <c r="B596" s="1" t="s">
        <v>208</v>
      </c>
      <c r="C596" s="1" t="s">
        <v>79</v>
      </c>
      <c r="D596" t="s">
        <v>119</v>
      </c>
      <c r="E596" s="1" t="s">
        <v>120</v>
      </c>
      <c r="F596" t="s">
        <v>127</v>
      </c>
      <c r="G596" s="1" t="s">
        <v>132</v>
      </c>
      <c r="H596">
        <v>406</v>
      </c>
      <c r="I596" t="s">
        <v>57</v>
      </c>
      <c r="J596">
        <v>17462.080000000002</v>
      </c>
      <c r="K596">
        <v>14217.239999999996</v>
      </c>
    </row>
    <row r="597" spans="1:11" x14ac:dyDescent="0.3">
      <c r="A597" s="1" t="s">
        <v>88</v>
      </c>
      <c r="B597" s="1" t="s">
        <v>208</v>
      </c>
      <c r="C597" s="1" t="s">
        <v>79</v>
      </c>
      <c r="D597" t="s">
        <v>119</v>
      </c>
      <c r="E597" s="1" t="s">
        <v>120</v>
      </c>
      <c r="F597" t="s">
        <v>127</v>
      </c>
      <c r="G597" s="1" t="s">
        <v>132</v>
      </c>
      <c r="H597">
        <v>416</v>
      </c>
      <c r="I597" t="s">
        <v>66</v>
      </c>
      <c r="J597">
        <v>15922.61</v>
      </c>
      <c r="K597">
        <v>11982.39</v>
      </c>
    </row>
    <row r="598" spans="1:11" x14ac:dyDescent="0.3">
      <c r="A598" s="1" t="s">
        <v>88</v>
      </c>
      <c r="B598" s="1" t="s">
        <v>208</v>
      </c>
      <c r="C598" s="1" t="s">
        <v>79</v>
      </c>
      <c r="D598" t="s">
        <v>119</v>
      </c>
      <c r="E598" s="1" t="s">
        <v>120</v>
      </c>
      <c r="F598" t="s">
        <v>127</v>
      </c>
      <c r="G598" s="1" t="s">
        <v>135</v>
      </c>
      <c r="H598">
        <v>414</v>
      </c>
      <c r="I598" t="s">
        <v>65</v>
      </c>
      <c r="J598">
        <v>230791.73999999996</v>
      </c>
      <c r="K598">
        <v>259017.49000000081</v>
      </c>
    </row>
    <row r="599" spans="1:11" x14ac:dyDescent="0.3">
      <c r="A599" s="1" t="s">
        <v>88</v>
      </c>
      <c r="B599" s="1" t="s">
        <v>208</v>
      </c>
      <c r="C599" s="1" t="s">
        <v>79</v>
      </c>
      <c r="D599" t="s">
        <v>119</v>
      </c>
      <c r="E599" s="1" t="s">
        <v>119</v>
      </c>
      <c r="F599" t="s">
        <v>124</v>
      </c>
      <c r="G599" s="1" t="s">
        <v>131</v>
      </c>
      <c r="H599">
        <v>309</v>
      </c>
      <c r="I599" t="s">
        <v>52</v>
      </c>
      <c r="J599">
        <v>168292.75000000003</v>
      </c>
      <c r="K599">
        <v>159670.37000000075</v>
      </c>
    </row>
    <row r="600" spans="1:11" x14ac:dyDescent="0.3">
      <c r="A600" s="1" t="s">
        <v>88</v>
      </c>
      <c r="B600" s="1" t="s">
        <v>208</v>
      </c>
      <c r="C600" s="1" t="s">
        <v>79</v>
      </c>
      <c r="D600" t="s">
        <v>119</v>
      </c>
      <c r="E600" s="1" t="s">
        <v>119</v>
      </c>
      <c r="F600" t="s">
        <v>124</v>
      </c>
      <c r="G600" s="1" t="s">
        <v>130</v>
      </c>
      <c r="H600">
        <v>305</v>
      </c>
      <c r="I600" t="s">
        <v>6</v>
      </c>
      <c r="J600">
        <v>107783.14999999998</v>
      </c>
      <c r="K600">
        <v>90033.040000000023</v>
      </c>
    </row>
    <row r="601" spans="1:11" x14ac:dyDescent="0.3">
      <c r="A601" s="1" t="s">
        <v>88</v>
      </c>
      <c r="B601" s="1" t="s">
        <v>208</v>
      </c>
      <c r="C601" s="1" t="s">
        <v>79</v>
      </c>
      <c r="D601" t="s">
        <v>119</v>
      </c>
      <c r="E601" s="1" t="s">
        <v>119</v>
      </c>
      <c r="F601" t="s">
        <v>124</v>
      </c>
      <c r="G601" s="1" t="s">
        <v>134</v>
      </c>
      <c r="H601">
        <v>302</v>
      </c>
      <c r="I601" t="s">
        <v>32</v>
      </c>
      <c r="J601">
        <v>71309.489999999991</v>
      </c>
      <c r="K601">
        <v>56693.089999999982</v>
      </c>
    </row>
    <row r="602" spans="1:11" x14ac:dyDescent="0.3">
      <c r="A602" s="1" t="s">
        <v>88</v>
      </c>
      <c r="B602" s="1" t="s">
        <v>208</v>
      </c>
      <c r="C602" s="1" t="s">
        <v>79</v>
      </c>
      <c r="D602" t="s">
        <v>119</v>
      </c>
      <c r="E602" s="1" t="s">
        <v>119</v>
      </c>
      <c r="F602" t="s">
        <v>124</v>
      </c>
      <c r="G602" s="1" t="s">
        <v>129</v>
      </c>
      <c r="H602">
        <v>301</v>
      </c>
      <c r="I602" t="s">
        <v>59</v>
      </c>
      <c r="J602">
        <v>40005.919999999998</v>
      </c>
      <c r="K602">
        <v>31389.860000000022</v>
      </c>
    </row>
    <row r="603" spans="1:11" x14ac:dyDescent="0.3">
      <c r="A603" s="1" t="s">
        <v>88</v>
      </c>
      <c r="B603" s="1" t="s">
        <v>208</v>
      </c>
      <c r="C603" s="1" t="s">
        <v>79</v>
      </c>
      <c r="D603" t="s">
        <v>119</v>
      </c>
      <c r="E603" s="1" t="s">
        <v>119</v>
      </c>
      <c r="F603" t="s">
        <v>124</v>
      </c>
      <c r="G603" s="1" t="s">
        <v>129</v>
      </c>
      <c r="H603">
        <v>311</v>
      </c>
      <c r="I603" t="s">
        <v>13</v>
      </c>
      <c r="J603">
        <v>42263.259999999995</v>
      </c>
      <c r="K603">
        <v>30020.729999999996</v>
      </c>
    </row>
    <row r="604" spans="1:11" x14ac:dyDescent="0.3">
      <c r="A604" s="1" t="s">
        <v>88</v>
      </c>
      <c r="B604" s="1" t="s">
        <v>208</v>
      </c>
      <c r="C604" s="1" t="s">
        <v>79</v>
      </c>
      <c r="D604" t="s">
        <v>119</v>
      </c>
      <c r="E604" s="1" t="s">
        <v>119</v>
      </c>
      <c r="F604" t="s">
        <v>125</v>
      </c>
      <c r="G604" s="1" t="s">
        <v>131</v>
      </c>
      <c r="H604">
        <v>211</v>
      </c>
      <c r="I604" t="s">
        <v>8</v>
      </c>
      <c r="J604">
        <v>165338.41</v>
      </c>
      <c r="K604">
        <v>127915.93000000028</v>
      </c>
    </row>
    <row r="605" spans="1:11" x14ac:dyDescent="0.3">
      <c r="A605" s="1" t="s">
        <v>88</v>
      </c>
      <c r="B605" s="1" t="s">
        <v>208</v>
      </c>
      <c r="C605" s="1" t="s">
        <v>79</v>
      </c>
      <c r="D605" t="s">
        <v>119</v>
      </c>
      <c r="E605" s="1" t="s">
        <v>119</v>
      </c>
      <c r="F605" t="s">
        <v>125</v>
      </c>
      <c r="G605" s="1" t="s">
        <v>130</v>
      </c>
      <c r="H605">
        <v>207</v>
      </c>
      <c r="I605" t="s">
        <v>53</v>
      </c>
      <c r="J605">
        <v>100909.23999999998</v>
      </c>
      <c r="K605">
        <v>97527.710000000225</v>
      </c>
    </row>
    <row r="606" spans="1:11" x14ac:dyDescent="0.3">
      <c r="A606" s="1" t="s">
        <v>88</v>
      </c>
      <c r="B606" s="1" t="s">
        <v>208</v>
      </c>
      <c r="C606" s="1" t="s">
        <v>79</v>
      </c>
      <c r="D606" t="s">
        <v>119</v>
      </c>
      <c r="E606" s="1" t="s">
        <v>119</v>
      </c>
      <c r="F606" t="s">
        <v>125</v>
      </c>
      <c r="G606" s="1" t="s">
        <v>133</v>
      </c>
      <c r="H606">
        <v>203</v>
      </c>
      <c r="I606" t="s">
        <v>60</v>
      </c>
      <c r="J606">
        <v>53540.2</v>
      </c>
      <c r="K606">
        <v>38708.520000000004</v>
      </c>
    </row>
    <row r="607" spans="1:11" x14ac:dyDescent="0.3">
      <c r="A607" s="1" t="s">
        <v>88</v>
      </c>
      <c r="B607" s="1" t="s">
        <v>208</v>
      </c>
      <c r="C607" s="1" t="s">
        <v>79</v>
      </c>
      <c r="D607" t="s">
        <v>119</v>
      </c>
      <c r="E607" s="1" t="s">
        <v>119</v>
      </c>
      <c r="F607" t="s">
        <v>125</v>
      </c>
      <c r="G607" s="1" t="s">
        <v>133</v>
      </c>
      <c r="H607">
        <v>212</v>
      </c>
      <c r="I607" t="s">
        <v>62</v>
      </c>
      <c r="J607">
        <v>38233.93</v>
      </c>
      <c r="K607">
        <v>41860.049999999988</v>
      </c>
    </row>
    <row r="608" spans="1:11" x14ac:dyDescent="0.3">
      <c r="A608" s="1" t="s">
        <v>88</v>
      </c>
      <c r="B608" s="1" t="s">
        <v>208</v>
      </c>
      <c r="C608" s="1" t="s">
        <v>79</v>
      </c>
      <c r="D608" t="s">
        <v>119</v>
      </c>
      <c r="E608" s="1" t="s">
        <v>119</v>
      </c>
      <c r="F608" t="s">
        <v>125</v>
      </c>
      <c r="G608" s="1" t="s">
        <v>134</v>
      </c>
      <c r="H608">
        <v>190</v>
      </c>
      <c r="I608" t="s">
        <v>42</v>
      </c>
      <c r="J608">
        <v>67563.039999999994</v>
      </c>
      <c r="K608">
        <v>46876.219999999943</v>
      </c>
    </row>
    <row r="609" spans="1:11" x14ac:dyDescent="0.3">
      <c r="A609" s="1" t="s">
        <v>88</v>
      </c>
      <c r="B609" s="1" t="s">
        <v>208</v>
      </c>
      <c r="C609" s="1" t="s">
        <v>79</v>
      </c>
      <c r="D609" t="s">
        <v>119</v>
      </c>
      <c r="E609" s="1" t="s">
        <v>119</v>
      </c>
      <c r="F609" t="s">
        <v>125</v>
      </c>
      <c r="G609" s="1" t="s">
        <v>134</v>
      </c>
      <c r="H609">
        <v>214</v>
      </c>
      <c r="I609" t="s">
        <v>17</v>
      </c>
      <c r="J609">
        <v>54052.95</v>
      </c>
      <c r="K609">
        <v>53268.19999999999</v>
      </c>
    </row>
    <row r="610" spans="1:11" x14ac:dyDescent="0.3">
      <c r="A610" s="1" t="s">
        <v>88</v>
      </c>
      <c r="B610" s="1" t="s">
        <v>208</v>
      </c>
      <c r="C610" s="1" t="s">
        <v>79</v>
      </c>
      <c r="D610" t="s">
        <v>119</v>
      </c>
      <c r="E610" s="1" t="s">
        <v>119</v>
      </c>
      <c r="F610" t="s">
        <v>127</v>
      </c>
      <c r="G610" s="1" t="s">
        <v>130</v>
      </c>
      <c r="H610">
        <v>407</v>
      </c>
      <c r="I610" t="s">
        <v>34</v>
      </c>
      <c r="J610">
        <v>94631.03</v>
      </c>
      <c r="K610">
        <v>93935.100000000108</v>
      </c>
    </row>
    <row r="611" spans="1:11" x14ac:dyDescent="0.3">
      <c r="A611" s="1" t="s">
        <v>88</v>
      </c>
      <c r="B611" s="1" t="s">
        <v>208</v>
      </c>
      <c r="C611" s="1" t="s">
        <v>79</v>
      </c>
      <c r="D611" t="s">
        <v>119</v>
      </c>
      <c r="E611" s="1" t="s">
        <v>119</v>
      </c>
      <c r="F611" t="s">
        <v>127</v>
      </c>
      <c r="G611" s="1" t="s">
        <v>130</v>
      </c>
      <c r="H611">
        <v>413</v>
      </c>
      <c r="I611" t="s">
        <v>14</v>
      </c>
      <c r="J611">
        <v>96459.469999999987</v>
      </c>
      <c r="K611">
        <v>110291.6500000003</v>
      </c>
    </row>
    <row r="612" spans="1:11" x14ac:dyDescent="0.3">
      <c r="A612" s="1" t="s">
        <v>88</v>
      </c>
      <c r="B612" s="1" t="s">
        <v>208</v>
      </c>
      <c r="C612" s="1" t="s">
        <v>79</v>
      </c>
      <c r="D612" t="s">
        <v>119</v>
      </c>
      <c r="E612" s="1" t="s">
        <v>119</v>
      </c>
      <c r="F612" t="s">
        <v>127</v>
      </c>
      <c r="G612" s="1" t="s">
        <v>133</v>
      </c>
      <c r="H612">
        <v>412</v>
      </c>
      <c r="I612" t="s">
        <v>11</v>
      </c>
      <c r="J612">
        <v>52120.479999999996</v>
      </c>
      <c r="K612">
        <v>44763.28999999995</v>
      </c>
    </row>
    <row r="613" spans="1:11" x14ac:dyDescent="0.3">
      <c r="A613" s="1" t="s">
        <v>88</v>
      </c>
      <c r="B613" s="1" t="s">
        <v>208</v>
      </c>
      <c r="C613" s="1" t="s">
        <v>79</v>
      </c>
      <c r="D613" t="s">
        <v>119</v>
      </c>
      <c r="E613" s="1" t="s">
        <v>119</v>
      </c>
      <c r="F613" t="s">
        <v>127</v>
      </c>
      <c r="G613" s="1" t="s">
        <v>134</v>
      </c>
      <c r="H613">
        <v>403</v>
      </c>
      <c r="I613" t="s">
        <v>12</v>
      </c>
      <c r="J613">
        <v>52734.889999999992</v>
      </c>
      <c r="K613">
        <v>51987.230000000025</v>
      </c>
    </row>
    <row r="614" spans="1:11" x14ac:dyDescent="0.3">
      <c r="A614" s="1" t="s">
        <v>88</v>
      </c>
      <c r="B614" s="1" t="s">
        <v>208</v>
      </c>
      <c r="C614" s="1" t="s">
        <v>79</v>
      </c>
      <c r="D614" t="s">
        <v>119</v>
      </c>
      <c r="E614" s="1" t="s">
        <v>119</v>
      </c>
      <c r="F614" t="s">
        <v>127</v>
      </c>
      <c r="G614" s="1" t="s">
        <v>129</v>
      </c>
      <c r="H614">
        <v>409</v>
      </c>
      <c r="I614" t="s">
        <v>58</v>
      </c>
      <c r="J614">
        <v>40711.74</v>
      </c>
      <c r="K614">
        <v>30387.150000000012</v>
      </c>
    </row>
    <row r="615" spans="1:11" x14ac:dyDescent="0.3">
      <c r="A615" s="1" t="s">
        <v>88</v>
      </c>
      <c r="B615" s="1" t="s">
        <v>208</v>
      </c>
      <c r="C615" s="1" t="s">
        <v>79</v>
      </c>
      <c r="D615" t="s">
        <v>119</v>
      </c>
      <c r="E615" s="1" t="s">
        <v>119</v>
      </c>
      <c r="F615" t="s">
        <v>127</v>
      </c>
      <c r="G615" s="1" t="s">
        <v>132</v>
      </c>
      <c r="H615">
        <v>410</v>
      </c>
      <c r="I615" t="s">
        <v>40</v>
      </c>
      <c r="J615">
        <v>24024.759999999995</v>
      </c>
      <c r="K615">
        <v>16562.590000000004</v>
      </c>
    </row>
    <row r="616" spans="1:11" x14ac:dyDescent="0.3">
      <c r="A616" s="1" t="s">
        <v>88</v>
      </c>
      <c r="B616" s="1" t="s">
        <v>208</v>
      </c>
      <c r="C616" s="1" t="s">
        <v>79</v>
      </c>
      <c r="D616" t="s">
        <v>119</v>
      </c>
      <c r="E616" s="1" t="s">
        <v>119</v>
      </c>
      <c r="F616" t="s">
        <v>126</v>
      </c>
      <c r="G616" s="1" t="s">
        <v>130</v>
      </c>
      <c r="H616">
        <v>101</v>
      </c>
      <c r="I616" t="s">
        <v>10</v>
      </c>
      <c r="J616">
        <v>122310.29999999999</v>
      </c>
      <c r="K616">
        <v>110107.60000000031</v>
      </c>
    </row>
    <row r="617" spans="1:11" x14ac:dyDescent="0.3">
      <c r="A617" s="1" t="s">
        <v>88</v>
      </c>
      <c r="B617" s="1" t="s">
        <v>208</v>
      </c>
      <c r="C617" s="1" t="s">
        <v>79</v>
      </c>
      <c r="D617" t="s">
        <v>119</v>
      </c>
      <c r="E617" s="1" t="s">
        <v>119</v>
      </c>
      <c r="F617" t="s">
        <v>126</v>
      </c>
      <c r="G617" s="1" t="s">
        <v>130</v>
      </c>
      <c r="H617">
        <v>150</v>
      </c>
      <c r="I617" t="s">
        <v>3</v>
      </c>
      <c r="J617">
        <v>102825.35999999999</v>
      </c>
      <c r="K617">
        <v>88379.520000000091</v>
      </c>
    </row>
    <row r="618" spans="1:11" x14ac:dyDescent="0.3">
      <c r="A618" s="1" t="s">
        <v>88</v>
      </c>
      <c r="B618" s="1" t="s">
        <v>208</v>
      </c>
      <c r="C618" s="1" t="s">
        <v>79</v>
      </c>
      <c r="D618" t="s">
        <v>119</v>
      </c>
      <c r="E618" s="1" t="s">
        <v>119</v>
      </c>
      <c r="F618" t="s">
        <v>126</v>
      </c>
      <c r="G618" s="1" t="s">
        <v>134</v>
      </c>
      <c r="H618">
        <v>170</v>
      </c>
      <c r="I618" t="s">
        <v>56</v>
      </c>
      <c r="J618">
        <v>58295.69</v>
      </c>
      <c r="K618">
        <v>48305.099999999977</v>
      </c>
    </row>
    <row r="619" spans="1:11" x14ac:dyDescent="0.3">
      <c r="A619" s="1" t="s">
        <v>88</v>
      </c>
      <c r="B619" s="1" t="s">
        <v>208</v>
      </c>
      <c r="C619" s="1" t="s">
        <v>79</v>
      </c>
      <c r="D619" t="s">
        <v>119</v>
      </c>
      <c r="E619" s="1" t="s">
        <v>119</v>
      </c>
      <c r="F619" t="s">
        <v>126</v>
      </c>
      <c r="G619" s="1" t="s">
        <v>129</v>
      </c>
      <c r="H619">
        <v>131</v>
      </c>
      <c r="I619" t="s">
        <v>67</v>
      </c>
      <c r="J619">
        <v>40097.269999999997</v>
      </c>
      <c r="K619">
        <v>34147.39</v>
      </c>
    </row>
    <row r="620" spans="1:11" x14ac:dyDescent="0.3">
      <c r="A620" s="1" t="s">
        <v>88</v>
      </c>
      <c r="B620" s="1" t="s">
        <v>208</v>
      </c>
      <c r="C620" s="1" t="s">
        <v>79</v>
      </c>
      <c r="D620" t="s">
        <v>119</v>
      </c>
      <c r="E620" s="1" t="s">
        <v>119</v>
      </c>
      <c r="F620" t="s">
        <v>126</v>
      </c>
      <c r="G620" s="1" t="s">
        <v>132</v>
      </c>
      <c r="H620">
        <v>151</v>
      </c>
      <c r="I620" t="s">
        <v>20</v>
      </c>
      <c r="J620">
        <v>38286.759999999995</v>
      </c>
      <c r="K620">
        <v>23372.590000000018</v>
      </c>
    </row>
    <row r="621" spans="1:11" x14ac:dyDescent="0.3">
      <c r="A621" s="1" t="s">
        <v>88</v>
      </c>
      <c r="B621" s="1" t="s">
        <v>208</v>
      </c>
      <c r="C621" s="1" t="s">
        <v>92</v>
      </c>
      <c r="D621" t="s">
        <v>121</v>
      </c>
      <c r="E621" s="1" t="s">
        <v>121</v>
      </c>
      <c r="F621" t="s">
        <v>124</v>
      </c>
      <c r="G621" s="1" t="s">
        <v>136</v>
      </c>
      <c r="H621" t="s">
        <v>111</v>
      </c>
      <c r="I621" s="33" t="s">
        <v>48</v>
      </c>
      <c r="J621" s="33">
        <v>0</v>
      </c>
      <c r="K621" s="33">
        <v>0</v>
      </c>
    </row>
    <row r="622" spans="1:11" x14ac:dyDescent="0.3">
      <c r="A622" s="1" t="s">
        <v>88</v>
      </c>
      <c r="B622" s="1" t="s">
        <v>208</v>
      </c>
      <c r="C622" s="1" t="s">
        <v>92</v>
      </c>
      <c r="D622" t="s">
        <v>121</v>
      </c>
      <c r="E622" s="1" t="s">
        <v>121</v>
      </c>
      <c r="F622" t="s">
        <v>127</v>
      </c>
      <c r="G622" s="1" t="s">
        <v>136</v>
      </c>
      <c r="H622">
        <v>418</v>
      </c>
      <c r="I622" t="s">
        <v>44</v>
      </c>
      <c r="J622">
        <v>0</v>
      </c>
      <c r="K622">
        <v>84944.220000000103</v>
      </c>
    </row>
    <row r="623" spans="1:11" x14ac:dyDescent="0.3">
      <c r="A623" s="1" t="s">
        <v>88</v>
      </c>
      <c r="B623" s="1" t="s">
        <v>208</v>
      </c>
      <c r="C623" s="1" t="s">
        <v>92</v>
      </c>
      <c r="D623" t="s">
        <v>119</v>
      </c>
      <c r="E623" s="1" t="s">
        <v>122</v>
      </c>
      <c r="F623" t="s">
        <v>124</v>
      </c>
      <c r="G623" s="1" t="s">
        <v>136</v>
      </c>
      <c r="H623">
        <v>307</v>
      </c>
      <c r="I623" t="s">
        <v>19</v>
      </c>
      <c r="J623">
        <v>59148.039999999979</v>
      </c>
      <c r="K623">
        <v>61925.210000000079</v>
      </c>
    </row>
    <row r="624" spans="1:11" x14ac:dyDescent="0.3">
      <c r="A624" s="1" t="s">
        <v>88</v>
      </c>
      <c r="B624" s="1" t="s">
        <v>208</v>
      </c>
      <c r="C624" s="1" t="s">
        <v>92</v>
      </c>
      <c r="D624" t="s">
        <v>119</v>
      </c>
      <c r="E624" s="1" t="s">
        <v>122</v>
      </c>
      <c r="F624" t="s">
        <v>127</v>
      </c>
      <c r="G624" s="1" t="s">
        <v>136</v>
      </c>
      <c r="H624">
        <v>411</v>
      </c>
      <c r="I624" t="s">
        <v>43</v>
      </c>
      <c r="J624">
        <v>89690.760000000009</v>
      </c>
      <c r="K624">
        <v>88872.530000000072</v>
      </c>
    </row>
    <row r="625" spans="1:11" x14ac:dyDescent="0.3">
      <c r="A625" s="1" t="s">
        <v>88</v>
      </c>
      <c r="B625" s="1" t="s">
        <v>208</v>
      </c>
      <c r="C625" s="1" t="s">
        <v>92</v>
      </c>
      <c r="D625" t="s">
        <v>119</v>
      </c>
      <c r="E625" s="1" t="s">
        <v>120</v>
      </c>
      <c r="F625" t="s">
        <v>125</v>
      </c>
      <c r="G625" s="1" t="s">
        <v>136</v>
      </c>
      <c r="H625">
        <v>213</v>
      </c>
      <c r="I625" t="s">
        <v>49</v>
      </c>
      <c r="J625">
        <v>65615.960000000006</v>
      </c>
      <c r="K625">
        <v>68561.920000000042</v>
      </c>
    </row>
    <row r="626" spans="1:11" x14ac:dyDescent="0.3">
      <c r="A626" s="1" t="s">
        <v>88</v>
      </c>
      <c r="B626" s="1" t="s">
        <v>208</v>
      </c>
      <c r="C626" s="1" t="s">
        <v>92</v>
      </c>
      <c r="D626" t="s">
        <v>119</v>
      </c>
      <c r="E626" s="1" t="s">
        <v>120</v>
      </c>
      <c r="F626" t="s">
        <v>127</v>
      </c>
      <c r="G626" s="1" t="s">
        <v>136</v>
      </c>
      <c r="H626">
        <v>415</v>
      </c>
      <c r="I626" t="s">
        <v>47</v>
      </c>
      <c r="J626">
        <v>66529.66</v>
      </c>
      <c r="K626">
        <v>57137.09000000004</v>
      </c>
    </row>
    <row r="627" spans="1:11" x14ac:dyDescent="0.3">
      <c r="A627" s="1" t="s">
        <v>88</v>
      </c>
      <c r="B627" s="1" t="s">
        <v>208</v>
      </c>
      <c r="C627" s="1" t="s">
        <v>92</v>
      </c>
      <c r="D627" t="s">
        <v>119</v>
      </c>
      <c r="E627" s="1" t="s">
        <v>119</v>
      </c>
      <c r="F627" t="s">
        <v>124</v>
      </c>
      <c r="G627" s="1" t="s">
        <v>136</v>
      </c>
      <c r="H627">
        <v>306</v>
      </c>
      <c r="I627" t="s">
        <v>51</v>
      </c>
      <c r="J627">
        <v>74490.69</v>
      </c>
      <c r="K627">
        <v>79510.450000000201</v>
      </c>
    </row>
    <row r="628" spans="1:11" x14ac:dyDescent="0.3">
      <c r="A628" s="1" t="s">
        <v>88</v>
      </c>
      <c r="B628" s="1" t="s">
        <v>208</v>
      </c>
      <c r="C628" s="1" t="s">
        <v>92</v>
      </c>
      <c r="D628" t="s">
        <v>119</v>
      </c>
      <c r="E628" s="1" t="s">
        <v>119</v>
      </c>
      <c r="F628" t="s">
        <v>125</v>
      </c>
      <c r="G628" s="1" t="s">
        <v>136</v>
      </c>
      <c r="H628">
        <v>201</v>
      </c>
      <c r="I628" t="s">
        <v>45</v>
      </c>
      <c r="J628">
        <v>55985.48</v>
      </c>
      <c r="K628">
        <v>39067.97</v>
      </c>
    </row>
    <row r="629" spans="1:11" x14ac:dyDescent="0.3">
      <c r="A629" s="1" t="s">
        <v>88</v>
      </c>
      <c r="B629" s="1" t="s">
        <v>208</v>
      </c>
      <c r="C629" s="1" t="s">
        <v>92</v>
      </c>
      <c r="D629" t="s">
        <v>119</v>
      </c>
      <c r="E629" s="1" t="s">
        <v>119</v>
      </c>
      <c r="F629" t="s">
        <v>125</v>
      </c>
      <c r="G629" s="1" t="s">
        <v>136</v>
      </c>
      <c r="H629">
        <v>204</v>
      </c>
      <c r="I629" t="s">
        <v>46</v>
      </c>
      <c r="J629">
        <v>56047.039999999994</v>
      </c>
      <c r="K629">
        <v>50050.270000000004</v>
      </c>
    </row>
    <row r="630" spans="1:11" x14ac:dyDescent="0.3">
      <c r="A630" s="1" t="s">
        <v>88</v>
      </c>
      <c r="B630" s="1" t="s">
        <v>208</v>
      </c>
      <c r="C630" s="1" t="s">
        <v>92</v>
      </c>
      <c r="D630" t="s">
        <v>119</v>
      </c>
      <c r="E630" s="1" t="s">
        <v>119</v>
      </c>
      <c r="F630" t="s">
        <v>126</v>
      </c>
      <c r="G630" s="1" t="s">
        <v>136</v>
      </c>
      <c r="H630">
        <v>102</v>
      </c>
      <c r="I630" t="s">
        <v>50</v>
      </c>
      <c r="J630">
        <v>90480.09</v>
      </c>
      <c r="K630">
        <v>65086.699999999917</v>
      </c>
    </row>
    <row r="631" spans="1:11" x14ac:dyDescent="0.3">
      <c r="A631" s="1" t="s">
        <v>88</v>
      </c>
      <c r="B631" s="1" t="s">
        <v>208</v>
      </c>
      <c r="C631" s="1" t="s">
        <v>93</v>
      </c>
      <c r="D631" t="s">
        <v>119</v>
      </c>
      <c r="E631" s="1" t="s">
        <v>119</v>
      </c>
      <c r="F631" t="s">
        <v>93</v>
      </c>
      <c r="G631" s="1" t="s">
        <v>93</v>
      </c>
      <c r="H631">
        <v>903</v>
      </c>
      <c r="I631" t="s">
        <v>37</v>
      </c>
      <c r="J631">
        <v>108010.31000000004</v>
      </c>
      <c r="K631">
        <v>80118.01999999999</v>
      </c>
    </row>
    <row r="632" spans="1:11" x14ac:dyDescent="0.3">
      <c r="A632" s="1" t="s">
        <v>88</v>
      </c>
      <c r="B632" s="1" t="s">
        <v>208</v>
      </c>
      <c r="C632" s="1" t="s">
        <v>94</v>
      </c>
      <c r="D632" t="s">
        <v>121</v>
      </c>
      <c r="E632" s="1" t="s">
        <v>121</v>
      </c>
      <c r="F632" t="s">
        <v>124</v>
      </c>
      <c r="G632" s="1" t="s">
        <v>137</v>
      </c>
      <c r="H632" t="s">
        <v>112</v>
      </c>
      <c r="I632" t="s">
        <v>21</v>
      </c>
      <c r="J632">
        <v>0</v>
      </c>
      <c r="K632">
        <v>0</v>
      </c>
    </row>
    <row r="633" spans="1:11" x14ac:dyDescent="0.3">
      <c r="A633" s="1" t="s">
        <v>88</v>
      </c>
      <c r="B633" s="1" t="s">
        <v>208</v>
      </c>
      <c r="C633" s="1" t="s">
        <v>94</v>
      </c>
      <c r="D633" t="s">
        <v>121</v>
      </c>
      <c r="E633" s="1" t="s">
        <v>121</v>
      </c>
      <c r="F633" t="s">
        <v>125</v>
      </c>
      <c r="G633" s="1" t="s">
        <v>138</v>
      </c>
      <c r="H633">
        <v>470</v>
      </c>
      <c r="I633" t="s">
        <v>26</v>
      </c>
      <c r="J633">
        <v>0</v>
      </c>
      <c r="K633">
        <v>0</v>
      </c>
    </row>
    <row r="634" spans="1:11" x14ac:dyDescent="0.3">
      <c r="A634" s="1" t="s">
        <v>88</v>
      </c>
      <c r="B634" s="1" t="s">
        <v>208</v>
      </c>
      <c r="C634" s="1" t="s">
        <v>94</v>
      </c>
      <c r="D634" t="s">
        <v>121</v>
      </c>
      <c r="E634" s="1" t="s">
        <v>121</v>
      </c>
      <c r="F634" t="s">
        <v>125</v>
      </c>
      <c r="G634" s="1" t="s">
        <v>137</v>
      </c>
      <c r="H634" t="s">
        <v>114</v>
      </c>
      <c r="I634" t="s">
        <v>23</v>
      </c>
      <c r="J634">
        <v>0</v>
      </c>
      <c r="K634">
        <v>0</v>
      </c>
    </row>
    <row r="635" spans="1:11" x14ac:dyDescent="0.3">
      <c r="A635" s="1" t="s">
        <v>88</v>
      </c>
      <c r="B635" s="1" t="s">
        <v>208</v>
      </c>
      <c r="C635" s="1" t="s">
        <v>94</v>
      </c>
      <c r="D635" t="s">
        <v>121</v>
      </c>
      <c r="E635" s="1" t="s">
        <v>121</v>
      </c>
      <c r="F635" t="s">
        <v>125</v>
      </c>
      <c r="G635" s="1" t="s">
        <v>137</v>
      </c>
      <c r="H635" t="s">
        <v>113</v>
      </c>
      <c r="I635" t="s">
        <v>22</v>
      </c>
      <c r="J635">
        <v>0</v>
      </c>
      <c r="K635">
        <v>0</v>
      </c>
    </row>
    <row r="636" spans="1:11" x14ac:dyDescent="0.3">
      <c r="A636" s="1" t="s">
        <v>88</v>
      </c>
      <c r="B636" s="1" t="s">
        <v>208</v>
      </c>
      <c r="C636" s="1" t="s">
        <v>94</v>
      </c>
      <c r="D636" t="s">
        <v>121</v>
      </c>
      <c r="E636" s="1" t="s">
        <v>121</v>
      </c>
      <c r="F636" t="s">
        <v>127</v>
      </c>
      <c r="G636" s="1" t="s">
        <v>137</v>
      </c>
      <c r="H636">
        <v>494</v>
      </c>
      <c r="I636" t="s">
        <v>25</v>
      </c>
      <c r="J636">
        <v>0</v>
      </c>
      <c r="K636">
        <v>11701.019999999993</v>
      </c>
    </row>
    <row r="637" spans="1:11" x14ac:dyDescent="0.3">
      <c r="A637" s="1" t="s">
        <v>88</v>
      </c>
      <c r="B637" s="1" t="s">
        <v>208</v>
      </c>
      <c r="C637" s="1" t="s">
        <v>94</v>
      </c>
      <c r="D637" t="s">
        <v>121</v>
      </c>
      <c r="E637" s="1" t="s">
        <v>121</v>
      </c>
      <c r="F637" t="s">
        <v>126</v>
      </c>
      <c r="G637" s="1" t="s">
        <v>137</v>
      </c>
      <c r="H637">
        <v>460</v>
      </c>
      <c r="I637" t="s">
        <v>30</v>
      </c>
      <c r="J637">
        <v>0</v>
      </c>
      <c r="K637">
        <v>0</v>
      </c>
    </row>
    <row r="638" spans="1:11" x14ac:dyDescent="0.3">
      <c r="A638" s="1" t="s">
        <v>88</v>
      </c>
      <c r="B638" s="1" t="s">
        <v>208</v>
      </c>
      <c r="C638" s="1" t="s">
        <v>94</v>
      </c>
      <c r="D638" t="s">
        <v>121</v>
      </c>
      <c r="E638" s="1" t="s">
        <v>121</v>
      </c>
      <c r="F638" t="s">
        <v>126</v>
      </c>
      <c r="G638" s="1" t="s">
        <v>137</v>
      </c>
      <c r="H638">
        <v>461</v>
      </c>
      <c r="I638" t="s">
        <v>29</v>
      </c>
      <c r="J638">
        <v>0</v>
      </c>
      <c r="K638">
        <v>0</v>
      </c>
    </row>
    <row r="639" spans="1:11" x14ac:dyDescent="0.3">
      <c r="A639" s="1" t="s">
        <v>88</v>
      </c>
      <c r="B639" s="1" t="s">
        <v>208</v>
      </c>
      <c r="C639" s="1" t="s">
        <v>94</v>
      </c>
      <c r="D639" t="s">
        <v>121</v>
      </c>
      <c r="E639" s="1" t="s">
        <v>119</v>
      </c>
      <c r="F639" t="s">
        <v>124</v>
      </c>
      <c r="G639" s="1" t="s">
        <v>138</v>
      </c>
      <c r="H639">
        <v>480</v>
      </c>
      <c r="I639" t="s">
        <v>28</v>
      </c>
      <c r="J639">
        <v>34782.979999999996</v>
      </c>
      <c r="K639">
        <v>23506.760000000013</v>
      </c>
    </row>
    <row r="640" spans="1:11" x14ac:dyDescent="0.3">
      <c r="A640" s="1" t="s">
        <v>88</v>
      </c>
      <c r="B640" s="1" t="s">
        <v>208</v>
      </c>
      <c r="C640" s="1" t="s">
        <v>94</v>
      </c>
      <c r="D640" t="s">
        <v>121</v>
      </c>
      <c r="E640" s="1" t="s">
        <v>119</v>
      </c>
      <c r="F640" t="s">
        <v>127</v>
      </c>
      <c r="G640" s="1" t="s">
        <v>138</v>
      </c>
      <c r="H640">
        <v>491</v>
      </c>
      <c r="I640" t="s">
        <v>31</v>
      </c>
      <c r="J640">
        <v>0</v>
      </c>
      <c r="K640">
        <v>75815.370000000199</v>
      </c>
    </row>
    <row r="641" spans="1:11" x14ac:dyDescent="0.3">
      <c r="A641" s="1" t="s">
        <v>88</v>
      </c>
      <c r="B641" s="1" t="s">
        <v>208</v>
      </c>
      <c r="C641" s="1" t="s">
        <v>94</v>
      </c>
      <c r="D641" t="s">
        <v>121</v>
      </c>
      <c r="E641" s="1" t="s">
        <v>119</v>
      </c>
      <c r="F641" t="s">
        <v>127</v>
      </c>
      <c r="G641" s="1" t="s">
        <v>138</v>
      </c>
      <c r="H641">
        <v>492</v>
      </c>
      <c r="I641" t="s">
        <v>27</v>
      </c>
      <c r="J641">
        <v>46942.679999999993</v>
      </c>
      <c r="K641">
        <v>33309.390000000014</v>
      </c>
    </row>
    <row r="642" spans="1:11" x14ac:dyDescent="0.3">
      <c r="A642" s="1" t="s">
        <v>88</v>
      </c>
      <c r="B642" s="1" t="s">
        <v>208</v>
      </c>
      <c r="C642" s="1" t="s">
        <v>94</v>
      </c>
      <c r="D642" t="s">
        <v>121</v>
      </c>
      <c r="E642" s="1" t="s">
        <v>119</v>
      </c>
      <c r="F642" t="s">
        <v>127</v>
      </c>
      <c r="G642" s="1" t="s">
        <v>138</v>
      </c>
      <c r="H642">
        <v>493</v>
      </c>
      <c r="I642" t="s">
        <v>24</v>
      </c>
      <c r="J642">
        <v>21718.23</v>
      </c>
      <c r="K642">
        <v>24290.630000000005</v>
      </c>
    </row>
    <row r="643" spans="1:11" x14ac:dyDescent="0.3">
      <c r="A643" s="1" t="s">
        <v>88</v>
      </c>
      <c r="B643" s="1" t="s">
        <v>208</v>
      </c>
      <c r="C643" s="1" t="s">
        <v>95</v>
      </c>
      <c r="D643" t="s">
        <v>121</v>
      </c>
      <c r="E643" s="1" t="s">
        <v>121</v>
      </c>
      <c r="F643" t="s">
        <v>125</v>
      </c>
      <c r="G643" s="1" t="s">
        <v>139</v>
      </c>
      <c r="H643" t="s">
        <v>115</v>
      </c>
      <c r="I643" s="33" t="s">
        <v>71</v>
      </c>
      <c r="J643" s="33">
        <v>0</v>
      </c>
      <c r="K643" s="33">
        <v>0</v>
      </c>
    </row>
    <row r="644" spans="1:11" x14ac:dyDescent="0.3">
      <c r="A644" s="1" t="s">
        <v>88</v>
      </c>
      <c r="B644" s="1" t="s">
        <v>208</v>
      </c>
      <c r="C644" s="1" t="s">
        <v>95</v>
      </c>
      <c r="D644" t="s">
        <v>121</v>
      </c>
      <c r="E644" s="1" t="s">
        <v>121</v>
      </c>
      <c r="F644" t="s">
        <v>126</v>
      </c>
      <c r="G644" s="1" t="s">
        <v>139</v>
      </c>
      <c r="H644">
        <v>510</v>
      </c>
      <c r="I644" t="s">
        <v>76</v>
      </c>
      <c r="J644">
        <v>0</v>
      </c>
      <c r="K644">
        <v>0</v>
      </c>
    </row>
    <row r="645" spans="1:11" x14ac:dyDescent="0.3">
      <c r="A645" s="1" t="s">
        <v>88</v>
      </c>
      <c r="B645" s="1" t="s">
        <v>208</v>
      </c>
      <c r="C645" s="1" t="s">
        <v>95</v>
      </c>
      <c r="D645" t="s">
        <v>121</v>
      </c>
      <c r="E645" s="1" t="s">
        <v>121</v>
      </c>
      <c r="F645" t="s">
        <v>126</v>
      </c>
      <c r="G645" s="1" t="s">
        <v>139</v>
      </c>
      <c r="H645" t="s">
        <v>116</v>
      </c>
      <c r="I645" s="33" t="s">
        <v>75</v>
      </c>
      <c r="J645" s="33">
        <v>0</v>
      </c>
      <c r="K645" s="33">
        <v>0</v>
      </c>
    </row>
    <row r="646" spans="1:11" x14ac:dyDescent="0.3">
      <c r="A646" s="1" t="s">
        <v>88</v>
      </c>
      <c r="B646" s="1" t="s">
        <v>208</v>
      </c>
      <c r="C646" s="1" t="s">
        <v>95</v>
      </c>
      <c r="D646" t="s">
        <v>121</v>
      </c>
      <c r="E646" s="1" t="s">
        <v>119</v>
      </c>
      <c r="F646" t="s">
        <v>127</v>
      </c>
      <c r="G646" s="1" t="s">
        <v>140</v>
      </c>
      <c r="H646">
        <v>541</v>
      </c>
      <c r="I646" t="s">
        <v>74</v>
      </c>
      <c r="J646">
        <v>21284.879999999997</v>
      </c>
      <c r="K646">
        <v>22849.42</v>
      </c>
    </row>
    <row r="647" spans="1:11" x14ac:dyDescent="0.3">
      <c r="A647" s="1" t="s">
        <v>88</v>
      </c>
      <c r="B647" s="1" t="s">
        <v>208</v>
      </c>
      <c r="C647" s="1" t="s">
        <v>95</v>
      </c>
      <c r="D647" t="s">
        <v>121</v>
      </c>
      <c r="E647" s="1" t="s">
        <v>119</v>
      </c>
      <c r="F647" t="s">
        <v>127</v>
      </c>
      <c r="G647" s="1" t="s">
        <v>140</v>
      </c>
      <c r="H647">
        <v>543</v>
      </c>
      <c r="I647" t="s">
        <v>72</v>
      </c>
      <c r="J647">
        <v>27495.82</v>
      </c>
      <c r="K647">
        <v>21563.429999999993</v>
      </c>
    </row>
    <row r="648" spans="1:11" x14ac:dyDescent="0.3">
      <c r="A648" s="1" t="s">
        <v>88</v>
      </c>
      <c r="B648" s="1" t="s">
        <v>208</v>
      </c>
      <c r="C648" s="1" t="s">
        <v>95</v>
      </c>
      <c r="D648" t="s">
        <v>120</v>
      </c>
      <c r="E648" s="1" t="s">
        <v>119</v>
      </c>
      <c r="F648" t="s">
        <v>127</v>
      </c>
      <c r="G648" s="1" t="s">
        <v>140</v>
      </c>
      <c r="H648">
        <v>540</v>
      </c>
      <c r="I648" t="s">
        <v>73</v>
      </c>
      <c r="J648">
        <v>53827.17</v>
      </c>
      <c r="K648">
        <v>82727.760000000009</v>
      </c>
    </row>
    <row r="649" spans="1:11" x14ac:dyDescent="0.3">
      <c r="A649" s="1" t="s">
        <v>88</v>
      </c>
      <c r="B649" s="1" t="s">
        <v>208</v>
      </c>
      <c r="C649" s="1" t="s">
        <v>95</v>
      </c>
      <c r="D649" t="s">
        <v>119</v>
      </c>
      <c r="E649" s="1" t="s">
        <v>120</v>
      </c>
      <c r="F649" t="s">
        <v>124</v>
      </c>
      <c r="G649" s="1" t="s">
        <v>139</v>
      </c>
      <c r="H649">
        <v>530</v>
      </c>
      <c r="I649" t="s">
        <v>68</v>
      </c>
      <c r="J649">
        <v>24636.149999999994</v>
      </c>
      <c r="K649">
        <v>18638.560000000005</v>
      </c>
    </row>
    <row r="650" spans="1:11" x14ac:dyDescent="0.3">
      <c r="A650" s="1" t="s">
        <v>88</v>
      </c>
      <c r="B650" s="1" t="s">
        <v>208</v>
      </c>
      <c r="C650" s="1" t="s">
        <v>95</v>
      </c>
      <c r="D650" t="s">
        <v>119</v>
      </c>
      <c r="E650" s="1" t="s">
        <v>119</v>
      </c>
      <c r="F650" t="s">
        <v>125</v>
      </c>
      <c r="G650" s="1" t="s">
        <v>140</v>
      </c>
      <c r="H650">
        <v>520</v>
      </c>
      <c r="I650" t="s">
        <v>70</v>
      </c>
      <c r="J650">
        <v>42361.03</v>
      </c>
      <c r="K650">
        <v>30002.289999999979</v>
      </c>
    </row>
    <row r="651" spans="1:11" x14ac:dyDescent="0.3">
      <c r="A651" s="2" t="s">
        <v>88</v>
      </c>
      <c r="B651" s="1" t="s">
        <v>208</v>
      </c>
      <c r="C651" s="1" t="s">
        <v>95</v>
      </c>
      <c r="D651" t="s">
        <v>119</v>
      </c>
      <c r="E651" s="1" t="s">
        <v>119</v>
      </c>
      <c r="F651" t="s">
        <v>127</v>
      </c>
      <c r="G651" s="1" t="s">
        <v>139</v>
      </c>
      <c r="H651">
        <v>542</v>
      </c>
      <c r="I651" t="s">
        <v>69</v>
      </c>
      <c r="J651">
        <v>21766.019999999997</v>
      </c>
      <c r="K651">
        <v>15647.370000000017</v>
      </c>
    </row>
    <row r="652" spans="1:11" x14ac:dyDescent="0.3">
      <c r="A652" s="1" t="s">
        <v>89</v>
      </c>
      <c r="B652" s="1" t="s">
        <v>210</v>
      </c>
      <c r="C652" s="1" t="s">
        <v>79</v>
      </c>
      <c r="D652" t="s">
        <v>122</v>
      </c>
      <c r="E652" s="1" t="s">
        <v>122</v>
      </c>
      <c r="F652" t="s">
        <v>124</v>
      </c>
      <c r="G652" s="1" t="s">
        <v>129</v>
      </c>
      <c r="H652" t="s">
        <v>196</v>
      </c>
      <c r="I652" t="s">
        <v>1</v>
      </c>
      <c r="J652">
        <v>0</v>
      </c>
      <c r="K652">
        <v>0</v>
      </c>
    </row>
    <row r="653" spans="1:11" x14ac:dyDescent="0.3">
      <c r="A653" s="1" t="s">
        <v>89</v>
      </c>
      <c r="B653" s="1" t="s">
        <v>210</v>
      </c>
      <c r="C653" s="1" t="s">
        <v>79</v>
      </c>
      <c r="D653" t="s">
        <v>122</v>
      </c>
      <c r="E653" s="1" t="s">
        <v>122</v>
      </c>
      <c r="F653" t="s">
        <v>125</v>
      </c>
      <c r="G653" s="1" t="s">
        <v>129</v>
      </c>
      <c r="H653" t="s">
        <v>196</v>
      </c>
      <c r="I653" t="s">
        <v>7</v>
      </c>
      <c r="J653">
        <v>0</v>
      </c>
      <c r="K653">
        <v>0</v>
      </c>
    </row>
    <row r="654" spans="1:11" x14ac:dyDescent="0.3">
      <c r="A654" s="1" t="s">
        <v>89</v>
      </c>
      <c r="B654" s="1" t="s">
        <v>210</v>
      </c>
      <c r="C654" s="1" t="s">
        <v>79</v>
      </c>
      <c r="D654" t="s">
        <v>122</v>
      </c>
      <c r="E654" s="1" t="s">
        <v>122</v>
      </c>
      <c r="F654" t="s">
        <v>127</v>
      </c>
      <c r="G654" s="1" t="s">
        <v>129</v>
      </c>
      <c r="H654" t="s">
        <v>196</v>
      </c>
      <c r="I654" t="s">
        <v>5</v>
      </c>
      <c r="J654">
        <v>0</v>
      </c>
      <c r="K654">
        <v>0</v>
      </c>
    </row>
    <row r="655" spans="1:11" x14ac:dyDescent="0.3">
      <c r="A655" s="1" t="s">
        <v>89</v>
      </c>
      <c r="B655" s="1" t="s">
        <v>210</v>
      </c>
      <c r="C655" s="1" t="s">
        <v>79</v>
      </c>
      <c r="D655" t="s">
        <v>122</v>
      </c>
      <c r="E655" s="1" t="s">
        <v>122</v>
      </c>
      <c r="F655" t="s">
        <v>127</v>
      </c>
      <c r="G655" s="1" t="s">
        <v>122</v>
      </c>
      <c r="H655" t="s">
        <v>196</v>
      </c>
      <c r="I655" t="s">
        <v>33</v>
      </c>
      <c r="J655">
        <v>0</v>
      </c>
      <c r="K655">
        <v>0</v>
      </c>
    </row>
    <row r="656" spans="1:11" x14ac:dyDescent="0.3">
      <c r="A656" s="1" t="s">
        <v>89</v>
      </c>
      <c r="B656" s="1" t="s">
        <v>210</v>
      </c>
      <c r="C656" s="1" t="s">
        <v>79</v>
      </c>
      <c r="D656" t="s">
        <v>121</v>
      </c>
      <c r="E656" s="1" t="s">
        <v>121</v>
      </c>
      <c r="F656" t="s">
        <v>125</v>
      </c>
      <c r="G656" s="1" t="s">
        <v>129</v>
      </c>
      <c r="H656" t="s">
        <v>110</v>
      </c>
      <c r="I656" t="s">
        <v>64</v>
      </c>
      <c r="J656">
        <v>0</v>
      </c>
      <c r="K656">
        <v>0</v>
      </c>
    </row>
    <row r="657" spans="1:11" x14ac:dyDescent="0.3">
      <c r="A657" s="1" t="s">
        <v>89</v>
      </c>
      <c r="B657" s="1" t="s">
        <v>210</v>
      </c>
      <c r="C657" s="1" t="s">
        <v>79</v>
      </c>
      <c r="D657" t="s">
        <v>121</v>
      </c>
      <c r="E657" s="1" t="s">
        <v>121</v>
      </c>
      <c r="F657" t="s">
        <v>127</v>
      </c>
      <c r="G657" s="1" t="s">
        <v>129</v>
      </c>
      <c r="H657" t="s">
        <v>109</v>
      </c>
      <c r="I657" s="33" t="s">
        <v>41</v>
      </c>
      <c r="J657" s="33">
        <v>0</v>
      </c>
      <c r="K657" s="33">
        <v>0</v>
      </c>
    </row>
    <row r="658" spans="1:11" x14ac:dyDescent="0.3">
      <c r="A658" s="1" t="s">
        <v>89</v>
      </c>
      <c r="B658" s="1" t="s">
        <v>210</v>
      </c>
      <c r="C658" s="1" t="s">
        <v>79</v>
      </c>
      <c r="D658" t="s">
        <v>121</v>
      </c>
      <c r="E658" s="1" t="s">
        <v>121</v>
      </c>
      <c r="F658" t="s">
        <v>127</v>
      </c>
      <c r="G658" s="1" t="s">
        <v>135</v>
      </c>
      <c r="H658" t="s">
        <v>108</v>
      </c>
      <c r="I658" s="33" t="s">
        <v>16</v>
      </c>
      <c r="J658" s="33">
        <v>0</v>
      </c>
      <c r="K658" s="33">
        <v>0</v>
      </c>
    </row>
    <row r="659" spans="1:11" x14ac:dyDescent="0.3">
      <c r="A659" s="1" t="s">
        <v>89</v>
      </c>
      <c r="B659" s="1" t="s">
        <v>210</v>
      </c>
      <c r="C659" s="1" t="s">
        <v>79</v>
      </c>
      <c r="D659" t="s">
        <v>120</v>
      </c>
      <c r="E659" s="1" t="s">
        <v>120</v>
      </c>
      <c r="F659" t="s">
        <v>124</v>
      </c>
      <c r="G659" s="1" t="s">
        <v>129</v>
      </c>
      <c r="H659">
        <v>304</v>
      </c>
      <c r="I659" t="s">
        <v>61</v>
      </c>
      <c r="J659">
        <v>36114.359999999993</v>
      </c>
      <c r="K659">
        <v>39199.440000000017</v>
      </c>
    </row>
    <row r="660" spans="1:11" x14ac:dyDescent="0.3">
      <c r="A660" s="1" t="s">
        <v>89</v>
      </c>
      <c r="B660" s="1" t="s">
        <v>210</v>
      </c>
      <c r="C660" s="1" t="s">
        <v>79</v>
      </c>
      <c r="D660" t="s">
        <v>120</v>
      </c>
      <c r="E660" s="1" t="s">
        <v>120</v>
      </c>
      <c r="F660" t="s">
        <v>125</v>
      </c>
      <c r="G660" s="1" t="s">
        <v>133</v>
      </c>
      <c r="H660">
        <v>208</v>
      </c>
      <c r="I660" t="s">
        <v>36</v>
      </c>
      <c r="J660">
        <v>30566.729999999996</v>
      </c>
      <c r="K660">
        <v>0</v>
      </c>
    </row>
    <row r="661" spans="1:11" x14ac:dyDescent="0.3">
      <c r="A661" s="1" t="s">
        <v>89</v>
      </c>
      <c r="B661" s="1" t="s">
        <v>210</v>
      </c>
      <c r="C661" s="1" t="s">
        <v>79</v>
      </c>
      <c r="D661" t="s">
        <v>120</v>
      </c>
      <c r="E661" s="1" t="s">
        <v>120</v>
      </c>
      <c r="F661" t="s">
        <v>125</v>
      </c>
      <c r="G661" s="1" t="s">
        <v>133</v>
      </c>
      <c r="H661">
        <v>209</v>
      </c>
      <c r="I661" t="s">
        <v>35</v>
      </c>
      <c r="J661">
        <v>18624.669999999998</v>
      </c>
      <c r="K661">
        <v>15616.98</v>
      </c>
    </row>
    <row r="662" spans="1:11" x14ac:dyDescent="0.3">
      <c r="A662" s="1" t="s">
        <v>89</v>
      </c>
      <c r="B662" s="1" t="s">
        <v>210</v>
      </c>
      <c r="C662" s="1" t="s">
        <v>79</v>
      </c>
      <c r="D662" t="s">
        <v>120</v>
      </c>
      <c r="E662" s="1" t="s">
        <v>120</v>
      </c>
      <c r="F662" t="s">
        <v>125</v>
      </c>
      <c r="G662" s="1" t="s">
        <v>129</v>
      </c>
      <c r="H662">
        <v>202</v>
      </c>
      <c r="I662" t="s">
        <v>4</v>
      </c>
      <c r="J662">
        <v>45911.979999999996</v>
      </c>
      <c r="K662">
        <v>44153.089999999989</v>
      </c>
    </row>
    <row r="663" spans="1:11" x14ac:dyDescent="0.3">
      <c r="A663" s="1" t="s">
        <v>89</v>
      </c>
      <c r="B663" s="1" t="s">
        <v>210</v>
      </c>
      <c r="C663" s="1" t="s">
        <v>79</v>
      </c>
      <c r="D663" t="s">
        <v>120</v>
      </c>
      <c r="E663" s="1" t="s">
        <v>120</v>
      </c>
      <c r="F663" t="s">
        <v>127</v>
      </c>
      <c r="G663" s="1" t="s">
        <v>133</v>
      </c>
      <c r="H663">
        <v>404</v>
      </c>
      <c r="I663" t="s">
        <v>15</v>
      </c>
      <c r="J663">
        <v>21151.23</v>
      </c>
      <c r="K663">
        <v>20914.389999999989</v>
      </c>
    </row>
    <row r="664" spans="1:11" x14ac:dyDescent="0.3">
      <c r="A664" s="1" t="s">
        <v>89</v>
      </c>
      <c r="B664" s="1" t="s">
        <v>210</v>
      </c>
      <c r="C664" s="1" t="s">
        <v>79</v>
      </c>
      <c r="D664" t="s">
        <v>120</v>
      </c>
      <c r="E664" s="1" t="s">
        <v>119</v>
      </c>
      <c r="F664" t="s">
        <v>124</v>
      </c>
      <c r="G664" s="1" t="s">
        <v>129</v>
      </c>
      <c r="H664">
        <v>310</v>
      </c>
      <c r="I664" t="s">
        <v>63</v>
      </c>
      <c r="J664">
        <v>10340.669999999998</v>
      </c>
      <c r="K664">
        <v>18345.670000000002</v>
      </c>
    </row>
    <row r="665" spans="1:11" x14ac:dyDescent="0.3">
      <c r="A665" s="1" t="s">
        <v>89</v>
      </c>
      <c r="B665" s="1" t="s">
        <v>210</v>
      </c>
      <c r="C665" s="1" t="s">
        <v>79</v>
      </c>
      <c r="D665" t="s">
        <v>120</v>
      </c>
      <c r="E665" s="1" t="s">
        <v>119</v>
      </c>
      <c r="F665" t="s">
        <v>125</v>
      </c>
      <c r="G665" s="1" t="s">
        <v>134</v>
      </c>
      <c r="H665">
        <v>206</v>
      </c>
      <c r="I665" t="s">
        <v>18</v>
      </c>
      <c r="J665">
        <v>64514.819999999992</v>
      </c>
      <c r="K665">
        <v>53563.100000000035</v>
      </c>
    </row>
    <row r="666" spans="1:11" x14ac:dyDescent="0.3">
      <c r="A666" s="1" t="s">
        <v>89</v>
      </c>
      <c r="B666" s="1" t="s">
        <v>210</v>
      </c>
      <c r="C666" s="1" t="s">
        <v>79</v>
      </c>
      <c r="D666" t="s">
        <v>120</v>
      </c>
      <c r="E666" s="1" t="s">
        <v>119</v>
      </c>
      <c r="F666" t="s">
        <v>125</v>
      </c>
      <c r="G666" s="1" t="s">
        <v>129</v>
      </c>
      <c r="H666">
        <v>210</v>
      </c>
      <c r="I666" t="s">
        <v>2</v>
      </c>
      <c r="J666">
        <v>28612.490000000005</v>
      </c>
      <c r="K666">
        <v>36225.399999999994</v>
      </c>
    </row>
    <row r="667" spans="1:11" x14ac:dyDescent="0.3">
      <c r="A667" s="1" t="s">
        <v>89</v>
      </c>
      <c r="B667" s="1" t="s">
        <v>210</v>
      </c>
      <c r="C667" s="1" t="s">
        <v>79</v>
      </c>
      <c r="D667" t="s">
        <v>120</v>
      </c>
      <c r="E667" s="1" t="s">
        <v>119</v>
      </c>
      <c r="F667" t="s">
        <v>127</v>
      </c>
      <c r="G667" s="1" t="s">
        <v>131</v>
      </c>
      <c r="H667">
        <v>417</v>
      </c>
      <c r="I667" t="s">
        <v>54</v>
      </c>
      <c r="J667">
        <v>50542.01999999999</v>
      </c>
      <c r="K667">
        <v>48312.750000000116</v>
      </c>
    </row>
    <row r="668" spans="1:11" x14ac:dyDescent="0.3">
      <c r="A668" s="1" t="s">
        <v>89</v>
      </c>
      <c r="B668" s="1" t="s">
        <v>210</v>
      </c>
      <c r="C668" s="1" t="s">
        <v>79</v>
      </c>
      <c r="D668" t="s">
        <v>119</v>
      </c>
      <c r="E668" s="1" t="s">
        <v>120</v>
      </c>
      <c r="F668" t="s">
        <v>124</v>
      </c>
      <c r="G668" s="1" t="s">
        <v>129</v>
      </c>
      <c r="H668">
        <v>308</v>
      </c>
      <c r="I668" t="s">
        <v>0</v>
      </c>
      <c r="J668">
        <v>28670.819999999996</v>
      </c>
      <c r="K668">
        <v>22646.869999999992</v>
      </c>
    </row>
    <row r="669" spans="1:11" x14ac:dyDescent="0.3">
      <c r="A669" s="1" t="s">
        <v>89</v>
      </c>
      <c r="B669" s="1" t="s">
        <v>210</v>
      </c>
      <c r="C669" s="1" t="s">
        <v>79</v>
      </c>
      <c r="D669" t="s">
        <v>119</v>
      </c>
      <c r="E669" s="1" t="s">
        <v>120</v>
      </c>
      <c r="F669" t="s">
        <v>127</v>
      </c>
      <c r="G669" s="1" t="s">
        <v>132</v>
      </c>
      <c r="H669">
        <v>402</v>
      </c>
      <c r="I669" t="s">
        <v>9</v>
      </c>
      <c r="J669">
        <v>19824.68</v>
      </c>
      <c r="K669">
        <v>14915.830000000011</v>
      </c>
    </row>
    <row r="670" spans="1:11" x14ac:dyDescent="0.3">
      <c r="A670" s="1" t="s">
        <v>89</v>
      </c>
      <c r="B670" s="1" t="s">
        <v>210</v>
      </c>
      <c r="C670" s="1" t="s">
        <v>79</v>
      </c>
      <c r="D670" t="s">
        <v>119</v>
      </c>
      <c r="E670" s="1" t="s">
        <v>120</v>
      </c>
      <c r="F670" t="s">
        <v>127</v>
      </c>
      <c r="G670" s="1" t="s">
        <v>132</v>
      </c>
      <c r="H670">
        <v>406</v>
      </c>
      <c r="I670" t="s">
        <v>57</v>
      </c>
      <c r="J670">
        <v>17251.260000000002</v>
      </c>
      <c r="K670">
        <v>8919.8899999999976</v>
      </c>
    </row>
    <row r="671" spans="1:11" x14ac:dyDescent="0.3">
      <c r="A671" s="1" t="s">
        <v>89</v>
      </c>
      <c r="B671" s="1" t="s">
        <v>210</v>
      </c>
      <c r="C671" s="1" t="s">
        <v>79</v>
      </c>
      <c r="D671" t="s">
        <v>119</v>
      </c>
      <c r="E671" s="1" t="s">
        <v>120</v>
      </c>
      <c r="F671" t="s">
        <v>127</v>
      </c>
      <c r="G671" s="1" t="s">
        <v>132</v>
      </c>
      <c r="H671">
        <v>416</v>
      </c>
      <c r="I671" t="s">
        <v>66</v>
      </c>
      <c r="J671">
        <v>13668.680000000004</v>
      </c>
      <c r="K671">
        <v>10788.499999999995</v>
      </c>
    </row>
    <row r="672" spans="1:11" x14ac:dyDescent="0.3">
      <c r="A672" s="1" t="s">
        <v>89</v>
      </c>
      <c r="B672" s="1" t="s">
        <v>210</v>
      </c>
      <c r="C672" s="1" t="s">
        <v>79</v>
      </c>
      <c r="D672" t="s">
        <v>119</v>
      </c>
      <c r="E672" s="1" t="s">
        <v>120</v>
      </c>
      <c r="F672" t="s">
        <v>127</v>
      </c>
      <c r="G672" s="1" t="s">
        <v>135</v>
      </c>
      <c r="H672">
        <v>414</v>
      </c>
      <c r="I672" t="s">
        <v>65</v>
      </c>
      <c r="J672">
        <v>238951.20999999993</v>
      </c>
      <c r="K672">
        <v>170382.07000000033</v>
      </c>
    </row>
    <row r="673" spans="1:11" x14ac:dyDescent="0.3">
      <c r="A673" s="1" t="s">
        <v>89</v>
      </c>
      <c r="B673" s="1" t="s">
        <v>210</v>
      </c>
      <c r="C673" s="1" t="s">
        <v>79</v>
      </c>
      <c r="D673" t="s">
        <v>119</v>
      </c>
      <c r="E673" s="1" t="s">
        <v>119</v>
      </c>
      <c r="F673" t="s">
        <v>124</v>
      </c>
      <c r="G673" s="1" t="s">
        <v>131</v>
      </c>
      <c r="H673">
        <v>309</v>
      </c>
      <c r="I673" t="s">
        <v>52</v>
      </c>
      <c r="J673">
        <v>155622.03999999998</v>
      </c>
      <c r="K673">
        <v>203085.41000000111</v>
      </c>
    </row>
    <row r="674" spans="1:11" x14ac:dyDescent="0.3">
      <c r="A674" s="1" t="s">
        <v>89</v>
      </c>
      <c r="B674" s="1" t="s">
        <v>210</v>
      </c>
      <c r="C674" s="1" t="s">
        <v>79</v>
      </c>
      <c r="D674" t="s">
        <v>119</v>
      </c>
      <c r="E674" s="1" t="s">
        <v>119</v>
      </c>
      <c r="F674" t="s">
        <v>124</v>
      </c>
      <c r="G674" s="1" t="s">
        <v>130</v>
      </c>
      <c r="H674">
        <v>305</v>
      </c>
      <c r="I674" t="s">
        <v>6</v>
      </c>
      <c r="J674">
        <v>105478.66999999998</v>
      </c>
      <c r="K674">
        <v>110522.87000000017</v>
      </c>
    </row>
    <row r="675" spans="1:11" x14ac:dyDescent="0.3">
      <c r="A675" s="1" t="s">
        <v>89</v>
      </c>
      <c r="B675" s="1" t="s">
        <v>210</v>
      </c>
      <c r="C675" s="1" t="s">
        <v>79</v>
      </c>
      <c r="D675" t="s">
        <v>119</v>
      </c>
      <c r="E675" s="1" t="s">
        <v>119</v>
      </c>
      <c r="F675" t="s">
        <v>124</v>
      </c>
      <c r="G675" s="1" t="s">
        <v>134</v>
      </c>
      <c r="H675">
        <v>302</v>
      </c>
      <c r="I675" t="s">
        <v>32</v>
      </c>
      <c r="J675">
        <v>63530.689999999988</v>
      </c>
      <c r="K675">
        <v>61151.780000000079</v>
      </c>
    </row>
    <row r="676" spans="1:11" x14ac:dyDescent="0.3">
      <c r="A676" s="1" t="s">
        <v>89</v>
      </c>
      <c r="B676" s="1" t="s">
        <v>210</v>
      </c>
      <c r="C676" s="1" t="s">
        <v>79</v>
      </c>
      <c r="D676" t="s">
        <v>119</v>
      </c>
      <c r="E676" s="1" t="s">
        <v>119</v>
      </c>
      <c r="F676" t="s">
        <v>124</v>
      </c>
      <c r="G676" s="1" t="s">
        <v>129</v>
      </c>
      <c r="H676">
        <v>301</v>
      </c>
      <c r="I676" t="s">
        <v>59</v>
      </c>
      <c r="J676">
        <v>32819.54</v>
      </c>
      <c r="K676">
        <v>33968.200000000048</v>
      </c>
    </row>
    <row r="677" spans="1:11" x14ac:dyDescent="0.3">
      <c r="A677" s="1" t="s">
        <v>89</v>
      </c>
      <c r="B677" s="1" t="s">
        <v>210</v>
      </c>
      <c r="C677" s="1" t="s">
        <v>79</v>
      </c>
      <c r="D677" t="s">
        <v>119</v>
      </c>
      <c r="E677" s="1" t="s">
        <v>119</v>
      </c>
      <c r="F677" t="s">
        <v>124</v>
      </c>
      <c r="G677" s="1" t="s">
        <v>129</v>
      </c>
      <c r="H677">
        <v>311</v>
      </c>
      <c r="I677" t="s">
        <v>13</v>
      </c>
      <c r="J677">
        <v>37954.709999999992</v>
      </c>
      <c r="K677">
        <v>39113.930000000037</v>
      </c>
    </row>
    <row r="678" spans="1:11" x14ac:dyDescent="0.3">
      <c r="A678" s="1" t="s">
        <v>89</v>
      </c>
      <c r="B678" s="1" t="s">
        <v>210</v>
      </c>
      <c r="C678" s="1" t="s">
        <v>79</v>
      </c>
      <c r="D678" t="s">
        <v>119</v>
      </c>
      <c r="E678" s="1" t="s">
        <v>119</v>
      </c>
      <c r="F678" t="s">
        <v>125</v>
      </c>
      <c r="G678" s="1" t="s">
        <v>131</v>
      </c>
      <c r="H678">
        <v>211</v>
      </c>
      <c r="I678" t="s">
        <v>8</v>
      </c>
      <c r="J678">
        <v>135279.73000000001</v>
      </c>
      <c r="K678">
        <v>162556.16000000079</v>
      </c>
    </row>
    <row r="679" spans="1:11" x14ac:dyDescent="0.3">
      <c r="A679" s="1" t="s">
        <v>89</v>
      </c>
      <c r="B679" s="1" t="s">
        <v>210</v>
      </c>
      <c r="C679" s="1" t="s">
        <v>79</v>
      </c>
      <c r="D679" t="s">
        <v>119</v>
      </c>
      <c r="E679" s="1" t="s">
        <v>119</v>
      </c>
      <c r="F679" t="s">
        <v>125</v>
      </c>
      <c r="G679" s="1" t="s">
        <v>130</v>
      </c>
      <c r="H679">
        <v>207</v>
      </c>
      <c r="I679" t="s">
        <v>53</v>
      </c>
      <c r="J679">
        <v>98707.49000000002</v>
      </c>
      <c r="K679">
        <v>115756.58000000023</v>
      </c>
    </row>
    <row r="680" spans="1:11" x14ac:dyDescent="0.3">
      <c r="A680" s="1" t="s">
        <v>89</v>
      </c>
      <c r="B680" s="1" t="s">
        <v>210</v>
      </c>
      <c r="C680" s="1" t="s">
        <v>79</v>
      </c>
      <c r="D680" t="s">
        <v>119</v>
      </c>
      <c r="E680" s="1" t="s">
        <v>119</v>
      </c>
      <c r="F680" t="s">
        <v>125</v>
      </c>
      <c r="G680" s="1" t="s">
        <v>133</v>
      </c>
      <c r="H680">
        <v>203</v>
      </c>
      <c r="I680" t="s">
        <v>60</v>
      </c>
      <c r="J680">
        <v>46931.02</v>
      </c>
      <c r="K680">
        <v>39045.330000000016</v>
      </c>
    </row>
    <row r="681" spans="1:11" x14ac:dyDescent="0.3">
      <c r="A681" s="1" t="s">
        <v>89</v>
      </c>
      <c r="B681" s="1" t="s">
        <v>210</v>
      </c>
      <c r="C681" s="1" t="s">
        <v>79</v>
      </c>
      <c r="D681" t="s">
        <v>119</v>
      </c>
      <c r="E681" s="1" t="s">
        <v>119</v>
      </c>
      <c r="F681" t="s">
        <v>125</v>
      </c>
      <c r="G681" s="1" t="s">
        <v>133</v>
      </c>
      <c r="H681">
        <v>212</v>
      </c>
      <c r="I681" t="s">
        <v>62</v>
      </c>
      <c r="J681">
        <v>38049.979999999996</v>
      </c>
      <c r="K681">
        <v>58293.329999999922</v>
      </c>
    </row>
    <row r="682" spans="1:11" x14ac:dyDescent="0.3">
      <c r="A682" s="1" t="s">
        <v>89</v>
      </c>
      <c r="B682" s="1" t="s">
        <v>210</v>
      </c>
      <c r="C682" s="1" t="s">
        <v>79</v>
      </c>
      <c r="D682" t="s">
        <v>119</v>
      </c>
      <c r="E682" s="1" t="s">
        <v>119</v>
      </c>
      <c r="F682" t="s">
        <v>125</v>
      </c>
      <c r="G682" s="1" t="s">
        <v>134</v>
      </c>
      <c r="H682">
        <v>190</v>
      </c>
      <c r="I682" t="s">
        <v>42</v>
      </c>
      <c r="J682">
        <v>61191.05999999999</v>
      </c>
      <c r="K682">
        <v>62482.580000000038</v>
      </c>
    </row>
    <row r="683" spans="1:11" x14ac:dyDescent="0.3">
      <c r="A683" s="1" t="s">
        <v>89</v>
      </c>
      <c r="B683" s="1" t="s">
        <v>210</v>
      </c>
      <c r="C683" s="1" t="s">
        <v>79</v>
      </c>
      <c r="D683" t="s">
        <v>119</v>
      </c>
      <c r="E683" s="1" t="s">
        <v>119</v>
      </c>
      <c r="F683" t="s">
        <v>125</v>
      </c>
      <c r="G683" s="1" t="s">
        <v>134</v>
      </c>
      <c r="H683">
        <v>214</v>
      </c>
      <c r="I683" t="s">
        <v>17</v>
      </c>
      <c r="J683">
        <v>52370.499999999985</v>
      </c>
      <c r="K683">
        <v>62793.780000000086</v>
      </c>
    </row>
    <row r="684" spans="1:11" x14ac:dyDescent="0.3">
      <c r="A684" s="1" t="s">
        <v>89</v>
      </c>
      <c r="B684" s="1" t="s">
        <v>210</v>
      </c>
      <c r="C684" s="1" t="s">
        <v>79</v>
      </c>
      <c r="D684" t="s">
        <v>119</v>
      </c>
      <c r="E684" s="1" t="s">
        <v>119</v>
      </c>
      <c r="F684" t="s">
        <v>127</v>
      </c>
      <c r="G684" s="1" t="s">
        <v>130</v>
      </c>
      <c r="H684">
        <v>407</v>
      </c>
      <c r="I684" t="s">
        <v>34</v>
      </c>
      <c r="J684">
        <v>69407.899999999994</v>
      </c>
      <c r="K684">
        <v>72666.590000000273</v>
      </c>
    </row>
    <row r="685" spans="1:11" x14ac:dyDescent="0.3">
      <c r="A685" s="1" t="s">
        <v>89</v>
      </c>
      <c r="B685" s="1" t="s">
        <v>210</v>
      </c>
      <c r="C685" s="1" t="s">
        <v>79</v>
      </c>
      <c r="D685" t="s">
        <v>119</v>
      </c>
      <c r="E685" s="1" t="s">
        <v>119</v>
      </c>
      <c r="F685" t="s">
        <v>127</v>
      </c>
      <c r="G685" s="1" t="s">
        <v>130</v>
      </c>
      <c r="H685">
        <v>413</v>
      </c>
      <c r="I685" t="s">
        <v>14</v>
      </c>
      <c r="J685">
        <v>101269.28999999996</v>
      </c>
      <c r="K685">
        <v>87377.830000000598</v>
      </c>
    </row>
    <row r="686" spans="1:11" x14ac:dyDescent="0.3">
      <c r="A686" s="1" t="s">
        <v>89</v>
      </c>
      <c r="B686" s="1" t="s">
        <v>210</v>
      </c>
      <c r="C686" s="1" t="s">
        <v>79</v>
      </c>
      <c r="D686" t="s">
        <v>119</v>
      </c>
      <c r="E686" s="1" t="s">
        <v>119</v>
      </c>
      <c r="F686" t="s">
        <v>127</v>
      </c>
      <c r="G686" s="1" t="s">
        <v>133</v>
      </c>
      <c r="H686">
        <v>412</v>
      </c>
      <c r="I686" t="s">
        <v>11</v>
      </c>
      <c r="J686">
        <v>43521.719999999994</v>
      </c>
      <c r="K686">
        <v>34183.26999999996</v>
      </c>
    </row>
    <row r="687" spans="1:11" x14ac:dyDescent="0.3">
      <c r="A687" s="1" t="s">
        <v>89</v>
      </c>
      <c r="B687" s="1" t="s">
        <v>210</v>
      </c>
      <c r="C687" s="1" t="s">
        <v>79</v>
      </c>
      <c r="D687" t="s">
        <v>119</v>
      </c>
      <c r="E687" s="1" t="s">
        <v>119</v>
      </c>
      <c r="F687" t="s">
        <v>127</v>
      </c>
      <c r="G687" s="1" t="s">
        <v>134</v>
      </c>
      <c r="H687">
        <v>403</v>
      </c>
      <c r="I687" t="s">
        <v>12</v>
      </c>
      <c r="J687">
        <v>53211.059999999983</v>
      </c>
      <c r="K687">
        <v>33945.320000000014</v>
      </c>
    </row>
    <row r="688" spans="1:11" x14ac:dyDescent="0.3">
      <c r="A688" s="1" t="s">
        <v>89</v>
      </c>
      <c r="B688" s="1" t="s">
        <v>210</v>
      </c>
      <c r="C688" s="1" t="s">
        <v>79</v>
      </c>
      <c r="D688" t="s">
        <v>119</v>
      </c>
      <c r="E688" s="1" t="s">
        <v>119</v>
      </c>
      <c r="F688" t="s">
        <v>127</v>
      </c>
      <c r="G688" s="1" t="s">
        <v>129</v>
      </c>
      <c r="H688">
        <v>409</v>
      </c>
      <c r="I688" t="s">
        <v>58</v>
      </c>
      <c r="J688">
        <v>33788.01999999999</v>
      </c>
      <c r="K688">
        <v>18249.290000000008</v>
      </c>
    </row>
    <row r="689" spans="1:11" x14ac:dyDescent="0.3">
      <c r="A689" s="1" t="s">
        <v>89</v>
      </c>
      <c r="B689" s="1" t="s">
        <v>210</v>
      </c>
      <c r="C689" s="1" t="s">
        <v>79</v>
      </c>
      <c r="D689" t="s">
        <v>119</v>
      </c>
      <c r="E689" s="1" t="s">
        <v>119</v>
      </c>
      <c r="F689" t="s">
        <v>127</v>
      </c>
      <c r="G689" s="1" t="s">
        <v>132</v>
      </c>
      <c r="H689">
        <v>410</v>
      </c>
      <c r="I689" t="s">
        <v>40</v>
      </c>
      <c r="J689">
        <v>17290.660000000003</v>
      </c>
      <c r="K689">
        <v>12868.570000000005</v>
      </c>
    </row>
    <row r="690" spans="1:11" x14ac:dyDescent="0.3">
      <c r="A690" s="1" t="s">
        <v>89</v>
      </c>
      <c r="B690" s="1" t="s">
        <v>210</v>
      </c>
      <c r="C690" s="1" t="s">
        <v>79</v>
      </c>
      <c r="D690" t="s">
        <v>119</v>
      </c>
      <c r="E690" s="1" t="s">
        <v>119</v>
      </c>
      <c r="F690" t="s">
        <v>126</v>
      </c>
      <c r="G690" s="1" t="s">
        <v>130</v>
      </c>
      <c r="H690">
        <v>101</v>
      </c>
      <c r="I690" t="s">
        <v>10</v>
      </c>
      <c r="J690">
        <v>103284.38999999998</v>
      </c>
      <c r="K690">
        <v>122257.95000000046</v>
      </c>
    </row>
    <row r="691" spans="1:11" x14ac:dyDescent="0.3">
      <c r="A691" s="1" t="s">
        <v>89</v>
      </c>
      <c r="B691" s="1" t="s">
        <v>210</v>
      </c>
      <c r="C691" s="1" t="s">
        <v>79</v>
      </c>
      <c r="D691" t="s">
        <v>119</v>
      </c>
      <c r="E691" s="1" t="s">
        <v>119</v>
      </c>
      <c r="F691" t="s">
        <v>126</v>
      </c>
      <c r="G691" s="1" t="s">
        <v>130</v>
      </c>
      <c r="H691">
        <v>150</v>
      </c>
      <c r="I691" t="s">
        <v>3</v>
      </c>
      <c r="J691">
        <v>85383.360000000001</v>
      </c>
      <c r="K691">
        <v>108997.39000000022</v>
      </c>
    </row>
    <row r="692" spans="1:11" x14ac:dyDescent="0.3">
      <c r="A692" s="1" t="s">
        <v>89</v>
      </c>
      <c r="B692" s="1" t="s">
        <v>210</v>
      </c>
      <c r="C692" s="1" t="s">
        <v>79</v>
      </c>
      <c r="D692" t="s">
        <v>119</v>
      </c>
      <c r="E692" s="1" t="s">
        <v>119</v>
      </c>
      <c r="F692" t="s">
        <v>126</v>
      </c>
      <c r="G692" s="1" t="s">
        <v>134</v>
      </c>
      <c r="H692">
        <v>170</v>
      </c>
      <c r="I692" t="s">
        <v>56</v>
      </c>
      <c r="J692">
        <v>56877.069999999992</v>
      </c>
      <c r="K692">
        <v>63166.03000000005</v>
      </c>
    </row>
    <row r="693" spans="1:11" x14ac:dyDescent="0.3">
      <c r="A693" s="1" t="s">
        <v>89</v>
      </c>
      <c r="B693" s="1" t="s">
        <v>210</v>
      </c>
      <c r="C693" s="1" t="s">
        <v>79</v>
      </c>
      <c r="D693" t="s">
        <v>119</v>
      </c>
      <c r="E693" s="1" t="s">
        <v>119</v>
      </c>
      <c r="F693" t="s">
        <v>126</v>
      </c>
      <c r="G693" s="1" t="s">
        <v>129</v>
      </c>
      <c r="H693">
        <v>131</v>
      </c>
      <c r="I693" t="s">
        <v>67</v>
      </c>
      <c r="J693">
        <v>29096.81</v>
      </c>
      <c r="K693">
        <v>35924.980000000018</v>
      </c>
    </row>
    <row r="694" spans="1:11" x14ac:dyDescent="0.3">
      <c r="A694" s="1" t="s">
        <v>89</v>
      </c>
      <c r="B694" s="1" t="s">
        <v>210</v>
      </c>
      <c r="C694" s="1" t="s">
        <v>79</v>
      </c>
      <c r="D694" t="s">
        <v>119</v>
      </c>
      <c r="E694" s="1" t="s">
        <v>119</v>
      </c>
      <c r="F694" t="s">
        <v>126</v>
      </c>
      <c r="G694" s="1" t="s">
        <v>132</v>
      </c>
      <c r="H694">
        <v>151</v>
      </c>
      <c r="I694" t="s">
        <v>20</v>
      </c>
      <c r="J694">
        <v>35196.099999999991</v>
      </c>
      <c r="K694">
        <v>23736.179999999993</v>
      </c>
    </row>
    <row r="695" spans="1:11" x14ac:dyDescent="0.3">
      <c r="A695" s="1" t="s">
        <v>89</v>
      </c>
      <c r="B695" s="1" t="s">
        <v>210</v>
      </c>
      <c r="C695" s="1" t="s">
        <v>92</v>
      </c>
      <c r="D695" t="s">
        <v>121</v>
      </c>
      <c r="E695" s="1" t="s">
        <v>121</v>
      </c>
      <c r="F695" t="s">
        <v>124</v>
      </c>
      <c r="G695" s="1" t="s">
        <v>136</v>
      </c>
      <c r="H695" t="s">
        <v>111</v>
      </c>
      <c r="I695" s="33" t="s">
        <v>48</v>
      </c>
      <c r="J695" s="33">
        <v>0</v>
      </c>
      <c r="K695" s="33">
        <v>0</v>
      </c>
    </row>
    <row r="696" spans="1:11" x14ac:dyDescent="0.3">
      <c r="A696" s="1" t="s">
        <v>89</v>
      </c>
      <c r="B696" s="1" t="s">
        <v>210</v>
      </c>
      <c r="C696" s="1" t="s">
        <v>92</v>
      </c>
      <c r="D696" t="s">
        <v>121</v>
      </c>
      <c r="E696" s="1" t="s">
        <v>121</v>
      </c>
      <c r="F696" t="s">
        <v>127</v>
      </c>
      <c r="G696" s="1" t="s">
        <v>136</v>
      </c>
      <c r="H696">
        <v>418</v>
      </c>
      <c r="I696" t="s">
        <v>44</v>
      </c>
      <c r="J696">
        <v>0</v>
      </c>
      <c r="K696">
        <v>62054.210000000043</v>
      </c>
    </row>
    <row r="697" spans="1:11" x14ac:dyDescent="0.3">
      <c r="A697" s="1" t="s">
        <v>89</v>
      </c>
      <c r="B697" s="1" t="s">
        <v>210</v>
      </c>
      <c r="C697" s="1" t="s">
        <v>92</v>
      </c>
      <c r="D697" t="s">
        <v>119</v>
      </c>
      <c r="E697" s="1" t="s">
        <v>122</v>
      </c>
      <c r="F697" t="s">
        <v>124</v>
      </c>
      <c r="G697" s="1" t="s">
        <v>136</v>
      </c>
      <c r="H697">
        <v>307</v>
      </c>
      <c r="I697" t="s">
        <v>19</v>
      </c>
      <c r="J697">
        <v>62839.86</v>
      </c>
      <c r="K697">
        <v>53592.860000000073</v>
      </c>
    </row>
    <row r="698" spans="1:11" x14ac:dyDescent="0.3">
      <c r="A698" s="1" t="s">
        <v>89</v>
      </c>
      <c r="B698" s="1" t="s">
        <v>210</v>
      </c>
      <c r="C698" s="1" t="s">
        <v>92</v>
      </c>
      <c r="D698" t="s">
        <v>119</v>
      </c>
      <c r="E698" s="1" t="s">
        <v>122</v>
      </c>
      <c r="F698" t="s">
        <v>127</v>
      </c>
      <c r="G698" s="1" t="s">
        <v>136</v>
      </c>
      <c r="H698">
        <v>411</v>
      </c>
      <c r="I698" t="s">
        <v>43</v>
      </c>
      <c r="J698">
        <v>86405.83</v>
      </c>
      <c r="K698">
        <v>55497.850000000079</v>
      </c>
    </row>
    <row r="699" spans="1:11" x14ac:dyDescent="0.3">
      <c r="A699" s="1" t="s">
        <v>89</v>
      </c>
      <c r="B699" s="1" t="s">
        <v>210</v>
      </c>
      <c r="C699" s="1" t="s">
        <v>92</v>
      </c>
      <c r="D699" t="s">
        <v>119</v>
      </c>
      <c r="E699" s="1" t="s">
        <v>120</v>
      </c>
      <c r="F699" t="s">
        <v>125</v>
      </c>
      <c r="G699" s="1" t="s">
        <v>136</v>
      </c>
      <c r="H699">
        <v>213</v>
      </c>
      <c r="I699" t="s">
        <v>49</v>
      </c>
      <c r="J699">
        <v>71381.119999999995</v>
      </c>
      <c r="K699">
        <v>67374.310000000143</v>
      </c>
    </row>
    <row r="700" spans="1:11" x14ac:dyDescent="0.3">
      <c r="A700" s="1" t="s">
        <v>89</v>
      </c>
      <c r="B700" s="1" t="s">
        <v>210</v>
      </c>
      <c r="C700" s="1" t="s">
        <v>92</v>
      </c>
      <c r="D700" t="s">
        <v>119</v>
      </c>
      <c r="E700" s="1" t="s">
        <v>120</v>
      </c>
      <c r="F700" t="s">
        <v>127</v>
      </c>
      <c r="G700" s="1" t="s">
        <v>136</v>
      </c>
      <c r="H700">
        <v>415</v>
      </c>
      <c r="I700" t="s">
        <v>47</v>
      </c>
      <c r="J700">
        <v>68079.570000000007</v>
      </c>
      <c r="K700">
        <v>37747.219999999972</v>
      </c>
    </row>
    <row r="701" spans="1:11" x14ac:dyDescent="0.3">
      <c r="A701" s="1" t="s">
        <v>89</v>
      </c>
      <c r="B701" s="1" t="s">
        <v>210</v>
      </c>
      <c r="C701" s="1" t="s">
        <v>92</v>
      </c>
      <c r="D701" t="s">
        <v>119</v>
      </c>
      <c r="E701" s="1" t="s">
        <v>119</v>
      </c>
      <c r="F701" t="s">
        <v>124</v>
      </c>
      <c r="G701" s="1" t="s">
        <v>136</v>
      </c>
      <c r="H701">
        <v>306</v>
      </c>
      <c r="I701" t="s">
        <v>51</v>
      </c>
      <c r="J701">
        <v>85805.900000000009</v>
      </c>
      <c r="K701">
        <v>82560.349999999948</v>
      </c>
    </row>
    <row r="702" spans="1:11" x14ac:dyDescent="0.3">
      <c r="A702" s="1" t="s">
        <v>89</v>
      </c>
      <c r="B702" s="1" t="s">
        <v>210</v>
      </c>
      <c r="C702" s="1" t="s">
        <v>92</v>
      </c>
      <c r="D702" t="s">
        <v>119</v>
      </c>
      <c r="E702" s="1" t="s">
        <v>119</v>
      </c>
      <c r="F702" t="s">
        <v>125</v>
      </c>
      <c r="G702" s="1" t="s">
        <v>136</v>
      </c>
      <c r="H702">
        <v>201</v>
      </c>
      <c r="I702" t="s">
        <v>45</v>
      </c>
      <c r="J702">
        <v>48265.259999999995</v>
      </c>
      <c r="K702">
        <v>37982.049999999996</v>
      </c>
    </row>
    <row r="703" spans="1:11" x14ac:dyDescent="0.3">
      <c r="A703" s="1" t="s">
        <v>89</v>
      </c>
      <c r="B703" s="1" t="s">
        <v>210</v>
      </c>
      <c r="C703" s="1" t="s">
        <v>92</v>
      </c>
      <c r="D703" t="s">
        <v>119</v>
      </c>
      <c r="E703" s="1" t="s">
        <v>119</v>
      </c>
      <c r="F703" t="s">
        <v>125</v>
      </c>
      <c r="G703" s="1" t="s">
        <v>136</v>
      </c>
      <c r="H703">
        <v>204</v>
      </c>
      <c r="I703" t="s">
        <v>46</v>
      </c>
      <c r="J703">
        <v>50055.079999999987</v>
      </c>
      <c r="K703">
        <v>48181.950000000063</v>
      </c>
    </row>
    <row r="704" spans="1:11" x14ac:dyDescent="0.3">
      <c r="A704" s="1" t="s">
        <v>89</v>
      </c>
      <c r="B704" s="1" t="s">
        <v>210</v>
      </c>
      <c r="C704" s="1" t="s">
        <v>92</v>
      </c>
      <c r="D704" t="s">
        <v>119</v>
      </c>
      <c r="E704" s="1" t="s">
        <v>119</v>
      </c>
      <c r="F704" t="s">
        <v>126</v>
      </c>
      <c r="G704" s="1" t="s">
        <v>136</v>
      </c>
      <c r="H704">
        <v>102</v>
      </c>
      <c r="I704" t="s">
        <v>50</v>
      </c>
      <c r="J704">
        <v>87231.62</v>
      </c>
      <c r="K704">
        <v>60508.140000000014</v>
      </c>
    </row>
    <row r="705" spans="1:11" x14ac:dyDescent="0.3">
      <c r="A705" s="1" t="s">
        <v>89</v>
      </c>
      <c r="B705" s="1" t="s">
        <v>210</v>
      </c>
      <c r="C705" s="1" t="s">
        <v>93</v>
      </c>
      <c r="D705" t="s">
        <v>119</v>
      </c>
      <c r="E705" s="1" t="s">
        <v>119</v>
      </c>
      <c r="F705" t="s">
        <v>93</v>
      </c>
      <c r="G705" s="1" t="s">
        <v>93</v>
      </c>
      <c r="H705">
        <v>903</v>
      </c>
      <c r="I705" t="s">
        <v>37</v>
      </c>
      <c r="J705">
        <v>97760.489999999991</v>
      </c>
      <c r="K705">
        <v>91318.749999999985</v>
      </c>
    </row>
    <row r="706" spans="1:11" x14ac:dyDescent="0.3">
      <c r="A706" s="1" t="s">
        <v>89</v>
      </c>
      <c r="B706" s="1" t="s">
        <v>210</v>
      </c>
      <c r="C706" s="1" t="s">
        <v>94</v>
      </c>
      <c r="D706" t="s">
        <v>121</v>
      </c>
      <c r="E706" s="1" t="s">
        <v>121</v>
      </c>
      <c r="F706" t="s">
        <v>124</v>
      </c>
      <c r="G706" s="1" t="s">
        <v>137</v>
      </c>
      <c r="H706" t="s">
        <v>112</v>
      </c>
      <c r="I706" t="s">
        <v>21</v>
      </c>
      <c r="J706">
        <v>0</v>
      </c>
      <c r="K706">
        <v>0</v>
      </c>
    </row>
    <row r="707" spans="1:11" x14ac:dyDescent="0.3">
      <c r="A707" s="1" t="s">
        <v>89</v>
      </c>
      <c r="B707" s="1" t="s">
        <v>210</v>
      </c>
      <c r="C707" s="1" t="s">
        <v>94</v>
      </c>
      <c r="D707" t="s">
        <v>121</v>
      </c>
      <c r="E707" s="1" t="s">
        <v>121</v>
      </c>
      <c r="F707" t="s">
        <v>125</v>
      </c>
      <c r="G707" s="1" t="s">
        <v>138</v>
      </c>
      <c r="H707">
        <v>470</v>
      </c>
      <c r="I707" t="s">
        <v>26</v>
      </c>
      <c r="J707">
        <v>0</v>
      </c>
      <c r="K707">
        <v>52417.430000000168</v>
      </c>
    </row>
    <row r="708" spans="1:11" x14ac:dyDescent="0.3">
      <c r="A708" s="1" t="s">
        <v>89</v>
      </c>
      <c r="B708" s="1" t="s">
        <v>210</v>
      </c>
      <c r="C708" s="1" t="s">
        <v>94</v>
      </c>
      <c r="D708" t="s">
        <v>121</v>
      </c>
      <c r="E708" s="1" t="s">
        <v>121</v>
      </c>
      <c r="F708" t="s">
        <v>125</v>
      </c>
      <c r="G708" s="1" t="s">
        <v>137</v>
      </c>
      <c r="H708" t="s">
        <v>114</v>
      </c>
      <c r="I708" t="s">
        <v>23</v>
      </c>
      <c r="J708">
        <v>0</v>
      </c>
      <c r="K708">
        <v>0</v>
      </c>
    </row>
    <row r="709" spans="1:11" x14ac:dyDescent="0.3">
      <c r="A709" s="1" t="s">
        <v>89</v>
      </c>
      <c r="B709" s="1" t="s">
        <v>210</v>
      </c>
      <c r="C709" s="1" t="s">
        <v>94</v>
      </c>
      <c r="D709" t="s">
        <v>121</v>
      </c>
      <c r="E709" s="1" t="s">
        <v>121</v>
      </c>
      <c r="F709" t="s">
        <v>125</v>
      </c>
      <c r="G709" s="1" t="s">
        <v>137</v>
      </c>
      <c r="H709" t="s">
        <v>113</v>
      </c>
      <c r="I709" t="s">
        <v>22</v>
      </c>
      <c r="J709">
        <v>0</v>
      </c>
      <c r="K709">
        <v>0</v>
      </c>
    </row>
    <row r="710" spans="1:11" x14ac:dyDescent="0.3">
      <c r="A710" s="1" t="s">
        <v>89</v>
      </c>
      <c r="B710" s="1" t="s">
        <v>210</v>
      </c>
      <c r="C710" s="1" t="s">
        <v>94</v>
      </c>
      <c r="D710" t="s">
        <v>121</v>
      </c>
      <c r="E710" s="1" t="s">
        <v>121</v>
      </c>
      <c r="F710" t="s">
        <v>127</v>
      </c>
      <c r="G710" s="1" t="s">
        <v>137</v>
      </c>
      <c r="H710">
        <v>494</v>
      </c>
      <c r="I710" t="s">
        <v>25</v>
      </c>
      <c r="J710">
        <v>0</v>
      </c>
      <c r="K710">
        <v>9828.5400000000009</v>
      </c>
    </row>
    <row r="711" spans="1:11" x14ac:dyDescent="0.3">
      <c r="A711" s="1" t="s">
        <v>89</v>
      </c>
      <c r="B711" s="1" t="s">
        <v>210</v>
      </c>
      <c r="C711" s="1" t="s">
        <v>94</v>
      </c>
      <c r="D711" t="s">
        <v>121</v>
      </c>
      <c r="E711" s="1" t="s">
        <v>121</v>
      </c>
      <c r="F711" t="s">
        <v>126</v>
      </c>
      <c r="G711" s="1" t="s">
        <v>137</v>
      </c>
      <c r="H711">
        <v>460</v>
      </c>
      <c r="I711" t="s">
        <v>30</v>
      </c>
      <c r="J711">
        <v>0</v>
      </c>
      <c r="K711">
        <v>0</v>
      </c>
    </row>
    <row r="712" spans="1:11" x14ac:dyDescent="0.3">
      <c r="A712" s="1" t="s">
        <v>89</v>
      </c>
      <c r="B712" s="1" t="s">
        <v>210</v>
      </c>
      <c r="C712" s="1" t="s">
        <v>94</v>
      </c>
      <c r="D712" t="s">
        <v>121</v>
      </c>
      <c r="E712" s="1" t="s">
        <v>121</v>
      </c>
      <c r="F712" t="s">
        <v>126</v>
      </c>
      <c r="G712" s="1" t="s">
        <v>137</v>
      </c>
      <c r="H712">
        <v>461</v>
      </c>
      <c r="I712" t="s">
        <v>29</v>
      </c>
      <c r="J712">
        <v>0</v>
      </c>
      <c r="K712">
        <v>0</v>
      </c>
    </row>
    <row r="713" spans="1:11" x14ac:dyDescent="0.3">
      <c r="A713" s="1" t="s">
        <v>89</v>
      </c>
      <c r="B713" s="1" t="s">
        <v>210</v>
      </c>
      <c r="C713" s="1" t="s">
        <v>94</v>
      </c>
      <c r="D713" t="s">
        <v>121</v>
      </c>
      <c r="E713" s="1" t="s">
        <v>119</v>
      </c>
      <c r="F713" t="s">
        <v>124</v>
      </c>
      <c r="G713" s="1" t="s">
        <v>138</v>
      </c>
      <c r="H713">
        <v>480</v>
      </c>
      <c r="I713" t="s">
        <v>28</v>
      </c>
      <c r="J713">
        <v>33364.300000000003</v>
      </c>
      <c r="K713">
        <v>31593.43</v>
      </c>
    </row>
    <row r="714" spans="1:11" x14ac:dyDescent="0.3">
      <c r="A714" s="1" t="s">
        <v>89</v>
      </c>
      <c r="B714" s="1" t="s">
        <v>210</v>
      </c>
      <c r="C714" s="1" t="s">
        <v>94</v>
      </c>
      <c r="D714" t="s">
        <v>121</v>
      </c>
      <c r="E714" s="1" t="s">
        <v>119</v>
      </c>
      <c r="F714" t="s">
        <v>127</v>
      </c>
      <c r="G714" s="1" t="s">
        <v>138</v>
      </c>
      <c r="H714">
        <v>491</v>
      </c>
      <c r="I714" t="s">
        <v>31</v>
      </c>
      <c r="J714">
        <v>0</v>
      </c>
      <c r="K714">
        <v>53501.380000000114</v>
      </c>
    </row>
    <row r="715" spans="1:11" x14ac:dyDescent="0.3">
      <c r="A715" s="1" t="s">
        <v>89</v>
      </c>
      <c r="B715" s="1" t="s">
        <v>210</v>
      </c>
      <c r="C715" s="1" t="s">
        <v>94</v>
      </c>
      <c r="D715" t="s">
        <v>121</v>
      </c>
      <c r="E715" s="1" t="s">
        <v>119</v>
      </c>
      <c r="F715" t="s">
        <v>127</v>
      </c>
      <c r="G715" s="1" t="s">
        <v>138</v>
      </c>
      <c r="H715">
        <v>492</v>
      </c>
      <c r="I715" t="s">
        <v>27</v>
      </c>
      <c r="J715">
        <v>48339.819999999992</v>
      </c>
      <c r="K715">
        <v>25419.900000000005</v>
      </c>
    </row>
    <row r="716" spans="1:11" x14ac:dyDescent="0.3">
      <c r="A716" s="1" t="s">
        <v>89</v>
      </c>
      <c r="B716" s="1" t="s">
        <v>210</v>
      </c>
      <c r="C716" s="1" t="s">
        <v>94</v>
      </c>
      <c r="D716" t="s">
        <v>121</v>
      </c>
      <c r="E716" s="1" t="s">
        <v>119</v>
      </c>
      <c r="F716" t="s">
        <v>127</v>
      </c>
      <c r="G716" s="1" t="s">
        <v>138</v>
      </c>
      <c r="H716">
        <v>493</v>
      </c>
      <c r="I716" t="s">
        <v>24</v>
      </c>
      <c r="J716">
        <v>30167.03</v>
      </c>
      <c r="K716">
        <v>20284.129999999997</v>
      </c>
    </row>
    <row r="717" spans="1:11" x14ac:dyDescent="0.3">
      <c r="A717" s="1" t="s">
        <v>89</v>
      </c>
      <c r="B717" s="1" t="s">
        <v>210</v>
      </c>
      <c r="C717" s="1" t="s">
        <v>95</v>
      </c>
      <c r="D717" t="s">
        <v>121</v>
      </c>
      <c r="E717" s="1" t="s">
        <v>121</v>
      </c>
      <c r="F717" t="s">
        <v>125</v>
      </c>
      <c r="G717" s="1" t="s">
        <v>139</v>
      </c>
      <c r="H717" t="s">
        <v>115</v>
      </c>
      <c r="I717" s="33" t="s">
        <v>71</v>
      </c>
      <c r="J717" s="33">
        <v>0</v>
      </c>
      <c r="K717" s="33">
        <v>0</v>
      </c>
    </row>
    <row r="718" spans="1:11" x14ac:dyDescent="0.3">
      <c r="A718" s="1" t="s">
        <v>89</v>
      </c>
      <c r="B718" s="1" t="s">
        <v>210</v>
      </c>
      <c r="C718" s="1" t="s">
        <v>95</v>
      </c>
      <c r="D718" t="s">
        <v>121</v>
      </c>
      <c r="E718" s="1" t="s">
        <v>121</v>
      </c>
      <c r="F718" t="s">
        <v>126</v>
      </c>
      <c r="G718" s="1" t="s">
        <v>139</v>
      </c>
      <c r="H718">
        <v>510</v>
      </c>
      <c r="I718" t="s">
        <v>76</v>
      </c>
      <c r="J718">
        <v>0</v>
      </c>
      <c r="K718">
        <v>0</v>
      </c>
    </row>
    <row r="719" spans="1:11" x14ac:dyDescent="0.3">
      <c r="A719" s="1" t="s">
        <v>89</v>
      </c>
      <c r="B719" s="1" t="s">
        <v>210</v>
      </c>
      <c r="C719" s="1" t="s">
        <v>95</v>
      </c>
      <c r="D719" t="s">
        <v>121</v>
      </c>
      <c r="E719" s="1" t="s">
        <v>121</v>
      </c>
      <c r="F719" t="s">
        <v>126</v>
      </c>
      <c r="G719" s="1" t="s">
        <v>139</v>
      </c>
      <c r="H719" t="s">
        <v>116</v>
      </c>
      <c r="I719" s="33" t="s">
        <v>75</v>
      </c>
      <c r="J719" s="33">
        <v>0</v>
      </c>
      <c r="K719" s="33">
        <v>0</v>
      </c>
    </row>
    <row r="720" spans="1:11" x14ac:dyDescent="0.3">
      <c r="A720" s="1" t="s">
        <v>89</v>
      </c>
      <c r="B720" s="1" t="s">
        <v>210</v>
      </c>
      <c r="C720" s="1" t="s">
        <v>95</v>
      </c>
      <c r="D720" t="s">
        <v>121</v>
      </c>
      <c r="E720" s="1" t="s">
        <v>119</v>
      </c>
      <c r="F720" t="s">
        <v>127</v>
      </c>
      <c r="G720" s="1" t="s">
        <v>140</v>
      </c>
      <c r="H720">
        <v>541</v>
      </c>
      <c r="I720" t="s">
        <v>74</v>
      </c>
      <c r="J720">
        <v>24955.449999999997</v>
      </c>
      <c r="K720">
        <v>17395.649999999991</v>
      </c>
    </row>
    <row r="721" spans="1:11" x14ac:dyDescent="0.3">
      <c r="A721" s="1" t="s">
        <v>89</v>
      </c>
      <c r="B721" s="1" t="s">
        <v>210</v>
      </c>
      <c r="C721" s="1" t="s">
        <v>95</v>
      </c>
      <c r="D721" t="s">
        <v>121</v>
      </c>
      <c r="E721" s="1" t="s">
        <v>119</v>
      </c>
      <c r="F721" t="s">
        <v>127</v>
      </c>
      <c r="G721" s="1" t="s">
        <v>140</v>
      </c>
      <c r="H721">
        <v>543</v>
      </c>
      <c r="I721" t="s">
        <v>72</v>
      </c>
      <c r="J721">
        <v>20500.87</v>
      </c>
      <c r="K721">
        <v>15980.069999999994</v>
      </c>
    </row>
    <row r="722" spans="1:11" x14ac:dyDescent="0.3">
      <c r="A722" s="1" t="s">
        <v>89</v>
      </c>
      <c r="B722" s="1" t="s">
        <v>210</v>
      </c>
      <c r="C722" s="1" t="s">
        <v>95</v>
      </c>
      <c r="D722" t="s">
        <v>120</v>
      </c>
      <c r="E722" s="1" t="s">
        <v>119</v>
      </c>
      <c r="F722" t="s">
        <v>127</v>
      </c>
      <c r="G722" s="1" t="s">
        <v>140</v>
      </c>
      <c r="H722">
        <v>540</v>
      </c>
      <c r="I722" t="s">
        <v>73</v>
      </c>
      <c r="J722">
        <v>55833.630000000005</v>
      </c>
      <c r="K722">
        <v>49988.359999999986</v>
      </c>
    </row>
    <row r="723" spans="1:11" x14ac:dyDescent="0.3">
      <c r="A723" s="1" t="s">
        <v>89</v>
      </c>
      <c r="B723" s="1" t="s">
        <v>210</v>
      </c>
      <c r="C723" s="1" t="s">
        <v>95</v>
      </c>
      <c r="D723" t="s">
        <v>119</v>
      </c>
      <c r="E723" s="1" t="s">
        <v>120</v>
      </c>
      <c r="F723" t="s">
        <v>124</v>
      </c>
      <c r="G723" s="1" t="s">
        <v>139</v>
      </c>
      <c r="H723">
        <v>530</v>
      </c>
      <c r="I723" t="s">
        <v>68</v>
      </c>
      <c r="J723">
        <v>25932.14</v>
      </c>
      <c r="K723">
        <v>22672.379999999986</v>
      </c>
    </row>
    <row r="724" spans="1:11" x14ac:dyDescent="0.3">
      <c r="A724" s="1" t="s">
        <v>89</v>
      </c>
      <c r="B724" s="1" t="s">
        <v>210</v>
      </c>
      <c r="C724" s="1" t="s">
        <v>95</v>
      </c>
      <c r="D724" t="s">
        <v>119</v>
      </c>
      <c r="E724" s="1" t="s">
        <v>119</v>
      </c>
      <c r="F724" t="s">
        <v>125</v>
      </c>
      <c r="G724" s="1" t="s">
        <v>140</v>
      </c>
      <c r="H724">
        <v>520</v>
      </c>
      <c r="I724" t="s">
        <v>70</v>
      </c>
      <c r="J724">
        <v>39617.68</v>
      </c>
      <c r="K724">
        <v>42824.899999999965</v>
      </c>
    </row>
    <row r="725" spans="1:11" x14ac:dyDescent="0.3">
      <c r="A725" s="2" t="s">
        <v>89</v>
      </c>
      <c r="B725" s="1" t="s">
        <v>210</v>
      </c>
      <c r="C725" s="1" t="s">
        <v>95</v>
      </c>
      <c r="D725" t="s">
        <v>119</v>
      </c>
      <c r="E725" s="1" t="s">
        <v>119</v>
      </c>
      <c r="F725" t="s">
        <v>127</v>
      </c>
      <c r="G725" s="1" t="s">
        <v>139</v>
      </c>
      <c r="H725">
        <v>542</v>
      </c>
      <c r="I725" t="s">
        <v>69</v>
      </c>
      <c r="J725">
        <v>15490.260000000002</v>
      </c>
      <c r="K725">
        <v>9247.6200000000044</v>
      </c>
    </row>
    <row r="726" spans="1:11" x14ac:dyDescent="0.3">
      <c r="A726" s="1" t="s">
        <v>90</v>
      </c>
      <c r="B726" s="1" t="s">
        <v>210</v>
      </c>
      <c r="C726" s="1" t="s">
        <v>79</v>
      </c>
      <c r="D726" t="s">
        <v>122</v>
      </c>
      <c r="E726" s="1" t="s">
        <v>122</v>
      </c>
      <c r="F726" t="s">
        <v>124</v>
      </c>
      <c r="G726" s="1" t="s">
        <v>129</v>
      </c>
      <c r="H726" t="s">
        <v>196</v>
      </c>
      <c r="I726" t="s">
        <v>1</v>
      </c>
      <c r="J726">
        <v>0</v>
      </c>
      <c r="K726">
        <v>0</v>
      </c>
    </row>
    <row r="727" spans="1:11" x14ac:dyDescent="0.3">
      <c r="A727" s="1" t="s">
        <v>90</v>
      </c>
      <c r="B727" s="1" t="s">
        <v>210</v>
      </c>
      <c r="C727" s="1" t="s">
        <v>79</v>
      </c>
      <c r="D727" t="s">
        <v>122</v>
      </c>
      <c r="E727" s="1" t="s">
        <v>122</v>
      </c>
      <c r="F727" t="s">
        <v>125</v>
      </c>
      <c r="G727" s="1" t="s">
        <v>129</v>
      </c>
      <c r="H727" t="s">
        <v>196</v>
      </c>
      <c r="I727" t="s">
        <v>7</v>
      </c>
      <c r="J727">
        <v>0</v>
      </c>
      <c r="K727">
        <v>0</v>
      </c>
    </row>
    <row r="728" spans="1:11" x14ac:dyDescent="0.3">
      <c r="A728" s="1" t="s">
        <v>90</v>
      </c>
      <c r="B728" s="1" t="s">
        <v>210</v>
      </c>
      <c r="C728" s="1" t="s">
        <v>79</v>
      </c>
      <c r="D728" t="s">
        <v>122</v>
      </c>
      <c r="E728" s="1" t="s">
        <v>122</v>
      </c>
      <c r="F728" t="s">
        <v>127</v>
      </c>
      <c r="G728" s="1" t="s">
        <v>129</v>
      </c>
      <c r="H728" t="s">
        <v>196</v>
      </c>
      <c r="I728" t="s">
        <v>5</v>
      </c>
      <c r="J728">
        <v>0</v>
      </c>
      <c r="K728">
        <v>0</v>
      </c>
    </row>
    <row r="729" spans="1:11" x14ac:dyDescent="0.3">
      <c r="A729" s="1" t="s">
        <v>90</v>
      </c>
      <c r="B729" s="1" t="s">
        <v>210</v>
      </c>
      <c r="C729" s="1" t="s">
        <v>79</v>
      </c>
      <c r="D729" t="s">
        <v>122</v>
      </c>
      <c r="E729" s="1" t="s">
        <v>122</v>
      </c>
      <c r="F729" t="s">
        <v>127</v>
      </c>
      <c r="G729" s="1" t="s">
        <v>122</v>
      </c>
      <c r="H729" t="s">
        <v>196</v>
      </c>
      <c r="I729" t="s">
        <v>33</v>
      </c>
      <c r="J729">
        <v>0</v>
      </c>
      <c r="K729">
        <v>0</v>
      </c>
    </row>
    <row r="730" spans="1:11" x14ac:dyDescent="0.3">
      <c r="A730" s="1" t="s">
        <v>90</v>
      </c>
      <c r="B730" s="1" t="s">
        <v>210</v>
      </c>
      <c r="C730" s="1" t="s">
        <v>79</v>
      </c>
      <c r="D730" t="s">
        <v>121</v>
      </c>
      <c r="E730" s="1" t="s">
        <v>121</v>
      </c>
      <c r="F730" t="s">
        <v>125</v>
      </c>
      <c r="G730" s="1" t="s">
        <v>129</v>
      </c>
      <c r="H730" t="s">
        <v>110</v>
      </c>
      <c r="I730" t="s">
        <v>64</v>
      </c>
      <c r="J730">
        <v>0</v>
      </c>
      <c r="K730">
        <v>0</v>
      </c>
    </row>
    <row r="731" spans="1:11" x14ac:dyDescent="0.3">
      <c r="A731" s="1" t="s">
        <v>90</v>
      </c>
      <c r="B731" s="1" t="s">
        <v>210</v>
      </c>
      <c r="C731" s="1" t="s">
        <v>79</v>
      </c>
      <c r="D731" t="s">
        <v>121</v>
      </c>
      <c r="E731" s="1" t="s">
        <v>121</v>
      </c>
      <c r="F731" t="s">
        <v>127</v>
      </c>
      <c r="G731" s="1" t="s">
        <v>129</v>
      </c>
      <c r="H731" t="s">
        <v>109</v>
      </c>
      <c r="I731" s="33" t="s">
        <v>41</v>
      </c>
      <c r="J731" s="33">
        <v>0</v>
      </c>
      <c r="K731" s="33">
        <v>0</v>
      </c>
    </row>
    <row r="732" spans="1:11" x14ac:dyDescent="0.3">
      <c r="A732" s="1" t="s">
        <v>90</v>
      </c>
      <c r="B732" s="1" t="s">
        <v>210</v>
      </c>
      <c r="C732" s="1" t="s">
        <v>79</v>
      </c>
      <c r="D732" t="s">
        <v>121</v>
      </c>
      <c r="E732" s="1" t="s">
        <v>121</v>
      </c>
      <c r="F732" t="s">
        <v>127</v>
      </c>
      <c r="G732" s="1" t="s">
        <v>135</v>
      </c>
      <c r="H732" t="s">
        <v>108</v>
      </c>
      <c r="I732" s="33" t="s">
        <v>16</v>
      </c>
      <c r="J732" s="33">
        <v>0</v>
      </c>
      <c r="K732" s="33">
        <v>0</v>
      </c>
    </row>
    <row r="733" spans="1:11" x14ac:dyDescent="0.3">
      <c r="A733" s="1" t="s">
        <v>90</v>
      </c>
      <c r="B733" s="1" t="s">
        <v>210</v>
      </c>
      <c r="C733" s="1" t="s">
        <v>79</v>
      </c>
      <c r="D733" t="s">
        <v>120</v>
      </c>
      <c r="E733" s="1" t="s">
        <v>120</v>
      </c>
      <c r="F733" t="s">
        <v>124</v>
      </c>
      <c r="G733" s="1" t="s">
        <v>129</v>
      </c>
      <c r="H733">
        <v>304</v>
      </c>
      <c r="I733" t="s">
        <v>61</v>
      </c>
      <c r="J733">
        <v>34160.909999999996</v>
      </c>
      <c r="K733">
        <v>45873.706896551725</v>
      </c>
    </row>
    <row r="734" spans="1:11" x14ac:dyDescent="0.3">
      <c r="A734" s="1" t="s">
        <v>90</v>
      </c>
      <c r="B734" s="1" t="s">
        <v>210</v>
      </c>
      <c r="C734" s="1" t="s">
        <v>79</v>
      </c>
      <c r="D734" t="s">
        <v>120</v>
      </c>
      <c r="E734" s="1" t="s">
        <v>120</v>
      </c>
      <c r="F734" t="s">
        <v>125</v>
      </c>
      <c r="G734" s="1" t="s">
        <v>133</v>
      </c>
      <c r="H734">
        <v>208</v>
      </c>
      <c r="I734" t="s">
        <v>36</v>
      </c>
      <c r="J734">
        <v>49851.829999999987</v>
      </c>
      <c r="K734">
        <v>124150.83333333334</v>
      </c>
    </row>
    <row r="735" spans="1:11" x14ac:dyDescent="0.3">
      <c r="A735" s="1" t="s">
        <v>90</v>
      </c>
      <c r="B735" s="1" t="s">
        <v>210</v>
      </c>
      <c r="C735" s="1" t="s">
        <v>79</v>
      </c>
      <c r="D735" t="s">
        <v>120</v>
      </c>
      <c r="E735" s="1" t="s">
        <v>120</v>
      </c>
      <c r="F735" t="s">
        <v>125</v>
      </c>
      <c r="G735" s="1" t="s">
        <v>133</v>
      </c>
      <c r="H735">
        <v>209</v>
      </c>
      <c r="I735" t="s">
        <v>35</v>
      </c>
      <c r="J735">
        <v>26006.990000000005</v>
      </c>
      <c r="K735">
        <v>0</v>
      </c>
    </row>
    <row r="736" spans="1:11" x14ac:dyDescent="0.3">
      <c r="A736" s="1" t="s">
        <v>90</v>
      </c>
      <c r="B736" s="1" t="s">
        <v>210</v>
      </c>
      <c r="C736" s="1" t="s">
        <v>79</v>
      </c>
      <c r="D736" t="s">
        <v>120</v>
      </c>
      <c r="E736" s="1" t="s">
        <v>120</v>
      </c>
      <c r="F736" t="s">
        <v>125</v>
      </c>
      <c r="G736" s="1" t="s">
        <v>129</v>
      </c>
      <c r="H736">
        <v>202</v>
      </c>
      <c r="I736" t="s">
        <v>4</v>
      </c>
      <c r="J736">
        <v>45726.819999999992</v>
      </c>
      <c r="K736">
        <v>56206.178160919531</v>
      </c>
    </row>
    <row r="737" spans="1:11" x14ac:dyDescent="0.3">
      <c r="A737" s="1" t="s">
        <v>90</v>
      </c>
      <c r="B737" s="1" t="s">
        <v>210</v>
      </c>
      <c r="C737" s="1" t="s">
        <v>79</v>
      </c>
      <c r="D737" t="s">
        <v>120</v>
      </c>
      <c r="E737" s="1" t="s">
        <v>120</v>
      </c>
      <c r="F737" t="s">
        <v>127</v>
      </c>
      <c r="G737" s="1" t="s">
        <v>133</v>
      </c>
      <c r="H737">
        <v>404</v>
      </c>
      <c r="I737" t="s">
        <v>15</v>
      </c>
      <c r="J737">
        <v>21287.56</v>
      </c>
      <c r="K737">
        <v>27054.597701149414</v>
      </c>
    </row>
    <row r="738" spans="1:11" x14ac:dyDescent="0.3">
      <c r="A738" s="1" t="s">
        <v>90</v>
      </c>
      <c r="B738" s="1" t="s">
        <v>210</v>
      </c>
      <c r="C738" s="1" t="s">
        <v>79</v>
      </c>
      <c r="D738" t="s">
        <v>120</v>
      </c>
      <c r="E738" s="1" t="s">
        <v>119</v>
      </c>
      <c r="F738" t="s">
        <v>124</v>
      </c>
      <c r="G738" s="1" t="s">
        <v>129</v>
      </c>
      <c r="H738">
        <v>310</v>
      </c>
      <c r="I738" t="s">
        <v>63</v>
      </c>
      <c r="J738">
        <v>29524.47</v>
      </c>
      <c r="K738">
        <v>41358.620689655159</v>
      </c>
    </row>
    <row r="739" spans="1:11" x14ac:dyDescent="0.3">
      <c r="A739" s="1" t="s">
        <v>90</v>
      </c>
      <c r="B739" s="1" t="s">
        <v>210</v>
      </c>
      <c r="C739" s="1" t="s">
        <v>79</v>
      </c>
      <c r="D739" t="s">
        <v>120</v>
      </c>
      <c r="E739" s="1" t="s">
        <v>119</v>
      </c>
      <c r="F739" t="s">
        <v>125</v>
      </c>
      <c r="G739" s="1" t="s">
        <v>134</v>
      </c>
      <c r="H739">
        <v>206</v>
      </c>
      <c r="I739" t="s">
        <v>18</v>
      </c>
      <c r="J739">
        <v>67786.699999999983</v>
      </c>
      <c r="K739">
        <v>66999.856321839077</v>
      </c>
    </row>
    <row r="740" spans="1:11" x14ac:dyDescent="0.3">
      <c r="A740" s="1" t="s">
        <v>90</v>
      </c>
      <c r="B740" s="1" t="s">
        <v>210</v>
      </c>
      <c r="C740" s="1" t="s">
        <v>79</v>
      </c>
      <c r="D740" t="s">
        <v>120</v>
      </c>
      <c r="E740" s="1" t="s">
        <v>119</v>
      </c>
      <c r="F740" t="s">
        <v>125</v>
      </c>
      <c r="G740" s="1" t="s">
        <v>129</v>
      </c>
      <c r="H740">
        <v>210</v>
      </c>
      <c r="I740" t="s">
        <v>2</v>
      </c>
      <c r="J740">
        <v>40963.56</v>
      </c>
      <c r="K740">
        <v>45513.074712643669</v>
      </c>
    </row>
    <row r="741" spans="1:11" x14ac:dyDescent="0.3">
      <c r="A741" s="1" t="s">
        <v>90</v>
      </c>
      <c r="B741" s="1" t="s">
        <v>210</v>
      </c>
      <c r="C741" s="1" t="s">
        <v>79</v>
      </c>
      <c r="D741" t="s">
        <v>120</v>
      </c>
      <c r="E741" s="1" t="s">
        <v>119</v>
      </c>
      <c r="F741" t="s">
        <v>127</v>
      </c>
      <c r="G741" s="1" t="s">
        <v>131</v>
      </c>
      <c r="H741">
        <v>417</v>
      </c>
      <c r="I741" t="s">
        <v>54</v>
      </c>
      <c r="J741">
        <v>52174.51999999999</v>
      </c>
      <c r="K741">
        <v>39206.6091954023</v>
      </c>
    </row>
    <row r="742" spans="1:11" x14ac:dyDescent="0.3">
      <c r="A742" s="1" t="s">
        <v>90</v>
      </c>
      <c r="B742" s="1" t="s">
        <v>210</v>
      </c>
      <c r="C742" s="1" t="s">
        <v>79</v>
      </c>
      <c r="D742" t="s">
        <v>119</v>
      </c>
      <c r="E742" s="1" t="s">
        <v>120</v>
      </c>
      <c r="F742" t="s">
        <v>124</v>
      </c>
      <c r="G742" s="1" t="s">
        <v>129</v>
      </c>
      <c r="H742">
        <v>308</v>
      </c>
      <c r="I742" t="s">
        <v>0</v>
      </c>
      <c r="J742">
        <v>34186.33</v>
      </c>
      <c r="K742">
        <v>35122.84482758621</v>
      </c>
    </row>
    <row r="743" spans="1:11" x14ac:dyDescent="0.3">
      <c r="A743" s="1" t="s">
        <v>90</v>
      </c>
      <c r="B743" s="1" t="s">
        <v>210</v>
      </c>
      <c r="C743" s="1" t="s">
        <v>79</v>
      </c>
      <c r="D743" t="s">
        <v>119</v>
      </c>
      <c r="E743" s="1" t="s">
        <v>120</v>
      </c>
      <c r="F743" t="s">
        <v>127</v>
      </c>
      <c r="G743" s="1" t="s">
        <v>132</v>
      </c>
      <c r="H743">
        <v>402</v>
      </c>
      <c r="I743" t="s">
        <v>9</v>
      </c>
      <c r="J743">
        <v>20032.600000000002</v>
      </c>
      <c r="K743">
        <v>14411.063218390804</v>
      </c>
    </row>
    <row r="744" spans="1:11" x14ac:dyDescent="0.3">
      <c r="A744" s="1" t="s">
        <v>90</v>
      </c>
      <c r="B744" s="1" t="s">
        <v>210</v>
      </c>
      <c r="C744" s="1" t="s">
        <v>79</v>
      </c>
      <c r="D744" t="s">
        <v>119</v>
      </c>
      <c r="E744" s="1" t="s">
        <v>120</v>
      </c>
      <c r="F744" t="s">
        <v>127</v>
      </c>
      <c r="G744" s="1" t="s">
        <v>132</v>
      </c>
      <c r="H744">
        <v>406</v>
      </c>
      <c r="I744" t="s">
        <v>57</v>
      </c>
      <c r="J744">
        <v>14408.12</v>
      </c>
      <c r="K744">
        <v>8452.5862068965507</v>
      </c>
    </row>
    <row r="745" spans="1:11" x14ac:dyDescent="0.3">
      <c r="A745" s="1" t="s">
        <v>90</v>
      </c>
      <c r="B745" s="1" t="s">
        <v>210</v>
      </c>
      <c r="C745" s="1" t="s">
        <v>79</v>
      </c>
      <c r="D745" t="s">
        <v>119</v>
      </c>
      <c r="E745" s="1" t="s">
        <v>120</v>
      </c>
      <c r="F745" t="s">
        <v>127</v>
      </c>
      <c r="G745" s="1" t="s">
        <v>132</v>
      </c>
      <c r="H745">
        <v>416</v>
      </c>
      <c r="I745" t="s">
        <v>66</v>
      </c>
      <c r="J745">
        <v>13212.670000000002</v>
      </c>
      <c r="K745">
        <v>7780.0287356321842</v>
      </c>
    </row>
    <row r="746" spans="1:11" x14ac:dyDescent="0.3">
      <c r="A746" s="1" t="s">
        <v>90</v>
      </c>
      <c r="B746" s="1" t="s">
        <v>210</v>
      </c>
      <c r="C746" s="1" t="s">
        <v>79</v>
      </c>
      <c r="D746" t="s">
        <v>119</v>
      </c>
      <c r="E746" s="1" t="s">
        <v>120</v>
      </c>
      <c r="F746" t="s">
        <v>127</v>
      </c>
      <c r="G746" s="1" t="s">
        <v>135</v>
      </c>
      <c r="H746">
        <v>414</v>
      </c>
      <c r="I746" t="s">
        <v>65</v>
      </c>
      <c r="J746">
        <v>250229.34</v>
      </c>
      <c r="K746">
        <v>132136.78160919558</v>
      </c>
    </row>
    <row r="747" spans="1:11" x14ac:dyDescent="0.3">
      <c r="A747" s="1" t="s">
        <v>90</v>
      </c>
      <c r="B747" s="1" t="s">
        <v>210</v>
      </c>
      <c r="C747" s="1" t="s">
        <v>79</v>
      </c>
      <c r="D747" t="s">
        <v>119</v>
      </c>
      <c r="E747" s="1" t="s">
        <v>119</v>
      </c>
      <c r="F747" t="s">
        <v>124</v>
      </c>
      <c r="G747" s="1" t="s">
        <v>131</v>
      </c>
      <c r="H747">
        <v>309</v>
      </c>
      <c r="I747" t="s">
        <v>52</v>
      </c>
      <c r="J747">
        <v>181271.45999999996</v>
      </c>
      <c r="K747">
        <v>289461.92528735637</v>
      </c>
    </row>
    <row r="748" spans="1:11" x14ac:dyDescent="0.3">
      <c r="A748" s="1" t="s">
        <v>90</v>
      </c>
      <c r="B748" s="1" t="s">
        <v>210</v>
      </c>
      <c r="C748" s="1" t="s">
        <v>79</v>
      </c>
      <c r="D748" t="s">
        <v>119</v>
      </c>
      <c r="E748" s="1" t="s">
        <v>119</v>
      </c>
      <c r="F748" t="s">
        <v>124</v>
      </c>
      <c r="G748" s="1" t="s">
        <v>130</v>
      </c>
      <c r="H748">
        <v>305</v>
      </c>
      <c r="I748" t="s">
        <v>6</v>
      </c>
      <c r="J748">
        <v>110509.34999999998</v>
      </c>
      <c r="K748">
        <v>170853.73563218393</v>
      </c>
    </row>
    <row r="749" spans="1:11" x14ac:dyDescent="0.3">
      <c r="A749" s="1" t="s">
        <v>90</v>
      </c>
      <c r="B749" s="1" t="s">
        <v>210</v>
      </c>
      <c r="C749" s="1" t="s">
        <v>79</v>
      </c>
      <c r="D749" t="s">
        <v>119</v>
      </c>
      <c r="E749" s="1" t="s">
        <v>119</v>
      </c>
      <c r="F749" t="s">
        <v>124</v>
      </c>
      <c r="G749" s="1" t="s">
        <v>134</v>
      </c>
      <c r="H749">
        <v>302</v>
      </c>
      <c r="I749" t="s">
        <v>32</v>
      </c>
      <c r="J749">
        <v>77017.52</v>
      </c>
      <c r="K749">
        <v>97362.212643678155</v>
      </c>
    </row>
    <row r="750" spans="1:11" x14ac:dyDescent="0.3">
      <c r="A750" s="1" t="s">
        <v>90</v>
      </c>
      <c r="B750" s="1" t="s">
        <v>210</v>
      </c>
      <c r="C750" s="1" t="s">
        <v>79</v>
      </c>
      <c r="D750" t="s">
        <v>119</v>
      </c>
      <c r="E750" s="1" t="s">
        <v>119</v>
      </c>
      <c r="F750" t="s">
        <v>124</v>
      </c>
      <c r="G750" s="1" t="s">
        <v>129</v>
      </c>
      <c r="H750">
        <v>301</v>
      </c>
      <c r="I750" t="s">
        <v>59</v>
      </c>
      <c r="J750">
        <v>34301.869999999995</v>
      </c>
      <c r="K750">
        <v>48653.017241379304</v>
      </c>
    </row>
    <row r="751" spans="1:11" x14ac:dyDescent="0.3">
      <c r="A751" s="1" t="s">
        <v>90</v>
      </c>
      <c r="B751" s="1" t="s">
        <v>210</v>
      </c>
      <c r="C751" s="1" t="s">
        <v>79</v>
      </c>
      <c r="D751" t="s">
        <v>119</v>
      </c>
      <c r="E751" s="1" t="s">
        <v>119</v>
      </c>
      <c r="F751" t="s">
        <v>124</v>
      </c>
      <c r="G751" s="1" t="s">
        <v>129</v>
      </c>
      <c r="H751">
        <v>311</v>
      </c>
      <c r="I751" t="s">
        <v>13</v>
      </c>
      <c r="J751">
        <v>33359.58</v>
      </c>
      <c r="K751">
        <v>44616.666666666657</v>
      </c>
    </row>
    <row r="752" spans="1:11" x14ac:dyDescent="0.3">
      <c r="A752" s="1" t="s">
        <v>90</v>
      </c>
      <c r="B752" s="1" t="s">
        <v>210</v>
      </c>
      <c r="C752" s="1" t="s">
        <v>79</v>
      </c>
      <c r="D752" t="s">
        <v>119</v>
      </c>
      <c r="E752" s="1" t="s">
        <v>119</v>
      </c>
      <c r="F752" t="s">
        <v>125</v>
      </c>
      <c r="G752" s="1" t="s">
        <v>131</v>
      </c>
      <c r="H752">
        <v>211</v>
      </c>
      <c r="I752" t="s">
        <v>8</v>
      </c>
      <c r="J752">
        <v>207269.88</v>
      </c>
      <c r="K752">
        <v>279482.04022988508</v>
      </c>
    </row>
    <row r="753" spans="1:11" x14ac:dyDescent="0.3">
      <c r="A753" s="1" t="s">
        <v>90</v>
      </c>
      <c r="B753" s="1" t="s">
        <v>210</v>
      </c>
      <c r="C753" s="1" t="s">
        <v>79</v>
      </c>
      <c r="D753" t="s">
        <v>119</v>
      </c>
      <c r="E753" s="1" t="s">
        <v>119</v>
      </c>
      <c r="F753" t="s">
        <v>125</v>
      </c>
      <c r="G753" s="1" t="s">
        <v>130</v>
      </c>
      <c r="H753">
        <v>207</v>
      </c>
      <c r="I753" t="s">
        <v>53</v>
      </c>
      <c r="J753">
        <v>129413.23999999996</v>
      </c>
      <c r="K753">
        <v>215571.98275862072</v>
      </c>
    </row>
    <row r="754" spans="1:11" x14ac:dyDescent="0.3">
      <c r="A754" s="1" t="s">
        <v>90</v>
      </c>
      <c r="B754" s="1" t="s">
        <v>210</v>
      </c>
      <c r="C754" s="1" t="s">
        <v>79</v>
      </c>
      <c r="D754" t="s">
        <v>119</v>
      </c>
      <c r="E754" s="1" t="s">
        <v>119</v>
      </c>
      <c r="F754" t="s">
        <v>125</v>
      </c>
      <c r="G754" s="1" t="s">
        <v>133</v>
      </c>
      <c r="H754">
        <v>203</v>
      </c>
      <c r="I754" t="s">
        <v>60</v>
      </c>
      <c r="J754">
        <v>62515.17</v>
      </c>
      <c r="K754">
        <v>76664.080459770106</v>
      </c>
    </row>
    <row r="755" spans="1:11" x14ac:dyDescent="0.3">
      <c r="A755" s="1" t="s">
        <v>90</v>
      </c>
      <c r="B755" s="1" t="s">
        <v>210</v>
      </c>
      <c r="C755" s="1" t="s">
        <v>79</v>
      </c>
      <c r="D755" t="s">
        <v>119</v>
      </c>
      <c r="E755" s="1" t="s">
        <v>119</v>
      </c>
      <c r="F755" t="s">
        <v>125</v>
      </c>
      <c r="G755" s="1" t="s">
        <v>133</v>
      </c>
      <c r="H755">
        <v>212</v>
      </c>
      <c r="I755" t="s">
        <v>62</v>
      </c>
      <c r="J755">
        <v>61274.039999999994</v>
      </c>
      <c r="K755">
        <v>100144.54022988505</v>
      </c>
    </row>
    <row r="756" spans="1:11" x14ac:dyDescent="0.3">
      <c r="A756" s="1" t="s">
        <v>90</v>
      </c>
      <c r="B756" s="1" t="s">
        <v>210</v>
      </c>
      <c r="C756" s="1" t="s">
        <v>79</v>
      </c>
      <c r="D756" t="s">
        <v>119</v>
      </c>
      <c r="E756" s="1" t="s">
        <v>119</v>
      </c>
      <c r="F756" t="s">
        <v>125</v>
      </c>
      <c r="G756" s="1" t="s">
        <v>134</v>
      </c>
      <c r="H756">
        <v>190</v>
      </c>
      <c r="I756" t="s">
        <v>42</v>
      </c>
      <c r="J756">
        <v>74884.179999999993</v>
      </c>
      <c r="K756">
        <v>97796.551724137913</v>
      </c>
    </row>
    <row r="757" spans="1:11" x14ac:dyDescent="0.3">
      <c r="A757" s="1" t="s">
        <v>90</v>
      </c>
      <c r="B757" s="1" t="s">
        <v>210</v>
      </c>
      <c r="C757" s="1" t="s">
        <v>79</v>
      </c>
      <c r="D757" t="s">
        <v>119</v>
      </c>
      <c r="E757" s="1" t="s">
        <v>119</v>
      </c>
      <c r="F757" t="s">
        <v>125</v>
      </c>
      <c r="G757" s="1" t="s">
        <v>134</v>
      </c>
      <c r="H757">
        <v>214</v>
      </c>
      <c r="I757" t="s">
        <v>17</v>
      </c>
      <c r="J757">
        <v>59375.77</v>
      </c>
      <c r="K757">
        <v>89151.293103448261</v>
      </c>
    </row>
    <row r="758" spans="1:11" x14ac:dyDescent="0.3">
      <c r="A758" s="1" t="s">
        <v>90</v>
      </c>
      <c r="B758" s="1" t="s">
        <v>210</v>
      </c>
      <c r="C758" s="1" t="s">
        <v>79</v>
      </c>
      <c r="D758" t="s">
        <v>119</v>
      </c>
      <c r="E758" s="1" t="s">
        <v>119</v>
      </c>
      <c r="F758" t="s">
        <v>127</v>
      </c>
      <c r="G758" s="1" t="s">
        <v>130</v>
      </c>
      <c r="H758">
        <v>407</v>
      </c>
      <c r="I758" t="s">
        <v>34</v>
      </c>
      <c r="J758">
        <v>80339.849999999977</v>
      </c>
      <c r="K758">
        <v>69509.626436781618</v>
      </c>
    </row>
    <row r="759" spans="1:11" x14ac:dyDescent="0.3">
      <c r="A759" s="1" t="s">
        <v>90</v>
      </c>
      <c r="B759" s="1" t="s">
        <v>210</v>
      </c>
      <c r="C759" s="1" t="s">
        <v>79</v>
      </c>
      <c r="D759" t="s">
        <v>119</v>
      </c>
      <c r="E759" s="1" t="s">
        <v>119</v>
      </c>
      <c r="F759" t="s">
        <v>127</v>
      </c>
      <c r="G759" s="1" t="s">
        <v>130</v>
      </c>
      <c r="H759">
        <v>413</v>
      </c>
      <c r="I759" t="s">
        <v>14</v>
      </c>
      <c r="J759">
        <v>102587.80999999997</v>
      </c>
      <c r="K759">
        <v>54834.770114942541</v>
      </c>
    </row>
    <row r="760" spans="1:11" x14ac:dyDescent="0.3">
      <c r="A760" s="1" t="s">
        <v>90</v>
      </c>
      <c r="B760" s="1" t="s">
        <v>210</v>
      </c>
      <c r="C760" s="1" t="s">
        <v>79</v>
      </c>
      <c r="D760" t="s">
        <v>119</v>
      </c>
      <c r="E760" s="1" t="s">
        <v>119</v>
      </c>
      <c r="F760" t="s">
        <v>127</v>
      </c>
      <c r="G760" s="1" t="s">
        <v>133</v>
      </c>
      <c r="H760">
        <v>412</v>
      </c>
      <c r="I760" t="s">
        <v>11</v>
      </c>
      <c r="J760">
        <v>38497.149999999994</v>
      </c>
      <c r="K760">
        <v>25451.005747126434</v>
      </c>
    </row>
    <row r="761" spans="1:11" x14ac:dyDescent="0.3">
      <c r="A761" s="1" t="s">
        <v>90</v>
      </c>
      <c r="B761" s="1" t="s">
        <v>210</v>
      </c>
      <c r="C761" s="1" t="s">
        <v>79</v>
      </c>
      <c r="D761" t="s">
        <v>119</v>
      </c>
      <c r="E761" s="1" t="s">
        <v>119</v>
      </c>
      <c r="F761" t="s">
        <v>127</v>
      </c>
      <c r="G761" s="1" t="s">
        <v>134</v>
      </c>
      <c r="H761">
        <v>403</v>
      </c>
      <c r="I761" t="s">
        <v>12</v>
      </c>
      <c r="J761">
        <v>44792.969999999994</v>
      </c>
      <c r="K761">
        <v>30655.028735632175</v>
      </c>
    </row>
    <row r="762" spans="1:11" x14ac:dyDescent="0.3">
      <c r="A762" s="1" t="s">
        <v>90</v>
      </c>
      <c r="B762" s="1" t="s">
        <v>210</v>
      </c>
      <c r="C762" s="1" t="s">
        <v>79</v>
      </c>
      <c r="D762" t="s">
        <v>119</v>
      </c>
      <c r="E762" s="1" t="s">
        <v>119</v>
      </c>
      <c r="F762" t="s">
        <v>127</v>
      </c>
      <c r="G762" s="1" t="s">
        <v>129</v>
      </c>
      <c r="H762">
        <v>409</v>
      </c>
      <c r="I762" t="s">
        <v>58</v>
      </c>
      <c r="J762">
        <v>25850.739999999998</v>
      </c>
      <c r="K762">
        <v>17444.540229885057</v>
      </c>
    </row>
    <row r="763" spans="1:11" x14ac:dyDescent="0.3">
      <c r="A763" s="1" t="s">
        <v>90</v>
      </c>
      <c r="B763" s="1" t="s">
        <v>210</v>
      </c>
      <c r="C763" s="1" t="s">
        <v>79</v>
      </c>
      <c r="D763" t="s">
        <v>119</v>
      </c>
      <c r="E763" s="1" t="s">
        <v>119</v>
      </c>
      <c r="F763" t="s">
        <v>127</v>
      </c>
      <c r="G763" s="1" t="s">
        <v>132</v>
      </c>
      <c r="H763">
        <v>410</v>
      </c>
      <c r="I763" t="s">
        <v>40</v>
      </c>
      <c r="J763">
        <v>14330.63</v>
      </c>
      <c r="K763">
        <v>14456.17816091954</v>
      </c>
    </row>
    <row r="764" spans="1:11" x14ac:dyDescent="0.3">
      <c r="A764" s="1" t="s">
        <v>90</v>
      </c>
      <c r="B764" s="1" t="s">
        <v>210</v>
      </c>
      <c r="C764" s="1" t="s">
        <v>79</v>
      </c>
      <c r="D764" t="s">
        <v>119</v>
      </c>
      <c r="E764" s="1" t="s">
        <v>119</v>
      </c>
      <c r="F764" t="s">
        <v>126</v>
      </c>
      <c r="G764" s="1" t="s">
        <v>130</v>
      </c>
      <c r="H764">
        <v>101</v>
      </c>
      <c r="I764" t="s">
        <v>10</v>
      </c>
      <c r="J764">
        <v>112447.40999999997</v>
      </c>
      <c r="K764">
        <v>184777.01149425289</v>
      </c>
    </row>
    <row r="765" spans="1:11" x14ac:dyDescent="0.3">
      <c r="A765" s="1" t="s">
        <v>90</v>
      </c>
      <c r="B765" s="1" t="s">
        <v>210</v>
      </c>
      <c r="C765" s="1" t="s">
        <v>79</v>
      </c>
      <c r="D765" t="s">
        <v>119</v>
      </c>
      <c r="E765" s="1" t="s">
        <v>119</v>
      </c>
      <c r="F765" t="s">
        <v>126</v>
      </c>
      <c r="G765" s="1" t="s">
        <v>130</v>
      </c>
      <c r="H765">
        <v>150</v>
      </c>
      <c r="I765" t="s">
        <v>3</v>
      </c>
      <c r="J765">
        <v>114117.72999999998</v>
      </c>
      <c r="K765">
        <v>198384.33908045982</v>
      </c>
    </row>
    <row r="766" spans="1:11" x14ac:dyDescent="0.3">
      <c r="A766" s="1" t="s">
        <v>90</v>
      </c>
      <c r="B766" s="1" t="s">
        <v>210</v>
      </c>
      <c r="C766" s="1" t="s">
        <v>79</v>
      </c>
      <c r="D766" t="s">
        <v>119</v>
      </c>
      <c r="E766" s="1" t="s">
        <v>119</v>
      </c>
      <c r="F766" t="s">
        <v>126</v>
      </c>
      <c r="G766" s="1" t="s">
        <v>134</v>
      </c>
      <c r="H766">
        <v>170</v>
      </c>
      <c r="I766" t="s">
        <v>56</v>
      </c>
      <c r="J766">
        <v>59420.969999999987</v>
      </c>
      <c r="K766">
        <v>103380.31609195402</v>
      </c>
    </row>
    <row r="767" spans="1:11" x14ac:dyDescent="0.3">
      <c r="A767" s="1" t="s">
        <v>90</v>
      </c>
      <c r="B767" s="1" t="s">
        <v>210</v>
      </c>
      <c r="C767" s="1" t="s">
        <v>79</v>
      </c>
      <c r="D767" t="s">
        <v>119</v>
      </c>
      <c r="E767" s="1" t="s">
        <v>119</v>
      </c>
      <c r="F767" t="s">
        <v>126</v>
      </c>
      <c r="G767" s="1" t="s">
        <v>129</v>
      </c>
      <c r="H767">
        <v>131</v>
      </c>
      <c r="I767" t="s">
        <v>67</v>
      </c>
      <c r="J767">
        <v>29931.29</v>
      </c>
      <c r="K767">
        <v>30636.637931034486</v>
      </c>
    </row>
    <row r="768" spans="1:11" x14ac:dyDescent="0.3">
      <c r="A768" s="1" t="s">
        <v>90</v>
      </c>
      <c r="B768" s="1" t="s">
        <v>210</v>
      </c>
      <c r="C768" s="1" t="s">
        <v>79</v>
      </c>
      <c r="D768" t="s">
        <v>119</v>
      </c>
      <c r="E768" s="1" t="s">
        <v>119</v>
      </c>
      <c r="F768" t="s">
        <v>126</v>
      </c>
      <c r="G768" s="1" t="s">
        <v>132</v>
      </c>
      <c r="H768">
        <v>151</v>
      </c>
      <c r="I768" t="s">
        <v>20</v>
      </c>
      <c r="J768">
        <v>34637.549999999996</v>
      </c>
      <c r="K768">
        <v>30815.229885057466</v>
      </c>
    </row>
    <row r="769" spans="1:11" x14ac:dyDescent="0.3">
      <c r="A769" s="1" t="s">
        <v>90</v>
      </c>
      <c r="B769" s="1" t="s">
        <v>210</v>
      </c>
      <c r="C769" s="1" t="s">
        <v>92</v>
      </c>
      <c r="D769" t="s">
        <v>121</v>
      </c>
      <c r="E769" s="1" t="s">
        <v>121</v>
      </c>
      <c r="F769" t="s">
        <v>124</v>
      </c>
      <c r="G769" s="1" t="s">
        <v>136</v>
      </c>
      <c r="H769" t="s">
        <v>111</v>
      </c>
      <c r="I769" s="33" t="s">
        <v>48</v>
      </c>
      <c r="J769" s="33">
        <v>0</v>
      </c>
      <c r="K769" s="33">
        <v>0</v>
      </c>
    </row>
    <row r="770" spans="1:11" x14ac:dyDescent="0.3">
      <c r="A770" s="1" t="s">
        <v>90</v>
      </c>
      <c r="B770" s="1" t="s">
        <v>210</v>
      </c>
      <c r="C770" s="1" t="s">
        <v>92</v>
      </c>
      <c r="D770" t="s">
        <v>121</v>
      </c>
      <c r="E770" s="1" t="s">
        <v>121</v>
      </c>
      <c r="F770" t="s">
        <v>127</v>
      </c>
      <c r="G770" s="1" t="s">
        <v>136</v>
      </c>
      <c r="H770">
        <v>418</v>
      </c>
      <c r="I770" t="s">
        <v>44</v>
      </c>
      <c r="J770">
        <v>0</v>
      </c>
      <c r="K770">
        <v>22858.620689655174</v>
      </c>
    </row>
    <row r="771" spans="1:11" x14ac:dyDescent="0.3">
      <c r="A771" s="1" t="s">
        <v>90</v>
      </c>
      <c r="B771" s="1" t="s">
        <v>210</v>
      </c>
      <c r="C771" s="1" t="s">
        <v>92</v>
      </c>
      <c r="D771" t="s">
        <v>119</v>
      </c>
      <c r="E771" s="1" t="s">
        <v>122</v>
      </c>
      <c r="F771" t="s">
        <v>124</v>
      </c>
      <c r="G771" s="1" t="s">
        <v>136</v>
      </c>
      <c r="H771">
        <v>307</v>
      </c>
      <c r="I771" t="s">
        <v>19</v>
      </c>
      <c r="J771">
        <v>70138.399999999994</v>
      </c>
      <c r="K771">
        <v>44794.683908045983</v>
      </c>
    </row>
    <row r="772" spans="1:11" x14ac:dyDescent="0.3">
      <c r="A772" s="1" t="s">
        <v>90</v>
      </c>
      <c r="B772" s="1" t="s">
        <v>210</v>
      </c>
      <c r="C772" s="1" t="s">
        <v>92</v>
      </c>
      <c r="D772" t="s">
        <v>119</v>
      </c>
      <c r="E772" s="1" t="s">
        <v>122</v>
      </c>
      <c r="F772" t="s">
        <v>127</v>
      </c>
      <c r="G772" s="1" t="s">
        <v>136</v>
      </c>
      <c r="H772">
        <v>411</v>
      </c>
      <c r="I772" t="s">
        <v>43</v>
      </c>
      <c r="J772">
        <v>76520.36</v>
      </c>
      <c r="K772">
        <v>18890.804597701146</v>
      </c>
    </row>
    <row r="773" spans="1:11" x14ac:dyDescent="0.3">
      <c r="A773" s="1" t="s">
        <v>90</v>
      </c>
      <c r="B773" s="1" t="s">
        <v>210</v>
      </c>
      <c r="C773" s="1" t="s">
        <v>92</v>
      </c>
      <c r="D773" t="s">
        <v>119</v>
      </c>
      <c r="E773" s="1" t="s">
        <v>120</v>
      </c>
      <c r="F773" t="s">
        <v>125</v>
      </c>
      <c r="G773" s="1" t="s">
        <v>136</v>
      </c>
      <c r="H773">
        <v>213</v>
      </c>
      <c r="I773" t="s">
        <v>49</v>
      </c>
      <c r="J773">
        <v>93044.76999999996</v>
      </c>
      <c r="K773">
        <v>52636.637931034493</v>
      </c>
    </row>
    <row r="774" spans="1:11" x14ac:dyDescent="0.3">
      <c r="A774" s="1" t="s">
        <v>90</v>
      </c>
      <c r="B774" s="1" t="s">
        <v>210</v>
      </c>
      <c r="C774" s="1" t="s">
        <v>92</v>
      </c>
      <c r="D774" t="s">
        <v>119</v>
      </c>
      <c r="E774" s="1" t="s">
        <v>120</v>
      </c>
      <c r="F774" t="s">
        <v>127</v>
      </c>
      <c r="G774" s="1" t="s">
        <v>136</v>
      </c>
      <c r="H774">
        <v>415</v>
      </c>
      <c r="I774" t="s">
        <v>47</v>
      </c>
      <c r="J774">
        <v>58754.659999999989</v>
      </c>
      <c r="K774">
        <v>13851.293103448275</v>
      </c>
    </row>
    <row r="775" spans="1:11" x14ac:dyDescent="0.3">
      <c r="A775" s="1" t="s">
        <v>90</v>
      </c>
      <c r="B775" s="1" t="s">
        <v>210</v>
      </c>
      <c r="C775" s="1" t="s">
        <v>92</v>
      </c>
      <c r="D775" t="s">
        <v>119</v>
      </c>
      <c r="E775" s="1" t="s">
        <v>119</v>
      </c>
      <c r="F775" t="s">
        <v>124</v>
      </c>
      <c r="G775" s="1" t="s">
        <v>136</v>
      </c>
      <c r="H775">
        <v>306</v>
      </c>
      <c r="I775" t="s">
        <v>51</v>
      </c>
      <c r="J775">
        <v>90620.619999999981</v>
      </c>
      <c r="K775">
        <v>54577.011494252874</v>
      </c>
    </row>
    <row r="776" spans="1:11" x14ac:dyDescent="0.3">
      <c r="A776" s="1" t="s">
        <v>90</v>
      </c>
      <c r="B776" s="1" t="s">
        <v>210</v>
      </c>
      <c r="C776" s="1" t="s">
        <v>92</v>
      </c>
      <c r="D776" t="s">
        <v>119</v>
      </c>
      <c r="E776" s="1" t="s">
        <v>119</v>
      </c>
      <c r="F776" t="s">
        <v>125</v>
      </c>
      <c r="G776" s="1" t="s">
        <v>136</v>
      </c>
      <c r="H776">
        <v>201</v>
      </c>
      <c r="I776" t="s">
        <v>45</v>
      </c>
      <c r="J776">
        <v>50026.50999999998</v>
      </c>
      <c r="K776">
        <v>34247.557471264357</v>
      </c>
    </row>
    <row r="777" spans="1:11" x14ac:dyDescent="0.3">
      <c r="A777" s="1" t="s">
        <v>90</v>
      </c>
      <c r="B777" s="1" t="s">
        <v>210</v>
      </c>
      <c r="C777" s="1" t="s">
        <v>92</v>
      </c>
      <c r="D777" t="s">
        <v>119</v>
      </c>
      <c r="E777" s="1" t="s">
        <v>119</v>
      </c>
      <c r="F777" t="s">
        <v>125</v>
      </c>
      <c r="G777" s="1" t="s">
        <v>136</v>
      </c>
      <c r="H777">
        <v>204</v>
      </c>
      <c r="I777" t="s">
        <v>46</v>
      </c>
      <c r="J777">
        <v>66584.539999999964</v>
      </c>
      <c r="K777">
        <v>31373.275862068967</v>
      </c>
    </row>
    <row r="778" spans="1:11" x14ac:dyDescent="0.3">
      <c r="A778" s="1" t="s">
        <v>90</v>
      </c>
      <c r="B778" s="1" t="s">
        <v>210</v>
      </c>
      <c r="C778" s="1" t="s">
        <v>92</v>
      </c>
      <c r="D778" t="s">
        <v>119</v>
      </c>
      <c r="E778" s="1" t="s">
        <v>119</v>
      </c>
      <c r="F778" t="s">
        <v>126</v>
      </c>
      <c r="G778" s="1" t="s">
        <v>136</v>
      </c>
      <c r="H778">
        <v>102</v>
      </c>
      <c r="I778" t="s">
        <v>50</v>
      </c>
      <c r="J778">
        <v>78034.219999999987</v>
      </c>
      <c r="K778">
        <v>37902.442528735628</v>
      </c>
    </row>
    <row r="779" spans="1:11" x14ac:dyDescent="0.3">
      <c r="A779" s="1" t="s">
        <v>90</v>
      </c>
      <c r="B779" s="1" t="s">
        <v>210</v>
      </c>
      <c r="C779" s="1" t="s">
        <v>93</v>
      </c>
      <c r="D779" t="s">
        <v>119</v>
      </c>
      <c r="E779" s="1" t="s">
        <v>119</v>
      </c>
      <c r="F779" t="s">
        <v>93</v>
      </c>
      <c r="G779" s="1" t="s">
        <v>93</v>
      </c>
      <c r="H779">
        <v>903</v>
      </c>
      <c r="I779" t="s">
        <v>37</v>
      </c>
      <c r="J779">
        <v>81165.51999999999</v>
      </c>
      <c r="K779">
        <v>68422</v>
      </c>
    </row>
    <row r="780" spans="1:11" x14ac:dyDescent="0.3">
      <c r="A780" s="1" t="s">
        <v>90</v>
      </c>
      <c r="B780" s="1" t="s">
        <v>210</v>
      </c>
      <c r="C780" s="1" t="s">
        <v>94</v>
      </c>
      <c r="D780" t="s">
        <v>121</v>
      </c>
      <c r="E780" s="1" t="s">
        <v>121</v>
      </c>
      <c r="F780" t="s">
        <v>124</v>
      </c>
      <c r="G780" s="1" t="s">
        <v>137</v>
      </c>
      <c r="H780" t="s">
        <v>112</v>
      </c>
      <c r="I780" t="s">
        <v>21</v>
      </c>
      <c r="J780">
        <v>0</v>
      </c>
      <c r="K780">
        <v>0</v>
      </c>
    </row>
    <row r="781" spans="1:11" x14ac:dyDescent="0.3">
      <c r="A781" s="1" t="s">
        <v>90</v>
      </c>
      <c r="B781" s="1" t="s">
        <v>210</v>
      </c>
      <c r="C781" s="1" t="s">
        <v>94</v>
      </c>
      <c r="D781" t="s">
        <v>121</v>
      </c>
      <c r="E781" s="1" t="s">
        <v>121</v>
      </c>
      <c r="F781" t="s">
        <v>125</v>
      </c>
      <c r="G781" s="1" t="s">
        <v>138</v>
      </c>
      <c r="H781">
        <v>470</v>
      </c>
      <c r="I781" t="s">
        <v>26</v>
      </c>
      <c r="J781">
        <v>0</v>
      </c>
      <c r="K781">
        <v>54802.729885057459</v>
      </c>
    </row>
    <row r="782" spans="1:11" x14ac:dyDescent="0.3">
      <c r="A782" s="1" t="s">
        <v>90</v>
      </c>
      <c r="B782" s="1" t="s">
        <v>210</v>
      </c>
      <c r="C782" s="1" t="s">
        <v>94</v>
      </c>
      <c r="D782" t="s">
        <v>121</v>
      </c>
      <c r="E782" s="1" t="s">
        <v>121</v>
      </c>
      <c r="F782" t="s">
        <v>125</v>
      </c>
      <c r="G782" s="1" t="s">
        <v>137</v>
      </c>
      <c r="H782" t="s">
        <v>114</v>
      </c>
      <c r="I782" t="s">
        <v>23</v>
      </c>
      <c r="J782">
        <v>0</v>
      </c>
      <c r="K782">
        <v>0</v>
      </c>
    </row>
    <row r="783" spans="1:11" x14ac:dyDescent="0.3">
      <c r="A783" s="1" t="s">
        <v>90</v>
      </c>
      <c r="B783" s="1" t="s">
        <v>210</v>
      </c>
      <c r="C783" s="1" t="s">
        <v>94</v>
      </c>
      <c r="D783" t="s">
        <v>121</v>
      </c>
      <c r="E783" s="1" t="s">
        <v>121</v>
      </c>
      <c r="F783" t="s">
        <v>125</v>
      </c>
      <c r="G783" s="1" t="s">
        <v>137</v>
      </c>
      <c r="H783" t="s">
        <v>113</v>
      </c>
      <c r="I783" t="s">
        <v>22</v>
      </c>
      <c r="J783">
        <v>0</v>
      </c>
      <c r="K783">
        <v>0</v>
      </c>
    </row>
    <row r="784" spans="1:11" x14ac:dyDescent="0.3">
      <c r="A784" s="1" t="s">
        <v>90</v>
      </c>
      <c r="B784" s="1" t="s">
        <v>210</v>
      </c>
      <c r="C784" s="1" t="s">
        <v>94</v>
      </c>
      <c r="D784" t="s">
        <v>121</v>
      </c>
      <c r="E784" s="1" t="s">
        <v>121</v>
      </c>
      <c r="F784" t="s">
        <v>127</v>
      </c>
      <c r="G784" s="1" t="s">
        <v>137</v>
      </c>
      <c r="H784">
        <v>494</v>
      </c>
      <c r="I784" t="s">
        <v>25</v>
      </c>
      <c r="J784">
        <v>0</v>
      </c>
      <c r="K784">
        <v>11544.540229885059</v>
      </c>
    </row>
    <row r="785" spans="1:11" x14ac:dyDescent="0.3">
      <c r="A785" s="1" t="s">
        <v>90</v>
      </c>
      <c r="B785" s="1" t="s">
        <v>210</v>
      </c>
      <c r="C785" s="1" t="s">
        <v>94</v>
      </c>
      <c r="D785" t="s">
        <v>121</v>
      </c>
      <c r="E785" s="1" t="s">
        <v>121</v>
      </c>
      <c r="F785" t="s">
        <v>126</v>
      </c>
      <c r="G785" s="1" t="s">
        <v>137</v>
      </c>
      <c r="H785">
        <v>460</v>
      </c>
      <c r="I785" t="s">
        <v>30</v>
      </c>
      <c r="J785">
        <v>0</v>
      </c>
      <c r="K785">
        <v>26961.206896551717</v>
      </c>
    </row>
    <row r="786" spans="1:11" x14ac:dyDescent="0.3">
      <c r="A786" s="1" t="s">
        <v>90</v>
      </c>
      <c r="B786" s="1" t="s">
        <v>210</v>
      </c>
      <c r="C786" s="1" t="s">
        <v>94</v>
      </c>
      <c r="D786" t="s">
        <v>121</v>
      </c>
      <c r="E786" s="1" t="s">
        <v>121</v>
      </c>
      <c r="F786" t="s">
        <v>126</v>
      </c>
      <c r="G786" s="1" t="s">
        <v>137</v>
      </c>
      <c r="H786">
        <v>461</v>
      </c>
      <c r="I786" t="s">
        <v>29</v>
      </c>
      <c r="J786">
        <v>0</v>
      </c>
      <c r="K786">
        <v>0</v>
      </c>
    </row>
    <row r="787" spans="1:11" x14ac:dyDescent="0.3">
      <c r="A787" s="1" t="s">
        <v>90</v>
      </c>
      <c r="B787" s="1" t="s">
        <v>210</v>
      </c>
      <c r="C787" s="1" t="s">
        <v>94</v>
      </c>
      <c r="D787" t="s">
        <v>121</v>
      </c>
      <c r="E787" s="1" t="s">
        <v>119</v>
      </c>
      <c r="F787" t="s">
        <v>124</v>
      </c>
      <c r="G787" s="1" t="s">
        <v>138</v>
      </c>
      <c r="H787">
        <v>480</v>
      </c>
      <c r="I787" t="s">
        <v>28</v>
      </c>
      <c r="J787">
        <v>33767.249999999993</v>
      </c>
      <c r="K787">
        <v>50601.724137931036</v>
      </c>
    </row>
    <row r="788" spans="1:11" x14ac:dyDescent="0.3">
      <c r="A788" s="1" t="s">
        <v>90</v>
      </c>
      <c r="B788" s="1" t="s">
        <v>210</v>
      </c>
      <c r="C788" s="1" t="s">
        <v>94</v>
      </c>
      <c r="D788" t="s">
        <v>121</v>
      </c>
      <c r="E788" s="1" t="s">
        <v>119</v>
      </c>
      <c r="F788" t="s">
        <v>127</v>
      </c>
      <c r="G788" s="1" t="s">
        <v>138</v>
      </c>
      <c r="H788">
        <v>491</v>
      </c>
      <c r="I788" t="s">
        <v>31</v>
      </c>
      <c r="J788">
        <v>0</v>
      </c>
      <c r="K788">
        <v>40784.482758620703</v>
      </c>
    </row>
    <row r="789" spans="1:11" x14ac:dyDescent="0.3">
      <c r="A789" s="1" t="s">
        <v>90</v>
      </c>
      <c r="B789" s="1" t="s">
        <v>210</v>
      </c>
      <c r="C789" s="1" t="s">
        <v>94</v>
      </c>
      <c r="D789" t="s">
        <v>121</v>
      </c>
      <c r="E789" s="1" t="s">
        <v>119</v>
      </c>
      <c r="F789" t="s">
        <v>127</v>
      </c>
      <c r="G789" s="1" t="s">
        <v>138</v>
      </c>
      <c r="H789">
        <v>492</v>
      </c>
      <c r="I789" t="s">
        <v>27</v>
      </c>
      <c r="J789">
        <v>47061.999999999985</v>
      </c>
      <c r="K789">
        <v>18589.080459770117</v>
      </c>
    </row>
    <row r="790" spans="1:11" x14ac:dyDescent="0.3">
      <c r="A790" s="1" t="s">
        <v>90</v>
      </c>
      <c r="B790" s="1" t="s">
        <v>210</v>
      </c>
      <c r="C790" s="1" t="s">
        <v>94</v>
      </c>
      <c r="D790" t="s">
        <v>121</v>
      </c>
      <c r="E790" s="1" t="s">
        <v>119</v>
      </c>
      <c r="F790" t="s">
        <v>127</v>
      </c>
      <c r="G790" s="1" t="s">
        <v>138</v>
      </c>
      <c r="H790">
        <v>493</v>
      </c>
      <c r="I790" t="s">
        <v>24</v>
      </c>
      <c r="J790">
        <v>24558.6</v>
      </c>
      <c r="K790">
        <v>8912.3563218390809</v>
      </c>
    </row>
    <row r="791" spans="1:11" x14ac:dyDescent="0.3">
      <c r="A791" s="1" t="s">
        <v>90</v>
      </c>
      <c r="B791" s="1" t="s">
        <v>210</v>
      </c>
      <c r="C791" s="1" t="s">
        <v>95</v>
      </c>
      <c r="D791" t="s">
        <v>121</v>
      </c>
      <c r="E791" s="1" t="s">
        <v>121</v>
      </c>
      <c r="F791" t="s">
        <v>125</v>
      </c>
      <c r="G791" s="1" t="s">
        <v>139</v>
      </c>
      <c r="H791" t="s">
        <v>115</v>
      </c>
      <c r="I791" s="33" t="s">
        <v>71</v>
      </c>
      <c r="J791" s="33">
        <v>0</v>
      </c>
      <c r="K791" s="33">
        <v>0</v>
      </c>
    </row>
    <row r="792" spans="1:11" x14ac:dyDescent="0.3">
      <c r="A792" s="1" t="s">
        <v>90</v>
      </c>
      <c r="B792" s="1" t="s">
        <v>210</v>
      </c>
      <c r="C792" s="1" t="s">
        <v>95</v>
      </c>
      <c r="D792" t="s">
        <v>121</v>
      </c>
      <c r="E792" s="1" t="s">
        <v>121</v>
      </c>
      <c r="F792" t="s">
        <v>126</v>
      </c>
      <c r="G792" s="1" t="s">
        <v>139</v>
      </c>
      <c r="H792">
        <v>510</v>
      </c>
      <c r="I792" t="s">
        <v>76</v>
      </c>
      <c r="J792">
        <v>0</v>
      </c>
      <c r="K792">
        <v>11229.597701149423</v>
      </c>
    </row>
    <row r="793" spans="1:11" x14ac:dyDescent="0.3">
      <c r="A793" s="1" t="s">
        <v>90</v>
      </c>
      <c r="B793" s="1" t="s">
        <v>210</v>
      </c>
      <c r="C793" s="1" t="s">
        <v>95</v>
      </c>
      <c r="D793" t="s">
        <v>121</v>
      </c>
      <c r="E793" s="1" t="s">
        <v>121</v>
      </c>
      <c r="F793" t="s">
        <v>126</v>
      </c>
      <c r="G793" s="1" t="s">
        <v>139</v>
      </c>
      <c r="H793" t="s">
        <v>116</v>
      </c>
      <c r="I793" s="33" t="s">
        <v>75</v>
      </c>
      <c r="J793" s="33">
        <v>0</v>
      </c>
      <c r="K793" s="33">
        <v>0</v>
      </c>
    </row>
    <row r="794" spans="1:11" x14ac:dyDescent="0.3">
      <c r="A794" s="1" t="s">
        <v>90</v>
      </c>
      <c r="B794" s="1" t="s">
        <v>210</v>
      </c>
      <c r="C794" s="1" t="s">
        <v>95</v>
      </c>
      <c r="D794" t="s">
        <v>121</v>
      </c>
      <c r="E794" s="1" t="s">
        <v>119</v>
      </c>
      <c r="F794" t="s">
        <v>127</v>
      </c>
      <c r="G794" s="1" t="s">
        <v>140</v>
      </c>
      <c r="H794">
        <v>541</v>
      </c>
      <c r="I794" t="s">
        <v>74</v>
      </c>
      <c r="J794">
        <v>22930.21</v>
      </c>
      <c r="K794">
        <v>18688.505747126437</v>
      </c>
    </row>
    <row r="795" spans="1:11" x14ac:dyDescent="0.3">
      <c r="A795" s="1" t="s">
        <v>90</v>
      </c>
      <c r="B795" s="1" t="s">
        <v>210</v>
      </c>
      <c r="C795" s="1" t="s">
        <v>95</v>
      </c>
      <c r="D795" t="s">
        <v>121</v>
      </c>
      <c r="E795" s="1" t="s">
        <v>119</v>
      </c>
      <c r="F795" t="s">
        <v>127</v>
      </c>
      <c r="G795" s="1" t="s">
        <v>140</v>
      </c>
      <c r="H795">
        <v>543</v>
      </c>
      <c r="I795" t="s">
        <v>72</v>
      </c>
      <c r="J795">
        <v>22595.809999999998</v>
      </c>
      <c r="K795">
        <v>14881.034482758623</v>
      </c>
    </row>
    <row r="796" spans="1:11" x14ac:dyDescent="0.3">
      <c r="A796" s="1" t="s">
        <v>90</v>
      </c>
      <c r="B796" s="1" t="s">
        <v>210</v>
      </c>
      <c r="C796" s="1" t="s">
        <v>95</v>
      </c>
      <c r="D796" t="s">
        <v>120</v>
      </c>
      <c r="E796" s="1" t="s">
        <v>119</v>
      </c>
      <c r="F796" t="s">
        <v>127</v>
      </c>
      <c r="G796" s="1" t="s">
        <v>140</v>
      </c>
      <c r="H796">
        <v>540</v>
      </c>
      <c r="I796" t="s">
        <v>73</v>
      </c>
      <c r="J796">
        <v>50842.680000000008</v>
      </c>
      <c r="K796">
        <v>35909.482758620688</v>
      </c>
    </row>
    <row r="797" spans="1:11" x14ac:dyDescent="0.3">
      <c r="A797" s="1" t="s">
        <v>90</v>
      </c>
      <c r="B797" s="1" t="s">
        <v>210</v>
      </c>
      <c r="C797" s="1" t="s">
        <v>95</v>
      </c>
      <c r="D797" t="s">
        <v>119</v>
      </c>
      <c r="E797" s="1" t="s">
        <v>120</v>
      </c>
      <c r="F797" t="s">
        <v>124</v>
      </c>
      <c r="G797" s="1" t="s">
        <v>139</v>
      </c>
      <c r="H797">
        <v>530</v>
      </c>
      <c r="I797" t="s">
        <v>68</v>
      </c>
      <c r="J797">
        <v>26149.910000000003</v>
      </c>
      <c r="K797">
        <v>38837.931034482761</v>
      </c>
    </row>
    <row r="798" spans="1:11" x14ac:dyDescent="0.3">
      <c r="A798" s="1" t="s">
        <v>90</v>
      </c>
      <c r="B798" s="1" t="s">
        <v>210</v>
      </c>
      <c r="C798" s="1" t="s">
        <v>95</v>
      </c>
      <c r="D798" t="s">
        <v>119</v>
      </c>
      <c r="E798" s="1" t="s">
        <v>119</v>
      </c>
      <c r="F798" t="s">
        <v>125</v>
      </c>
      <c r="G798" s="1" t="s">
        <v>140</v>
      </c>
      <c r="H798">
        <v>520</v>
      </c>
      <c r="I798" t="s">
        <v>70</v>
      </c>
      <c r="J798">
        <v>44517.43</v>
      </c>
      <c r="K798">
        <v>66580.531609195401</v>
      </c>
    </row>
    <row r="799" spans="1:11" x14ac:dyDescent="0.3">
      <c r="A799" s="2" t="s">
        <v>90</v>
      </c>
      <c r="B799" s="1" t="s">
        <v>210</v>
      </c>
      <c r="C799" s="1" t="s">
        <v>95</v>
      </c>
      <c r="D799" t="s">
        <v>119</v>
      </c>
      <c r="E799" s="1" t="s">
        <v>119</v>
      </c>
      <c r="F799" t="s">
        <v>127</v>
      </c>
      <c r="G799" s="1" t="s">
        <v>139</v>
      </c>
      <c r="H799">
        <v>542</v>
      </c>
      <c r="I799" t="s">
        <v>69</v>
      </c>
      <c r="J799">
        <v>11705.079999999998</v>
      </c>
      <c r="K799">
        <v>15207.183908045976</v>
      </c>
    </row>
    <row r="800" spans="1:11" x14ac:dyDescent="0.3">
      <c r="A800" s="1" t="s">
        <v>91</v>
      </c>
      <c r="B800" s="1" t="s">
        <v>210</v>
      </c>
      <c r="C800" s="1" t="s">
        <v>79</v>
      </c>
      <c r="D800" t="s">
        <v>122</v>
      </c>
      <c r="E800" s="1" t="s">
        <v>122</v>
      </c>
      <c r="F800" t="s">
        <v>124</v>
      </c>
      <c r="G800" s="1" t="s">
        <v>129</v>
      </c>
      <c r="H800" t="s">
        <v>196</v>
      </c>
      <c r="I800" t="s">
        <v>1</v>
      </c>
      <c r="J800">
        <v>0</v>
      </c>
      <c r="K800">
        <v>0</v>
      </c>
    </row>
    <row r="801" spans="1:11" x14ac:dyDescent="0.3">
      <c r="A801" s="1" t="s">
        <v>91</v>
      </c>
      <c r="B801" s="1" t="s">
        <v>210</v>
      </c>
      <c r="C801" s="1" t="s">
        <v>79</v>
      </c>
      <c r="D801" t="s">
        <v>122</v>
      </c>
      <c r="E801" s="1" t="s">
        <v>122</v>
      </c>
      <c r="F801" t="s">
        <v>125</v>
      </c>
      <c r="G801" s="1" t="s">
        <v>129</v>
      </c>
      <c r="H801" t="s">
        <v>196</v>
      </c>
      <c r="I801" t="s">
        <v>7</v>
      </c>
      <c r="J801">
        <v>0</v>
      </c>
      <c r="K801">
        <v>0</v>
      </c>
    </row>
    <row r="802" spans="1:11" x14ac:dyDescent="0.3">
      <c r="A802" s="1" t="s">
        <v>91</v>
      </c>
      <c r="B802" s="1" t="s">
        <v>210</v>
      </c>
      <c r="C802" s="1" t="s">
        <v>79</v>
      </c>
      <c r="D802" t="s">
        <v>122</v>
      </c>
      <c r="E802" s="1" t="s">
        <v>122</v>
      </c>
      <c r="F802" t="s">
        <v>127</v>
      </c>
      <c r="G802" s="1" t="s">
        <v>129</v>
      </c>
      <c r="H802" t="s">
        <v>196</v>
      </c>
      <c r="I802" t="s">
        <v>5</v>
      </c>
      <c r="J802">
        <v>0</v>
      </c>
      <c r="K802">
        <v>0</v>
      </c>
    </row>
    <row r="803" spans="1:11" x14ac:dyDescent="0.3">
      <c r="A803" s="1" t="s">
        <v>91</v>
      </c>
      <c r="B803" s="1" t="s">
        <v>210</v>
      </c>
      <c r="C803" s="1" t="s">
        <v>79</v>
      </c>
      <c r="D803" t="s">
        <v>122</v>
      </c>
      <c r="E803" s="1" t="s">
        <v>122</v>
      </c>
      <c r="F803" t="s">
        <v>127</v>
      </c>
      <c r="G803" s="1" t="s">
        <v>122</v>
      </c>
      <c r="H803" t="s">
        <v>196</v>
      </c>
      <c r="I803" t="s">
        <v>33</v>
      </c>
      <c r="J803">
        <v>0</v>
      </c>
      <c r="K803">
        <v>0</v>
      </c>
    </row>
    <row r="804" spans="1:11" x14ac:dyDescent="0.3">
      <c r="A804" s="1" t="s">
        <v>91</v>
      </c>
      <c r="B804" s="1" t="s">
        <v>210</v>
      </c>
      <c r="C804" s="1" t="s">
        <v>79</v>
      </c>
      <c r="D804" t="s">
        <v>121</v>
      </c>
      <c r="E804" s="1" t="s">
        <v>121</v>
      </c>
      <c r="F804" t="s">
        <v>125</v>
      </c>
      <c r="G804" s="1" t="s">
        <v>129</v>
      </c>
      <c r="H804" t="s">
        <v>110</v>
      </c>
      <c r="I804" t="s">
        <v>64</v>
      </c>
      <c r="J804">
        <v>0</v>
      </c>
      <c r="K804">
        <v>0</v>
      </c>
    </row>
    <row r="805" spans="1:11" x14ac:dyDescent="0.3">
      <c r="A805" s="1" t="s">
        <v>91</v>
      </c>
      <c r="B805" s="1" t="s">
        <v>210</v>
      </c>
      <c r="C805" s="1" t="s">
        <v>79</v>
      </c>
      <c r="D805" t="s">
        <v>121</v>
      </c>
      <c r="E805" s="1" t="s">
        <v>121</v>
      </c>
      <c r="F805" t="s">
        <v>127</v>
      </c>
      <c r="G805" s="1" t="s">
        <v>129</v>
      </c>
      <c r="H805" t="s">
        <v>109</v>
      </c>
      <c r="I805" s="33" t="s">
        <v>41</v>
      </c>
      <c r="J805" s="33">
        <v>0</v>
      </c>
      <c r="K805" s="33">
        <v>0</v>
      </c>
    </row>
    <row r="806" spans="1:11" x14ac:dyDescent="0.3">
      <c r="A806" s="1" t="s">
        <v>91</v>
      </c>
      <c r="B806" s="1" t="s">
        <v>210</v>
      </c>
      <c r="C806" s="1" t="s">
        <v>79</v>
      </c>
      <c r="D806" t="s">
        <v>121</v>
      </c>
      <c r="E806" s="1" t="s">
        <v>121</v>
      </c>
      <c r="F806" t="s">
        <v>127</v>
      </c>
      <c r="G806" s="1" t="s">
        <v>135</v>
      </c>
      <c r="H806" t="s">
        <v>108</v>
      </c>
      <c r="I806" s="33" t="s">
        <v>16</v>
      </c>
      <c r="J806" s="33">
        <v>0</v>
      </c>
      <c r="K806" s="33">
        <v>0</v>
      </c>
    </row>
    <row r="807" spans="1:11" x14ac:dyDescent="0.3">
      <c r="A807" s="1" t="s">
        <v>91</v>
      </c>
      <c r="B807" s="1" t="s">
        <v>210</v>
      </c>
      <c r="C807" s="1" t="s">
        <v>79</v>
      </c>
      <c r="D807" t="s">
        <v>120</v>
      </c>
      <c r="E807" s="1" t="s">
        <v>120</v>
      </c>
      <c r="F807" t="s">
        <v>124</v>
      </c>
      <c r="G807" s="1" t="s">
        <v>129</v>
      </c>
      <c r="H807">
        <v>304</v>
      </c>
      <c r="I807" t="s">
        <v>61</v>
      </c>
      <c r="J807">
        <v>79232.439999999988</v>
      </c>
      <c r="K807">
        <v>76141.810344827565</v>
      </c>
    </row>
    <row r="808" spans="1:11" x14ac:dyDescent="0.3">
      <c r="A808" s="1" t="s">
        <v>91</v>
      </c>
      <c r="B808" s="1" t="s">
        <v>210</v>
      </c>
      <c r="C808" s="1" t="s">
        <v>79</v>
      </c>
      <c r="D808" t="s">
        <v>120</v>
      </c>
      <c r="E808" s="1" t="s">
        <v>120</v>
      </c>
      <c r="F808" t="s">
        <v>125</v>
      </c>
      <c r="G808" s="1" t="s">
        <v>133</v>
      </c>
      <c r="H808">
        <v>208</v>
      </c>
      <c r="I808" t="s">
        <v>36</v>
      </c>
      <c r="J808">
        <v>81150.869999999981</v>
      </c>
      <c r="K808">
        <v>124245.83333333333</v>
      </c>
    </row>
    <row r="809" spans="1:11" x14ac:dyDescent="0.3">
      <c r="A809" s="1" t="s">
        <v>91</v>
      </c>
      <c r="B809" s="1" t="s">
        <v>210</v>
      </c>
      <c r="C809" s="1" t="s">
        <v>79</v>
      </c>
      <c r="D809" t="s">
        <v>120</v>
      </c>
      <c r="E809" s="1" t="s">
        <v>120</v>
      </c>
      <c r="F809" t="s">
        <v>125</v>
      </c>
      <c r="G809" s="1" t="s">
        <v>133</v>
      </c>
      <c r="H809">
        <v>209</v>
      </c>
      <c r="I809" t="s">
        <v>35</v>
      </c>
      <c r="J809">
        <v>48187.66</v>
      </c>
      <c r="K809">
        <v>0</v>
      </c>
    </row>
    <row r="810" spans="1:11" x14ac:dyDescent="0.3">
      <c r="A810" s="1" t="s">
        <v>91</v>
      </c>
      <c r="B810" s="1" t="s">
        <v>210</v>
      </c>
      <c r="C810" s="1" t="s">
        <v>79</v>
      </c>
      <c r="D810" t="s">
        <v>120</v>
      </c>
      <c r="E810" s="1" t="s">
        <v>120</v>
      </c>
      <c r="F810" t="s">
        <v>125</v>
      </c>
      <c r="G810" s="1" t="s">
        <v>129</v>
      </c>
      <c r="H810">
        <v>202</v>
      </c>
      <c r="I810" t="s">
        <v>4</v>
      </c>
      <c r="J810">
        <v>122951.73000000001</v>
      </c>
      <c r="K810">
        <v>89319.899425287309</v>
      </c>
    </row>
    <row r="811" spans="1:11" x14ac:dyDescent="0.3">
      <c r="A811" s="1" t="s">
        <v>91</v>
      </c>
      <c r="B811" s="1" t="s">
        <v>210</v>
      </c>
      <c r="C811" s="1" t="s">
        <v>79</v>
      </c>
      <c r="D811" t="s">
        <v>120</v>
      </c>
      <c r="E811" s="1" t="s">
        <v>120</v>
      </c>
      <c r="F811" t="s">
        <v>127</v>
      </c>
      <c r="G811" s="1" t="s">
        <v>133</v>
      </c>
      <c r="H811">
        <v>404</v>
      </c>
      <c r="I811" t="s">
        <v>15</v>
      </c>
      <c r="J811">
        <v>62037.03</v>
      </c>
      <c r="K811">
        <v>90573.448275862072</v>
      </c>
    </row>
    <row r="812" spans="1:11" x14ac:dyDescent="0.3">
      <c r="A812" s="1" t="s">
        <v>91</v>
      </c>
      <c r="B812" s="1" t="s">
        <v>210</v>
      </c>
      <c r="C812" s="1" t="s">
        <v>79</v>
      </c>
      <c r="D812" t="s">
        <v>120</v>
      </c>
      <c r="E812" s="1" t="s">
        <v>119</v>
      </c>
      <c r="F812" t="s">
        <v>124</v>
      </c>
      <c r="G812" s="1" t="s">
        <v>129</v>
      </c>
      <c r="H812">
        <v>310</v>
      </c>
      <c r="I812" t="s">
        <v>63</v>
      </c>
      <c r="J812">
        <v>58525.890000000007</v>
      </c>
      <c r="K812">
        <v>50217.456896551732</v>
      </c>
    </row>
    <row r="813" spans="1:11" x14ac:dyDescent="0.3">
      <c r="A813" s="1" t="s">
        <v>91</v>
      </c>
      <c r="B813" s="1" t="s">
        <v>210</v>
      </c>
      <c r="C813" s="1" t="s">
        <v>79</v>
      </c>
      <c r="D813" t="s">
        <v>120</v>
      </c>
      <c r="E813" s="1" t="s">
        <v>119</v>
      </c>
      <c r="F813" t="s">
        <v>125</v>
      </c>
      <c r="G813" s="1" t="s">
        <v>134</v>
      </c>
      <c r="H813">
        <v>206</v>
      </c>
      <c r="I813" t="s">
        <v>18</v>
      </c>
      <c r="J813">
        <v>143034.68</v>
      </c>
      <c r="K813">
        <v>139439.08045977011</v>
      </c>
    </row>
    <row r="814" spans="1:11" x14ac:dyDescent="0.3">
      <c r="A814" s="1" t="s">
        <v>91</v>
      </c>
      <c r="B814" s="1" t="s">
        <v>210</v>
      </c>
      <c r="C814" s="1" t="s">
        <v>79</v>
      </c>
      <c r="D814" t="s">
        <v>120</v>
      </c>
      <c r="E814" s="1" t="s">
        <v>119</v>
      </c>
      <c r="F814" t="s">
        <v>125</v>
      </c>
      <c r="G814" s="1" t="s">
        <v>129</v>
      </c>
      <c r="H814">
        <v>210</v>
      </c>
      <c r="I814" t="s">
        <v>2</v>
      </c>
      <c r="J814">
        <v>72285.97</v>
      </c>
      <c r="K814">
        <v>63348.132183908041</v>
      </c>
    </row>
    <row r="815" spans="1:11" x14ac:dyDescent="0.3">
      <c r="A815" s="1" t="s">
        <v>91</v>
      </c>
      <c r="B815" s="1" t="s">
        <v>210</v>
      </c>
      <c r="C815" s="1" t="s">
        <v>79</v>
      </c>
      <c r="D815" t="s">
        <v>120</v>
      </c>
      <c r="E815" s="1" t="s">
        <v>119</v>
      </c>
      <c r="F815" t="s">
        <v>127</v>
      </c>
      <c r="G815" s="1" t="s">
        <v>131</v>
      </c>
      <c r="H815">
        <v>417</v>
      </c>
      <c r="I815" t="s">
        <v>54</v>
      </c>
      <c r="J815">
        <v>130441.87</v>
      </c>
      <c r="K815">
        <v>183617.31321839083</v>
      </c>
    </row>
    <row r="816" spans="1:11" x14ac:dyDescent="0.3">
      <c r="A816" s="1" t="s">
        <v>91</v>
      </c>
      <c r="B816" s="1" t="s">
        <v>210</v>
      </c>
      <c r="C816" s="1" t="s">
        <v>79</v>
      </c>
      <c r="D816" t="s">
        <v>119</v>
      </c>
      <c r="E816" s="1" t="s">
        <v>120</v>
      </c>
      <c r="F816" t="s">
        <v>124</v>
      </c>
      <c r="G816" s="1" t="s">
        <v>129</v>
      </c>
      <c r="H816">
        <v>308</v>
      </c>
      <c r="I816" t="s">
        <v>0</v>
      </c>
      <c r="J816">
        <v>78130.399999999994</v>
      </c>
      <c r="K816">
        <v>66329.382183908063</v>
      </c>
    </row>
    <row r="817" spans="1:11" x14ac:dyDescent="0.3">
      <c r="A817" s="1" t="s">
        <v>91</v>
      </c>
      <c r="B817" s="1" t="s">
        <v>210</v>
      </c>
      <c r="C817" s="1" t="s">
        <v>79</v>
      </c>
      <c r="D817" t="s">
        <v>119</v>
      </c>
      <c r="E817" s="1" t="s">
        <v>120</v>
      </c>
      <c r="F817" t="s">
        <v>127</v>
      </c>
      <c r="G817" s="1" t="s">
        <v>132</v>
      </c>
      <c r="H817">
        <v>402</v>
      </c>
      <c r="I817" t="s">
        <v>9</v>
      </c>
      <c r="J817">
        <v>46750</v>
      </c>
      <c r="K817">
        <v>53921.752873563215</v>
      </c>
    </row>
    <row r="818" spans="1:11" x14ac:dyDescent="0.3">
      <c r="A818" s="1" t="s">
        <v>91</v>
      </c>
      <c r="B818" s="1" t="s">
        <v>210</v>
      </c>
      <c r="C818" s="1" t="s">
        <v>79</v>
      </c>
      <c r="D818" t="s">
        <v>119</v>
      </c>
      <c r="E818" s="1" t="s">
        <v>120</v>
      </c>
      <c r="F818" t="s">
        <v>127</v>
      </c>
      <c r="G818" s="1" t="s">
        <v>132</v>
      </c>
      <c r="H818">
        <v>406</v>
      </c>
      <c r="I818" t="s">
        <v>57</v>
      </c>
      <c r="J818">
        <v>40631.210000000006</v>
      </c>
      <c r="K818">
        <v>32429.798850574709</v>
      </c>
    </row>
    <row r="819" spans="1:11" x14ac:dyDescent="0.3">
      <c r="A819" s="1" t="s">
        <v>91</v>
      </c>
      <c r="B819" s="1" t="s">
        <v>210</v>
      </c>
      <c r="C819" s="1" t="s">
        <v>79</v>
      </c>
      <c r="D819" t="s">
        <v>119</v>
      </c>
      <c r="E819" s="1" t="s">
        <v>120</v>
      </c>
      <c r="F819" t="s">
        <v>127</v>
      </c>
      <c r="G819" s="1" t="s">
        <v>132</v>
      </c>
      <c r="H819">
        <v>416</v>
      </c>
      <c r="I819" t="s">
        <v>66</v>
      </c>
      <c r="J819">
        <v>29663.549999999996</v>
      </c>
      <c r="K819">
        <v>36527.083333333314</v>
      </c>
    </row>
    <row r="820" spans="1:11" x14ac:dyDescent="0.3">
      <c r="A820" s="1" t="s">
        <v>91</v>
      </c>
      <c r="B820" s="1" t="s">
        <v>210</v>
      </c>
      <c r="C820" s="1" t="s">
        <v>79</v>
      </c>
      <c r="D820" t="s">
        <v>119</v>
      </c>
      <c r="E820" s="1" t="s">
        <v>120</v>
      </c>
      <c r="F820" t="s">
        <v>127</v>
      </c>
      <c r="G820" s="1" t="s">
        <v>135</v>
      </c>
      <c r="H820">
        <v>414</v>
      </c>
      <c r="I820" t="s">
        <v>65</v>
      </c>
      <c r="J820">
        <v>496588.48999999993</v>
      </c>
      <c r="K820">
        <v>585910.5747126441</v>
      </c>
    </row>
    <row r="821" spans="1:11" x14ac:dyDescent="0.3">
      <c r="A821" s="1" t="s">
        <v>91</v>
      </c>
      <c r="B821" s="1" t="s">
        <v>210</v>
      </c>
      <c r="C821" s="1" t="s">
        <v>79</v>
      </c>
      <c r="D821" t="s">
        <v>119</v>
      </c>
      <c r="E821" s="1" t="s">
        <v>119</v>
      </c>
      <c r="F821" t="s">
        <v>124</v>
      </c>
      <c r="G821" s="1" t="s">
        <v>131</v>
      </c>
      <c r="H821">
        <v>309</v>
      </c>
      <c r="I821" t="s">
        <v>52</v>
      </c>
      <c r="J821">
        <v>408656.4</v>
      </c>
      <c r="K821">
        <v>410406.89655172429</v>
      </c>
    </row>
    <row r="822" spans="1:11" x14ac:dyDescent="0.3">
      <c r="A822" s="1" t="s">
        <v>91</v>
      </c>
      <c r="B822" s="1" t="s">
        <v>210</v>
      </c>
      <c r="C822" s="1" t="s">
        <v>79</v>
      </c>
      <c r="D822" t="s">
        <v>119</v>
      </c>
      <c r="E822" s="1" t="s">
        <v>119</v>
      </c>
      <c r="F822" t="s">
        <v>124</v>
      </c>
      <c r="G822" s="1" t="s">
        <v>130</v>
      </c>
      <c r="H822">
        <v>305</v>
      </c>
      <c r="I822" t="s">
        <v>6</v>
      </c>
      <c r="J822">
        <v>241072.48999999993</v>
      </c>
      <c r="K822">
        <v>235560.34482758629</v>
      </c>
    </row>
    <row r="823" spans="1:11" x14ac:dyDescent="0.3">
      <c r="A823" s="1" t="s">
        <v>91</v>
      </c>
      <c r="B823" s="1" t="s">
        <v>210</v>
      </c>
      <c r="C823" s="1" t="s">
        <v>79</v>
      </c>
      <c r="D823" t="s">
        <v>119</v>
      </c>
      <c r="E823" s="1" t="s">
        <v>119</v>
      </c>
      <c r="F823" t="s">
        <v>124</v>
      </c>
      <c r="G823" s="1" t="s">
        <v>134</v>
      </c>
      <c r="H823">
        <v>302</v>
      </c>
      <c r="I823" t="s">
        <v>32</v>
      </c>
      <c r="J823">
        <v>157911.32999999996</v>
      </c>
      <c r="K823">
        <v>134622.91666666669</v>
      </c>
    </row>
    <row r="824" spans="1:11" x14ac:dyDescent="0.3">
      <c r="A824" s="1" t="s">
        <v>91</v>
      </c>
      <c r="B824" s="1" t="s">
        <v>210</v>
      </c>
      <c r="C824" s="1" t="s">
        <v>79</v>
      </c>
      <c r="D824" t="s">
        <v>119</v>
      </c>
      <c r="E824" s="1" t="s">
        <v>119</v>
      </c>
      <c r="F824" t="s">
        <v>124</v>
      </c>
      <c r="G824" s="1" t="s">
        <v>129</v>
      </c>
      <c r="H824">
        <v>301</v>
      </c>
      <c r="I824" t="s">
        <v>59</v>
      </c>
      <c r="J824">
        <v>85321.989999999976</v>
      </c>
      <c r="K824">
        <v>74920.114942528715</v>
      </c>
    </row>
    <row r="825" spans="1:11" x14ac:dyDescent="0.3">
      <c r="A825" s="1" t="s">
        <v>91</v>
      </c>
      <c r="B825" s="1" t="s">
        <v>210</v>
      </c>
      <c r="C825" s="1" t="s">
        <v>79</v>
      </c>
      <c r="D825" t="s">
        <v>119</v>
      </c>
      <c r="E825" s="1" t="s">
        <v>119</v>
      </c>
      <c r="F825" t="s">
        <v>124</v>
      </c>
      <c r="G825" s="1" t="s">
        <v>129</v>
      </c>
      <c r="H825">
        <v>311</v>
      </c>
      <c r="I825" t="s">
        <v>13</v>
      </c>
      <c r="J825">
        <v>72635.799999999988</v>
      </c>
      <c r="K825">
        <v>74281.321839080469</v>
      </c>
    </row>
    <row r="826" spans="1:11" x14ac:dyDescent="0.3">
      <c r="A826" s="1" t="s">
        <v>91</v>
      </c>
      <c r="B826" s="1" t="s">
        <v>210</v>
      </c>
      <c r="C826" s="1" t="s">
        <v>79</v>
      </c>
      <c r="D826" t="s">
        <v>119</v>
      </c>
      <c r="E826" s="1" t="s">
        <v>119</v>
      </c>
      <c r="F826" t="s">
        <v>125</v>
      </c>
      <c r="G826" s="1" t="s">
        <v>131</v>
      </c>
      <c r="H826">
        <v>211</v>
      </c>
      <c r="I826" t="s">
        <v>8</v>
      </c>
      <c r="J826">
        <v>356036.86999999994</v>
      </c>
      <c r="K826">
        <v>305103.37643678172</v>
      </c>
    </row>
    <row r="827" spans="1:11" x14ac:dyDescent="0.3">
      <c r="A827" s="1" t="s">
        <v>91</v>
      </c>
      <c r="B827" s="1" t="s">
        <v>210</v>
      </c>
      <c r="C827" s="1" t="s">
        <v>79</v>
      </c>
      <c r="D827" t="s">
        <v>119</v>
      </c>
      <c r="E827" s="1" t="s">
        <v>119</v>
      </c>
      <c r="F827" t="s">
        <v>125</v>
      </c>
      <c r="G827" s="1" t="s">
        <v>130</v>
      </c>
      <c r="H827">
        <v>207</v>
      </c>
      <c r="I827" t="s">
        <v>53</v>
      </c>
      <c r="J827">
        <v>238460.24</v>
      </c>
      <c r="K827">
        <v>242514.87068965516</v>
      </c>
    </row>
    <row r="828" spans="1:11" x14ac:dyDescent="0.3">
      <c r="A828" s="1" t="s">
        <v>91</v>
      </c>
      <c r="B828" s="1" t="s">
        <v>210</v>
      </c>
      <c r="C828" s="1" t="s">
        <v>79</v>
      </c>
      <c r="D828" t="s">
        <v>119</v>
      </c>
      <c r="E828" s="1" t="s">
        <v>119</v>
      </c>
      <c r="F828" t="s">
        <v>125</v>
      </c>
      <c r="G828" s="1" t="s">
        <v>133</v>
      </c>
      <c r="H828">
        <v>203</v>
      </c>
      <c r="I828" t="s">
        <v>60</v>
      </c>
      <c r="J828">
        <v>129331.34</v>
      </c>
      <c r="K828">
        <v>125708.83620689655</v>
      </c>
    </row>
    <row r="829" spans="1:11" x14ac:dyDescent="0.3">
      <c r="A829" s="1" t="s">
        <v>91</v>
      </c>
      <c r="B829" s="1" t="s">
        <v>210</v>
      </c>
      <c r="C829" s="1" t="s">
        <v>79</v>
      </c>
      <c r="D829" t="s">
        <v>119</v>
      </c>
      <c r="E829" s="1" t="s">
        <v>119</v>
      </c>
      <c r="F829" t="s">
        <v>125</v>
      </c>
      <c r="G829" s="1" t="s">
        <v>133</v>
      </c>
      <c r="H829">
        <v>212</v>
      </c>
      <c r="I829" t="s">
        <v>62</v>
      </c>
      <c r="J829">
        <v>116109.75</v>
      </c>
      <c r="K829">
        <v>132551.29310344826</v>
      </c>
    </row>
    <row r="830" spans="1:11" x14ac:dyDescent="0.3">
      <c r="A830" s="1" t="s">
        <v>91</v>
      </c>
      <c r="B830" s="1" t="s">
        <v>210</v>
      </c>
      <c r="C830" s="1" t="s">
        <v>79</v>
      </c>
      <c r="D830" t="s">
        <v>119</v>
      </c>
      <c r="E830" s="1" t="s">
        <v>119</v>
      </c>
      <c r="F830" t="s">
        <v>125</v>
      </c>
      <c r="G830" s="1" t="s">
        <v>134</v>
      </c>
      <c r="H830">
        <v>190</v>
      </c>
      <c r="I830" t="s">
        <v>42</v>
      </c>
      <c r="J830">
        <v>138236.94</v>
      </c>
      <c r="K830">
        <v>138991.52298850578</v>
      </c>
    </row>
    <row r="831" spans="1:11" x14ac:dyDescent="0.3">
      <c r="A831" s="1" t="s">
        <v>91</v>
      </c>
      <c r="B831" s="1" t="s">
        <v>210</v>
      </c>
      <c r="C831" s="1" t="s">
        <v>79</v>
      </c>
      <c r="D831" t="s">
        <v>119</v>
      </c>
      <c r="E831" s="1" t="s">
        <v>119</v>
      </c>
      <c r="F831" t="s">
        <v>125</v>
      </c>
      <c r="G831" s="1" t="s">
        <v>134</v>
      </c>
      <c r="H831">
        <v>214</v>
      </c>
      <c r="I831" t="s">
        <v>17</v>
      </c>
      <c r="J831">
        <v>109868.87999999999</v>
      </c>
      <c r="K831">
        <v>125218.10344827586</v>
      </c>
    </row>
    <row r="832" spans="1:11" x14ac:dyDescent="0.3">
      <c r="A832" s="1" t="s">
        <v>91</v>
      </c>
      <c r="B832" s="1" t="s">
        <v>210</v>
      </c>
      <c r="C832" s="1" t="s">
        <v>79</v>
      </c>
      <c r="D832" t="s">
        <v>119</v>
      </c>
      <c r="E832" s="1" t="s">
        <v>119</v>
      </c>
      <c r="F832" t="s">
        <v>127</v>
      </c>
      <c r="G832" s="1" t="s">
        <v>130</v>
      </c>
      <c r="H832">
        <v>407</v>
      </c>
      <c r="I832" t="s">
        <v>34</v>
      </c>
      <c r="J832">
        <v>262795.90999999992</v>
      </c>
      <c r="K832">
        <v>275222.08333333343</v>
      </c>
    </row>
    <row r="833" spans="1:11" x14ac:dyDescent="0.3">
      <c r="A833" s="1" t="s">
        <v>91</v>
      </c>
      <c r="B833" s="1" t="s">
        <v>210</v>
      </c>
      <c r="C833" s="1" t="s">
        <v>79</v>
      </c>
      <c r="D833" t="s">
        <v>119</v>
      </c>
      <c r="E833" s="1" t="s">
        <v>119</v>
      </c>
      <c r="F833" t="s">
        <v>127</v>
      </c>
      <c r="G833" s="1" t="s">
        <v>130</v>
      </c>
      <c r="H833">
        <v>413</v>
      </c>
      <c r="I833" t="s">
        <v>14</v>
      </c>
      <c r="J833">
        <v>216928.40999999995</v>
      </c>
      <c r="K833">
        <v>260479.31034482762</v>
      </c>
    </row>
    <row r="834" spans="1:11" x14ac:dyDescent="0.3">
      <c r="A834" s="1" t="s">
        <v>91</v>
      </c>
      <c r="B834" s="1" t="s">
        <v>210</v>
      </c>
      <c r="C834" s="1" t="s">
        <v>79</v>
      </c>
      <c r="D834" t="s">
        <v>119</v>
      </c>
      <c r="E834" s="1" t="s">
        <v>119</v>
      </c>
      <c r="F834" t="s">
        <v>127</v>
      </c>
      <c r="G834" s="1" t="s">
        <v>133</v>
      </c>
      <c r="H834">
        <v>412</v>
      </c>
      <c r="I834" t="s">
        <v>11</v>
      </c>
      <c r="J834">
        <v>100462.68</v>
      </c>
      <c r="K834">
        <v>129268.9224137931</v>
      </c>
    </row>
    <row r="835" spans="1:11" x14ac:dyDescent="0.3">
      <c r="A835" s="1" t="s">
        <v>91</v>
      </c>
      <c r="B835" s="1" t="s">
        <v>210</v>
      </c>
      <c r="C835" s="1" t="s">
        <v>79</v>
      </c>
      <c r="D835" t="s">
        <v>119</v>
      </c>
      <c r="E835" s="1" t="s">
        <v>119</v>
      </c>
      <c r="F835" t="s">
        <v>127</v>
      </c>
      <c r="G835" s="1" t="s">
        <v>134</v>
      </c>
      <c r="H835">
        <v>403</v>
      </c>
      <c r="I835" t="s">
        <v>12</v>
      </c>
      <c r="J835">
        <v>116754.80999999998</v>
      </c>
      <c r="K835">
        <v>145647.29885057476</v>
      </c>
    </row>
    <row r="836" spans="1:11" x14ac:dyDescent="0.3">
      <c r="A836" s="1" t="s">
        <v>91</v>
      </c>
      <c r="B836" s="1" t="s">
        <v>210</v>
      </c>
      <c r="C836" s="1" t="s">
        <v>79</v>
      </c>
      <c r="D836" t="s">
        <v>119</v>
      </c>
      <c r="E836" s="1" t="s">
        <v>119</v>
      </c>
      <c r="F836" t="s">
        <v>127</v>
      </c>
      <c r="G836" s="1" t="s">
        <v>129</v>
      </c>
      <c r="H836">
        <v>409</v>
      </c>
      <c r="I836" t="s">
        <v>58</v>
      </c>
      <c r="J836">
        <v>63440.45</v>
      </c>
      <c r="K836">
        <v>56886.594827586203</v>
      </c>
    </row>
    <row r="837" spans="1:11" x14ac:dyDescent="0.3">
      <c r="A837" s="1" t="s">
        <v>91</v>
      </c>
      <c r="B837" s="1" t="s">
        <v>210</v>
      </c>
      <c r="C837" s="1" t="s">
        <v>79</v>
      </c>
      <c r="D837" t="s">
        <v>119</v>
      </c>
      <c r="E837" s="1" t="s">
        <v>119</v>
      </c>
      <c r="F837" t="s">
        <v>127</v>
      </c>
      <c r="G837" s="1" t="s">
        <v>132</v>
      </c>
      <c r="H837">
        <v>410</v>
      </c>
      <c r="I837" t="s">
        <v>40</v>
      </c>
      <c r="J837">
        <v>44290.23</v>
      </c>
      <c r="K837">
        <v>53000.229885057473</v>
      </c>
    </row>
    <row r="838" spans="1:11" x14ac:dyDescent="0.3">
      <c r="A838" s="1" t="s">
        <v>91</v>
      </c>
      <c r="B838" s="1" t="s">
        <v>210</v>
      </c>
      <c r="C838" s="1" t="s">
        <v>79</v>
      </c>
      <c r="D838" t="s">
        <v>119</v>
      </c>
      <c r="E838" s="1" t="s">
        <v>119</v>
      </c>
      <c r="F838" t="s">
        <v>126</v>
      </c>
      <c r="G838" s="1" t="s">
        <v>130</v>
      </c>
      <c r="H838">
        <v>101</v>
      </c>
      <c r="I838" t="s">
        <v>10</v>
      </c>
      <c r="J838">
        <v>278893.5799999999</v>
      </c>
      <c r="K838">
        <v>247261.7816091954</v>
      </c>
    </row>
    <row r="839" spans="1:11" x14ac:dyDescent="0.3">
      <c r="A839" s="1" t="s">
        <v>91</v>
      </c>
      <c r="B839" s="1" t="s">
        <v>210</v>
      </c>
      <c r="C839" s="1" t="s">
        <v>79</v>
      </c>
      <c r="D839" t="s">
        <v>119</v>
      </c>
      <c r="E839" s="1" t="s">
        <v>119</v>
      </c>
      <c r="F839" t="s">
        <v>126</v>
      </c>
      <c r="G839" s="1" t="s">
        <v>130</v>
      </c>
      <c r="H839">
        <v>150</v>
      </c>
      <c r="I839" t="s">
        <v>3</v>
      </c>
      <c r="J839">
        <v>277513.82999999996</v>
      </c>
      <c r="K839">
        <v>253460.48850574726</v>
      </c>
    </row>
    <row r="840" spans="1:11" x14ac:dyDescent="0.3">
      <c r="A840" s="1" t="s">
        <v>91</v>
      </c>
      <c r="B840" s="1" t="s">
        <v>210</v>
      </c>
      <c r="C840" s="1" t="s">
        <v>79</v>
      </c>
      <c r="D840" t="s">
        <v>119</v>
      </c>
      <c r="E840" s="1" t="s">
        <v>119</v>
      </c>
      <c r="F840" t="s">
        <v>126</v>
      </c>
      <c r="G840" s="1" t="s">
        <v>134</v>
      </c>
      <c r="H840">
        <v>170</v>
      </c>
      <c r="I840" t="s">
        <v>56</v>
      </c>
      <c r="J840">
        <v>151874.21</v>
      </c>
      <c r="K840">
        <v>130660.05747126436</v>
      </c>
    </row>
    <row r="841" spans="1:11" x14ac:dyDescent="0.3">
      <c r="A841" s="1" t="s">
        <v>91</v>
      </c>
      <c r="B841" s="1" t="s">
        <v>210</v>
      </c>
      <c r="C841" s="1" t="s">
        <v>79</v>
      </c>
      <c r="D841" t="s">
        <v>119</v>
      </c>
      <c r="E841" s="1" t="s">
        <v>119</v>
      </c>
      <c r="F841" t="s">
        <v>126</v>
      </c>
      <c r="G841" s="1" t="s">
        <v>129</v>
      </c>
      <c r="H841">
        <v>131</v>
      </c>
      <c r="I841" t="s">
        <v>67</v>
      </c>
      <c r="J841">
        <v>69476.460000000006</v>
      </c>
      <c r="K841">
        <v>49252.155172413775</v>
      </c>
    </row>
    <row r="842" spans="1:11" x14ac:dyDescent="0.3">
      <c r="A842" s="1" t="s">
        <v>91</v>
      </c>
      <c r="B842" s="1" t="s">
        <v>210</v>
      </c>
      <c r="C842" s="1" t="s">
        <v>79</v>
      </c>
      <c r="D842" t="s">
        <v>119</v>
      </c>
      <c r="E842" s="1" t="s">
        <v>119</v>
      </c>
      <c r="F842" t="s">
        <v>126</v>
      </c>
      <c r="G842" s="1" t="s">
        <v>132</v>
      </c>
      <c r="H842">
        <v>151</v>
      </c>
      <c r="I842" t="s">
        <v>20</v>
      </c>
      <c r="J842">
        <v>81058.800000000017</v>
      </c>
      <c r="K842">
        <v>51078.591954022988</v>
      </c>
    </row>
    <row r="843" spans="1:11" x14ac:dyDescent="0.3">
      <c r="A843" s="1" t="s">
        <v>91</v>
      </c>
      <c r="B843" s="1" t="s">
        <v>210</v>
      </c>
      <c r="C843" s="1" t="s">
        <v>92</v>
      </c>
      <c r="D843" t="s">
        <v>121</v>
      </c>
      <c r="E843" s="1" t="s">
        <v>121</v>
      </c>
      <c r="F843" t="s">
        <v>124</v>
      </c>
      <c r="G843" s="1" t="s">
        <v>136</v>
      </c>
      <c r="H843" t="s">
        <v>111</v>
      </c>
      <c r="I843" s="33" t="s">
        <v>48</v>
      </c>
      <c r="J843" s="33">
        <v>0</v>
      </c>
      <c r="K843" s="33">
        <v>0</v>
      </c>
    </row>
    <row r="844" spans="1:11" x14ac:dyDescent="0.3">
      <c r="A844" s="1" t="s">
        <v>91</v>
      </c>
      <c r="B844" s="1" t="s">
        <v>210</v>
      </c>
      <c r="C844" s="1" t="s">
        <v>92</v>
      </c>
      <c r="D844" t="s">
        <v>121</v>
      </c>
      <c r="E844" s="1" t="s">
        <v>121</v>
      </c>
      <c r="F844" t="s">
        <v>127</v>
      </c>
      <c r="G844" s="1" t="s">
        <v>136</v>
      </c>
      <c r="H844">
        <v>418</v>
      </c>
      <c r="I844" t="s">
        <v>44</v>
      </c>
      <c r="J844">
        <v>0</v>
      </c>
      <c r="K844">
        <v>166062.06896551725</v>
      </c>
    </row>
    <row r="845" spans="1:11" x14ac:dyDescent="0.3">
      <c r="A845" s="1" t="s">
        <v>91</v>
      </c>
      <c r="B845" s="1" t="s">
        <v>210</v>
      </c>
      <c r="C845" s="1" t="s">
        <v>92</v>
      </c>
      <c r="D845" t="s">
        <v>119</v>
      </c>
      <c r="E845" s="1" t="s">
        <v>122</v>
      </c>
      <c r="F845" t="s">
        <v>124</v>
      </c>
      <c r="G845" s="1" t="s">
        <v>136</v>
      </c>
      <c r="H845">
        <v>307</v>
      </c>
      <c r="I845" t="s">
        <v>19</v>
      </c>
      <c r="J845">
        <v>141676.30999999997</v>
      </c>
      <c r="K845">
        <v>99236.637931034449</v>
      </c>
    </row>
    <row r="846" spans="1:11" x14ac:dyDescent="0.3">
      <c r="A846" s="1" t="s">
        <v>91</v>
      </c>
      <c r="B846" s="1" t="s">
        <v>210</v>
      </c>
      <c r="C846" s="1" t="s">
        <v>92</v>
      </c>
      <c r="D846" t="s">
        <v>119</v>
      </c>
      <c r="E846" s="1" t="s">
        <v>122</v>
      </c>
      <c r="F846" t="s">
        <v>127</v>
      </c>
      <c r="G846" s="1" t="s">
        <v>136</v>
      </c>
      <c r="H846">
        <v>411</v>
      </c>
      <c r="I846" t="s">
        <v>43</v>
      </c>
      <c r="J846">
        <v>186469.13</v>
      </c>
      <c r="K846">
        <v>112545.25862068964</v>
      </c>
    </row>
    <row r="847" spans="1:11" x14ac:dyDescent="0.3">
      <c r="A847" s="1" t="s">
        <v>91</v>
      </c>
      <c r="B847" s="1" t="s">
        <v>210</v>
      </c>
      <c r="C847" s="1" t="s">
        <v>92</v>
      </c>
      <c r="D847" t="s">
        <v>119</v>
      </c>
      <c r="E847" s="1" t="s">
        <v>120</v>
      </c>
      <c r="F847" t="s">
        <v>125</v>
      </c>
      <c r="G847" s="1" t="s">
        <v>136</v>
      </c>
      <c r="H847">
        <v>213</v>
      </c>
      <c r="I847" t="s">
        <v>49</v>
      </c>
      <c r="J847">
        <v>142629.68</v>
      </c>
      <c r="K847">
        <v>134526.00574712644</v>
      </c>
    </row>
    <row r="848" spans="1:11" x14ac:dyDescent="0.3">
      <c r="A848" s="1" t="s">
        <v>91</v>
      </c>
      <c r="B848" s="1" t="s">
        <v>210</v>
      </c>
      <c r="C848" s="1" t="s">
        <v>92</v>
      </c>
      <c r="D848" t="s">
        <v>119</v>
      </c>
      <c r="E848" s="1" t="s">
        <v>120</v>
      </c>
      <c r="F848" t="s">
        <v>127</v>
      </c>
      <c r="G848" s="1" t="s">
        <v>136</v>
      </c>
      <c r="H848">
        <v>415</v>
      </c>
      <c r="I848" t="s">
        <v>47</v>
      </c>
      <c r="J848">
        <v>129899.92</v>
      </c>
      <c r="K848">
        <v>100574.13793103452</v>
      </c>
    </row>
    <row r="849" spans="1:11" x14ac:dyDescent="0.3">
      <c r="A849" s="1" t="s">
        <v>91</v>
      </c>
      <c r="B849" s="1" t="s">
        <v>210</v>
      </c>
      <c r="C849" s="1" t="s">
        <v>92</v>
      </c>
      <c r="D849" t="s">
        <v>119</v>
      </c>
      <c r="E849" s="1" t="s">
        <v>119</v>
      </c>
      <c r="F849" t="s">
        <v>124</v>
      </c>
      <c r="G849" s="1" t="s">
        <v>136</v>
      </c>
      <c r="H849">
        <v>306</v>
      </c>
      <c r="I849" t="s">
        <v>51</v>
      </c>
      <c r="J849">
        <v>157404.21000000002</v>
      </c>
      <c r="K849">
        <v>129824.56896551723</v>
      </c>
    </row>
    <row r="850" spans="1:11" x14ac:dyDescent="0.3">
      <c r="A850" s="1" t="s">
        <v>91</v>
      </c>
      <c r="B850" s="1" t="s">
        <v>210</v>
      </c>
      <c r="C850" s="1" t="s">
        <v>92</v>
      </c>
      <c r="D850" t="s">
        <v>119</v>
      </c>
      <c r="E850" s="1" t="s">
        <v>119</v>
      </c>
      <c r="F850" t="s">
        <v>125</v>
      </c>
      <c r="G850" s="1" t="s">
        <v>136</v>
      </c>
      <c r="H850">
        <v>201</v>
      </c>
      <c r="I850" t="s">
        <v>45</v>
      </c>
      <c r="J850">
        <v>86898.770000000019</v>
      </c>
      <c r="K850">
        <v>57614.942528735628</v>
      </c>
    </row>
    <row r="851" spans="1:11" x14ac:dyDescent="0.3">
      <c r="A851" s="1" t="s">
        <v>91</v>
      </c>
      <c r="B851" s="1" t="s">
        <v>210</v>
      </c>
      <c r="C851" s="1" t="s">
        <v>92</v>
      </c>
      <c r="D851" t="s">
        <v>119</v>
      </c>
      <c r="E851" s="1" t="s">
        <v>119</v>
      </c>
      <c r="F851" t="s">
        <v>125</v>
      </c>
      <c r="G851" s="1" t="s">
        <v>136</v>
      </c>
      <c r="H851">
        <v>204</v>
      </c>
      <c r="I851" t="s">
        <v>46</v>
      </c>
      <c r="J851">
        <v>111007.13999999997</v>
      </c>
      <c r="K851">
        <v>79882.614942528729</v>
      </c>
    </row>
    <row r="852" spans="1:11" x14ac:dyDescent="0.3">
      <c r="A852" s="1" t="s">
        <v>91</v>
      </c>
      <c r="B852" s="1" t="s">
        <v>210</v>
      </c>
      <c r="C852" s="1" t="s">
        <v>92</v>
      </c>
      <c r="D852" t="s">
        <v>119</v>
      </c>
      <c r="E852" s="1" t="s">
        <v>119</v>
      </c>
      <c r="F852" t="s">
        <v>126</v>
      </c>
      <c r="G852" s="1" t="s">
        <v>136</v>
      </c>
      <c r="H852">
        <v>102</v>
      </c>
      <c r="I852" t="s">
        <v>50</v>
      </c>
      <c r="J852">
        <v>179066.02999999997</v>
      </c>
      <c r="K852">
        <v>102726.00574712643</v>
      </c>
    </row>
    <row r="853" spans="1:11" x14ac:dyDescent="0.3">
      <c r="A853" s="1" t="s">
        <v>91</v>
      </c>
      <c r="B853" s="1" t="s">
        <v>210</v>
      </c>
      <c r="C853" s="1" t="s">
        <v>93</v>
      </c>
      <c r="D853" t="s">
        <v>119</v>
      </c>
      <c r="E853" s="1" t="s">
        <v>119</v>
      </c>
      <c r="F853" t="s">
        <v>93</v>
      </c>
      <c r="G853" s="1" t="s">
        <v>93</v>
      </c>
      <c r="H853">
        <v>903</v>
      </c>
      <c r="I853" t="s">
        <v>37</v>
      </c>
      <c r="J853">
        <v>101278.61000000002</v>
      </c>
      <c r="K853">
        <v>160526.32</v>
      </c>
    </row>
    <row r="854" spans="1:11" x14ac:dyDescent="0.3">
      <c r="A854" s="1" t="s">
        <v>91</v>
      </c>
      <c r="B854" s="1" t="s">
        <v>210</v>
      </c>
      <c r="C854" s="1" t="s">
        <v>94</v>
      </c>
      <c r="D854" t="s">
        <v>121</v>
      </c>
      <c r="E854" s="1" t="s">
        <v>121</v>
      </c>
      <c r="F854" t="s">
        <v>124</v>
      </c>
      <c r="G854" s="1" t="s">
        <v>137</v>
      </c>
      <c r="H854" t="s">
        <v>112</v>
      </c>
      <c r="I854" t="s">
        <v>21</v>
      </c>
      <c r="J854">
        <v>0</v>
      </c>
      <c r="K854">
        <v>0</v>
      </c>
    </row>
    <row r="855" spans="1:11" x14ac:dyDescent="0.3">
      <c r="A855" s="1" t="s">
        <v>91</v>
      </c>
      <c r="B855" s="1" t="s">
        <v>210</v>
      </c>
      <c r="C855" s="1" t="s">
        <v>94</v>
      </c>
      <c r="D855" t="s">
        <v>121</v>
      </c>
      <c r="E855" s="1" t="s">
        <v>121</v>
      </c>
      <c r="F855" t="s">
        <v>125</v>
      </c>
      <c r="G855" s="1" t="s">
        <v>138</v>
      </c>
      <c r="H855">
        <v>470</v>
      </c>
      <c r="I855" t="s">
        <v>26</v>
      </c>
      <c r="J855">
        <v>0</v>
      </c>
      <c r="K855">
        <v>66363.14655172416</v>
      </c>
    </row>
    <row r="856" spans="1:11" x14ac:dyDescent="0.3">
      <c r="A856" s="1" t="s">
        <v>91</v>
      </c>
      <c r="B856" s="1" t="s">
        <v>210</v>
      </c>
      <c r="C856" s="1" t="s">
        <v>94</v>
      </c>
      <c r="D856" t="s">
        <v>121</v>
      </c>
      <c r="E856" s="1" t="s">
        <v>121</v>
      </c>
      <c r="F856" t="s">
        <v>125</v>
      </c>
      <c r="G856" s="1" t="s">
        <v>137</v>
      </c>
      <c r="H856" t="s">
        <v>114</v>
      </c>
      <c r="I856" t="s">
        <v>23</v>
      </c>
      <c r="J856">
        <v>0</v>
      </c>
      <c r="K856">
        <v>0</v>
      </c>
    </row>
    <row r="857" spans="1:11" x14ac:dyDescent="0.3">
      <c r="A857" s="1" t="s">
        <v>91</v>
      </c>
      <c r="B857" s="1" t="s">
        <v>210</v>
      </c>
      <c r="C857" s="1" t="s">
        <v>94</v>
      </c>
      <c r="D857" t="s">
        <v>121</v>
      </c>
      <c r="E857" s="1" t="s">
        <v>121</v>
      </c>
      <c r="F857" t="s">
        <v>125</v>
      </c>
      <c r="G857" s="1" t="s">
        <v>137</v>
      </c>
      <c r="H857" t="s">
        <v>113</v>
      </c>
      <c r="I857" t="s">
        <v>22</v>
      </c>
      <c r="J857">
        <v>0</v>
      </c>
      <c r="K857">
        <v>0</v>
      </c>
    </row>
    <row r="858" spans="1:11" x14ac:dyDescent="0.3">
      <c r="A858" s="1" t="s">
        <v>91</v>
      </c>
      <c r="B858" s="1" t="s">
        <v>210</v>
      </c>
      <c r="C858" s="1" t="s">
        <v>94</v>
      </c>
      <c r="D858" t="s">
        <v>121</v>
      </c>
      <c r="E858" s="1" t="s">
        <v>121</v>
      </c>
      <c r="F858" t="s">
        <v>127</v>
      </c>
      <c r="G858" s="1" t="s">
        <v>137</v>
      </c>
      <c r="H858">
        <v>494</v>
      </c>
      <c r="I858" t="s">
        <v>25</v>
      </c>
      <c r="J858">
        <v>0</v>
      </c>
      <c r="K858">
        <v>54975.287356321838</v>
      </c>
    </row>
    <row r="859" spans="1:11" x14ac:dyDescent="0.3">
      <c r="A859" s="1" t="s">
        <v>91</v>
      </c>
      <c r="B859" s="1" t="s">
        <v>210</v>
      </c>
      <c r="C859" s="1" t="s">
        <v>94</v>
      </c>
      <c r="D859" t="s">
        <v>121</v>
      </c>
      <c r="E859" s="1" t="s">
        <v>121</v>
      </c>
      <c r="F859" t="s">
        <v>126</v>
      </c>
      <c r="G859" s="1" t="s">
        <v>137</v>
      </c>
      <c r="H859">
        <v>460</v>
      </c>
      <c r="I859" t="s">
        <v>30</v>
      </c>
      <c r="J859">
        <v>0</v>
      </c>
      <c r="K859">
        <v>56532.183908045976</v>
      </c>
    </row>
    <row r="860" spans="1:11" x14ac:dyDescent="0.3">
      <c r="A860" s="1" t="s">
        <v>91</v>
      </c>
      <c r="B860" s="1" t="s">
        <v>210</v>
      </c>
      <c r="C860" s="1" t="s">
        <v>94</v>
      </c>
      <c r="D860" t="s">
        <v>121</v>
      </c>
      <c r="E860" s="1" t="s">
        <v>121</v>
      </c>
      <c r="F860" t="s">
        <v>126</v>
      </c>
      <c r="G860" s="1" t="s">
        <v>137</v>
      </c>
      <c r="H860">
        <v>461</v>
      </c>
      <c r="I860" t="s">
        <v>29</v>
      </c>
      <c r="J860">
        <v>0</v>
      </c>
      <c r="K860">
        <v>15301</v>
      </c>
    </row>
    <row r="861" spans="1:11" x14ac:dyDescent="0.3">
      <c r="A861" s="1" t="s">
        <v>91</v>
      </c>
      <c r="B861" s="1" t="s">
        <v>210</v>
      </c>
      <c r="C861" s="1" t="s">
        <v>94</v>
      </c>
      <c r="D861" t="s">
        <v>121</v>
      </c>
      <c r="E861" s="1" t="s">
        <v>119</v>
      </c>
      <c r="F861" t="s">
        <v>124</v>
      </c>
      <c r="G861" s="1" t="s">
        <v>138</v>
      </c>
      <c r="H861">
        <v>480</v>
      </c>
      <c r="I861" t="s">
        <v>28</v>
      </c>
      <c r="J861">
        <v>81175.87999999999</v>
      </c>
      <c r="K861">
        <v>73996.695402298836</v>
      </c>
    </row>
    <row r="862" spans="1:11" x14ac:dyDescent="0.3">
      <c r="A862" s="1" t="s">
        <v>91</v>
      </c>
      <c r="B862" s="1" t="s">
        <v>210</v>
      </c>
      <c r="C862" s="1" t="s">
        <v>94</v>
      </c>
      <c r="D862" t="s">
        <v>121</v>
      </c>
      <c r="E862" s="1" t="s">
        <v>119</v>
      </c>
      <c r="F862" t="s">
        <v>127</v>
      </c>
      <c r="G862" s="1" t="s">
        <v>138</v>
      </c>
      <c r="H862">
        <v>491</v>
      </c>
      <c r="I862" t="s">
        <v>31</v>
      </c>
      <c r="J862">
        <v>9320.4</v>
      </c>
      <c r="K862">
        <v>187011.78160919543</v>
      </c>
    </row>
    <row r="863" spans="1:11" x14ac:dyDescent="0.3">
      <c r="A863" s="1" t="s">
        <v>91</v>
      </c>
      <c r="B863" s="1" t="s">
        <v>210</v>
      </c>
      <c r="C863" s="1" t="s">
        <v>94</v>
      </c>
      <c r="D863" t="s">
        <v>121</v>
      </c>
      <c r="E863" s="1" t="s">
        <v>119</v>
      </c>
      <c r="F863" t="s">
        <v>127</v>
      </c>
      <c r="G863" s="1" t="s">
        <v>138</v>
      </c>
      <c r="H863">
        <v>492</v>
      </c>
      <c r="I863" t="s">
        <v>27</v>
      </c>
      <c r="J863">
        <v>105611.84999999998</v>
      </c>
      <c r="K863">
        <v>104681.6091954023</v>
      </c>
    </row>
    <row r="864" spans="1:11" x14ac:dyDescent="0.3">
      <c r="A864" s="1" t="s">
        <v>91</v>
      </c>
      <c r="B864" s="1" t="s">
        <v>210</v>
      </c>
      <c r="C864" s="1" t="s">
        <v>94</v>
      </c>
      <c r="D864" t="s">
        <v>121</v>
      </c>
      <c r="E864" s="1" t="s">
        <v>119</v>
      </c>
      <c r="F864" t="s">
        <v>127</v>
      </c>
      <c r="G864" s="1" t="s">
        <v>138</v>
      </c>
      <c r="H864">
        <v>493</v>
      </c>
      <c r="I864" t="s">
        <v>24</v>
      </c>
      <c r="J864">
        <v>62069.249999999993</v>
      </c>
      <c r="K864">
        <v>75777.155172413812</v>
      </c>
    </row>
    <row r="865" spans="1:11" x14ac:dyDescent="0.3">
      <c r="A865" s="1" t="s">
        <v>91</v>
      </c>
      <c r="B865" s="1" t="s">
        <v>210</v>
      </c>
      <c r="C865" s="1" t="s">
        <v>95</v>
      </c>
      <c r="D865" t="s">
        <v>121</v>
      </c>
      <c r="E865" s="1" t="s">
        <v>121</v>
      </c>
      <c r="F865" t="s">
        <v>125</v>
      </c>
      <c r="G865" s="1" t="s">
        <v>139</v>
      </c>
      <c r="H865" t="s">
        <v>115</v>
      </c>
      <c r="I865" s="33" t="s">
        <v>71</v>
      </c>
      <c r="J865" s="33">
        <v>0</v>
      </c>
      <c r="K865" s="33">
        <v>0</v>
      </c>
    </row>
    <row r="866" spans="1:11" x14ac:dyDescent="0.3">
      <c r="A866" s="1" t="s">
        <v>91</v>
      </c>
      <c r="B866" s="1" t="s">
        <v>210</v>
      </c>
      <c r="C866" s="1" t="s">
        <v>95</v>
      </c>
      <c r="D866" t="s">
        <v>121</v>
      </c>
      <c r="E866" s="1" t="s">
        <v>121</v>
      </c>
      <c r="F866" t="s">
        <v>126</v>
      </c>
      <c r="G866" s="1" t="s">
        <v>139</v>
      </c>
      <c r="H866">
        <v>510</v>
      </c>
      <c r="I866" t="s">
        <v>76</v>
      </c>
      <c r="J866">
        <v>0</v>
      </c>
      <c r="K866">
        <v>36304.310344827587</v>
      </c>
    </row>
    <row r="867" spans="1:11" x14ac:dyDescent="0.3">
      <c r="A867" s="1" t="s">
        <v>91</v>
      </c>
      <c r="B867" s="1" t="s">
        <v>210</v>
      </c>
      <c r="C867" s="1" t="s">
        <v>95</v>
      </c>
      <c r="D867" t="s">
        <v>121</v>
      </c>
      <c r="E867" s="1" t="s">
        <v>121</v>
      </c>
      <c r="F867" t="s">
        <v>126</v>
      </c>
      <c r="G867" s="1" t="s">
        <v>139</v>
      </c>
      <c r="H867" t="s">
        <v>116</v>
      </c>
      <c r="I867" s="33" t="s">
        <v>75</v>
      </c>
      <c r="J867" s="33">
        <v>0</v>
      </c>
      <c r="K867" s="33">
        <v>0</v>
      </c>
    </row>
    <row r="868" spans="1:11" x14ac:dyDescent="0.3">
      <c r="A868" s="1" t="s">
        <v>91</v>
      </c>
      <c r="B868" s="1" t="s">
        <v>210</v>
      </c>
      <c r="C868" s="1" t="s">
        <v>95</v>
      </c>
      <c r="D868" t="s">
        <v>121</v>
      </c>
      <c r="E868" s="1" t="s">
        <v>119</v>
      </c>
      <c r="F868" t="s">
        <v>127</v>
      </c>
      <c r="G868" s="1" t="s">
        <v>140</v>
      </c>
      <c r="H868">
        <v>541</v>
      </c>
      <c r="I868" t="s">
        <v>74</v>
      </c>
      <c r="J868">
        <v>59582.39</v>
      </c>
      <c r="K868">
        <v>63067.816091954017</v>
      </c>
    </row>
    <row r="869" spans="1:11" x14ac:dyDescent="0.3">
      <c r="A869" s="1" t="s">
        <v>91</v>
      </c>
      <c r="B869" s="1" t="s">
        <v>210</v>
      </c>
      <c r="C869" s="1" t="s">
        <v>95</v>
      </c>
      <c r="D869" t="s">
        <v>121</v>
      </c>
      <c r="E869" s="1" t="s">
        <v>119</v>
      </c>
      <c r="F869" t="s">
        <v>127</v>
      </c>
      <c r="G869" s="1" t="s">
        <v>140</v>
      </c>
      <c r="H869">
        <v>543</v>
      </c>
      <c r="I869" t="s">
        <v>72</v>
      </c>
      <c r="J869">
        <v>68125.75</v>
      </c>
      <c r="K869">
        <v>70020.617816091937</v>
      </c>
    </row>
    <row r="870" spans="1:11" x14ac:dyDescent="0.3">
      <c r="A870" s="1" t="s">
        <v>91</v>
      </c>
      <c r="B870" s="1" t="s">
        <v>210</v>
      </c>
      <c r="C870" s="1" t="s">
        <v>95</v>
      </c>
      <c r="D870" t="s">
        <v>120</v>
      </c>
      <c r="E870" s="1" t="s">
        <v>119</v>
      </c>
      <c r="F870" t="s">
        <v>127</v>
      </c>
      <c r="G870" s="1" t="s">
        <v>140</v>
      </c>
      <c r="H870">
        <v>540</v>
      </c>
      <c r="I870" t="s">
        <v>73</v>
      </c>
      <c r="J870">
        <v>135747.45000000004</v>
      </c>
      <c r="K870">
        <v>167897.55747126433</v>
      </c>
    </row>
    <row r="871" spans="1:11" x14ac:dyDescent="0.3">
      <c r="A871" s="1" t="s">
        <v>91</v>
      </c>
      <c r="B871" s="1" t="s">
        <v>210</v>
      </c>
      <c r="C871" s="1" t="s">
        <v>95</v>
      </c>
      <c r="D871" t="s">
        <v>119</v>
      </c>
      <c r="E871" s="1" t="s">
        <v>120</v>
      </c>
      <c r="F871" t="s">
        <v>124</v>
      </c>
      <c r="G871" s="1" t="s">
        <v>139</v>
      </c>
      <c r="H871">
        <v>530</v>
      </c>
      <c r="I871" t="s">
        <v>68</v>
      </c>
      <c r="J871">
        <v>84589.800000000017</v>
      </c>
      <c r="K871">
        <v>50716.235632183911</v>
      </c>
    </row>
    <row r="872" spans="1:11" x14ac:dyDescent="0.3">
      <c r="A872" s="1" t="s">
        <v>91</v>
      </c>
      <c r="B872" s="1" t="s">
        <v>210</v>
      </c>
      <c r="C872" s="1" t="s">
        <v>95</v>
      </c>
      <c r="D872" t="s">
        <v>119</v>
      </c>
      <c r="E872" s="1" t="s">
        <v>119</v>
      </c>
      <c r="F872" t="s">
        <v>125</v>
      </c>
      <c r="G872" s="1" t="s">
        <v>140</v>
      </c>
      <c r="H872">
        <v>520</v>
      </c>
      <c r="I872" t="s">
        <v>70</v>
      </c>
      <c r="J872">
        <v>103720.40000000002</v>
      </c>
      <c r="K872">
        <v>90892.385057471256</v>
      </c>
    </row>
    <row r="873" spans="1:11" x14ac:dyDescent="0.3">
      <c r="A873" s="2" t="s">
        <v>91</v>
      </c>
      <c r="B873" s="1" t="s">
        <v>210</v>
      </c>
      <c r="C873" s="1" t="s">
        <v>95</v>
      </c>
      <c r="D873" t="s">
        <v>119</v>
      </c>
      <c r="E873" s="1" t="s">
        <v>119</v>
      </c>
      <c r="F873" t="s">
        <v>127</v>
      </c>
      <c r="G873" s="1" t="s">
        <v>139</v>
      </c>
      <c r="H873">
        <v>542</v>
      </c>
      <c r="I873" t="s">
        <v>69</v>
      </c>
      <c r="J873">
        <v>58898.41</v>
      </c>
      <c r="K873">
        <v>45787.356321839077</v>
      </c>
    </row>
  </sheetData>
  <autoFilter ref="A1:K873" xr:uid="{B7162D14-EB4F-43E0-BC1C-EAB0B712C34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A973-8F6F-48B0-8492-F14ED52A74A2}">
  <dimension ref="A1:AC6"/>
  <sheetViews>
    <sheetView topLeftCell="A14" workbookViewId="0">
      <selection activeCell="A5" sqref="A5:AA35"/>
    </sheetView>
  </sheetViews>
  <sheetFormatPr baseColWidth="10" defaultRowHeight="14.4" x14ac:dyDescent="0.3"/>
  <cols>
    <col min="1" max="1" width="18.6640625" customWidth="1"/>
    <col min="2" max="3" width="16.109375" customWidth="1"/>
    <col min="4" max="4" width="16.109375" hidden="1" customWidth="1"/>
    <col min="5" max="5" width="16.109375" customWidth="1"/>
    <col min="6" max="6" width="9.5546875" hidden="1" customWidth="1"/>
    <col min="7" max="7" width="9.109375" customWidth="1"/>
    <col min="8" max="8" width="9.88671875" customWidth="1"/>
    <col min="9" max="9" width="9.44140625" hidden="1" customWidth="1"/>
    <col min="10" max="10" width="9.33203125" hidden="1" customWidth="1"/>
    <col min="11" max="11" width="6.33203125" customWidth="1"/>
    <col min="12" max="12" width="5.6640625" hidden="1" customWidth="1"/>
    <col min="13" max="16" width="9.88671875" hidden="1" customWidth="1"/>
    <col min="17" max="18" width="9.88671875" customWidth="1"/>
    <col min="19" max="19" width="9.33203125" customWidth="1"/>
    <col min="20" max="20" width="8" customWidth="1"/>
    <col min="21" max="21" width="6.44140625" customWidth="1"/>
    <col min="22" max="22" width="5" hidden="1" customWidth="1"/>
    <col min="23" max="23" width="6.33203125" hidden="1" customWidth="1"/>
    <col min="24" max="24" width="6.5546875" hidden="1" customWidth="1"/>
    <col min="25" max="25" width="7" hidden="1" customWidth="1"/>
    <col min="26" max="26" width="6.44140625" customWidth="1"/>
    <col min="27" max="27" width="6.5546875" customWidth="1"/>
    <col min="28" max="29" width="0" hidden="1" customWidth="1"/>
  </cols>
  <sheetData>
    <row r="1" spans="1:29" x14ac:dyDescent="0.3">
      <c r="A1" s="7" t="s">
        <v>117</v>
      </c>
      <c r="B1" s="8" t="s">
        <v>174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9" x14ac:dyDescent="0.3">
      <c r="A2" s="7" t="s">
        <v>118</v>
      </c>
      <c r="B2" s="8" t="s">
        <v>147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9" x14ac:dyDescent="0.3">
      <c r="A3" s="7" t="s">
        <v>78</v>
      </c>
      <c r="B3" s="8" t="s">
        <v>90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9" x14ac:dyDescent="0.3">
      <c r="AB4" s="9"/>
    </row>
    <row r="5" spans="1:29" ht="60" x14ac:dyDescent="0.3">
      <c r="A5" s="18" t="s">
        <v>77</v>
      </c>
      <c r="B5" s="7" t="s">
        <v>123</v>
      </c>
      <c r="C5" s="7" t="s">
        <v>107</v>
      </c>
      <c r="D5" s="18" t="s">
        <v>148</v>
      </c>
      <c r="E5" s="9" t="s">
        <v>149</v>
      </c>
      <c r="F5" s="9" t="s">
        <v>150</v>
      </c>
      <c r="G5" s="15" t="s">
        <v>151</v>
      </c>
      <c r="H5" s="15" t="s">
        <v>152</v>
      </c>
      <c r="I5" s="15" t="s">
        <v>153</v>
      </c>
      <c r="J5" s="15" t="s">
        <v>163</v>
      </c>
      <c r="K5" s="15" t="s">
        <v>155</v>
      </c>
      <c r="L5" s="9" t="s">
        <v>154</v>
      </c>
      <c r="M5" s="9" t="s">
        <v>156</v>
      </c>
      <c r="N5" s="9" t="s">
        <v>157</v>
      </c>
      <c r="O5" s="9" t="s">
        <v>158</v>
      </c>
      <c r="P5" s="9" t="s">
        <v>159</v>
      </c>
      <c r="Q5" s="17" t="s">
        <v>160</v>
      </c>
      <c r="R5" s="17" t="s">
        <v>161</v>
      </c>
      <c r="S5" s="17" t="s">
        <v>162</v>
      </c>
      <c r="T5" s="17" t="s">
        <v>172</v>
      </c>
      <c r="U5" s="17" t="s">
        <v>164</v>
      </c>
      <c r="V5" s="9" t="s">
        <v>165</v>
      </c>
      <c r="W5" s="9" t="s">
        <v>166</v>
      </c>
      <c r="X5" s="9" t="s">
        <v>167</v>
      </c>
      <c r="Y5" s="9" t="s">
        <v>169</v>
      </c>
      <c r="Z5" s="16" t="s">
        <v>168</v>
      </c>
      <c r="AA5" s="16" t="s">
        <v>170</v>
      </c>
      <c r="AB5" s="9" t="s">
        <v>171</v>
      </c>
      <c r="AC5" s="9" t="s">
        <v>173</v>
      </c>
    </row>
    <row r="6" spans="1:29" x14ac:dyDescent="0.3">
      <c r="A6" s="23" t="s">
        <v>146</v>
      </c>
      <c r="B6" s="23"/>
      <c r="C6" s="23"/>
      <c r="D6" s="20"/>
      <c r="E6" s="20"/>
      <c r="F6" s="20"/>
      <c r="G6" s="20"/>
      <c r="H6" s="20"/>
      <c r="I6" s="20"/>
      <c r="J6" s="20"/>
      <c r="K6" s="21">
        <v>0</v>
      </c>
      <c r="L6" s="21">
        <v>0</v>
      </c>
      <c r="M6" s="21">
        <v>0</v>
      </c>
      <c r="N6" s="21">
        <v>0</v>
      </c>
      <c r="O6" s="20"/>
      <c r="P6" s="20"/>
      <c r="Q6" s="20"/>
      <c r="R6" s="20"/>
      <c r="S6" s="20"/>
      <c r="T6" s="20"/>
      <c r="U6" s="22">
        <v>0</v>
      </c>
      <c r="V6" s="22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14">
        <v>0</v>
      </c>
      <c r="AC6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Base</vt:lpstr>
      <vt:lpstr>X Canal</vt:lpstr>
      <vt:lpstr>CRECIMIENTO</vt:lpstr>
      <vt:lpstr>OK</vt:lpstr>
      <vt:lpstr>FAIR PLAY</vt:lpstr>
      <vt:lpstr>OUTLET</vt:lpstr>
      <vt:lpstr>JUSTIFICACION</vt:lpstr>
      <vt:lpstr>PROPUESTA DE AJUSTA</vt:lpstr>
      <vt:lpstr>X Mes</vt:lpstr>
      <vt:lpstr>AYUDA</vt:lpstr>
      <vt:lpstr>Base crecimiento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Martinez</dc:creator>
  <cp:lastModifiedBy>Marcelo Rizzo</cp:lastModifiedBy>
  <dcterms:created xsi:type="dcterms:W3CDTF">2022-12-20T18:03:45Z</dcterms:created>
  <dcterms:modified xsi:type="dcterms:W3CDTF">2023-03-26T02:08:44Z</dcterms:modified>
</cp:coreProperties>
</file>