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.rizzo\Desktop\"/>
    </mc:Choice>
  </mc:AlternateContent>
  <xr:revisionPtr revIDLastSave="0" documentId="13_ncr:1_{943FAD8E-742C-438F-BFCC-2156BF6BB973}" xr6:coauthVersionLast="47" xr6:coauthVersionMax="47" xr10:uidLastSave="{00000000-0000-0000-0000-000000000000}"/>
  <bookViews>
    <workbookView xWindow="-120" yWindow="-120" windowWidth="20730" windowHeight="11040" xr2:uid="{51B60E1E-63D9-4E3C-B53F-452A03D709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14" i="1"/>
  <c r="H15" i="1"/>
  <c r="G15" i="1"/>
  <c r="H14" i="1"/>
  <c r="G14" i="1"/>
  <c r="H13" i="1"/>
  <c r="G13" i="1"/>
  <c r="I2" i="1"/>
  <c r="H12" i="1"/>
  <c r="G12" i="1"/>
  <c r="H7" i="1"/>
  <c r="H5" i="1"/>
  <c r="H9" i="1" s="1"/>
  <c r="C7" i="1" l="1"/>
  <c r="B9" i="1"/>
  <c r="B10" i="1" s="1"/>
  <c r="B11" i="1" l="1"/>
  <c r="C11" i="1" s="1"/>
  <c r="B12" i="1"/>
  <c r="C10" i="1"/>
  <c r="C12" i="1" s="1"/>
  <c r="C9" i="1"/>
</calcChain>
</file>

<file path=xl/sharedStrings.xml><?xml version="1.0" encoding="utf-8"?>
<sst xmlns="http://schemas.openxmlformats.org/spreadsheetml/2006/main" count="25" uniqueCount="25">
  <si>
    <t>Evento: Carrera Aldeas S.O.S</t>
  </si>
  <si>
    <t>FECHA: 30 /11/2025</t>
  </si>
  <si>
    <t xml:space="preserve">Descuento entregado </t>
  </si>
  <si>
    <t xml:space="preserve">% de descuento </t>
  </si>
  <si>
    <t>Ticket Promedio Bs</t>
  </si>
  <si>
    <t>Tasa de conversion del vale</t>
  </si>
  <si>
    <t>Tickets Generados</t>
  </si>
  <si>
    <t xml:space="preserve">Venta Generada BS </t>
  </si>
  <si>
    <t>Cantidad de participantes/ vales</t>
  </si>
  <si>
    <t>Bs</t>
  </si>
  <si>
    <t>Usd</t>
  </si>
  <si>
    <t>* Restircciones del vale</t>
  </si>
  <si>
    <t>Canjeable en todas las tiendas FP</t>
  </si>
  <si>
    <t>No aplica en productos con descuento</t>
  </si>
  <si>
    <t>No acumulable</t>
  </si>
  <si>
    <t>Fechas de canje: 26/11/2025 al 07/12/2025</t>
  </si>
  <si>
    <t xml:space="preserve">Contribución </t>
  </si>
  <si>
    <t>Venta_Sus</t>
  </si>
  <si>
    <t>Con_Vale</t>
  </si>
  <si>
    <t>Sin_Vale</t>
  </si>
  <si>
    <t>ATV</t>
  </si>
  <si>
    <t>Costo_Prom Ticket</t>
  </si>
  <si>
    <t>Costo_Sus</t>
  </si>
  <si>
    <t>Contribucion</t>
  </si>
  <si>
    <t>Margen_%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</si>
</sst>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#,##0.0"/>
    <numFmt numFmtId="166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43" fontId="0" fillId="0" borderId="1" xfId="1" applyFont="1" applyBorder="1"/>
    <xf numFmtId="164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165" fontId="0" fillId="0" borderId="2" xfId="0" applyNumberFormat="1" applyBorder="1"/>
    <xf numFmtId="166" fontId="0" fillId="0" borderId="2" xfId="2" applyNumberFormat="1" applyFont="1" applyBorder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43" fontId="0" fillId="0" borderId="0" xfId="0" applyNumberFormat="1"/>
    <xf numFmtId="166" fontId="0" fillId="0" borderId="0" xfId="2" applyNumberFormat="1" applyFont="1"/>
    <xf numFmtId="43" fontId="3" fillId="0" borderId="0" xfId="0" applyNumberFormat="1" applyFont="1"/>
    <xf numFmtId="166" fontId="3" fillId="0" borderId="0" xfId="2" applyNumberFormat="1" applyFont="1"/>
    <xf numFmtId="0" fontId="2" fillId="0" borderId="0" xfId="0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DC1B8-30EA-491F-967F-8744AC00806F}">
  <dimension ref="A1:J19"/>
  <sheetViews>
    <sheetView tabSelected="1" workbookViewId="0">
      <selection activeCell="D16" sqref="D16"/>
    </sheetView>
  </sheetViews>
  <sheetFormatPr baseColWidth="10" defaultRowHeight="15" x14ac:dyDescent="0.25"/>
  <cols>
    <col min="1" max="1" width="38.42578125" bestFit="1" customWidth="1"/>
    <col min="2" max="2" width="11.28515625" customWidth="1"/>
    <col min="6" max="6" width="16.5703125" customWidth="1"/>
    <col min="7" max="7" width="14.42578125" customWidth="1"/>
    <col min="8" max="8" width="13" customWidth="1"/>
    <col min="9" max="9" width="17.5703125" bestFit="1" customWidth="1"/>
  </cols>
  <sheetData>
    <row r="1" spans="1:10" x14ac:dyDescent="0.25">
      <c r="A1" t="s">
        <v>0</v>
      </c>
      <c r="H1" t="s">
        <v>20</v>
      </c>
      <c r="I1" t="s">
        <v>21</v>
      </c>
    </row>
    <row r="2" spans="1:10" x14ac:dyDescent="0.25">
      <c r="A2" t="s">
        <v>1</v>
      </c>
      <c r="H2" s="6">
        <v>147.46067661306503</v>
      </c>
      <c r="I2" s="6">
        <f>H2-(H2*J2)</f>
        <v>34.563118259362909</v>
      </c>
      <c r="J2" s="7">
        <v>0.7656112866614867</v>
      </c>
    </row>
    <row r="4" spans="1:10" x14ac:dyDescent="0.25">
      <c r="A4" s="1"/>
      <c r="B4" s="5" t="s">
        <v>9</v>
      </c>
      <c r="C4" s="5" t="s">
        <v>10</v>
      </c>
    </row>
    <row r="5" spans="1:10" x14ac:dyDescent="0.25">
      <c r="A5" s="1" t="s">
        <v>8</v>
      </c>
      <c r="B5" s="2">
        <v>2000</v>
      </c>
      <c r="C5" s="1"/>
      <c r="H5" s="8">
        <f>B5</f>
        <v>2000</v>
      </c>
    </row>
    <row r="6" spans="1:10" x14ac:dyDescent="0.25">
      <c r="A6" s="1" t="s">
        <v>3</v>
      </c>
      <c r="B6" s="3">
        <v>0.1</v>
      </c>
      <c r="C6" s="1"/>
      <c r="H6" s="9">
        <v>0.1</v>
      </c>
    </row>
    <row r="7" spans="1:10" x14ac:dyDescent="0.25">
      <c r="A7" s="1" t="s">
        <v>4</v>
      </c>
      <c r="B7" s="2">
        <v>1026</v>
      </c>
      <c r="C7" s="4">
        <f>B7/6.96</f>
        <v>147.41379310344828</v>
      </c>
      <c r="H7" s="10">
        <f>H2</f>
        <v>147.46067661306503</v>
      </c>
    </row>
    <row r="8" spans="1:10" x14ac:dyDescent="0.25">
      <c r="A8" s="1" t="s">
        <v>5</v>
      </c>
      <c r="B8" s="3">
        <v>0.1</v>
      </c>
      <c r="C8" s="4"/>
      <c r="H8" s="9">
        <v>0.1</v>
      </c>
    </row>
    <row r="9" spans="1:10" x14ac:dyDescent="0.25">
      <c r="A9" s="1" t="s">
        <v>6</v>
      </c>
      <c r="B9" s="2">
        <f>B5*B8</f>
        <v>200</v>
      </c>
      <c r="C9" s="4">
        <f t="shared" ref="C9:C11" si="0">B9/6.96</f>
        <v>28.735632183908045</v>
      </c>
      <c r="H9" s="8">
        <f>H8*H5</f>
        <v>200</v>
      </c>
    </row>
    <row r="10" spans="1:10" x14ac:dyDescent="0.25">
      <c r="A10" s="1" t="s">
        <v>7</v>
      </c>
      <c r="B10" s="2">
        <f>B9*B7</f>
        <v>205200</v>
      </c>
      <c r="C10" s="4">
        <f t="shared" si="0"/>
        <v>29482.758620689656</v>
      </c>
    </row>
    <row r="11" spans="1:10" x14ac:dyDescent="0.25">
      <c r="A11" s="1" t="s">
        <v>2</v>
      </c>
      <c r="B11" s="2">
        <f>B6*B10</f>
        <v>20520</v>
      </c>
      <c r="C11" s="4">
        <f t="shared" si="0"/>
        <v>2948.2758620689656</v>
      </c>
      <c r="G11" s="15" t="s">
        <v>19</v>
      </c>
      <c r="H11" s="15" t="s">
        <v>18</v>
      </c>
    </row>
    <row r="12" spans="1:10" x14ac:dyDescent="0.25">
      <c r="A12" s="1" t="s">
        <v>16</v>
      </c>
      <c r="B12" s="4">
        <f>B10*0.76</f>
        <v>155952</v>
      </c>
      <c r="C12" s="4">
        <f>C10*0.76</f>
        <v>22406.896551724138</v>
      </c>
      <c r="F12" s="15" t="s">
        <v>17</v>
      </c>
      <c r="G12" s="8">
        <f>H9*H2</f>
        <v>29492.135322613005</v>
      </c>
      <c r="H12" s="8">
        <f>H2*0.9*H9</f>
        <v>26542.921790351706</v>
      </c>
    </row>
    <row r="13" spans="1:10" x14ac:dyDescent="0.25">
      <c r="F13" s="15" t="s">
        <v>22</v>
      </c>
      <c r="G13" s="11">
        <f>H9*I2</f>
        <v>6912.6236518725818</v>
      </c>
      <c r="H13" s="11">
        <f>H9*I2</f>
        <v>6912.6236518725818</v>
      </c>
    </row>
    <row r="14" spans="1:10" x14ac:dyDescent="0.25">
      <c r="F14" s="15" t="s">
        <v>23</v>
      </c>
      <c r="G14" s="11">
        <f>G12-G13</f>
        <v>22579.511670740423</v>
      </c>
      <c r="H14" s="11">
        <f>H12-H13</f>
        <v>19630.298138479124</v>
      </c>
      <c r="I14" s="13">
        <f>H14-G14</f>
        <v>-2949.2135322612994</v>
      </c>
    </row>
    <row r="15" spans="1:10" x14ac:dyDescent="0.25">
      <c r="A15" t="s">
        <v>11</v>
      </c>
      <c r="F15" s="15" t="s">
        <v>24</v>
      </c>
      <c r="G15" s="12">
        <f>G14/G12</f>
        <v>0.7656112866614867</v>
      </c>
      <c r="H15" s="12">
        <f>H14/H12</f>
        <v>0.73956809629054077</v>
      </c>
      <c r="I15" s="14">
        <f>H15-G15</f>
        <v>-2.6043190370945934E-2</v>
      </c>
    </row>
    <row r="16" spans="1:10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Daniela Aguilera De Urioste</dc:creator>
  <cp:lastModifiedBy>Office03</cp:lastModifiedBy>
  <dcterms:created xsi:type="dcterms:W3CDTF">2025-11-24T13:14:13Z</dcterms:created>
  <dcterms:modified xsi:type="dcterms:W3CDTF">2025-11-24T15:10:12Z</dcterms:modified>
</cp:coreProperties>
</file>